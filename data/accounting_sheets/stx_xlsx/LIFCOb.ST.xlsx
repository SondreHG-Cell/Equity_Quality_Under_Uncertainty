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bdLGpdHoI3a8j+6y+KT20JH0nbDySElqDmq0l3jSGQ="/>
    </ext>
  </extLst>
</workbook>
</file>

<file path=xl/sharedStrings.xml><?xml version="1.0" encoding="utf-8"?>
<sst xmlns="http://schemas.openxmlformats.org/spreadsheetml/2006/main" count="708" uniqueCount="390">
  <si>
    <t>Company Fundamentals - Income Statement</t>
  </si>
  <si>
    <t>Company Name</t>
  </si>
  <si>
    <t>Lifco AB (publ) (LIFCOb.ST)</t>
  </si>
  <si>
    <t>Country of Exchange</t>
  </si>
  <si>
    <t>Sweden</t>
  </si>
  <si>
    <t>Country of Headquarters</t>
  </si>
  <si>
    <t>TRBC Industry Group</t>
  </si>
  <si>
    <t>Consumer Goods Conglomerates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</si>
  <si>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</si>
  <si>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</si>
  <si>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</si>
  <si>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</si>
  <si>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</si>
  <si>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</si>
  <si>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</si>
  <si>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</si>
  <si>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</si>
  <si>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</si>
  <si>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</si>
  <si>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</si>
  <si>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</si>
  <si>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</si>
  <si>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</si>
  <si>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</si>
  <si>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</si>
  <si>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</si>
  <si>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</si>
  <si>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</si>
  <si>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</si>
  <si>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</si>
  <si>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</si>
  <si>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</si>
  <si>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</si>
  <si>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</si>
  <si>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</si>
  <si>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</si>
  <si>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</si>
  <si>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</si>
  <si>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</si>
  <si>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</si>
  <si>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</si>
  <si>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</si>
  <si>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</si>
  <si>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</si>
  <si>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</si>
  <si>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</si>
  <si>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</si>
  <si>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</si>
  <si>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</si>
  <si>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</si>
  <si>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</si>
  <si>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</si>
  <si>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</si>
  <si>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</si>
  <si>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</si>
  <si>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</si>
  <si>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</si>
  <si>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</si>
  <si>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</si>
  <si>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</si>
  <si>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</si>
  <si>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Net sales</t>
  </si>
  <si>
    <t>Total Revenue</t>
  </si>
  <si>
    <t>Cost of goods sold</t>
  </si>
  <si>
    <t>Depreciation/Amortization in COR/COGS</t>
  </si>
  <si>
    <t>Cost of goods sold - Balancing value</t>
  </si>
  <si>
    <t>Cost of revenues/COGS</t>
  </si>
  <si>
    <t>Gross profit</t>
  </si>
  <si>
    <t>Selling expenses</t>
  </si>
  <si>
    <t>Amortisation of intangible assets arising from acquisitions</t>
  </si>
  <si>
    <t>Selling expenses - Balancing value</t>
  </si>
  <si>
    <t>Administrative expenses</t>
  </si>
  <si>
    <t>Acquisition-related expenses</t>
  </si>
  <si>
    <t>Depreciation/Amortization in Administrative expenses</t>
  </si>
  <si>
    <t>Administrative expenses - Balancing value</t>
  </si>
  <si>
    <t>Development costs</t>
  </si>
  <si>
    <t>Depreciation/Arortization in Research &amp; Development Cost</t>
  </si>
  <si>
    <t>Research and development expenses - Balancing value</t>
  </si>
  <si>
    <t>Other operating income</t>
  </si>
  <si>
    <t>Foreign Exchange Gain</t>
  </si>
  <si>
    <t>Other operating income - Balancing value</t>
  </si>
  <si>
    <t>Other operating expenses</t>
  </si>
  <si>
    <t>Foreign Exchange Loss</t>
  </si>
  <si>
    <t>Other operating expenses - Balancing value</t>
  </si>
  <si>
    <t>Other income and expenses</t>
  </si>
  <si>
    <t>Non-recurring items</t>
  </si>
  <si>
    <t>Operating (Income)/Expense, net</t>
  </si>
  <si>
    <t>Balancing Item - Income from Operations, net</t>
  </si>
  <si>
    <t>Operating profit</t>
  </si>
  <si>
    <t>Net financial items</t>
  </si>
  <si>
    <t>Financial income</t>
  </si>
  <si>
    <t>Interest income</t>
  </si>
  <si>
    <t>Foreign exchange gains</t>
  </si>
  <si>
    <t>Other Financial Income</t>
  </si>
  <si>
    <t>Financial income - Balancing value</t>
  </si>
  <si>
    <t>Financial expenses</t>
  </si>
  <si>
    <t>Interest expenses</t>
  </si>
  <si>
    <t>Amortisation of intangible assets</t>
  </si>
  <si>
    <t>Interest Expense - Net of Capitalized Interest - remaining</t>
  </si>
  <si>
    <t>Foreign exchange losses</t>
  </si>
  <si>
    <t>Losses on Sale of Tangible and Intangible Fixed Assets</t>
  </si>
  <si>
    <t>Other financial expenses</t>
  </si>
  <si>
    <t>Share of profits in associated companie</t>
  </si>
  <si>
    <t>Balancing Item - Pretax Income</t>
  </si>
  <si>
    <t>Profit before tax</t>
  </si>
  <si>
    <t>Tax on profit for the year</t>
  </si>
  <si>
    <t>Current Tax - Total</t>
  </si>
  <si>
    <t>Tax on profit for the year - Balancing value</t>
  </si>
  <si>
    <t>Deferred Tax - Total</t>
  </si>
  <si>
    <t>Income Taxes - Total</t>
  </si>
  <si>
    <t>Net profit for the period Other comprehensive income</t>
  </si>
  <si>
    <t>Non-controlling interests Earnings per share before and after</t>
  </si>
  <si>
    <t>Minority Interests</t>
  </si>
  <si>
    <t>Net Income excluding  Extra Items applicable to Common</t>
  </si>
  <si>
    <t>Balancing Item - Net Income After Extraordinary Items applicable to Common</t>
  </si>
  <si>
    <t>SubTotal</t>
  </si>
  <si>
    <t>Net profit for the period</t>
  </si>
  <si>
    <t>Hedge of net investment</t>
  </si>
  <si>
    <t>Translation differences</t>
  </si>
  <si>
    <t>Tax related to other comprehensive income</t>
  </si>
  <si>
    <t>Balancing Item - Other Comprehensive Income</t>
  </si>
  <si>
    <t>Other comprehensive income</t>
  </si>
  <si>
    <t>Parent Company shareholders</t>
  </si>
  <si>
    <t>Non-controlling interests</t>
  </si>
  <si>
    <t>Balancing Item - Total Comprehensive Income</t>
  </si>
  <si>
    <t>Total comprehensive income for the period</t>
  </si>
  <si>
    <t>Labor &amp; Related Expenses - Total</t>
  </si>
  <si>
    <t>Rental Expense - Supplemental</t>
  </si>
  <si>
    <t>Audit engagement</t>
  </si>
  <si>
    <t>Audit services in addition to audit engagement</t>
  </si>
  <si>
    <t>Tax advisory services</t>
  </si>
  <si>
    <t>Other services</t>
  </si>
  <si>
    <t>Auditor Fees - Total</t>
  </si>
  <si>
    <t>Depreciation of tangible assets</t>
  </si>
  <si>
    <t>Amortization of Trademarks</t>
  </si>
  <si>
    <t>Amortization of Patents - Supplemental</t>
  </si>
  <si>
    <t>Depreciation of Financial Lease Right-of-Use Assets - Supplemental</t>
  </si>
  <si>
    <t>Interest Expense on Financial Lease Liabilities - Supplemental</t>
  </si>
  <si>
    <t>Expenses related to short-term leases</t>
  </si>
  <si>
    <t>Expenses related to leases for which the underlying asset is of low value</t>
  </si>
  <si>
    <t>Total Depreciation of Tangible Assets</t>
  </si>
  <si>
    <t>Total Depreciation &amp; Amortization (Combined)</t>
  </si>
  <si>
    <t>Amortization of Intangible Assets excluding Goodwill - Total</t>
  </si>
  <si>
    <t>Basic Weighted Average Shares used to Calculate EPS - (Company Level)</t>
  </si>
  <si>
    <t>Diluted Weighted Average Shares used to Calculate EPS - (Company Level)</t>
  </si>
  <si>
    <t>Diluted Net Income Incl Extra Items Applicable to Common</t>
  </si>
  <si>
    <t>Diluted Net Income excluding Extra Items applicable to Common - (Company Level)</t>
  </si>
  <si>
    <t>Basic EPS - Net Income excl Extra Items applicable to Common - (Company Level)</t>
  </si>
  <si>
    <t>Diluted EPS - Net Income excl Extra Items applicable to Common - (Company Level)</t>
  </si>
  <si>
    <t>Basic EPS - Net Inc incl Extra Items appl to Common - (Company Level)</t>
  </si>
  <si>
    <t>Earnings per share before and after dilution attributable to parent company shareholders during the year</t>
  </si>
  <si>
    <t>Acquisition Cost of Group Companies</t>
  </si>
  <si>
    <t>Non-Recurring Income/Expense - Other</t>
  </si>
  <si>
    <t>Restructuring Charges &amp; Provisions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</si>
  <si>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</si>
  <si>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</si>
  <si>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</si>
  <si>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</si>
  <si>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 and goods for resale</t>
  </si>
  <si>
    <t>Raw materials and consumables</t>
  </si>
  <si>
    <t>Work in Progress</t>
  </si>
  <si>
    <t>Contract work in progress</t>
  </si>
  <si>
    <t>Advance payments to suppliers</t>
  </si>
  <si>
    <t>Inventories - Balancing value</t>
  </si>
  <si>
    <t>Accounts receivable</t>
  </si>
  <si>
    <t>Accounts Receivable, Gross</t>
  </si>
  <si>
    <t>Loss allowance</t>
  </si>
  <si>
    <t>Current tax assets</t>
  </si>
  <si>
    <t>Other current receivables</t>
  </si>
  <si>
    <t>Prepaid expenses and accrued income</t>
  </si>
  <si>
    <t>Prepayments</t>
  </si>
  <si>
    <t>Receivables from contracts with customers</t>
  </si>
  <si>
    <t>ST Accrued Income</t>
  </si>
  <si>
    <t>Current receivables</t>
  </si>
  <si>
    <t>Cash and cash equivalents</t>
  </si>
  <si>
    <t>Balancing Item - Current Assets</t>
  </si>
  <si>
    <t>Total Current Assets</t>
  </si>
  <si>
    <t>Intangible assets</t>
  </si>
  <si>
    <t>Goodwill - Net</t>
  </si>
  <si>
    <t>Goodwill - Gross</t>
  </si>
  <si>
    <t>Acc Amort/Imp Goodwill</t>
  </si>
  <si>
    <t>ACCUMULATED IMPAIRMENT</t>
  </si>
  <si>
    <t>Goodwill - Net - Balancing value</t>
  </si>
  <si>
    <t>Goodwill, Net - Balancing value</t>
  </si>
  <si>
    <t>Customer relationships - Gross</t>
  </si>
  <si>
    <t>Customer relationships - Accumulated Amortisation</t>
  </si>
  <si>
    <t>Customer relationships - Net - Balancing value</t>
  </si>
  <si>
    <t>Patents - Gross</t>
  </si>
  <si>
    <t>Patents - Accumulated Amortisation</t>
  </si>
  <si>
    <t>Other intangible assets - Gross</t>
  </si>
  <si>
    <t>Other intangible assets - Accumulated Amortisation</t>
  </si>
  <si>
    <t>Intangible assets - Balancing value</t>
  </si>
  <si>
    <t>Trademarks, Gross</t>
  </si>
  <si>
    <t>Trademarks, Amortization</t>
  </si>
  <si>
    <t>Tangible assets</t>
  </si>
  <si>
    <t>Buildings and land - Gross</t>
  </si>
  <si>
    <t>Buildings and land - Accumulated Depreciation</t>
  </si>
  <si>
    <t>Buildings and land - Net - Balancing value</t>
  </si>
  <si>
    <t>Plant and machinery - Net</t>
  </si>
  <si>
    <t>Plant and machinery - Gross</t>
  </si>
  <si>
    <t>Plant and machinery - Accumulated Depreciation</t>
  </si>
  <si>
    <t>Equipment, Net</t>
  </si>
  <si>
    <t>Equipment, Gross</t>
  </si>
  <si>
    <t>Acc Depr/Imp Equipment</t>
  </si>
  <si>
    <t>Tangible fixed asset - Balancing value</t>
  </si>
  <si>
    <t>Asset under Construction in Progress, Net</t>
  </si>
  <si>
    <t>Construction in Progress, Gross</t>
  </si>
  <si>
    <t>Depreciation, Construction in Progress</t>
  </si>
  <si>
    <t>Right-of-use assets - Gross</t>
  </si>
  <si>
    <t>Right-of-use assets - Accumulated Depreciation</t>
  </si>
  <si>
    <t>Right-of-use assets - Net - Balancing value</t>
  </si>
  <si>
    <t>Financial assets</t>
  </si>
  <si>
    <t>Holdings in associated companies</t>
  </si>
  <si>
    <t>Other non-current financial receivables</t>
  </si>
  <si>
    <t>Deferred tax assets</t>
  </si>
  <si>
    <t>Balancing Item - Noncurrent Assets</t>
  </si>
  <si>
    <t>Total fixed assets</t>
  </si>
  <si>
    <t>Balancing Item - Assets</t>
  </si>
  <si>
    <t>Total Assets</t>
  </si>
  <si>
    <t>ST Debt</t>
  </si>
  <si>
    <t>Current interest-bearing liabilities</t>
  </si>
  <si>
    <t>Liabilities to credit institutions &amp; Bonds</t>
  </si>
  <si>
    <t>Overdraft facilities, drawn amount</t>
  </si>
  <si>
    <t>Lease liability</t>
  </si>
  <si>
    <t>Accounts payable</t>
  </si>
  <si>
    <t>Advance payments from customers</t>
  </si>
  <si>
    <t>Liabilities to the Parent Company</t>
  </si>
  <si>
    <t>Current tax liabilities</t>
  </si>
  <si>
    <t>Other short-term provisions</t>
  </si>
  <si>
    <t>Other liabilities</t>
  </si>
  <si>
    <t>Accrued expenses and deferred income</t>
  </si>
  <si>
    <t>Accrued personnel costs</t>
  </si>
  <si>
    <t>ST Deferred Income</t>
  </si>
  <si>
    <t>Other customer contract liabilities</t>
  </si>
  <si>
    <t>Accrued expenses and deferred income - Balancing value</t>
  </si>
  <si>
    <t>Other current liabilities</t>
  </si>
  <si>
    <t>Derivative Liabilities - Hedging - Short-Term</t>
  </si>
  <si>
    <t>Other current liabilities - Balancing value</t>
  </si>
  <si>
    <t>Balancing Item - Current Liabilities</t>
  </si>
  <si>
    <t>Total Current Liabilities</t>
  </si>
  <si>
    <t>provisions</t>
  </si>
  <si>
    <t>LT Lease Liabilities</t>
  </si>
  <si>
    <t>Non-current interest-bearing liabilities -remaining</t>
  </si>
  <si>
    <t>Non-current interest-bearing liabilities</t>
  </si>
  <si>
    <t>Non-current interest-bearing liabilities incl pension provisions</t>
  </si>
  <si>
    <t>Other non-current liabilities</t>
  </si>
  <si>
    <t>Other non-current liabilities and provisions</t>
  </si>
  <si>
    <t>Interest-bearing pension provisions</t>
  </si>
  <si>
    <t>Deferred tax liability</t>
  </si>
  <si>
    <t>Other long-term provisions</t>
  </si>
  <si>
    <t>Restructuring Provisions - Non-current</t>
  </si>
  <si>
    <t>Other provisions - other</t>
  </si>
  <si>
    <t>Derivative Liabilities - Hedging - Long-Term</t>
  </si>
  <si>
    <t>Other non-current liabilities - Balancing value</t>
  </si>
  <si>
    <t>Balancing Item - Noncurrent Liabilities</t>
  </si>
  <si>
    <t>Total Non-current Liabilities</t>
  </si>
  <si>
    <t>Total Debt &amp; Liabilities (Current &amp; Non-current)</t>
  </si>
  <si>
    <t>Share capital</t>
  </si>
  <si>
    <t>Additional Paid in Capital - Common Stock</t>
  </si>
  <si>
    <t>Reserves</t>
  </si>
  <si>
    <t>Retained earnings including net profit for the year</t>
  </si>
  <si>
    <t>Balancing Item - Shareholders Equity</t>
  </si>
  <si>
    <t>Equity attributable to Parent Company shareholders</t>
  </si>
  <si>
    <t>Minority Interest</t>
  </si>
  <si>
    <t>Balancing Item - Total Equity</t>
  </si>
  <si>
    <t>Equity</t>
  </si>
  <si>
    <t>TOTAL EQUITY AND LIABILITIES</t>
  </si>
  <si>
    <t>Common Shares Outstanding - (Company Level)</t>
  </si>
  <si>
    <t>Common Shares Treasury - (Company Level)</t>
  </si>
  <si>
    <t>Common Shares Issued - (Company Level)</t>
  </si>
  <si>
    <t>Debt - Long-Term - Maturities - Total</t>
  </si>
  <si>
    <t>Total Indefinite-lived Intangible Assets (excl Goodwill) - Net - Supplemental</t>
  </si>
  <si>
    <t>Long Term Debt Maturing within 1 Year</t>
  </si>
  <si>
    <t>Debt - Long-Term - Maturities - Year 2</t>
  </si>
  <si>
    <t>Debt - Long-Term - Maturities - Year 5</t>
  </si>
  <si>
    <t>Long Term Debt Maturing in Year 1-3</t>
  </si>
  <si>
    <t>Long Term Debt - Remaining Maturities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</si>
  <si>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</si>
  <si>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</si>
  <si>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</si>
  <si>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</si>
  <si>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</si>
  <si>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Common Shares Outstanding - (Instrument Level)</t>
  </si>
  <si>
    <t>Common Shares Treasury - (Instrument Level)</t>
  </si>
  <si>
    <t>Common Shares Issued - (Instrument Level)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</si>
  <si>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</si>
  <si>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</si>
  <si>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</si>
  <si>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</si>
  <si>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</si>
  <si>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</si>
  <si>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</si>
  <si>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</si>
  <si>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</si>
  <si>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</si>
  <si>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Unrealised exchange rate differences</t>
  </si>
  <si>
    <t>Provisions - Cash Flow - to Reconcile</t>
  </si>
  <si>
    <t>Repayments of lease liabilities</t>
  </si>
  <si>
    <t>Other Non-Cash Items - Cash Flow - to Reconcile</t>
  </si>
  <si>
    <t>Cash flow before changes in working capital Changes in working capital</t>
  </si>
  <si>
    <t>Other non-cash items</t>
  </si>
  <si>
    <t>Reversal of depreciation and amortisation</t>
  </si>
  <si>
    <t>Revaluation of put/call options</t>
  </si>
  <si>
    <t>Equity in Net Earnings (Loss)</t>
  </si>
  <si>
    <t>Realized G/L on Fixed Assets (PPE &amp; Intangibles)</t>
  </si>
  <si>
    <t>Non-cash items - other</t>
  </si>
  <si>
    <t>Other financial items</t>
  </si>
  <si>
    <t>Interest received</t>
  </si>
  <si>
    <t>Interest paid</t>
  </si>
  <si>
    <t>Tax paid</t>
  </si>
  <si>
    <t>Total changes in working capital</t>
  </si>
  <si>
    <t>Increase/decrease in inventories</t>
  </si>
  <si>
    <t>Increase/decrease in operating receivable</t>
  </si>
  <si>
    <t>Increase/decrease in operating liabilities</t>
  </si>
  <si>
    <t>Balancing Item - Operating (Indirect)</t>
  </si>
  <si>
    <t>Cash flow from operating activities</t>
  </si>
  <si>
    <t>Acquisition of businesses</t>
  </si>
  <si>
    <t>Net investment in tangible assets</t>
  </si>
  <si>
    <t>Sale of tangible assets</t>
  </si>
  <si>
    <t>Net investment in intangible assets</t>
  </si>
  <si>
    <t>Purchase/Sale of Intangibles, Net</t>
  </si>
  <si>
    <t>Purchase of Investment Securities - Unclassified</t>
  </si>
  <si>
    <t>Sale/Maturity of Investment Securities - Unclassified</t>
  </si>
  <si>
    <t>Balancing Item - Investing</t>
  </si>
  <si>
    <t>Cash flow from investing activities</t>
  </si>
  <si>
    <t>Change in non-current receivables/liabilities</t>
  </si>
  <si>
    <t>Borrowings</t>
  </si>
  <si>
    <t>Repayments of borrowings</t>
  </si>
  <si>
    <t>Change interest-bearing liabilities</t>
  </si>
  <si>
    <t>Shareholder contributions</t>
  </si>
  <si>
    <t>Dividends Received</t>
  </si>
  <si>
    <t>Dividends paid</t>
  </si>
  <si>
    <t>Group contribution paid</t>
  </si>
  <si>
    <t>Dividends paid to non-controlling interests</t>
  </si>
  <si>
    <t>Balancing Item - Financing</t>
  </si>
  <si>
    <t>Cash flow from financing activities</t>
  </si>
  <si>
    <t>Cash and cash equivalents at beginning of period</t>
  </si>
  <si>
    <t>Cash and cash equivalents at end of period</t>
  </si>
  <si>
    <t>Cash flow for the period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</si>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</sst>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46094.4224154167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29922.41</v>
      </c>
      <c r="C20" s="15">
        <v>26581.26</v>
      </c>
      <c r="D20" s="15">
        <v>24338.49</v>
      </c>
      <c r="E20" s="15">
        <v>20477.52</v>
      </c>
      <c r="F20" s="15">
        <v>17518.58</v>
      </c>
      <c r="G20" s="15">
        <v>14105.63</v>
      </c>
      <c r="H20" s="15">
        <v>12883.93</v>
      </c>
      <c r="I20" s="15">
        <v>11196.42</v>
      </c>
      <c r="J20" s="16">
        <v>9712.51</v>
      </c>
      <c r="K20" s="16">
        <v>8824.84</v>
      </c>
      <c r="L20" s="16">
        <v>7554.19</v>
      </c>
      <c r="M20" s="16">
        <v>6248.19</v>
      </c>
      <c r="N20" s="16">
        <v>5441.86</v>
      </c>
      <c r="O20" s="16">
        <v>5314.39</v>
      </c>
      <c r="P20" s="16">
        <v>4928.99</v>
      </c>
      <c r="Q20" s="16">
        <v>3855.85</v>
      </c>
      <c r="R20" s="16">
        <v>3412.26</v>
      </c>
    </row>
    <row r="21" ht="15.0" customHeight="1">
      <c r="A21" s="17" t="s">
        <v>62</v>
      </c>
      <c r="B21" s="18">
        <v>29922.41</v>
      </c>
      <c r="C21" s="18">
        <v>26581.26</v>
      </c>
      <c r="D21" s="18">
        <v>24338.49</v>
      </c>
      <c r="E21" s="18">
        <v>20477.52</v>
      </c>
      <c r="F21" s="18">
        <v>17518.58</v>
      </c>
      <c r="G21" s="18">
        <v>14105.63</v>
      </c>
      <c r="H21" s="18">
        <v>12883.93</v>
      </c>
      <c r="I21" s="18">
        <v>11196.42</v>
      </c>
      <c r="J21" s="19">
        <v>9712.51</v>
      </c>
      <c r="K21" s="19">
        <v>8824.84</v>
      </c>
      <c r="L21" s="19">
        <v>7554.19</v>
      </c>
      <c r="M21" s="19">
        <v>6248.19</v>
      </c>
      <c r="N21" s="19">
        <v>5441.86</v>
      </c>
      <c r="O21" s="19">
        <v>5314.39</v>
      </c>
      <c r="P21" s="19">
        <v>4928.99</v>
      </c>
      <c r="Q21" s="19">
        <v>3855.85</v>
      </c>
      <c r="R21" s="19">
        <v>3412.26</v>
      </c>
    </row>
    <row r="22" ht="15.0" customHeight="1">
      <c r="A22" s="14" t="s">
        <v>63</v>
      </c>
      <c r="B22" s="15">
        <v>16848.1</v>
      </c>
      <c r="C22" s="15">
        <v>14795.28</v>
      </c>
      <c r="D22" s="15">
        <v>13572.59</v>
      </c>
      <c r="E22" s="15">
        <v>11918.61</v>
      </c>
      <c r="F22" s="15">
        <v>10172.4</v>
      </c>
      <c r="G22" s="16">
        <v>8155.1</v>
      </c>
      <c r="H22" s="16">
        <v>7475.38</v>
      </c>
      <c r="I22" s="16">
        <v>6403.57</v>
      </c>
      <c r="J22" s="16">
        <v>5583.48</v>
      </c>
      <c r="K22" s="16">
        <v>5307.47</v>
      </c>
      <c r="L22" s="16">
        <v>4651.45</v>
      </c>
      <c r="M22" s="16">
        <v>3903.05</v>
      </c>
      <c r="N22" s="16">
        <v>3526.61</v>
      </c>
      <c r="O22" s="16">
        <v>3480.29</v>
      </c>
      <c r="P22" s="16">
        <v>3284.11</v>
      </c>
      <c r="Q22" s="16">
        <v>2530.92</v>
      </c>
      <c r="R22" s="16">
        <v>2290.21</v>
      </c>
    </row>
    <row r="23" ht="15.0" customHeight="1">
      <c r="A23" s="14" t="s">
        <v>64</v>
      </c>
      <c r="B23" s="15"/>
      <c r="C23" s="16">
        <v>201.37</v>
      </c>
      <c r="D23" s="16">
        <v>187.11</v>
      </c>
      <c r="E23" s="16">
        <v>152.97</v>
      </c>
      <c r="F23" s="16">
        <v>153.34</v>
      </c>
      <c r="G23" s="16">
        <v>133.05</v>
      </c>
      <c r="H23" s="20">
        <v>95.85</v>
      </c>
      <c r="I23" s="20">
        <v>66.49</v>
      </c>
      <c r="J23" s="20">
        <v>59.07</v>
      </c>
      <c r="K23" s="20">
        <v>44.19</v>
      </c>
      <c r="L23" s="20">
        <v>43.02</v>
      </c>
      <c r="M23" s="20">
        <v>30.31</v>
      </c>
      <c r="N23" s="20">
        <v>27.02</v>
      </c>
      <c r="O23" s="20">
        <v>23.61</v>
      </c>
      <c r="P23" s="15"/>
      <c r="Q23" s="15"/>
      <c r="R23" s="15"/>
    </row>
    <row r="24" ht="15.0" customHeight="1">
      <c r="A24" s="14" t="s">
        <v>65</v>
      </c>
      <c r="B24" s="15"/>
      <c r="C24" s="15">
        <v>14593.91</v>
      </c>
      <c r="D24" s="15">
        <v>13385.47</v>
      </c>
      <c r="E24" s="15">
        <v>11765.64</v>
      </c>
      <c r="F24" s="15">
        <v>10019.06</v>
      </c>
      <c r="G24" s="16">
        <v>8022.05</v>
      </c>
      <c r="H24" s="16">
        <v>7379.53</v>
      </c>
      <c r="I24" s="16">
        <v>6337.08</v>
      </c>
      <c r="J24" s="16">
        <v>5524.41</v>
      </c>
      <c r="K24" s="16">
        <v>5263.28</v>
      </c>
      <c r="L24" s="16">
        <v>4608.43</v>
      </c>
      <c r="M24" s="16">
        <v>3872.74</v>
      </c>
      <c r="N24" s="16">
        <v>3499.58</v>
      </c>
      <c r="O24" s="16">
        <v>3456.68</v>
      </c>
      <c r="P24" s="15"/>
      <c r="Q24" s="15"/>
      <c r="R24" s="15"/>
    </row>
    <row r="25" ht="15.0" customHeight="1">
      <c r="A25" s="17" t="s">
        <v>66</v>
      </c>
      <c r="B25" s="18">
        <v>16848.1</v>
      </c>
      <c r="C25" s="18">
        <v>14795.28</v>
      </c>
      <c r="D25" s="18">
        <v>13572.59</v>
      </c>
      <c r="E25" s="18">
        <v>11918.61</v>
      </c>
      <c r="F25" s="18">
        <v>10172.4</v>
      </c>
      <c r="G25" s="19">
        <v>8155.1</v>
      </c>
      <c r="H25" s="19">
        <v>7475.38</v>
      </c>
      <c r="I25" s="19">
        <v>6403.57</v>
      </c>
      <c r="J25" s="19">
        <v>5583.48</v>
      </c>
      <c r="K25" s="19">
        <v>5307.47</v>
      </c>
      <c r="L25" s="19">
        <v>4651.45</v>
      </c>
      <c r="M25" s="19">
        <v>3903.05</v>
      </c>
      <c r="N25" s="19">
        <v>3526.61</v>
      </c>
      <c r="O25" s="19">
        <v>3480.29</v>
      </c>
      <c r="P25" s="19">
        <v>3284.11</v>
      </c>
      <c r="Q25" s="19">
        <v>2530.92</v>
      </c>
      <c r="R25" s="19">
        <v>2290.21</v>
      </c>
    </row>
    <row r="26" ht="15.0" customHeight="1">
      <c r="A26" s="17" t="s">
        <v>67</v>
      </c>
      <c r="B26" s="18">
        <v>13074.3</v>
      </c>
      <c r="C26" s="18">
        <v>11785.98</v>
      </c>
      <c r="D26" s="18">
        <v>10765.91</v>
      </c>
      <c r="E26" s="19">
        <v>8558.9</v>
      </c>
      <c r="F26" s="19">
        <v>7346.18</v>
      </c>
      <c r="G26" s="19">
        <v>5950.52</v>
      </c>
      <c r="H26" s="19">
        <v>5408.55</v>
      </c>
      <c r="I26" s="19">
        <v>4792.84</v>
      </c>
      <c r="J26" s="19">
        <v>4129.03</v>
      </c>
      <c r="K26" s="19">
        <v>3517.37</v>
      </c>
      <c r="L26" s="19">
        <v>2902.74</v>
      </c>
      <c r="M26" s="19">
        <v>2345.14</v>
      </c>
      <c r="N26" s="19">
        <v>1915.26</v>
      </c>
      <c r="O26" s="19">
        <v>1834.1</v>
      </c>
      <c r="P26" s="19">
        <v>1644.88</v>
      </c>
      <c r="Q26" s="19">
        <v>1324.92</v>
      </c>
      <c r="R26" s="19">
        <v>1122.04</v>
      </c>
    </row>
    <row r="27" ht="15.0" customHeight="1">
      <c r="A27" s="14" t="s">
        <v>68</v>
      </c>
      <c r="B27" s="16">
        <v>3542.9</v>
      </c>
      <c r="C27" s="16">
        <v>3065.23</v>
      </c>
      <c r="D27" s="16">
        <v>2632.51</v>
      </c>
      <c r="E27" s="16">
        <v>2143.53</v>
      </c>
      <c r="F27" s="16">
        <v>1791.95</v>
      </c>
      <c r="G27" s="16">
        <v>1526.01</v>
      </c>
      <c r="H27" s="16">
        <v>1488.93</v>
      </c>
      <c r="I27" s="16">
        <v>1231.46</v>
      </c>
      <c r="J27" s="16">
        <v>1060.34</v>
      </c>
      <c r="K27" s="16">
        <v>816.01</v>
      </c>
      <c r="L27" s="16">
        <v>597.57</v>
      </c>
      <c r="M27" s="16">
        <v>428.98</v>
      </c>
      <c r="N27" s="16">
        <v>399.37</v>
      </c>
      <c r="O27" s="16">
        <v>399.68</v>
      </c>
      <c r="P27" s="16">
        <v>491.42</v>
      </c>
      <c r="Q27" s="16">
        <v>422.69</v>
      </c>
      <c r="R27" s="16">
        <v>402.82</v>
      </c>
    </row>
    <row r="28" ht="15.0" customHeight="1">
      <c r="A28" s="14" t="s">
        <v>69</v>
      </c>
      <c r="B28" s="15"/>
      <c r="C28" s="16">
        <v>1050.56</v>
      </c>
      <c r="D28" s="16">
        <v>884.8</v>
      </c>
      <c r="E28" s="16">
        <v>632.8</v>
      </c>
      <c r="F28" s="16">
        <v>525.16</v>
      </c>
      <c r="G28" s="16">
        <v>428.84</v>
      </c>
      <c r="H28" s="16">
        <v>312.68</v>
      </c>
      <c r="I28" s="16">
        <v>242.55</v>
      </c>
      <c r="J28" s="16">
        <v>192.7</v>
      </c>
      <c r="K28" s="16">
        <v>124.71</v>
      </c>
      <c r="L28" s="20">
        <v>63.1</v>
      </c>
      <c r="M28" s="20">
        <v>33.07</v>
      </c>
      <c r="N28" s="20">
        <v>5.68</v>
      </c>
      <c r="O28" s="20">
        <v>8.08</v>
      </c>
      <c r="P28" s="15"/>
      <c r="Q28" s="15"/>
      <c r="R28" s="15"/>
    </row>
    <row r="29" ht="15.0" customHeight="1">
      <c r="A29" s="14" t="s">
        <v>70</v>
      </c>
      <c r="B29" s="15"/>
      <c r="C29" s="16">
        <v>2014.67</v>
      </c>
      <c r="D29" s="16">
        <v>1747.71</v>
      </c>
      <c r="E29" s="16">
        <v>1510.73</v>
      </c>
      <c r="F29" s="16">
        <v>1266.79</v>
      </c>
      <c r="G29" s="16">
        <v>1097.17</v>
      </c>
      <c r="H29" s="16">
        <v>1176.26</v>
      </c>
      <c r="I29" s="16">
        <v>988.91</v>
      </c>
      <c r="J29" s="16">
        <v>867.64</v>
      </c>
      <c r="K29" s="16">
        <v>691.3</v>
      </c>
      <c r="L29" s="16">
        <v>534.46</v>
      </c>
      <c r="M29" s="16">
        <v>395.91</v>
      </c>
      <c r="N29" s="16">
        <v>393.68</v>
      </c>
      <c r="O29" s="16">
        <v>391.59</v>
      </c>
      <c r="P29" s="15"/>
      <c r="Q29" s="15"/>
      <c r="R29" s="15"/>
    </row>
    <row r="30" ht="15.0" customHeight="1">
      <c r="A30" s="14" t="s">
        <v>71</v>
      </c>
      <c r="B30" s="16">
        <v>3890.3</v>
      </c>
      <c r="C30" s="16">
        <v>3526.95</v>
      </c>
      <c r="D30" s="16">
        <v>3236.64</v>
      </c>
      <c r="E30" s="16">
        <v>2518.83</v>
      </c>
      <c r="F30" s="16">
        <v>2253.96</v>
      </c>
      <c r="G30" s="16">
        <v>1966.11</v>
      </c>
      <c r="H30" s="16">
        <v>1794.17</v>
      </c>
      <c r="I30" s="16">
        <v>1624.77</v>
      </c>
      <c r="J30" s="16">
        <v>1476.73</v>
      </c>
      <c r="K30" s="16">
        <v>1386.52</v>
      </c>
      <c r="L30" s="16">
        <v>1152.11</v>
      </c>
      <c r="M30" s="16">
        <v>1007.68</v>
      </c>
      <c r="N30" s="16">
        <v>883.55</v>
      </c>
      <c r="O30" s="16">
        <v>772.97</v>
      </c>
      <c r="P30" s="16">
        <v>695.82</v>
      </c>
      <c r="Q30" s="16">
        <v>508.37</v>
      </c>
      <c r="R30" s="16">
        <v>509.04</v>
      </c>
    </row>
    <row r="31" ht="15.0" customHeight="1">
      <c r="A31" s="14" t="s">
        <v>72</v>
      </c>
      <c r="B31" s="20">
        <v>47.66</v>
      </c>
      <c r="C31" s="20">
        <v>38.65</v>
      </c>
      <c r="D31" s="20">
        <v>51.75</v>
      </c>
      <c r="E31" s="20">
        <v>34.21</v>
      </c>
      <c r="F31" s="20">
        <v>42.09</v>
      </c>
      <c r="G31" s="20">
        <v>21.49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ht="15.0" customHeight="1">
      <c r="A32" s="14" t="s">
        <v>73</v>
      </c>
      <c r="B32" s="15"/>
      <c r="C32" s="16">
        <v>453.58</v>
      </c>
      <c r="D32" s="16">
        <v>401.1</v>
      </c>
      <c r="E32" s="16">
        <v>305.0</v>
      </c>
      <c r="F32" s="16">
        <v>261.58</v>
      </c>
      <c r="G32" s="16">
        <v>227.21</v>
      </c>
      <c r="H32" s="16">
        <v>196.35</v>
      </c>
      <c r="I32" s="20">
        <v>54.32</v>
      </c>
      <c r="J32" s="20">
        <v>54.23</v>
      </c>
      <c r="K32" s="20">
        <v>47.13</v>
      </c>
      <c r="L32" s="20">
        <v>42.07</v>
      </c>
      <c r="M32" s="20">
        <v>38.58</v>
      </c>
      <c r="N32" s="20">
        <v>32.04</v>
      </c>
      <c r="O32" s="20">
        <v>29.67</v>
      </c>
      <c r="P32" s="15"/>
      <c r="Q32" s="15"/>
      <c r="R32" s="15"/>
    </row>
    <row r="33" ht="15.0" customHeight="1">
      <c r="A33" s="14" t="s">
        <v>74</v>
      </c>
      <c r="B33" s="16">
        <v>3842.64</v>
      </c>
      <c r="C33" s="16">
        <v>3034.72</v>
      </c>
      <c r="D33" s="16">
        <v>2783.79</v>
      </c>
      <c r="E33" s="16">
        <v>2179.63</v>
      </c>
      <c r="F33" s="16">
        <v>1950.3</v>
      </c>
      <c r="G33" s="16">
        <v>1717.4</v>
      </c>
      <c r="H33" s="16">
        <v>1597.81</v>
      </c>
      <c r="I33" s="16">
        <v>1570.46</v>
      </c>
      <c r="J33" s="16">
        <v>1422.5</v>
      </c>
      <c r="K33" s="16">
        <v>1339.39</v>
      </c>
      <c r="L33" s="16">
        <v>1110.04</v>
      </c>
      <c r="M33" s="16">
        <v>969.1</v>
      </c>
      <c r="N33" s="16">
        <v>851.51</v>
      </c>
      <c r="O33" s="16">
        <v>743.3</v>
      </c>
      <c r="P33" s="15"/>
      <c r="Q33" s="15"/>
      <c r="R33" s="15"/>
    </row>
    <row r="34" ht="15.0" customHeight="1">
      <c r="A34" s="14" t="s">
        <v>75</v>
      </c>
      <c r="B34" s="16">
        <v>267.97</v>
      </c>
      <c r="C34" s="16">
        <v>258.32</v>
      </c>
      <c r="D34" s="16">
        <v>195.07</v>
      </c>
      <c r="E34" s="16">
        <v>154.87</v>
      </c>
      <c r="F34" s="16">
        <v>140.31</v>
      </c>
      <c r="G34" s="16">
        <v>123.84</v>
      </c>
      <c r="H34" s="16">
        <v>159.13</v>
      </c>
      <c r="I34" s="16">
        <v>134.85</v>
      </c>
      <c r="J34" s="16">
        <v>101.68</v>
      </c>
      <c r="K34" s="20">
        <v>86.41</v>
      </c>
      <c r="L34" s="20">
        <v>69.8</v>
      </c>
      <c r="M34" s="20">
        <v>50.52</v>
      </c>
      <c r="N34" s="20">
        <v>47.49</v>
      </c>
      <c r="O34" s="20">
        <v>44.8</v>
      </c>
      <c r="P34" s="20">
        <v>40.63</v>
      </c>
      <c r="Q34" s="20">
        <v>39.84</v>
      </c>
      <c r="R34" s="20">
        <v>37.73</v>
      </c>
    </row>
    <row r="35" ht="15.0" customHeight="1">
      <c r="A35" s="14" t="s">
        <v>76</v>
      </c>
      <c r="B35" s="15"/>
      <c r="C35" s="20">
        <v>7.12</v>
      </c>
      <c r="D35" s="20">
        <v>2.99</v>
      </c>
      <c r="E35" s="20">
        <v>2.85</v>
      </c>
      <c r="F35" s="20">
        <v>1.0</v>
      </c>
      <c r="G35" s="20">
        <v>1.02</v>
      </c>
      <c r="H35" s="20">
        <v>4.65</v>
      </c>
      <c r="I35" s="20">
        <v>3.75</v>
      </c>
      <c r="J35" s="20">
        <v>2.91</v>
      </c>
      <c r="K35" s="20">
        <v>4.91</v>
      </c>
      <c r="L35" s="20">
        <v>1.91</v>
      </c>
      <c r="M35" s="20">
        <v>1.84</v>
      </c>
      <c r="N35" s="20">
        <v>2.33</v>
      </c>
      <c r="O35" s="20">
        <v>1.92</v>
      </c>
      <c r="P35" s="15"/>
      <c r="Q35" s="15"/>
      <c r="R35" s="15"/>
    </row>
    <row r="36" ht="15.0" customHeight="1">
      <c r="A36" s="14" t="s">
        <v>77</v>
      </c>
      <c r="B36" s="15"/>
      <c r="C36" s="16">
        <v>251.2</v>
      </c>
      <c r="D36" s="16">
        <v>192.09</v>
      </c>
      <c r="E36" s="16">
        <v>152.02</v>
      </c>
      <c r="F36" s="16">
        <v>139.31</v>
      </c>
      <c r="G36" s="16">
        <v>122.82</v>
      </c>
      <c r="H36" s="16">
        <v>154.48</v>
      </c>
      <c r="I36" s="16">
        <v>131.11</v>
      </c>
      <c r="J36" s="20">
        <v>98.77</v>
      </c>
      <c r="K36" s="20">
        <v>81.5</v>
      </c>
      <c r="L36" s="20">
        <v>67.88</v>
      </c>
      <c r="M36" s="20">
        <v>48.68</v>
      </c>
      <c r="N36" s="20">
        <v>45.16</v>
      </c>
      <c r="O36" s="20">
        <v>42.88</v>
      </c>
      <c r="P36" s="15"/>
      <c r="Q36" s="15"/>
      <c r="R36" s="15"/>
    </row>
    <row r="37" ht="15.0" customHeight="1">
      <c r="A37" s="14" t="s">
        <v>78</v>
      </c>
      <c r="B37" s="15"/>
      <c r="C37" s="21">
        <v>-167.8</v>
      </c>
      <c r="D37" s="21">
        <v>-175.17</v>
      </c>
      <c r="E37" s="21">
        <v>-108.32</v>
      </c>
      <c r="F37" s="22">
        <v>-78.17</v>
      </c>
      <c r="G37" s="22">
        <v>-52.2</v>
      </c>
      <c r="H37" s="22">
        <v>-43.74</v>
      </c>
      <c r="I37" s="22">
        <v>-27.16</v>
      </c>
      <c r="J37" s="22">
        <v>-17.43</v>
      </c>
      <c r="K37" s="22">
        <v>-47.13</v>
      </c>
      <c r="L37" s="22">
        <v>-21.99</v>
      </c>
      <c r="M37" s="22">
        <v>-17.45</v>
      </c>
      <c r="N37" s="22">
        <v>-17.83</v>
      </c>
      <c r="O37" s="22">
        <v>-15.04</v>
      </c>
      <c r="P37" s="22">
        <v>-22.11</v>
      </c>
      <c r="Q37" s="22">
        <v>-12.44</v>
      </c>
      <c r="R37" s="22">
        <v>-17.42</v>
      </c>
    </row>
    <row r="38" ht="15.0" customHeight="1">
      <c r="A38" s="14" t="s">
        <v>79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2">
        <v>-3.54</v>
      </c>
      <c r="O38" s="15">
        <v>0.0</v>
      </c>
      <c r="P38" s="15"/>
      <c r="Q38" s="15"/>
      <c r="R38" s="15"/>
    </row>
    <row r="39" ht="15.0" customHeight="1">
      <c r="A39" s="14" t="s">
        <v>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2">
        <v>-14.29</v>
      </c>
      <c r="O39" s="22">
        <v>-15.04</v>
      </c>
      <c r="P39" s="15"/>
      <c r="Q39" s="15"/>
      <c r="R39" s="15"/>
    </row>
    <row r="40" ht="15.0" customHeight="1">
      <c r="A40" s="14" t="s">
        <v>81</v>
      </c>
      <c r="B40" s="15"/>
      <c r="C40" s="16">
        <v>123.06</v>
      </c>
      <c r="D40" s="16">
        <v>146.31</v>
      </c>
      <c r="E40" s="20">
        <v>94.06</v>
      </c>
      <c r="F40" s="20">
        <v>90.2</v>
      </c>
      <c r="G40" s="20">
        <v>64.48</v>
      </c>
      <c r="H40" s="20">
        <v>93.99</v>
      </c>
      <c r="I40" s="20">
        <v>47.76</v>
      </c>
      <c r="J40" s="20">
        <v>36.8</v>
      </c>
      <c r="K40" s="20">
        <v>46.15</v>
      </c>
      <c r="L40" s="20">
        <v>46.85</v>
      </c>
      <c r="M40" s="20">
        <v>33.99</v>
      </c>
      <c r="N40" s="20">
        <v>37.05</v>
      </c>
      <c r="O40" s="20">
        <v>19.28</v>
      </c>
      <c r="P40" s="20">
        <v>16.25</v>
      </c>
      <c r="Q40" s="20">
        <v>10.24</v>
      </c>
      <c r="R40" s="20">
        <v>4.55</v>
      </c>
    </row>
    <row r="41" ht="15.0" customHeight="1">
      <c r="A41" s="14" t="s">
        <v>82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0">
        <v>30.12</v>
      </c>
      <c r="O41" s="20">
        <v>17.16</v>
      </c>
      <c r="P41" s="15"/>
      <c r="Q41" s="15"/>
      <c r="R41" s="15"/>
    </row>
    <row r="42" ht="15.0" customHeight="1">
      <c r="A42" s="14" t="s">
        <v>83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0">
        <v>6.93</v>
      </c>
      <c r="O42" s="20">
        <v>2.12</v>
      </c>
      <c r="P42" s="15"/>
      <c r="Q42" s="15"/>
      <c r="R42" s="15"/>
    </row>
    <row r="43" ht="15.0" customHeight="1">
      <c r="A43" s="14" t="s">
        <v>84</v>
      </c>
      <c r="B43" s="21">
        <v>-102.74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4" t="s">
        <v>85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0.0</v>
      </c>
      <c r="M44" s="16">
        <v>101.04</v>
      </c>
      <c r="N44" s="15"/>
      <c r="O44" s="15"/>
      <c r="P44" s="15"/>
      <c r="Q44" s="15"/>
      <c r="R44" s="15"/>
    </row>
    <row r="45" ht="15.0" customHeight="1">
      <c r="A45" s="17" t="s">
        <v>86</v>
      </c>
      <c r="B45" s="19">
        <v>7598.43</v>
      </c>
      <c r="C45" s="19">
        <v>6805.75</v>
      </c>
      <c r="D45" s="19">
        <v>6035.36</v>
      </c>
      <c r="E45" s="19">
        <v>4802.98</v>
      </c>
      <c r="F45" s="19">
        <v>4198.25</v>
      </c>
      <c r="G45" s="19">
        <v>3628.24</v>
      </c>
      <c r="H45" s="19">
        <v>3492.48</v>
      </c>
      <c r="I45" s="19">
        <v>3011.68</v>
      </c>
      <c r="J45" s="19">
        <v>2658.11</v>
      </c>
      <c r="K45" s="19">
        <v>2287.96</v>
      </c>
      <c r="L45" s="19">
        <v>1844.33</v>
      </c>
      <c r="M45" s="19">
        <v>1604.76</v>
      </c>
      <c r="N45" s="19">
        <v>1349.63</v>
      </c>
      <c r="O45" s="19">
        <v>1221.69</v>
      </c>
      <c r="P45" s="19">
        <v>1222.01</v>
      </c>
      <c r="Q45" s="19">
        <v>968.7</v>
      </c>
      <c r="R45" s="19">
        <v>936.73</v>
      </c>
    </row>
    <row r="46" ht="15.0" customHeight="1">
      <c r="A46" s="14" t="s">
        <v>87</v>
      </c>
      <c r="B46" s="15"/>
      <c r="C46" s="22">
        <v>-1.02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ht="15.0" customHeight="1">
      <c r="A47" s="17" t="s">
        <v>88</v>
      </c>
      <c r="B47" s="19">
        <v>5475.87</v>
      </c>
      <c r="C47" s="19">
        <v>4979.22</v>
      </c>
      <c r="D47" s="19">
        <v>4730.55</v>
      </c>
      <c r="E47" s="19">
        <v>3755.92</v>
      </c>
      <c r="F47" s="19">
        <v>3147.93</v>
      </c>
      <c r="G47" s="19">
        <v>2322.28</v>
      </c>
      <c r="H47" s="19">
        <v>1916.07</v>
      </c>
      <c r="I47" s="19">
        <v>1781.16</v>
      </c>
      <c r="J47" s="19">
        <v>1470.92</v>
      </c>
      <c r="K47" s="19">
        <v>1229.41</v>
      </c>
      <c r="L47" s="19">
        <v>1058.41</v>
      </c>
      <c r="M47" s="19">
        <v>740.38</v>
      </c>
      <c r="N47" s="19">
        <v>565.63</v>
      </c>
      <c r="O47" s="19">
        <v>612.41</v>
      </c>
      <c r="P47" s="19">
        <v>422.87</v>
      </c>
      <c r="Q47" s="19">
        <v>356.22</v>
      </c>
      <c r="R47" s="19">
        <v>185.32</v>
      </c>
    </row>
    <row r="48" ht="15.0" customHeight="1">
      <c r="A48" s="14" t="s">
        <v>89</v>
      </c>
      <c r="B48" s="21">
        <v>-438.49</v>
      </c>
      <c r="C48" s="15"/>
      <c r="D48" s="15"/>
      <c r="E48" s="15"/>
      <c r="F48" s="15"/>
      <c r="G48" s="15"/>
      <c r="H48" s="15"/>
      <c r="I48" s="15"/>
      <c r="J48" s="15"/>
      <c r="K48" s="22">
        <v>-32.4</v>
      </c>
      <c r="L48" s="22">
        <v>-23.9</v>
      </c>
      <c r="M48" s="22">
        <v>-39.5</v>
      </c>
      <c r="N48" s="22">
        <v>-46.68</v>
      </c>
      <c r="O48" s="22">
        <v>-36.89</v>
      </c>
      <c r="P48" s="15"/>
      <c r="Q48" s="15"/>
      <c r="R48" s="15"/>
    </row>
    <row r="49" ht="15.0" customHeight="1">
      <c r="A49" s="14" t="s">
        <v>90</v>
      </c>
      <c r="B49" s="15"/>
      <c r="C49" s="20">
        <v>88.48</v>
      </c>
      <c r="D49" s="20">
        <v>55.74</v>
      </c>
      <c r="E49" s="20">
        <v>20.9</v>
      </c>
      <c r="F49" s="20">
        <v>3.01</v>
      </c>
      <c r="G49" s="20">
        <v>4.09</v>
      </c>
      <c r="H49" s="20">
        <v>3.72</v>
      </c>
      <c r="I49" s="20">
        <v>1.87</v>
      </c>
      <c r="J49" s="20">
        <v>1.94</v>
      </c>
      <c r="K49" s="20">
        <v>11.78</v>
      </c>
      <c r="L49" s="20">
        <v>8.6</v>
      </c>
      <c r="M49" s="20">
        <v>10.1</v>
      </c>
      <c r="N49" s="20">
        <v>6.27</v>
      </c>
      <c r="O49" s="20">
        <v>14.6</v>
      </c>
      <c r="P49" s="20">
        <v>54.74</v>
      </c>
      <c r="Q49" s="20">
        <v>45.46</v>
      </c>
      <c r="R49" s="20">
        <v>28.52</v>
      </c>
    </row>
    <row r="50" ht="15.0" customHeight="1">
      <c r="A50" s="14" t="s">
        <v>91</v>
      </c>
      <c r="B50" s="15"/>
      <c r="C50" s="20">
        <v>58.99</v>
      </c>
      <c r="D50" s="20">
        <v>44.79</v>
      </c>
      <c r="E50" s="20">
        <v>10.45</v>
      </c>
      <c r="F50" s="20">
        <v>1.0</v>
      </c>
      <c r="G50" s="20">
        <v>1.02</v>
      </c>
      <c r="H50" s="20">
        <v>3.72</v>
      </c>
      <c r="I50" s="20">
        <v>1.87</v>
      </c>
      <c r="J50" s="20">
        <v>0.97</v>
      </c>
      <c r="K50" s="20">
        <v>1.96</v>
      </c>
      <c r="L50" s="20">
        <v>3.82</v>
      </c>
      <c r="M50" s="20">
        <v>1.84</v>
      </c>
      <c r="N50" s="20">
        <v>1.64</v>
      </c>
      <c r="O50" s="20">
        <v>3.57</v>
      </c>
      <c r="P50" s="20">
        <v>38.17</v>
      </c>
      <c r="Q50" s="20">
        <v>24.61</v>
      </c>
      <c r="R50" s="20">
        <v>20.23</v>
      </c>
    </row>
    <row r="51" ht="15.0" customHeight="1">
      <c r="A51" s="14" t="s">
        <v>92</v>
      </c>
      <c r="B51" s="15"/>
      <c r="C51" s="20">
        <v>29.49</v>
      </c>
      <c r="D51" s="20">
        <v>9.95</v>
      </c>
      <c r="E51" s="20">
        <v>7.6</v>
      </c>
      <c r="F51" s="15">
        <v>0.0</v>
      </c>
      <c r="G51" s="20">
        <v>3.07</v>
      </c>
      <c r="H51" s="15"/>
      <c r="I51" s="22">
        <v>-0.94</v>
      </c>
      <c r="J51" s="15">
        <v>0.0</v>
      </c>
      <c r="K51" s="20">
        <v>3.93</v>
      </c>
      <c r="L51" s="20">
        <v>3.82</v>
      </c>
      <c r="M51" s="20">
        <v>7.35</v>
      </c>
      <c r="N51" s="20">
        <v>4.18</v>
      </c>
      <c r="O51" s="20">
        <v>10.0</v>
      </c>
      <c r="P51" s="15"/>
      <c r="Q51" s="15"/>
      <c r="R51" s="15"/>
    </row>
    <row r="52" ht="15.0" customHeight="1">
      <c r="A52" s="14" t="s">
        <v>93</v>
      </c>
      <c r="B52" s="15"/>
      <c r="C52" s="15">
        <v>0.0</v>
      </c>
      <c r="D52" s="20">
        <v>1.0</v>
      </c>
      <c r="E52" s="20">
        <v>2.85</v>
      </c>
      <c r="F52" s="20">
        <v>2.0</v>
      </c>
      <c r="G52" s="15">
        <v>0.0</v>
      </c>
      <c r="H52" s="15">
        <v>0.0</v>
      </c>
      <c r="I52" s="15">
        <v>0.0</v>
      </c>
      <c r="J52" s="20">
        <v>0.97</v>
      </c>
      <c r="K52" s="20">
        <v>5.89</v>
      </c>
      <c r="L52" s="20">
        <v>0.96</v>
      </c>
      <c r="M52" s="20">
        <v>0.92</v>
      </c>
      <c r="N52" s="20">
        <v>0.44</v>
      </c>
      <c r="O52" s="20">
        <v>1.03</v>
      </c>
      <c r="P52" s="20">
        <v>16.57</v>
      </c>
      <c r="Q52" s="20">
        <v>20.85</v>
      </c>
      <c r="R52" s="20">
        <v>8.29</v>
      </c>
    </row>
    <row r="53" ht="15.0" customHeight="1">
      <c r="A53" s="14" t="s">
        <v>94</v>
      </c>
      <c r="B53" s="15"/>
      <c r="C53" s="15"/>
      <c r="D53" s="15"/>
      <c r="E53" s="15"/>
      <c r="F53" s="15"/>
      <c r="G53" s="15"/>
      <c r="H53" s="15"/>
      <c r="I53" s="20">
        <v>0.94</v>
      </c>
      <c r="J53" s="15"/>
      <c r="K53" s="15"/>
      <c r="L53" s="15"/>
      <c r="M53" s="15"/>
      <c r="N53" s="15"/>
      <c r="O53" s="15"/>
      <c r="P53" s="15"/>
      <c r="Q53" s="15"/>
      <c r="R53" s="15"/>
    </row>
    <row r="54" ht="15.0" customHeight="1">
      <c r="A54" s="14" t="s">
        <v>95</v>
      </c>
      <c r="B54" s="15"/>
      <c r="C54" s="21">
        <v>-539.01</v>
      </c>
      <c r="D54" s="21">
        <v>-433.94</v>
      </c>
      <c r="E54" s="21">
        <v>-126.37</v>
      </c>
      <c r="F54" s="22">
        <v>-74.16</v>
      </c>
      <c r="G54" s="22">
        <v>-67.55</v>
      </c>
      <c r="H54" s="22">
        <v>-62.35</v>
      </c>
      <c r="I54" s="22">
        <v>-43.08</v>
      </c>
      <c r="J54" s="22">
        <v>-46.48</v>
      </c>
      <c r="K54" s="22">
        <v>-44.19</v>
      </c>
      <c r="L54" s="22">
        <v>-32.51</v>
      </c>
      <c r="M54" s="22">
        <v>-49.6</v>
      </c>
      <c r="N54" s="22">
        <v>-52.95</v>
      </c>
      <c r="O54" s="22">
        <v>-51.49</v>
      </c>
      <c r="P54" s="22">
        <v>-87.59</v>
      </c>
      <c r="Q54" s="22">
        <v>-57.91</v>
      </c>
      <c r="R54" s="22">
        <v>-55.79</v>
      </c>
    </row>
    <row r="55" ht="15.0" customHeight="1">
      <c r="A55" s="14" t="s">
        <v>96</v>
      </c>
      <c r="B55" s="15"/>
      <c r="C55" s="21">
        <v>-524.77</v>
      </c>
      <c r="D55" s="21">
        <v>-423.99</v>
      </c>
      <c r="E55" s="21">
        <v>-121.62</v>
      </c>
      <c r="F55" s="22">
        <v>-63.14</v>
      </c>
      <c r="G55" s="22">
        <v>-63.46</v>
      </c>
      <c r="H55" s="22">
        <v>-52.11</v>
      </c>
      <c r="I55" s="22">
        <v>-39.33</v>
      </c>
      <c r="J55" s="22">
        <v>-41.64</v>
      </c>
      <c r="K55" s="22">
        <v>-40.26</v>
      </c>
      <c r="L55" s="22">
        <v>-28.68</v>
      </c>
      <c r="M55" s="22">
        <v>-35.82</v>
      </c>
      <c r="N55" s="22">
        <v>-27.63</v>
      </c>
      <c r="O55" s="22">
        <v>-38.94</v>
      </c>
      <c r="P55" s="22">
        <v>-79.9</v>
      </c>
      <c r="Q55" s="22">
        <v>-37.51</v>
      </c>
      <c r="R55" s="22">
        <v>-36.38</v>
      </c>
    </row>
    <row r="56" ht="15.0" customHeight="1">
      <c r="A56" s="14" t="s">
        <v>97</v>
      </c>
      <c r="B56" s="15"/>
      <c r="C56" s="22">
        <v>-34.58</v>
      </c>
      <c r="D56" s="22">
        <v>-23.89</v>
      </c>
      <c r="E56" s="22">
        <v>-20.9</v>
      </c>
      <c r="F56" s="22">
        <v>-19.04</v>
      </c>
      <c r="G56" s="22">
        <v>-15.35</v>
      </c>
      <c r="H56" s="22">
        <v>-11.17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ht="15.0" customHeight="1">
      <c r="A57" s="14" t="s">
        <v>98</v>
      </c>
      <c r="B57" s="15"/>
      <c r="C57" s="21">
        <v>-490.19</v>
      </c>
      <c r="D57" s="21">
        <v>-400.1</v>
      </c>
      <c r="E57" s="21">
        <v>-100.72</v>
      </c>
      <c r="F57" s="22">
        <v>-44.1</v>
      </c>
      <c r="G57" s="22">
        <v>-48.1</v>
      </c>
      <c r="H57" s="22">
        <v>-40.95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ht="15.0" customHeight="1">
      <c r="A58" s="14" t="s">
        <v>99</v>
      </c>
      <c r="B58" s="15"/>
      <c r="C58" s="22">
        <v>-9.15</v>
      </c>
      <c r="D58" s="15"/>
      <c r="E58" s="15">
        <v>0.0</v>
      </c>
      <c r="F58" s="22">
        <v>-6.01</v>
      </c>
      <c r="G58" s="15">
        <v>0.0</v>
      </c>
      <c r="H58" s="22">
        <v>-5.58</v>
      </c>
      <c r="I58" s="22">
        <v>-0.94</v>
      </c>
      <c r="J58" s="22">
        <v>-1.94</v>
      </c>
      <c r="K58" s="15"/>
      <c r="L58" s="15">
        <v>0.0</v>
      </c>
      <c r="M58" s="22">
        <v>-11.02</v>
      </c>
      <c r="N58" s="22">
        <v>-4.75</v>
      </c>
      <c r="O58" s="22">
        <v>-10.45</v>
      </c>
      <c r="P58" s="15"/>
      <c r="Q58" s="15"/>
      <c r="R58" s="15"/>
    </row>
    <row r="59" ht="15.0" customHeight="1">
      <c r="A59" s="14" t="s">
        <v>100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>
        <v>0.0</v>
      </c>
      <c r="N59" s="22">
        <v>-18.37</v>
      </c>
      <c r="O59" s="15">
        <v>0.0</v>
      </c>
      <c r="P59" s="15"/>
      <c r="Q59" s="15"/>
      <c r="R59" s="15"/>
    </row>
    <row r="60" ht="15.0" customHeight="1">
      <c r="A60" s="14" t="s">
        <v>101</v>
      </c>
      <c r="B60" s="15"/>
      <c r="C60" s="22">
        <v>-5.08</v>
      </c>
      <c r="D60" s="22">
        <v>-9.95</v>
      </c>
      <c r="E60" s="22">
        <v>-4.75</v>
      </c>
      <c r="F60" s="22">
        <v>-5.01</v>
      </c>
      <c r="G60" s="22">
        <v>-4.09</v>
      </c>
      <c r="H60" s="22">
        <v>-4.65</v>
      </c>
      <c r="I60" s="22">
        <v>-2.81</v>
      </c>
      <c r="J60" s="22">
        <v>-2.91</v>
      </c>
      <c r="K60" s="22">
        <v>-3.93</v>
      </c>
      <c r="L60" s="22">
        <v>-3.82</v>
      </c>
      <c r="M60" s="22">
        <v>-2.76</v>
      </c>
      <c r="N60" s="22">
        <v>-2.2</v>
      </c>
      <c r="O60" s="22">
        <v>-2.1</v>
      </c>
      <c r="P60" s="22">
        <v>-7.69</v>
      </c>
      <c r="Q60" s="22">
        <v>-20.4</v>
      </c>
      <c r="R60" s="22">
        <v>-19.41</v>
      </c>
    </row>
    <row r="61" ht="15.0" customHeight="1">
      <c r="A61" s="14" t="s">
        <v>102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>
        <v>0.0</v>
      </c>
      <c r="O61" s="20">
        <v>1.24</v>
      </c>
      <c r="P61" s="20">
        <v>1.19</v>
      </c>
      <c r="Q61" s="20">
        <v>0.19</v>
      </c>
      <c r="R61" s="22">
        <v>-0.03</v>
      </c>
    </row>
    <row r="62" ht="15.0" customHeight="1">
      <c r="A62" s="17" t="s">
        <v>89</v>
      </c>
      <c r="B62" s="23">
        <v>-438.49</v>
      </c>
      <c r="C62" s="23">
        <v>-450.53</v>
      </c>
      <c r="D62" s="23">
        <v>-378.21</v>
      </c>
      <c r="E62" s="23">
        <v>-105.47</v>
      </c>
      <c r="F62" s="24">
        <v>-71.16</v>
      </c>
      <c r="G62" s="24">
        <v>-63.46</v>
      </c>
      <c r="H62" s="24">
        <v>-58.63</v>
      </c>
      <c r="I62" s="24">
        <v>-41.2</v>
      </c>
      <c r="J62" s="24">
        <v>-44.54</v>
      </c>
      <c r="K62" s="24">
        <v>-32.4</v>
      </c>
      <c r="L62" s="24">
        <v>-23.9</v>
      </c>
      <c r="M62" s="24">
        <v>-39.5</v>
      </c>
      <c r="N62" s="24">
        <v>-46.68</v>
      </c>
      <c r="O62" s="24">
        <v>-35.65</v>
      </c>
      <c r="P62" s="24">
        <v>-31.66</v>
      </c>
      <c r="Q62" s="24">
        <v>-12.26</v>
      </c>
      <c r="R62" s="24">
        <v>-27.3</v>
      </c>
    </row>
    <row r="63" ht="15.0" customHeight="1">
      <c r="A63" s="14" t="s">
        <v>103</v>
      </c>
      <c r="B63" s="15"/>
      <c r="C63" s="20">
        <v>1.02</v>
      </c>
      <c r="D63" s="20">
        <v>1.0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ht="15.0" customHeight="1">
      <c r="A64" s="17" t="s">
        <v>104</v>
      </c>
      <c r="B64" s="19">
        <v>5037.38</v>
      </c>
      <c r="C64" s="19">
        <v>4529.71</v>
      </c>
      <c r="D64" s="19">
        <v>4353.34</v>
      </c>
      <c r="E64" s="19">
        <v>3650.46</v>
      </c>
      <c r="F64" s="19">
        <v>3076.78</v>
      </c>
      <c r="G64" s="19">
        <v>2258.82</v>
      </c>
      <c r="H64" s="19">
        <v>1857.45</v>
      </c>
      <c r="I64" s="19">
        <v>1739.96</v>
      </c>
      <c r="J64" s="19">
        <v>1426.37</v>
      </c>
      <c r="K64" s="19">
        <v>1197.0</v>
      </c>
      <c r="L64" s="19">
        <v>1034.51</v>
      </c>
      <c r="M64" s="19">
        <v>700.88</v>
      </c>
      <c r="N64" s="19">
        <v>518.95</v>
      </c>
      <c r="O64" s="19">
        <v>576.76</v>
      </c>
      <c r="P64" s="19">
        <v>391.22</v>
      </c>
      <c r="Q64" s="19">
        <v>343.97</v>
      </c>
      <c r="R64" s="19">
        <v>158.02</v>
      </c>
    </row>
    <row r="65" ht="15.0" customHeight="1">
      <c r="A65" s="14" t="s">
        <v>105</v>
      </c>
      <c r="B65" s="16">
        <v>1151.31</v>
      </c>
      <c r="C65" s="16">
        <v>1123.78</v>
      </c>
      <c r="D65" s="16">
        <v>1046.04</v>
      </c>
      <c r="E65" s="16">
        <v>963.45</v>
      </c>
      <c r="F65" s="16">
        <v>642.41</v>
      </c>
      <c r="G65" s="16">
        <v>534.26</v>
      </c>
      <c r="H65" s="16">
        <v>435.51</v>
      </c>
      <c r="I65" s="16">
        <v>410.17</v>
      </c>
      <c r="J65" s="16">
        <v>354.41</v>
      </c>
      <c r="K65" s="16">
        <v>286.73</v>
      </c>
      <c r="L65" s="16">
        <v>245.72</v>
      </c>
      <c r="M65" s="16">
        <v>177.29</v>
      </c>
      <c r="N65" s="16">
        <v>169.16</v>
      </c>
      <c r="O65" s="16">
        <v>137.65</v>
      </c>
      <c r="P65" s="16">
        <v>134.17</v>
      </c>
      <c r="Q65" s="16">
        <v>106.95</v>
      </c>
      <c r="R65" s="20">
        <v>64.78</v>
      </c>
    </row>
    <row r="66" ht="15.0" customHeight="1">
      <c r="A66" s="14" t="s">
        <v>106</v>
      </c>
      <c r="B66" s="15"/>
      <c r="C66" s="16">
        <v>1414.64</v>
      </c>
      <c r="D66" s="16">
        <v>1238.12</v>
      </c>
      <c r="E66" s="16">
        <v>1060.36</v>
      </c>
      <c r="F66" s="16">
        <v>802.77</v>
      </c>
      <c r="G66" s="16">
        <v>589.53</v>
      </c>
      <c r="H66" s="16">
        <v>497.86</v>
      </c>
      <c r="I66" s="16">
        <v>459.81</v>
      </c>
      <c r="J66" s="16">
        <v>375.72</v>
      </c>
      <c r="K66" s="16">
        <v>299.5</v>
      </c>
      <c r="L66" s="16">
        <v>260.06</v>
      </c>
      <c r="M66" s="16">
        <v>176.37</v>
      </c>
      <c r="N66" s="16">
        <v>172.41</v>
      </c>
      <c r="O66" s="16">
        <v>137.18</v>
      </c>
      <c r="P66" s="16">
        <v>134.38</v>
      </c>
      <c r="Q66" s="16">
        <v>105.63</v>
      </c>
      <c r="R66" s="20">
        <v>78.47</v>
      </c>
    </row>
    <row r="67" ht="15.0" customHeight="1">
      <c r="A67" s="14" t="s">
        <v>107</v>
      </c>
      <c r="B67" s="15"/>
      <c r="C67" s="15"/>
      <c r="D67" s="20">
        <v>1.0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ht="15.0" customHeight="1">
      <c r="A68" s="14" t="s">
        <v>108</v>
      </c>
      <c r="B68" s="15"/>
      <c r="C68" s="21">
        <v>-290.86</v>
      </c>
      <c r="D68" s="21">
        <v>-193.08</v>
      </c>
      <c r="E68" s="22">
        <v>-96.91</v>
      </c>
      <c r="F68" s="21">
        <v>-160.35</v>
      </c>
      <c r="G68" s="22">
        <v>-55.27</v>
      </c>
      <c r="H68" s="22">
        <v>-62.35</v>
      </c>
      <c r="I68" s="22">
        <v>-49.63</v>
      </c>
      <c r="J68" s="22">
        <v>-21.3</v>
      </c>
      <c r="K68" s="22">
        <v>-12.77</v>
      </c>
      <c r="L68" s="22">
        <v>-14.34</v>
      </c>
      <c r="M68" s="20">
        <v>0.92</v>
      </c>
      <c r="N68" s="22">
        <v>-3.25</v>
      </c>
      <c r="O68" s="20">
        <v>0.47</v>
      </c>
      <c r="P68" s="22">
        <v>-0.21</v>
      </c>
      <c r="Q68" s="20">
        <v>1.32</v>
      </c>
      <c r="R68" s="22">
        <v>-13.7</v>
      </c>
    </row>
    <row r="69" ht="15.0" customHeight="1">
      <c r="A69" s="17" t="s">
        <v>109</v>
      </c>
      <c r="B69" s="19">
        <v>1151.31</v>
      </c>
      <c r="C69" s="19">
        <v>1123.78</v>
      </c>
      <c r="D69" s="19">
        <v>1046.04</v>
      </c>
      <c r="E69" s="19">
        <v>963.45</v>
      </c>
      <c r="F69" s="19">
        <v>642.41</v>
      </c>
      <c r="G69" s="19">
        <v>534.26</v>
      </c>
      <c r="H69" s="19">
        <v>435.51</v>
      </c>
      <c r="I69" s="19">
        <v>410.17</v>
      </c>
      <c r="J69" s="19">
        <v>354.41</v>
      </c>
      <c r="K69" s="19">
        <v>286.73</v>
      </c>
      <c r="L69" s="19">
        <v>245.72</v>
      </c>
      <c r="M69" s="19">
        <v>177.29</v>
      </c>
      <c r="N69" s="19">
        <v>169.16</v>
      </c>
      <c r="O69" s="19">
        <v>137.65</v>
      </c>
      <c r="P69" s="19">
        <v>134.17</v>
      </c>
      <c r="Q69" s="19">
        <v>106.95</v>
      </c>
      <c r="R69" s="25">
        <v>64.78</v>
      </c>
    </row>
    <row r="70" ht="15.0" customHeight="1">
      <c r="A70" s="17" t="s">
        <v>110</v>
      </c>
      <c r="B70" s="19">
        <v>3886.07</v>
      </c>
      <c r="C70" s="19">
        <v>3405.92</v>
      </c>
      <c r="D70" s="19">
        <v>3307.3</v>
      </c>
      <c r="E70" s="19">
        <v>2687.01</v>
      </c>
      <c r="F70" s="19">
        <v>2434.36</v>
      </c>
      <c r="G70" s="19">
        <v>1724.57</v>
      </c>
      <c r="H70" s="19">
        <v>1421.93</v>
      </c>
      <c r="I70" s="19">
        <v>1329.78</v>
      </c>
      <c r="J70" s="19">
        <v>1071.96</v>
      </c>
      <c r="K70" s="19">
        <v>910.27</v>
      </c>
      <c r="L70" s="19">
        <v>788.79</v>
      </c>
      <c r="M70" s="19">
        <v>523.59</v>
      </c>
      <c r="N70" s="19">
        <v>349.79</v>
      </c>
      <c r="O70" s="19">
        <v>439.11</v>
      </c>
      <c r="P70" s="19">
        <v>257.05</v>
      </c>
      <c r="Q70" s="19">
        <v>237.02</v>
      </c>
      <c r="R70" s="25">
        <v>93.24</v>
      </c>
    </row>
    <row r="71" ht="15.0" customHeight="1">
      <c r="A71" s="14" t="s">
        <v>111</v>
      </c>
      <c r="B71" s="20">
        <v>38.13</v>
      </c>
      <c r="C71" s="20">
        <v>49.83</v>
      </c>
      <c r="D71" s="20">
        <v>48.77</v>
      </c>
      <c r="E71" s="20">
        <v>41.81</v>
      </c>
      <c r="F71" s="20">
        <v>39.09</v>
      </c>
      <c r="G71" s="20">
        <v>20.47</v>
      </c>
      <c r="H71" s="20">
        <v>21.4</v>
      </c>
      <c r="I71" s="20">
        <v>29.03</v>
      </c>
      <c r="J71" s="20">
        <v>22.27</v>
      </c>
      <c r="K71" s="20">
        <v>18.66</v>
      </c>
      <c r="L71" s="20">
        <v>14.34</v>
      </c>
      <c r="M71" s="20">
        <v>9.19</v>
      </c>
      <c r="N71" s="20">
        <v>8.68</v>
      </c>
      <c r="O71" s="20">
        <v>5.16</v>
      </c>
      <c r="P71" s="20">
        <v>5.72</v>
      </c>
      <c r="Q71" s="20">
        <v>39.72</v>
      </c>
      <c r="R71" s="20">
        <v>30.26</v>
      </c>
    </row>
    <row r="72" ht="15.0" customHeight="1">
      <c r="A72" s="17" t="s">
        <v>112</v>
      </c>
      <c r="B72" s="25">
        <v>38.13</v>
      </c>
      <c r="C72" s="25">
        <v>49.83</v>
      </c>
      <c r="D72" s="25">
        <v>48.77</v>
      </c>
      <c r="E72" s="25">
        <v>41.81</v>
      </c>
      <c r="F72" s="25">
        <v>39.09</v>
      </c>
      <c r="G72" s="25">
        <v>20.47</v>
      </c>
      <c r="H72" s="25">
        <v>21.4</v>
      </c>
      <c r="I72" s="25">
        <v>29.03</v>
      </c>
      <c r="J72" s="25">
        <v>22.27</v>
      </c>
      <c r="K72" s="25">
        <v>18.66</v>
      </c>
      <c r="L72" s="25">
        <v>14.34</v>
      </c>
      <c r="M72" s="25">
        <v>9.19</v>
      </c>
      <c r="N72" s="25">
        <v>8.68</v>
      </c>
      <c r="O72" s="25">
        <v>5.16</v>
      </c>
      <c r="P72" s="25">
        <v>5.72</v>
      </c>
      <c r="Q72" s="25">
        <v>39.72</v>
      </c>
      <c r="R72" s="25">
        <v>30.26</v>
      </c>
    </row>
    <row r="73" ht="15.0" customHeight="1">
      <c r="A73" s="17" t="s">
        <v>113</v>
      </c>
      <c r="B73" s="19">
        <v>3847.94</v>
      </c>
      <c r="C73" s="19">
        <v>3356.09</v>
      </c>
      <c r="D73" s="19">
        <v>3258.54</v>
      </c>
      <c r="E73" s="19">
        <v>2645.2</v>
      </c>
      <c r="F73" s="19">
        <v>2395.27</v>
      </c>
      <c r="G73" s="19">
        <v>1704.1</v>
      </c>
      <c r="H73" s="19">
        <v>1400.53</v>
      </c>
      <c r="I73" s="19">
        <v>1300.75</v>
      </c>
      <c r="J73" s="19">
        <v>1049.69</v>
      </c>
      <c r="K73" s="19">
        <v>891.62</v>
      </c>
      <c r="L73" s="19">
        <v>774.45</v>
      </c>
      <c r="M73" s="19">
        <v>514.41</v>
      </c>
      <c r="N73" s="19">
        <v>341.1</v>
      </c>
      <c r="O73" s="19">
        <v>433.95</v>
      </c>
      <c r="P73" s="19">
        <v>251.33</v>
      </c>
      <c r="Q73" s="19">
        <v>197.3</v>
      </c>
      <c r="R73" s="25">
        <v>62.98</v>
      </c>
    </row>
    <row r="74" ht="15.0" customHeight="1">
      <c r="A74" s="14" t="s">
        <v>114</v>
      </c>
      <c r="B74" s="15"/>
      <c r="C74" s="20">
        <v>1.02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ht="15.0" customHeight="1">
      <c r="A75" s="17" t="s">
        <v>115</v>
      </c>
      <c r="B75" s="19">
        <v>3847.94</v>
      </c>
      <c r="C75" s="19">
        <v>3357.11</v>
      </c>
      <c r="D75" s="19">
        <v>3258.54</v>
      </c>
      <c r="E75" s="19">
        <v>2645.2</v>
      </c>
      <c r="F75" s="19">
        <v>2395.27</v>
      </c>
      <c r="G75" s="19">
        <v>1704.1</v>
      </c>
      <c r="H75" s="19">
        <v>1400.53</v>
      </c>
      <c r="I75" s="19">
        <v>1300.75</v>
      </c>
      <c r="J75" s="19">
        <v>1049.69</v>
      </c>
      <c r="K75" s="19">
        <v>891.62</v>
      </c>
      <c r="L75" s="19">
        <v>774.45</v>
      </c>
      <c r="M75" s="19">
        <v>514.41</v>
      </c>
      <c r="N75" s="19">
        <v>341.1</v>
      </c>
      <c r="O75" s="19">
        <v>433.95</v>
      </c>
      <c r="P75" s="19">
        <v>251.33</v>
      </c>
      <c r="Q75" s="19">
        <v>197.3</v>
      </c>
      <c r="R75" s="25">
        <v>62.98</v>
      </c>
    </row>
    <row r="76" ht="15.0" customHeight="1">
      <c r="A76" s="14" t="s">
        <v>116</v>
      </c>
      <c r="B76" s="15"/>
      <c r="C76" s="16">
        <v>3405.92</v>
      </c>
      <c r="D76" s="16">
        <v>3307.3</v>
      </c>
      <c r="E76" s="16">
        <v>2687.01</v>
      </c>
      <c r="F76" s="16">
        <v>2434.36</v>
      </c>
      <c r="G76" s="16">
        <v>1724.57</v>
      </c>
      <c r="H76" s="16">
        <v>1421.93</v>
      </c>
      <c r="I76" s="16">
        <v>1329.78</v>
      </c>
      <c r="J76" s="16">
        <v>1071.96</v>
      </c>
      <c r="K76" s="15"/>
      <c r="L76" s="15"/>
      <c r="M76" s="15"/>
      <c r="N76" s="15"/>
      <c r="O76" s="15"/>
      <c r="P76" s="15"/>
      <c r="Q76" s="15"/>
      <c r="R76" s="15"/>
    </row>
    <row r="77" ht="15.0" customHeight="1">
      <c r="A77" s="14" t="s">
        <v>117</v>
      </c>
      <c r="B77" s="15"/>
      <c r="C77" s="22">
        <v>-84.41</v>
      </c>
      <c r="D77" s="22">
        <v>-1.99</v>
      </c>
      <c r="E77" s="22">
        <v>-75.06</v>
      </c>
      <c r="F77" s="22">
        <v>-53.12</v>
      </c>
      <c r="G77" s="20">
        <v>58.34</v>
      </c>
      <c r="H77" s="20">
        <v>5.58</v>
      </c>
      <c r="I77" s="20">
        <v>12.17</v>
      </c>
      <c r="J77" s="20">
        <v>95.87</v>
      </c>
      <c r="K77" s="15"/>
      <c r="L77" s="15"/>
      <c r="M77" s="15"/>
      <c r="N77" s="15"/>
      <c r="O77" s="15"/>
      <c r="P77" s="15"/>
      <c r="Q77" s="15"/>
      <c r="R77" s="15"/>
    </row>
    <row r="78" ht="15.0" customHeight="1">
      <c r="A78" s="14" t="s">
        <v>118</v>
      </c>
      <c r="B78" s="15"/>
      <c r="C78" s="16">
        <v>780.04</v>
      </c>
      <c r="D78" s="21">
        <v>-252.8</v>
      </c>
      <c r="E78" s="16">
        <v>813.32</v>
      </c>
      <c r="F78" s="16">
        <v>426.94</v>
      </c>
      <c r="G78" s="21">
        <v>-542.45</v>
      </c>
      <c r="H78" s="16">
        <v>130.28</v>
      </c>
      <c r="I78" s="16">
        <v>145.15</v>
      </c>
      <c r="J78" s="22">
        <v>-57.13</v>
      </c>
      <c r="K78" s="15"/>
      <c r="L78" s="15"/>
      <c r="M78" s="15"/>
      <c r="N78" s="15"/>
      <c r="O78" s="15"/>
      <c r="P78" s="15"/>
      <c r="Q78" s="15"/>
      <c r="R78" s="15"/>
    </row>
    <row r="79" ht="15.0" customHeight="1">
      <c r="A79" s="14" t="s">
        <v>119</v>
      </c>
      <c r="B79" s="15"/>
      <c r="C79" s="20">
        <v>20.34</v>
      </c>
      <c r="D79" s="20">
        <v>1.0</v>
      </c>
      <c r="E79" s="20">
        <v>15.2</v>
      </c>
      <c r="F79" s="20">
        <v>12.03</v>
      </c>
      <c r="G79" s="22">
        <v>-13.31</v>
      </c>
      <c r="H79" s="22">
        <v>-0.93</v>
      </c>
      <c r="I79" s="22">
        <v>-2.81</v>
      </c>
      <c r="J79" s="22">
        <v>-21.3</v>
      </c>
      <c r="K79" s="15"/>
      <c r="L79" s="15"/>
      <c r="M79" s="15"/>
      <c r="N79" s="15"/>
      <c r="O79" s="15"/>
      <c r="P79" s="15"/>
      <c r="Q79" s="15"/>
      <c r="R79" s="15"/>
    </row>
    <row r="80" ht="15.0" customHeight="1">
      <c r="A80" s="14" t="s">
        <v>120</v>
      </c>
      <c r="B80" s="15"/>
      <c r="C80" s="22">
        <v>-1.02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ht="15.0" customHeight="1">
      <c r="A81" s="17" t="s">
        <v>121</v>
      </c>
      <c r="B81" s="18"/>
      <c r="C81" s="19">
        <v>714.95</v>
      </c>
      <c r="D81" s="23">
        <v>-253.8</v>
      </c>
      <c r="E81" s="19">
        <v>753.46</v>
      </c>
      <c r="F81" s="19">
        <v>385.85</v>
      </c>
      <c r="G81" s="23">
        <v>-497.41</v>
      </c>
      <c r="H81" s="19">
        <v>134.93</v>
      </c>
      <c r="I81" s="19">
        <v>154.52</v>
      </c>
      <c r="J81" s="25">
        <v>17.43</v>
      </c>
      <c r="K81" s="18"/>
      <c r="L81" s="18"/>
      <c r="M81" s="18"/>
      <c r="N81" s="18"/>
      <c r="O81" s="18"/>
      <c r="P81" s="18"/>
      <c r="Q81" s="18"/>
      <c r="R81" s="18"/>
    </row>
    <row r="82" ht="15.0" customHeight="1">
      <c r="A82" s="14" t="s">
        <v>122</v>
      </c>
      <c r="B82" s="15"/>
      <c r="C82" s="16">
        <v>4070.02</v>
      </c>
      <c r="D82" s="16">
        <v>3009.72</v>
      </c>
      <c r="E82" s="16">
        <v>3391.07</v>
      </c>
      <c r="F82" s="16">
        <v>2776.11</v>
      </c>
      <c r="G82" s="16">
        <v>1211.8</v>
      </c>
      <c r="H82" s="16">
        <v>1533.6</v>
      </c>
      <c r="I82" s="16">
        <v>1453.4</v>
      </c>
      <c r="J82" s="16">
        <v>1067.12</v>
      </c>
      <c r="K82" s="15"/>
      <c r="L82" s="15"/>
      <c r="M82" s="15"/>
      <c r="N82" s="15"/>
      <c r="O82" s="15"/>
      <c r="P82" s="15"/>
      <c r="Q82" s="15"/>
      <c r="R82" s="15"/>
    </row>
    <row r="83" ht="15.0" customHeight="1">
      <c r="A83" s="14" t="s">
        <v>123</v>
      </c>
      <c r="B83" s="15"/>
      <c r="C83" s="20">
        <v>50.85</v>
      </c>
      <c r="D83" s="20">
        <v>43.79</v>
      </c>
      <c r="E83" s="20">
        <v>49.41</v>
      </c>
      <c r="F83" s="20">
        <v>44.1</v>
      </c>
      <c r="G83" s="20">
        <v>15.35</v>
      </c>
      <c r="H83" s="20">
        <v>23.26</v>
      </c>
      <c r="I83" s="20">
        <v>30.9</v>
      </c>
      <c r="J83" s="20">
        <v>22.27</v>
      </c>
      <c r="K83" s="15"/>
      <c r="L83" s="15"/>
      <c r="M83" s="15"/>
      <c r="N83" s="15"/>
      <c r="O83" s="15"/>
      <c r="P83" s="15"/>
      <c r="Q83" s="15"/>
      <c r="R83" s="15"/>
    </row>
    <row r="84" ht="15.0" customHeight="1">
      <c r="A84" s="14" t="s">
        <v>124</v>
      </c>
      <c r="B84" s="15"/>
      <c r="C84" s="15"/>
      <c r="D84" s="20">
        <v>1.0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ht="15.0" customHeight="1">
      <c r="A85" s="17" t="s">
        <v>125</v>
      </c>
      <c r="B85" s="18"/>
      <c r="C85" s="19">
        <v>4121.89</v>
      </c>
      <c r="D85" s="19">
        <v>3054.5</v>
      </c>
      <c r="E85" s="19">
        <v>3440.47</v>
      </c>
      <c r="F85" s="19">
        <v>2820.21</v>
      </c>
      <c r="G85" s="19">
        <v>1227.15</v>
      </c>
      <c r="H85" s="19">
        <v>1556.87</v>
      </c>
      <c r="I85" s="19">
        <v>1484.3</v>
      </c>
      <c r="J85" s="19">
        <v>1089.39</v>
      </c>
      <c r="K85" s="18"/>
      <c r="L85" s="18"/>
      <c r="M85" s="18"/>
      <c r="N85" s="18"/>
      <c r="O85" s="18"/>
      <c r="P85" s="18"/>
      <c r="Q85" s="18"/>
      <c r="R85" s="18"/>
    </row>
    <row r="86" ht="15.0" customHeight="1">
      <c r="A86" s="14" t="s">
        <v>126</v>
      </c>
      <c r="B86" s="15"/>
      <c r="C86" s="16">
        <v>5307.71</v>
      </c>
      <c r="D86" s="16">
        <v>4646.95</v>
      </c>
      <c r="E86" s="16">
        <v>3872.79</v>
      </c>
      <c r="F86" s="16">
        <v>3479.66</v>
      </c>
      <c r="G86" s="16">
        <v>3040.77</v>
      </c>
      <c r="H86" s="16">
        <v>2861.54</v>
      </c>
      <c r="I86" s="16">
        <v>2491.94</v>
      </c>
      <c r="J86" s="16">
        <v>2126.49</v>
      </c>
      <c r="K86" s="16">
        <v>1907.94</v>
      </c>
      <c r="L86" s="16">
        <v>1632.07</v>
      </c>
      <c r="M86" s="16">
        <v>1364.09</v>
      </c>
      <c r="N86" s="16">
        <v>1221.36</v>
      </c>
      <c r="O86" s="16">
        <v>1174.75</v>
      </c>
      <c r="P86" s="15"/>
      <c r="Q86" s="15"/>
      <c r="R86" s="15"/>
    </row>
    <row r="87" ht="15.0" customHeight="1">
      <c r="A87" s="14" t="s">
        <v>127</v>
      </c>
      <c r="B87" s="15"/>
      <c r="C87" s="15"/>
      <c r="D87" s="15"/>
      <c r="E87" s="20">
        <v>70.31</v>
      </c>
      <c r="F87" s="20">
        <v>59.13</v>
      </c>
      <c r="G87" s="20">
        <v>59.36</v>
      </c>
      <c r="H87" s="20">
        <v>62.35</v>
      </c>
      <c r="I87" s="16">
        <v>164.82</v>
      </c>
      <c r="J87" s="16">
        <v>117.17</v>
      </c>
      <c r="K87" s="20">
        <v>92.3</v>
      </c>
      <c r="L87" s="20">
        <v>76.49</v>
      </c>
      <c r="M87" s="20">
        <v>66.14</v>
      </c>
      <c r="N87" s="20">
        <v>60.69</v>
      </c>
      <c r="O87" s="20">
        <v>59.12</v>
      </c>
      <c r="P87" s="15"/>
      <c r="Q87" s="15"/>
      <c r="R87" s="15"/>
    </row>
    <row r="88" ht="15.0" customHeight="1">
      <c r="A88" s="14" t="s">
        <v>128</v>
      </c>
      <c r="B88" s="15"/>
      <c r="C88" s="20">
        <v>29.49</v>
      </c>
      <c r="D88" s="20">
        <v>22.89</v>
      </c>
      <c r="E88" s="20">
        <v>11.4</v>
      </c>
      <c r="F88" s="20">
        <v>11.02</v>
      </c>
      <c r="G88" s="20">
        <v>10.23</v>
      </c>
      <c r="H88" s="20">
        <v>8.38</v>
      </c>
      <c r="I88" s="20">
        <v>7.49</v>
      </c>
      <c r="J88" s="20">
        <v>6.78</v>
      </c>
      <c r="K88" s="20">
        <v>5.89</v>
      </c>
      <c r="L88" s="20">
        <v>4.78</v>
      </c>
      <c r="M88" s="20">
        <v>4.59</v>
      </c>
      <c r="N88" s="20">
        <v>4.04</v>
      </c>
      <c r="O88" s="20">
        <v>3.93</v>
      </c>
      <c r="P88" s="20">
        <v>4.03</v>
      </c>
      <c r="Q88" s="20">
        <v>3.18</v>
      </c>
      <c r="R88" s="20">
        <v>3.18</v>
      </c>
    </row>
    <row r="89" ht="15.0" customHeight="1">
      <c r="A89" s="14" t="s">
        <v>129</v>
      </c>
      <c r="B89" s="15"/>
      <c r="C89" s="20">
        <v>1.02</v>
      </c>
      <c r="D89" s="20">
        <v>1.0</v>
      </c>
      <c r="E89" s="15">
        <v>0.0</v>
      </c>
      <c r="F89" s="15">
        <v>0.0</v>
      </c>
      <c r="G89" s="20">
        <v>1.02</v>
      </c>
      <c r="H89" s="20">
        <v>0.93</v>
      </c>
      <c r="I89" s="20">
        <v>0.94</v>
      </c>
      <c r="J89" s="15">
        <v>0.0</v>
      </c>
      <c r="K89" s="20">
        <v>0.98</v>
      </c>
      <c r="L89" s="20">
        <v>0.96</v>
      </c>
      <c r="M89" s="20">
        <v>0.92</v>
      </c>
      <c r="N89" s="20">
        <v>0.13</v>
      </c>
      <c r="O89" s="20">
        <v>0.11</v>
      </c>
      <c r="P89" s="15"/>
      <c r="Q89" s="15"/>
      <c r="R89" s="15"/>
    </row>
    <row r="90" ht="15.0" customHeight="1">
      <c r="A90" s="14" t="s">
        <v>130</v>
      </c>
      <c r="B90" s="15"/>
      <c r="C90" s="20">
        <v>2.03</v>
      </c>
      <c r="D90" s="20">
        <v>1.99</v>
      </c>
      <c r="E90" s="20">
        <v>0.95</v>
      </c>
      <c r="F90" s="20">
        <v>1.0</v>
      </c>
      <c r="G90" s="15">
        <v>0.0</v>
      </c>
      <c r="H90" s="15">
        <v>0.0</v>
      </c>
      <c r="I90" s="15">
        <v>0.0</v>
      </c>
      <c r="J90" s="15">
        <v>0.0</v>
      </c>
      <c r="K90" s="15">
        <v>0.0</v>
      </c>
      <c r="L90" s="15">
        <v>0.0</v>
      </c>
      <c r="M90" s="15">
        <v>0.0</v>
      </c>
      <c r="N90" s="20">
        <v>0.19</v>
      </c>
      <c r="O90" s="20">
        <v>0.08</v>
      </c>
      <c r="P90" s="20">
        <v>0.24</v>
      </c>
      <c r="Q90" s="20">
        <v>0.12</v>
      </c>
      <c r="R90" s="15"/>
    </row>
    <row r="91" ht="15.0" customHeight="1">
      <c r="A91" s="14" t="s">
        <v>131</v>
      </c>
      <c r="B91" s="15"/>
      <c r="C91" s="20">
        <v>1.02</v>
      </c>
      <c r="D91" s="20">
        <v>1.0</v>
      </c>
      <c r="E91" s="20">
        <v>5.7</v>
      </c>
      <c r="F91" s="20">
        <v>5.01</v>
      </c>
      <c r="G91" s="20">
        <v>4.09</v>
      </c>
      <c r="H91" s="20">
        <v>1.86</v>
      </c>
      <c r="I91" s="20">
        <v>0.94</v>
      </c>
      <c r="J91" s="20">
        <v>1.94</v>
      </c>
      <c r="K91" s="20">
        <v>2.95</v>
      </c>
      <c r="L91" s="20">
        <v>1.91</v>
      </c>
      <c r="M91" s="20">
        <v>5.51</v>
      </c>
      <c r="N91" s="20">
        <v>0.51</v>
      </c>
      <c r="O91" s="20">
        <v>0.25</v>
      </c>
      <c r="P91" s="20">
        <v>2.06</v>
      </c>
      <c r="Q91" s="20">
        <v>0.46</v>
      </c>
      <c r="R91" s="20">
        <v>1.14</v>
      </c>
    </row>
    <row r="92" ht="15.0" customHeight="1">
      <c r="A92" s="14" t="s">
        <v>132</v>
      </c>
      <c r="B92" s="15"/>
      <c r="C92" s="20">
        <v>33.56</v>
      </c>
      <c r="D92" s="20">
        <v>25.88</v>
      </c>
      <c r="E92" s="20">
        <v>19.0</v>
      </c>
      <c r="F92" s="20">
        <v>17.04</v>
      </c>
      <c r="G92" s="20">
        <v>15.35</v>
      </c>
      <c r="H92" s="20">
        <v>11.17</v>
      </c>
      <c r="I92" s="20">
        <v>9.36</v>
      </c>
      <c r="J92" s="20">
        <v>8.72</v>
      </c>
      <c r="K92" s="20">
        <v>9.82</v>
      </c>
      <c r="L92" s="20">
        <v>7.65</v>
      </c>
      <c r="M92" s="20">
        <v>11.02</v>
      </c>
      <c r="N92" s="20">
        <v>4.86</v>
      </c>
      <c r="O92" s="20">
        <v>4.37</v>
      </c>
      <c r="P92" s="20">
        <v>6.33</v>
      </c>
      <c r="Q92" s="20">
        <v>3.76</v>
      </c>
      <c r="R92" s="20">
        <v>4.32</v>
      </c>
    </row>
    <row r="93" ht="15.0" customHeight="1">
      <c r="A93" s="14" t="s">
        <v>133</v>
      </c>
      <c r="B93" s="16">
        <v>774.25</v>
      </c>
      <c r="C93" s="16">
        <v>373.24</v>
      </c>
      <c r="D93" s="16">
        <v>322.47</v>
      </c>
      <c r="E93" s="16">
        <v>230.89</v>
      </c>
      <c r="F93" s="16">
        <v>220.49</v>
      </c>
      <c r="G93" s="16">
        <v>197.53</v>
      </c>
      <c r="H93" s="16">
        <v>155.41</v>
      </c>
      <c r="I93" s="16">
        <v>118.93</v>
      </c>
      <c r="J93" s="16">
        <v>108.45</v>
      </c>
      <c r="K93" s="20">
        <v>92.3</v>
      </c>
      <c r="L93" s="20">
        <v>77.44</v>
      </c>
      <c r="M93" s="20">
        <v>61.54</v>
      </c>
      <c r="N93" s="20">
        <v>54.44</v>
      </c>
      <c r="O93" s="20">
        <v>55.82</v>
      </c>
      <c r="P93" s="20">
        <v>58.22</v>
      </c>
      <c r="Q93" s="20">
        <v>53.21</v>
      </c>
      <c r="R93" s="20">
        <v>52.59</v>
      </c>
    </row>
    <row r="94" ht="15.0" customHeight="1">
      <c r="A94" s="14" t="s">
        <v>97</v>
      </c>
      <c r="B94" s="16">
        <v>1192.62</v>
      </c>
      <c r="C94" s="16">
        <v>1007.84</v>
      </c>
      <c r="D94" s="16">
        <v>862.9</v>
      </c>
      <c r="E94" s="16">
        <v>649.9</v>
      </c>
      <c r="F94" s="16">
        <v>533.17</v>
      </c>
      <c r="G94" s="16">
        <v>422.7</v>
      </c>
      <c r="H94" s="16">
        <v>312.68</v>
      </c>
      <c r="I94" s="16">
        <v>241.61</v>
      </c>
      <c r="J94" s="16">
        <v>189.8</v>
      </c>
      <c r="K94" s="16">
        <v>128.64</v>
      </c>
      <c r="L94" s="20">
        <v>72.66</v>
      </c>
      <c r="M94" s="20">
        <v>42.25</v>
      </c>
      <c r="N94" s="20">
        <v>12.64</v>
      </c>
      <c r="O94" s="20">
        <v>70.88</v>
      </c>
      <c r="P94" s="15"/>
      <c r="Q94" s="15"/>
      <c r="R94" s="15"/>
    </row>
    <row r="95" ht="15.0" customHeight="1">
      <c r="A95" s="14" t="s">
        <v>134</v>
      </c>
      <c r="B95" s="15"/>
      <c r="C95" s="20">
        <v>7.12</v>
      </c>
      <c r="D95" s="20">
        <v>6.97</v>
      </c>
      <c r="E95" s="20">
        <v>6.65</v>
      </c>
      <c r="F95" s="20">
        <v>7.02</v>
      </c>
      <c r="G95" s="20">
        <v>5.12</v>
      </c>
      <c r="H95" s="20">
        <v>1.86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135</v>
      </c>
      <c r="B96" s="15"/>
      <c r="C96" s="20">
        <v>10.17</v>
      </c>
      <c r="D96" s="20">
        <v>8.96</v>
      </c>
      <c r="E96" s="20">
        <v>5.7</v>
      </c>
      <c r="F96" s="20">
        <v>7.02</v>
      </c>
      <c r="G96" s="20">
        <v>10.23</v>
      </c>
      <c r="H96" s="20">
        <v>5.58</v>
      </c>
      <c r="I96" s="20">
        <v>6.56</v>
      </c>
      <c r="J96" s="20">
        <v>10.65</v>
      </c>
      <c r="K96" s="15"/>
      <c r="L96" s="15"/>
      <c r="M96" s="15"/>
      <c r="N96" s="15"/>
      <c r="O96" s="15"/>
      <c r="P96" s="15"/>
      <c r="Q96" s="15"/>
      <c r="R96" s="15"/>
    </row>
    <row r="97" ht="15.0" customHeight="1">
      <c r="A97" s="14" t="s">
        <v>136</v>
      </c>
      <c r="B97" s="15"/>
      <c r="C97" s="16">
        <v>314.25</v>
      </c>
      <c r="D97" s="16">
        <v>274.7</v>
      </c>
      <c r="E97" s="16">
        <v>200.48</v>
      </c>
      <c r="F97" s="16">
        <v>173.38</v>
      </c>
      <c r="G97" s="16">
        <v>154.55</v>
      </c>
      <c r="H97" s="16">
        <v>134.0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ht="15.0" customHeight="1">
      <c r="A98" s="14" t="s">
        <v>137</v>
      </c>
      <c r="B98" s="15"/>
      <c r="C98" s="20">
        <v>34.58</v>
      </c>
      <c r="D98" s="20">
        <v>23.89</v>
      </c>
      <c r="E98" s="20">
        <v>20.9</v>
      </c>
      <c r="F98" s="20">
        <v>19.04</v>
      </c>
      <c r="G98" s="20">
        <v>15.35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138</v>
      </c>
      <c r="B99" s="15"/>
      <c r="C99" s="20">
        <v>38.65</v>
      </c>
      <c r="D99" s="20">
        <v>36.83</v>
      </c>
      <c r="E99" s="20">
        <v>28.5</v>
      </c>
      <c r="F99" s="20">
        <v>27.06</v>
      </c>
      <c r="G99" s="20">
        <v>22.52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ht="15.0" customHeight="1">
      <c r="A100" s="14" t="s">
        <v>139</v>
      </c>
      <c r="B100" s="15"/>
      <c r="C100" s="20">
        <v>54.92</v>
      </c>
      <c r="D100" s="20">
        <v>46.78</v>
      </c>
      <c r="E100" s="20">
        <v>41.81</v>
      </c>
      <c r="F100" s="20">
        <v>32.07</v>
      </c>
      <c r="G100" s="20">
        <v>36.85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4" t="s">
        <v>140</v>
      </c>
      <c r="B101" s="16">
        <v>774.25</v>
      </c>
      <c r="C101" s="16">
        <v>687.49</v>
      </c>
      <c r="D101" s="16">
        <v>597.17</v>
      </c>
      <c r="E101" s="16">
        <v>431.37</v>
      </c>
      <c r="F101" s="16">
        <v>393.87</v>
      </c>
      <c r="G101" s="16">
        <v>352.08</v>
      </c>
      <c r="H101" s="16">
        <v>289.41</v>
      </c>
      <c r="I101" s="16">
        <v>118.93</v>
      </c>
      <c r="J101" s="16">
        <v>108.45</v>
      </c>
      <c r="K101" s="20">
        <v>92.3</v>
      </c>
      <c r="L101" s="20">
        <v>77.44</v>
      </c>
      <c r="M101" s="20">
        <v>61.54</v>
      </c>
      <c r="N101" s="20">
        <v>54.44</v>
      </c>
      <c r="O101" s="20">
        <v>55.82</v>
      </c>
      <c r="P101" s="20">
        <v>58.22</v>
      </c>
      <c r="Q101" s="20">
        <v>53.21</v>
      </c>
      <c r="R101" s="20">
        <v>52.59</v>
      </c>
    </row>
    <row r="102" ht="15.0" customHeight="1">
      <c r="A102" s="14" t="s">
        <v>141</v>
      </c>
      <c r="B102" s="16">
        <v>1966.87</v>
      </c>
      <c r="C102" s="16">
        <v>1712.62</v>
      </c>
      <c r="D102" s="16">
        <v>1476.0</v>
      </c>
      <c r="E102" s="16">
        <v>1093.62</v>
      </c>
      <c r="F102" s="16">
        <v>941.07</v>
      </c>
      <c r="G102" s="16">
        <v>790.13</v>
      </c>
      <c r="H102" s="16">
        <v>609.53</v>
      </c>
      <c r="I102" s="16">
        <v>367.1</v>
      </c>
      <c r="J102" s="16">
        <v>308.9</v>
      </c>
      <c r="K102" s="16">
        <v>220.94</v>
      </c>
      <c r="L102" s="16">
        <v>150.11</v>
      </c>
      <c r="M102" s="16">
        <v>103.8</v>
      </c>
      <c r="N102" s="15"/>
      <c r="O102" s="15"/>
      <c r="P102" s="15"/>
      <c r="Q102" s="15"/>
      <c r="R102" s="15"/>
    </row>
    <row r="103" ht="15.0" customHeight="1">
      <c r="A103" s="14" t="s">
        <v>142</v>
      </c>
      <c r="B103" s="16">
        <v>1192.62</v>
      </c>
      <c r="C103" s="16">
        <v>1025.13</v>
      </c>
      <c r="D103" s="16">
        <v>878.83</v>
      </c>
      <c r="E103" s="16">
        <v>662.25</v>
      </c>
      <c r="F103" s="16">
        <v>547.21</v>
      </c>
      <c r="G103" s="16">
        <v>438.05</v>
      </c>
      <c r="H103" s="16">
        <v>320.12</v>
      </c>
      <c r="I103" s="16">
        <v>248.16</v>
      </c>
      <c r="J103" s="16">
        <v>200.45</v>
      </c>
      <c r="K103" s="16">
        <v>128.64</v>
      </c>
      <c r="L103" s="20">
        <v>72.66</v>
      </c>
      <c r="M103" s="20">
        <v>42.25</v>
      </c>
      <c r="N103" s="20">
        <v>12.64</v>
      </c>
      <c r="O103" s="20">
        <v>70.88</v>
      </c>
      <c r="P103" s="15"/>
      <c r="Q103" s="15"/>
      <c r="R103" s="15"/>
    </row>
    <row r="104" ht="15.0" customHeight="1">
      <c r="A104" s="14" t="s">
        <v>143</v>
      </c>
      <c r="B104" s="16">
        <v>454.13</v>
      </c>
      <c r="C104" s="16">
        <v>454.22</v>
      </c>
      <c r="D104" s="16">
        <v>454.22</v>
      </c>
      <c r="E104" s="16">
        <v>454.22</v>
      </c>
      <c r="F104" s="16">
        <v>454.22</v>
      </c>
      <c r="G104" s="16">
        <v>454.17</v>
      </c>
      <c r="H104" s="16">
        <v>454.22</v>
      </c>
      <c r="I104" s="16">
        <v>454.22</v>
      </c>
      <c r="J104" s="16">
        <v>453.94</v>
      </c>
      <c r="K104" s="16">
        <v>454.45</v>
      </c>
      <c r="L104" s="16">
        <v>454.22</v>
      </c>
      <c r="M104" s="16">
        <v>454.22</v>
      </c>
      <c r="N104" s="16">
        <v>454.22</v>
      </c>
      <c r="O104" s="16">
        <v>454.22</v>
      </c>
      <c r="P104" s="16">
        <v>454.22</v>
      </c>
      <c r="Q104" s="16">
        <v>454.22</v>
      </c>
      <c r="R104" s="16">
        <v>454.22</v>
      </c>
    </row>
    <row r="105" ht="15.0" customHeight="1">
      <c r="A105" s="14" t="s">
        <v>144</v>
      </c>
      <c r="B105" s="16">
        <v>454.13</v>
      </c>
      <c r="C105" s="16">
        <v>454.22</v>
      </c>
      <c r="D105" s="16">
        <v>454.22</v>
      </c>
      <c r="E105" s="16">
        <v>454.22</v>
      </c>
      <c r="F105" s="16">
        <v>454.22</v>
      </c>
      <c r="G105" s="16">
        <v>454.17</v>
      </c>
      <c r="H105" s="16">
        <v>454.22</v>
      </c>
      <c r="I105" s="16">
        <v>454.22</v>
      </c>
      <c r="J105" s="16">
        <v>453.94</v>
      </c>
      <c r="K105" s="16">
        <v>454.45</v>
      </c>
      <c r="L105" s="16">
        <v>454.22</v>
      </c>
      <c r="M105" s="16">
        <v>454.22</v>
      </c>
      <c r="N105" s="16">
        <v>454.22</v>
      </c>
      <c r="O105" s="16">
        <v>454.22</v>
      </c>
      <c r="P105" s="16">
        <v>454.22</v>
      </c>
      <c r="Q105" s="16">
        <v>454.22</v>
      </c>
      <c r="R105" s="16">
        <v>454.22</v>
      </c>
    </row>
    <row r="106" ht="15.0" customHeight="1">
      <c r="A106" s="14" t="s">
        <v>145</v>
      </c>
      <c r="B106" s="16">
        <v>3847.94</v>
      </c>
      <c r="C106" s="16">
        <v>3357.11</v>
      </c>
      <c r="D106" s="16">
        <v>3258.54</v>
      </c>
      <c r="E106" s="16">
        <v>2645.2</v>
      </c>
      <c r="F106" s="16">
        <v>2395.27</v>
      </c>
      <c r="G106" s="16">
        <v>1704.1</v>
      </c>
      <c r="H106" s="16">
        <v>1400.53</v>
      </c>
      <c r="I106" s="16">
        <v>1300.75</v>
      </c>
      <c r="J106" s="16">
        <v>1049.69</v>
      </c>
      <c r="K106" s="16">
        <v>891.62</v>
      </c>
      <c r="L106" s="16">
        <v>774.45</v>
      </c>
      <c r="M106" s="16">
        <v>514.41</v>
      </c>
      <c r="N106" s="16">
        <v>341.1</v>
      </c>
      <c r="O106" s="16">
        <v>433.95</v>
      </c>
      <c r="P106" s="16">
        <v>251.33</v>
      </c>
      <c r="Q106" s="16">
        <v>197.3</v>
      </c>
      <c r="R106" s="20">
        <v>62.98</v>
      </c>
    </row>
    <row r="107" ht="15.0" customHeight="1">
      <c r="A107" s="14" t="s">
        <v>146</v>
      </c>
      <c r="B107" s="16">
        <v>3847.94</v>
      </c>
      <c r="C107" s="16">
        <v>3356.09</v>
      </c>
      <c r="D107" s="16">
        <v>3258.54</v>
      </c>
      <c r="E107" s="16">
        <v>2645.2</v>
      </c>
      <c r="F107" s="16">
        <v>2395.27</v>
      </c>
      <c r="G107" s="16">
        <v>1704.1</v>
      </c>
      <c r="H107" s="16">
        <v>1400.53</v>
      </c>
      <c r="I107" s="16">
        <v>1300.75</v>
      </c>
      <c r="J107" s="16">
        <v>1049.69</v>
      </c>
      <c r="K107" s="16">
        <v>891.62</v>
      </c>
      <c r="L107" s="16">
        <v>774.45</v>
      </c>
      <c r="M107" s="16">
        <v>514.41</v>
      </c>
      <c r="N107" s="16">
        <v>341.1</v>
      </c>
      <c r="O107" s="16">
        <v>433.95</v>
      </c>
      <c r="P107" s="16">
        <v>251.33</v>
      </c>
      <c r="Q107" s="16">
        <v>197.3</v>
      </c>
      <c r="R107" s="20">
        <v>62.98</v>
      </c>
    </row>
    <row r="108" ht="15.0" customHeight="1">
      <c r="A108" s="14" t="s">
        <v>147</v>
      </c>
      <c r="B108" s="20">
        <v>8.47</v>
      </c>
      <c r="C108" s="20">
        <v>7.39</v>
      </c>
      <c r="D108" s="20">
        <v>7.18</v>
      </c>
      <c r="E108" s="20">
        <v>5.82</v>
      </c>
      <c r="F108" s="20">
        <v>5.27</v>
      </c>
      <c r="G108" s="20">
        <v>3.76</v>
      </c>
      <c r="H108" s="20">
        <v>3.08</v>
      </c>
      <c r="I108" s="20">
        <v>2.86</v>
      </c>
      <c r="J108" s="20">
        <v>2.31</v>
      </c>
      <c r="K108" s="20">
        <v>1.96</v>
      </c>
      <c r="L108" s="20">
        <v>1.7</v>
      </c>
      <c r="M108" s="20">
        <v>1.13</v>
      </c>
      <c r="N108" s="20">
        <v>0.75</v>
      </c>
      <c r="O108" s="20">
        <v>0.96</v>
      </c>
      <c r="P108" s="20">
        <v>0.55</v>
      </c>
      <c r="Q108" s="20">
        <v>0.43</v>
      </c>
      <c r="R108" s="20">
        <v>0.14</v>
      </c>
    </row>
    <row r="109" ht="15.0" customHeight="1">
      <c r="A109" s="14" t="s">
        <v>148</v>
      </c>
      <c r="B109" s="20">
        <v>8.47</v>
      </c>
      <c r="C109" s="20">
        <v>7.39</v>
      </c>
      <c r="D109" s="20">
        <v>7.18</v>
      </c>
      <c r="E109" s="20">
        <v>5.82</v>
      </c>
      <c r="F109" s="20">
        <v>5.27</v>
      </c>
      <c r="G109" s="20">
        <v>3.76</v>
      </c>
      <c r="H109" s="20">
        <v>3.08</v>
      </c>
      <c r="I109" s="20">
        <v>2.86</v>
      </c>
      <c r="J109" s="20">
        <v>2.31</v>
      </c>
      <c r="K109" s="20">
        <v>1.96</v>
      </c>
      <c r="L109" s="20">
        <v>1.7</v>
      </c>
      <c r="M109" s="20">
        <v>1.13</v>
      </c>
      <c r="N109" s="20">
        <v>0.75</v>
      </c>
      <c r="O109" s="20">
        <v>0.96</v>
      </c>
      <c r="P109" s="20">
        <v>0.55</v>
      </c>
      <c r="Q109" s="20">
        <v>0.43</v>
      </c>
      <c r="R109" s="20">
        <v>0.14</v>
      </c>
    </row>
    <row r="110" ht="15.0" customHeight="1">
      <c r="A110" s="14" t="s">
        <v>149</v>
      </c>
      <c r="B110" s="20">
        <v>8.47</v>
      </c>
      <c r="C110" s="20">
        <v>7.39</v>
      </c>
      <c r="D110" s="20">
        <v>7.18</v>
      </c>
      <c r="E110" s="20">
        <v>5.82</v>
      </c>
      <c r="F110" s="20">
        <v>5.27</v>
      </c>
      <c r="G110" s="20">
        <v>3.76</v>
      </c>
      <c r="H110" s="20">
        <v>3.08</v>
      </c>
      <c r="I110" s="20">
        <v>2.86</v>
      </c>
      <c r="J110" s="20">
        <v>2.31</v>
      </c>
      <c r="K110" s="20">
        <v>1.96</v>
      </c>
      <c r="L110" s="20">
        <v>1.7</v>
      </c>
      <c r="M110" s="20">
        <v>1.13</v>
      </c>
      <c r="N110" s="20">
        <v>0.75</v>
      </c>
      <c r="O110" s="20">
        <v>0.96</v>
      </c>
      <c r="P110" s="20">
        <v>0.55</v>
      </c>
      <c r="Q110" s="20">
        <v>0.43</v>
      </c>
      <c r="R110" s="20">
        <v>0.14</v>
      </c>
    </row>
    <row r="111" ht="15.0" customHeight="1">
      <c r="A111" s="14" t="s">
        <v>150</v>
      </c>
      <c r="B111" s="20">
        <v>8.47</v>
      </c>
      <c r="C111" s="20">
        <v>7.39</v>
      </c>
      <c r="D111" s="20">
        <v>7.18</v>
      </c>
      <c r="E111" s="20">
        <v>5.82</v>
      </c>
      <c r="F111" s="20">
        <v>5.27</v>
      </c>
      <c r="G111" s="20">
        <v>3.76</v>
      </c>
      <c r="H111" s="20">
        <v>3.08</v>
      </c>
      <c r="I111" s="20">
        <v>2.86</v>
      </c>
      <c r="J111" s="20">
        <v>2.31</v>
      </c>
      <c r="K111" s="20">
        <v>1.96</v>
      </c>
      <c r="L111" s="20">
        <v>1.7</v>
      </c>
      <c r="M111" s="20">
        <v>1.13</v>
      </c>
      <c r="N111" s="20">
        <v>0.75</v>
      </c>
      <c r="O111" s="20">
        <v>0.96</v>
      </c>
      <c r="P111" s="20">
        <v>0.55</v>
      </c>
      <c r="Q111" s="20">
        <v>0.43</v>
      </c>
      <c r="R111" s="20">
        <v>0.14</v>
      </c>
    </row>
    <row r="112" ht="15.0" customHeight="1">
      <c r="A112" s="14" t="s">
        <v>151</v>
      </c>
      <c r="B112" s="15"/>
      <c r="C112" s="15"/>
      <c r="D112" s="15"/>
      <c r="E112" s="15"/>
      <c r="F112" s="15"/>
      <c r="G112" s="15"/>
      <c r="H112" s="22">
        <v>-73.52</v>
      </c>
      <c r="I112" s="22">
        <v>-12.17</v>
      </c>
      <c r="J112" s="22">
        <v>-16.46</v>
      </c>
      <c r="K112" s="15"/>
      <c r="L112" s="15"/>
      <c r="M112" s="15"/>
      <c r="N112" s="15"/>
      <c r="O112" s="15"/>
      <c r="P112" s="15"/>
      <c r="Q112" s="15"/>
      <c r="R112" s="15"/>
    </row>
    <row r="113" ht="15.0" customHeight="1">
      <c r="A113" s="14" t="s">
        <v>152</v>
      </c>
      <c r="B113" s="15"/>
      <c r="C113" s="15"/>
      <c r="D113" s="15"/>
      <c r="E113" s="15"/>
      <c r="F113" s="15"/>
      <c r="G113" s="15"/>
      <c r="H113" s="22">
        <v>-52.11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ht="15.0" customHeight="1">
      <c r="A114" s="14" t="s">
        <v>153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22">
        <v>-3.93</v>
      </c>
      <c r="L114" s="22">
        <v>-12.43</v>
      </c>
      <c r="M114" s="15"/>
      <c r="N114" s="15"/>
      <c r="O114" s="15"/>
      <c r="P114" s="15"/>
      <c r="Q114" s="15"/>
      <c r="R114" s="15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46094.4224158218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155</v>
      </c>
      <c r="C15" s="10" t="s">
        <v>155</v>
      </c>
      <c r="D15" s="10" t="s">
        <v>155</v>
      </c>
      <c r="E15" s="10" t="s">
        <v>155</v>
      </c>
      <c r="F15" s="10" t="s">
        <v>155</v>
      </c>
      <c r="G15" s="10" t="s">
        <v>155</v>
      </c>
      <c r="H15" s="10" t="s">
        <v>155</v>
      </c>
      <c r="I15" s="10" t="s">
        <v>155</v>
      </c>
      <c r="J15" s="10" t="s">
        <v>155</v>
      </c>
      <c r="K15" s="10" t="s">
        <v>155</v>
      </c>
      <c r="L15" s="10" t="s">
        <v>155</v>
      </c>
      <c r="M15" s="10" t="s">
        <v>155</v>
      </c>
      <c r="N15" s="10" t="s">
        <v>155</v>
      </c>
      <c r="O15" s="10" t="s">
        <v>155</v>
      </c>
      <c r="P15" s="10" t="s">
        <v>155</v>
      </c>
      <c r="Q15" s="10" t="s">
        <v>155</v>
      </c>
      <c r="R15" s="10" t="s">
        <v>155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157</v>
      </c>
      <c r="B20" s="16">
        <v>4717.22</v>
      </c>
      <c r="C20" s="16">
        <v>4375.58</v>
      </c>
      <c r="D20" s="16">
        <v>3932.42</v>
      </c>
      <c r="E20" s="16">
        <v>3465.74</v>
      </c>
      <c r="F20" s="16">
        <v>2748.44</v>
      </c>
      <c r="G20" s="16">
        <v>1946.39</v>
      </c>
      <c r="H20" s="16">
        <v>1872.51</v>
      </c>
      <c r="I20" s="16">
        <v>1668.72</v>
      </c>
      <c r="J20" s="16">
        <v>1391.9</v>
      </c>
      <c r="K20" s="16">
        <v>1095.31</v>
      </c>
      <c r="L20" s="16">
        <v>1004.7</v>
      </c>
      <c r="M20" s="16">
        <v>788.85</v>
      </c>
      <c r="N20" s="16">
        <v>714.0</v>
      </c>
      <c r="O20" s="16">
        <v>644.52</v>
      </c>
      <c r="P20" s="16">
        <v>669.66</v>
      </c>
      <c r="Q20" s="16">
        <v>523.64</v>
      </c>
      <c r="R20" s="16">
        <v>481.58</v>
      </c>
    </row>
    <row r="21" ht="15.0" customHeight="1">
      <c r="A21" s="14" t="s">
        <v>158</v>
      </c>
      <c r="B21" s="15"/>
      <c r="C21" s="16">
        <v>1987.31</v>
      </c>
      <c r="D21" s="16">
        <v>1890.7</v>
      </c>
      <c r="E21" s="16">
        <v>1472.14</v>
      </c>
      <c r="F21" s="16">
        <v>1310.4</v>
      </c>
      <c r="G21" s="16">
        <v>973.2</v>
      </c>
      <c r="H21" s="16">
        <v>931.1</v>
      </c>
      <c r="I21" s="16">
        <v>808.01</v>
      </c>
      <c r="J21" s="16">
        <v>780.5</v>
      </c>
      <c r="K21" s="16">
        <v>630.63</v>
      </c>
      <c r="L21" s="16">
        <v>560.96</v>
      </c>
      <c r="M21" s="16">
        <v>509.92</v>
      </c>
      <c r="N21" s="16">
        <v>458.82</v>
      </c>
      <c r="O21" s="16">
        <v>402.07</v>
      </c>
      <c r="P21" s="16">
        <v>426.08</v>
      </c>
      <c r="Q21" s="16">
        <v>310.94</v>
      </c>
      <c r="R21" s="16">
        <v>286.5</v>
      </c>
    </row>
    <row r="22" ht="15.0" customHeight="1">
      <c r="A22" s="14" t="s">
        <v>159</v>
      </c>
      <c r="B22" s="15"/>
      <c r="C22" s="16">
        <v>1636.73</v>
      </c>
      <c r="D22" s="16">
        <v>1524.24</v>
      </c>
      <c r="E22" s="16">
        <v>1492.85</v>
      </c>
      <c r="F22" s="16">
        <v>1022.99</v>
      </c>
      <c r="G22" s="16">
        <v>729.9</v>
      </c>
      <c r="H22" s="16">
        <v>696.68</v>
      </c>
      <c r="I22" s="16">
        <v>545.51</v>
      </c>
      <c r="J22" s="16">
        <v>410.26</v>
      </c>
      <c r="K22" s="16">
        <v>320.53</v>
      </c>
      <c r="L22" s="16">
        <v>293.04</v>
      </c>
      <c r="M22" s="16">
        <v>171.57</v>
      </c>
      <c r="N22" s="16">
        <v>176.75</v>
      </c>
      <c r="O22" s="16">
        <v>153.62</v>
      </c>
      <c r="P22" s="16">
        <v>190.6</v>
      </c>
      <c r="Q22" s="16">
        <v>161.32</v>
      </c>
      <c r="R22" s="16">
        <v>146.78</v>
      </c>
    </row>
    <row r="23" ht="15.0" customHeight="1">
      <c r="A23" s="14" t="s">
        <v>160</v>
      </c>
      <c r="B23" s="15"/>
      <c r="C23" s="16">
        <v>639.48</v>
      </c>
      <c r="D23" s="16">
        <v>435.93</v>
      </c>
      <c r="E23" s="16">
        <v>407.57</v>
      </c>
      <c r="F23" s="16">
        <v>319.56</v>
      </c>
      <c r="G23" s="16">
        <v>184.82</v>
      </c>
      <c r="H23" s="16">
        <v>136.9</v>
      </c>
      <c r="I23" s="16">
        <v>168.82</v>
      </c>
      <c r="J23" s="20">
        <v>91.06</v>
      </c>
      <c r="K23" s="16">
        <v>108.11</v>
      </c>
      <c r="L23" s="16">
        <v>114.08</v>
      </c>
      <c r="M23" s="20">
        <v>74.76</v>
      </c>
      <c r="N23" s="20">
        <v>63.99</v>
      </c>
      <c r="O23" s="20">
        <v>67.28</v>
      </c>
      <c r="P23" s="20">
        <v>44.55</v>
      </c>
      <c r="Q23" s="20">
        <v>42.65</v>
      </c>
      <c r="R23" s="20">
        <v>37.02</v>
      </c>
    </row>
    <row r="24" ht="15.0" customHeight="1">
      <c r="A24" s="14" t="s">
        <v>161</v>
      </c>
      <c r="B24" s="15"/>
      <c r="C24" s="20">
        <v>14.39</v>
      </c>
      <c r="D24" s="20">
        <v>18.12</v>
      </c>
      <c r="E24" s="20">
        <v>17.88</v>
      </c>
      <c r="F24" s="20">
        <v>0.97</v>
      </c>
      <c r="G24" s="20">
        <v>10.44</v>
      </c>
      <c r="H24" s="20">
        <v>7.5</v>
      </c>
      <c r="I24" s="20">
        <v>2.93</v>
      </c>
      <c r="J24" s="20">
        <v>16.01</v>
      </c>
      <c r="K24" s="20">
        <v>19.91</v>
      </c>
      <c r="L24" s="20">
        <v>11.51</v>
      </c>
      <c r="M24" s="20">
        <v>14.38</v>
      </c>
      <c r="N24" s="20">
        <v>7.67</v>
      </c>
      <c r="O24" s="20">
        <v>17.85</v>
      </c>
      <c r="P24" s="20">
        <v>4.79</v>
      </c>
      <c r="Q24" s="20">
        <v>6.85</v>
      </c>
      <c r="R24" s="20">
        <v>8.21</v>
      </c>
    </row>
    <row r="25" ht="15.0" customHeight="1">
      <c r="A25" s="14" t="s">
        <v>162</v>
      </c>
      <c r="B25" s="15"/>
      <c r="C25" s="15"/>
      <c r="D25" s="15"/>
      <c r="E25" s="15"/>
      <c r="F25" s="15"/>
      <c r="G25" s="15"/>
      <c r="H25" s="16">
        <v>100.33</v>
      </c>
      <c r="I25" s="16">
        <v>143.45</v>
      </c>
      <c r="J25" s="20">
        <v>94.06</v>
      </c>
      <c r="K25" s="20">
        <v>16.12</v>
      </c>
      <c r="L25" s="20">
        <v>25.12</v>
      </c>
      <c r="M25" s="20">
        <v>17.25</v>
      </c>
      <c r="N25" s="20">
        <v>6.77</v>
      </c>
      <c r="O25" s="20">
        <v>3.7</v>
      </c>
      <c r="P25" s="20">
        <v>3.64</v>
      </c>
      <c r="Q25" s="20">
        <v>1.88</v>
      </c>
      <c r="R25" s="20">
        <v>3.06</v>
      </c>
    </row>
    <row r="26" ht="15.0" customHeight="1">
      <c r="A26" s="14" t="s">
        <v>162</v>
      </c>
      <c r="B26" s="15"/>
      <c r="C26" s="20">
        <v>97.67</v>
      </c>
      <c r="D26" s="20">
        <v>63.43</v>
      </c>
      <c r="E26" s="20">
        <v>75.3</v>
      </c>
      <c r="F26" s="20">
        <v>94.51</v>
      </c>
      <c r="G26" s="20">
        <v>48.03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ht="15.0" customHeight="1">
      <c r="A27" s="14" t="s">
        <v>163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0">
        <v>0.96</v>
      </c>
      <c r="N27" s="15"/>
      <c r="O27" s="15"/>
      <c r="P27" s="15"/>
      <c r="Q27" s="15"/>
      <c r="R27" s="15"/>
    </row>
    <row r="28" ht="15.0" customHeight="1">
      <c r="A28" s="14" t="s">
        <v>164</v>
      </c>
      <c r="B28" s="16">
        <v>3754.96</v>
      </c>
      <c r="C28" s="16">
        <v>3427.67</v>
      </c>
      <c r="D28" s="16">
        <v>2959.89</v>
      </c>
      <c r="E28" s="16">
        <v>2685.43</v>
      </c>
      <c r="F28" s="16">
        <v>2198.95</v>
      </c>
      <c r="G28" s="16">
        <v>1600.76</v>
      </c>
      <c r="H28" s="16">
        <v>1485.26</v>
      </c>
      <c r="I28" s="16">
        <v>1512.58</v>
      </c>
      <c r="J28" s="16">
        <v>1274.82</v>
      </c>
      <c r="K28" s="16">
        <v>991.94</v>
      </c>
      <c r="L28" s="16">
        <v>903.18</v>
      </c>
      <c r="M28" s="16">
        <v>738.05</v>
      </c>
      <c r="N28" s="16">
        <v>632.59</v>
      </c>
      <c r="O28" s="16">
        <v>566.97</v>
      </c>
      <c r="P28" s="16">
        <v>584.7</v>
      </c>
      <c r="Q28" s="16">
        <v>466.65</v>
      </c>
      <c r="R28" s="16">
        <v>388.61</v>
      </c>
    </row>
    <row r="29" ht="15.0" customHeight="1">
      <c r="A29" s="14" t="s">
        <v>165</v>
      </c>
      <c r="B29" s="15"/>
      <c r="C29" s="16">
        <v>3616.84</v>
      </c>
      <c r="D29" s="16">
        <v>3107.88</v>
      </c>
      <c r="E29" s="16">
        <v>2820.03</v>
      </c>
      <c r="F29" s="16">
        <v>2291.5</v>
      </c>
      <c r="G29" s="16">
        <v>1712.49</v>
      </c>
      <c r="H29" s="16">
        <v>1593.09</v>
      </c>
      <c r="I29" s="16">
        <v>1587.72</v>
      </c>
      <c r="J29" s="16">
        <v>1336.86</v>
      </c>
      <c r="K29" s="16">
        <v>1043.15</v>
      </c>
      <c r="L29" s="16">
        <v>946.09</v>
      </c>
      <c r="M29" s="16">
        <v>766.8</v>
      </c>
      <c r="N29" s="16">
        <v>664.53</v>
      </c>
      <c r="O29" s="16">
        <v>592.57</v>
      </c>
      <c r="P29" s="15"/>
      <c r="Q29" s="15"/>
      <c r="R29" s="15"/>
    </row>
    <row r="30" ht="15.0" customHeight="1">
      <c r="A30" s="14" t="s">
        <v>166</v>
      </c>
      <c r="B30" s="15"/>
      <c r="C30" s="21">
        <v>-189.17</v>
      </c>
      <c r="D30" s="21">
        <v>-147.99</v>
      </c>
      <c r="E30" s="21">
        <v>-134.6</v>
      </c>
      <c r="F30" s="22">
        <v>-92.56</v>
      </c>
      <c r="G30" s="21">
        <v>-111.73</v>
      </c>
      <c r="H30" s="21">
        <v>-107.83</v>
      </c>
      <c r="I30" s="22">
        <v>-75.14</v>
      </c>
      <c r="J30" s="22">
        <v>-62.04</v>
      </c>
      <c r="K30" s="22">
        <v>-51.21</v>
      </c>
      <c r="L30" s="22">
        <v>-42.91</v>
      </c>
      <c r="M30" s="22">
        <v>-28.76</v>
      </c>
      <c r="N30" s="22">
        <v>-31.94</v>
      </c>
      <c r="O30" s="22">
        <v>-25.6</v>
      </c>
      <c r="P30" s="15"/>
      <c r="Q30" s="15"/>
      <c r="R30" s="15"/>
    </row>
    <row r="31" ht="15.0" customHeight="1">
      <c r="A31" s="14" t="s">
        <v>167</v>
      </c>
      <c r="B31" s="15"/>
      <c r="C31" s="16">
        <v>345.44</v>
      </c>
      <c r="D31" s="16">
        <v>212.43</v>
      </c>
      <c r="E31" s="16">
        <v>119.54</v>
      </c>
      <c r="F31" s="20">
        <v>79.89</v>
      </c>
      <c r="G31" s="16">
        <v>101.29</v>
      </c>
      <c r="H31" s="16">
        <v>117.21</v>
      </c>
      <c r="I31" s="20">
        <v>57.58</v>
      </c>
      <c r="J31" s="20">
        <v>77.05</v>
      </c>
      <c r="K31" s="20">
        <v>81.56</v>
      </c>
      <c r="L31" s="20">
        <v>72.21</v>
      </c>
      <c r="M31" s="20">
        <v>68.05</v>
      </c>
      <c r="N31" s="20">
        <v>62.86</v>
      </c>
      <c r="O31" s="20">
        <v>71.19</v>
      </c>
      <c r="P31" s="20">
        <v>79.04</v>
      </c>
      <c r="Q31" s="20">
        <v>65.56</v>
      </c>
      <c r="R31" s="20">
        <v>30.43</v>
      </c>
    </row>
    <row r="32" ht="15.0" customHeight="1">
      <c r="A32" s="14" t="s">
        <v>168</v>
      </c>
      <c r="B32" s="15"/>
      <c r="C32" s="16">
        <v>351.61</v>
      </c>
      <c r="D32" s="16">
        <v>414.79</v>
      </c>
      <c r="E32" s="16">
        <v>193.9</v>
      </c>
      <c r="F32" s="16">
        <v>188.04</v>
      </c>
      <c r="G32" s="16">
        <v>145.14</v>
      </c>
      <c r="H32" s="16">
        <v>103.14</v>
      </c>
      <c r="I32" s="16">
        <v>106.37</v>
      </c>
      <c r="J32" s="20">
        <v>83.05</v>
      </c>
      <c r="K32" s="20">
        <v>59.74</v>
      </c>
      <c r="L32" s="20">
        <v>85.82</v>
      </c>
      <c r="M32" s="20">
        <v>39.3</v>
      </c>
      <c r="N32" s="20">
        <v>27.3</v>
      </c>
      <c r="O32" s="20">
        <v>30.2</v>
      </c>
      <c r="P32" s="20">
        <v>30.59</v>
      </c>
      <c r="Q32" s="20">
        <v>56.21</v>
      </c>
      <c r="R32" s="20">
        <v>41.21</v>
      </c>
    </row>
    <row r="33" ht="15.0" customHeight="1">
      <c r="A33" s="14" t="s">
        <v>169</v>
      </c>
      <c r="B33" s="15"/>
      <c r="C33" s="16">
        <v>223.1</v>
      </c>
      <c r="D33" s="16">
        <v>202.36</v>
      </c>
      <c r="E33" s="16">
        <v>174.13</v>
      </c>
      <c r="F33" s="16">
        <v>141.27</v>
      </c>
      <c r="G33" s="16">
        <v>152.45</v>
      </c>
      <c r="H33" s="16">
        <v>130.34</v>
      </c>
      <c r="I33" s="20">
        <v>90.75</v>
      </c>
      <c r="J33" s="20">
        <v>94.06</v>
      </c>
      <c r="K33" s="20">
        <v>82.5</v>
      </c>
      <c r="L33" s="16">
        <v>110.94</v>
      </c>
      <c r="M33" s="20">
        <v>72.85</v>
      </c>
      <c r="N33" s="20">
        <v>63.18</v>
      </c>
      <c r="O33" s="20">
        <v>63.49</v>
      </c>
      <c r="P33" s="20">
        <v>65.65</v>
      </c>
      <c r="Q33" s="20">
        <v>53.21</v>
      </c>
      <c r="R33" s="20">
        <v>37.07</v>
      </c>
    </row>
    <row r="34" ht="15.0" customHeight="1">
      <c r="A34" s="14" t="s">
        <v>170</v>
      </c>
      <c r="B34" s="15"/>
      <c r="C34" s="16">
        <v>200.48</v>
      </c>
      <c r="D34" s="16">
        <v>140.95</v>
      </c>
      <c r="E34" s="16">
        <v>112.01</v>
      </c>
      <c r="F34" s="20">
        <v>92.56</v>
      </c>
      <c r="G34" s="20">
        <v>72.05</v>
      </c>
      <c r="H34" s="20">
        <v>71.26</v>
      </c>
      <c r="I34" s="20">
        <v>57.58</v>
      </c>
      <c r="J34" s="20">
        <v>47.03</v>
      </c>
      <c r="K34" s="20">
        <v>34.14</v>
      </c>
      <c r="L34" s="20">
        <v>42.91</v>
      </c>
      <c r="M34" s="20">
        <v>29.71</v>
      </c>
      <c r="N34" s="15"/>
      <c r="O34" s="15"/>
      <c r="P34" s="15"/>
      <c r="Q34" s="15"/>
      <c r="R34" s="15"/>
    </row>
    <row r="35" ht="15.0" customHeight="1">
      <c r="A35" s="14" t="s">
        <v>171</v>
      </c>
      <c r="B35" s="15"/>
      <c r="C35" s="20">
        <v>9.25</v>
      </c>
      <c r="D35" s="20">
        <v>42.28</v>
      </c>
      <c r="E35" s="20">
        <v>31.06</v>
      </c>
      <c r="F35" s="20">
        <v>19.49</v>
      </c>
      <c r="G35" s="20">
        <v>42.81</v>
      </c>
      <c r="H35" s="20">
        <v>45.95</v>
      </c>
      <c r="I35" s="20">
        <v>24.4</v>
      </c>
      <c r="J35" s="15"/>
      <c r="K35" s="15"/>
      <c r="L35" s="15"/>
      <c r="M35" s="15"/>
      <c r="N35" s="15"/>
      <c r="O35" s="15"/>
      <c r="P35" s="15"/>
      <c r="Q35" s="15"/>
      <c r="R35" s="15"/>
    </row>
    <row r="36" ht="15.0" customHeight="1">
      <c r="A36" s="14" t="s">
        <v>172</v>
      </c>
      <c r="B36" s="15"/>
      <c r="C36" s="20">
        <v>13.37</v>
      </c>
      <c r="D36" s="20">
        <v>19.13</v>
      </c>
      <c r="E36" s="20">
        <v>31.06</v>
      </c>
      <c r="F36" s="20">
        <v>29.23</v>
      </c>
      <c r="G36" s="20">
        <v>37.59</v>
      </c>
      <c r="H36" s="20">
        <v>13.13</v>
      </c>
      <c r="I36" s="20">
        <v>8.78</v>
      </c>
      <c r="J36" s="20">
        <v>47.03</v>
      </c>
      <c r="K36" s="20">
        <v>48.36</v>
      </c>
      <c r="L36" s="20">
        <v>68.03</v>
      </c>
      <c r="M36" s="20">
        <v>43.13</v>
      </c>
      <c r="N36" s="15"/>
      <c r="O36" s="15"/>
      <c r="P36" s="15"/>
      <c r="Q36" s="15"/>
      <c r="R36" s="15"/>
    </row>
    <row r="37" ht="15.0" customHeight="1">
      <c r="A37" s="14" t="s">
        <v>173</v>
      </c>
      <c r="B37" s="16">
        <v>1143.77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6">
        <v>759.98</v>
      </c>
      <c r="Q37" s="16">
        <v>641.62</v>
      </c>
      <c r="R37" s="16">
        <v>497.31</v>
      </c>
    </row>
    <row r="38" ht="15.0" customHeight="1">
      <c r="A38" s="14" t="s">
        <v>174</v>
      </c>
      <c r="B38" s="16">
        <v>2053.53</v>
      </c>
      <c r="C38" s="16">
        <v>1559.62</v>
      </c>
      <c r="D38" s="16">
        <v>1601.76</v>
      </c>
      <c r="E38" s="16">
        <v>1602.97</v>
      </c>
      <c r="F38" s="16">
        <v>1470.19</v>
      </c>
      <c r="G38" s="16">
        <v>1221.71</v>
      </c>
      <c r="H38" s="16">
        <v>683.56</v>
      </c>
      <c r="I38" s="16">
        <v>395.22</v>
      </c>
      <c r="J38" s="16">
        <v>305.2</v>
      </c>
      <c r="K38" s="16">
        <v>277.86</v>
      </c>
      <c r="L38" s="16">
        <v>485.61</v>
      </c>
      <c r="M38" s="16">
        <v>513.76</v>
      </c>
      <c r="N38" s="15"/>
      <c r="O38" s="15"/>
      <c r="P38" s="15"/>
      <c r="Q38" s="15"/>
      <c r="R38" s="15"/>
    </row>
    <row r="39" ht="15.0" customHeight="1">
      <c r="A39" s="14" t="s">
        <v>174</v>
      </c>
      <c r="B39" s="15"/>
      <c r="C39" s="15"/>
      <c r="D39" s="15"/>
      <c r="E39" s="15"/>
      <c r="F39" s="15"/>
      <c r="G39" s="15"/>
      <c r="H39" s="16">
        <v>683.56</v>
      </c>
      <c r="I39" s="16">
        <v>395.22</v>
      </c>
      <c r="J39" s="16">
        <v>305.2</v>
      </c>
      <c r="K39" s="16">
        <v>277.86</v>
      </c>
      <c r="L39" s="16">
        <v>485.61</v>
      </c>
      <c r="M39" s="16">
        <v>513.76</v>
      </c>
      <c r="N39" s="16">
        <v>416.24</v>
      </c>
      <c r="O39" s="16">
        <v>344.09</v>
      </c>
      <c r="P39" s="16">
        <v>293.18</v>
      </c>
      <c r="Q39" s="16">
        <v>198.72</v>
      </c>
      <c r="R39" s="20">
        <v>92.98</v>
      </c>
    </row>
    <row r="40" ht="15.0" customHeight="1">
      <c r="A40" s="14" t="s">
        <v>175</v>
      </c>
      <c r="B40" s="15"/>
      <c r="C40" s="22">
        <v>-2.06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ht="15.0" customHeight="1">
      <c r="A41" s="17" t="s">
        <v>176</v>
      </c>
      <c r="B41" s="18">
        <v>11669.48</v>
      </c>
      <c r="C41" s="18">
        <v>10280.96</v>
      </c>
      <c r="D41" s="19">
        <v>9323.65</v>
      </c>
      <c r="E41" s="19">
        <v>8241.72</v>
      </c>
      <c r="F41" s="19">
        <v>6826.77</v>
      </c>
      <c r="G41" s="19">
        <v>5167.75</v>
      </c>
      <c r="H41" s="19">
        <v>4392.01</v>
      </c>
      <c r="I41" s="19">
        <v>3831.23</v>
      </c>
      <c r="J41" s="19">
        <v>3226.08</v>
      </c>
      <c r="K41" s="19">
        <v>2588.91</v>
      </c>
      <c r="L41" s="19">
        <v>2662.46</v>
      </c>
      <c r="M41" s="19">
        <v>2220.85</v>
      </c>
      <c r="N41" s="19">
        <v>1916.17</v>
      </c>
      <c r="O41" s="19">
        <v>1720.45</v>
      </c>
      <c r="P41" s="19">
        <v>1722.82</v>
      </c>
      <c r="Q41" s="19">
        <v>1363.98</v>
      </c>
      <c r="R41" s="19">
        <v>1071.87</v>
      </c>
    </row>
    <row r="42" ht="15.0" customHeight="1">
      <c r="A42" s="14" t="s">
        <v>177</v>
      </c>
      <c r="B42" s="15">
        <v>29323.5</v>
      </c>
      <c r="C42" s="15">
        <v>26113.63</v>
      </c>
      <c r="D42" s="15">
        <v>22075.33</v>
      </c>
      <c r="E42" s="15">
        <v>17211.98</v>
      </c>
      <c r="F42" s="15">
        <v>15098.4</v>
      </c>
      <c r="G42" s="15">
        <v>12123.17</v>
      </c>
      <c r="H42" s="15">
        <v>10510.26</v>
      </c>
      <c r="I42" s="16">
        <v>8912.53</v>
      </c>
      <c r="J42" s="16">
        <v>8293.36</v>
      </c>
      <c r="K42" s="16">
        <v>6471.33</v>
      </c>
      <c r="L42" s="16">
        <v>5243.28</v>
      </c>
      <c r="M42" s="16">
        <v>4482.91</v>
      </c>
      <c r="N42" s="16">
        <v>2871.47</v>
      </c>
      <c r="O42" s="16">
        <v>2581.61</v>
      </c>
      <c r="P42" s="15"/>
      <c r="Q42" s="15"/>
      <c r="R42" s="15"/>
    </row>
    <row r="43" ht="15.0" customHeight="1">
      <c r="A43" s="14" t="s">
        <v>178</v>
      </c>
      <c r="B43" s="15"/>
      <c r="C43" s="15">
        <v>15757.62</v>
      </c>
      <c r="D43" s="15">
        <v>13344.67</v>
      </c>
      <c r="E43" s="15">
        <v>10586.41</v>
      </c>
      <c r="F43" s="16">
        <v>9316.05</v>
      </c>
      <c r="G43" s="16">
        <v>7898.33</v>
      </c>
      <c r="H43" s="16">
        <v>6861.82</v>
      </c>
      <c r="I43" s="16">
        <v>6086.44</v>
      </c>
      <c r="J43" s="16">
        <v>5688.67</v>
      </c>
      <c r="K43" s="16">
        <v>4688.49</v>
      </c>
      <c r="L43" s="16">
        <v>4262.65</v>
      </c>
      <c r="M43" s="16">
        <v>3785.12</v>
      </c>
      <c r="N43" s="16">
        <v>2800.81</v>
      </c>
      <c r="O43" s="16">
        <v>2526.75</v>
      </c>
      <c r="P43" s="16">
        <v>2553.97</v>
      </c>
      <c r="Q43" s="16">
        <v>1313.43</v>
      </c>
      <c r="R43" s="16">
        <v>974.49</v>
      </c>
    </row>
    <row r="44" ht="15.0" customHeight="1">
      <c r="A44" s="14" t="s">
        <v>179</v>
      </c>
      <c r="B44" s="15"/>
      <c r="C44" s="15">
        <v>16068.11</v>
      </c>
      <c r="D44" s="15">
        <v>13640.65</v>
      </c>
      <c r="E44" s="15">
        <v>10785.96</v>
      </c>
      <c r="F44" s="16">
        <v>9561.57</v>
      </c>
      <c r="G44" s="16">
        <v>8146.85</v>
      </c>
      <c r="H44" s="16">
        <v>7351.28</v>
      </c>
      <c r="I44" s="16">
        <v>6588.03</v>
      </c>
      <c r="J44" s="16">
        <v>6194.0</v>
      </c>
      <c r="K44" s="16">
        <v>5159.8</v>
      </c>
      <c r="L44" s="16">
        <v>4778.61</v>
      </c>
      <c r="M44" s="16">
        <v>4268.21</v>
      </c>
      <c r="N44" s="16">
        <v>3266.98</v>
      </c>
      <c r="O44" s="16">
        <v>2902.14</v>
      </c>
      <c r="P44" s="16">
        <v>3009.39</v>
      </c>
      <c r="Q44" s="16">
        <v>1674.96</v>
      </c>
      <c r="R44" s="16">
        <v>1253.04</v>
      </c>
    </row>
    <row r="45" ht="15.0" customHeight="1">
      <c r="A45" s="14" t="s">
        <v>180</v>
      </c>
      <c r="B45" s="15"/>
      <c r="C45" s="21">
        <v>-260.11</v>
      </c>
      <c r="D45" s="21">
        <v>-245.65</v>
      </c>
      <c r="E45" s="21">
        <v>-199.55</v>
      </c>
      <c r="F45" s="21">
        <v>-245.52</v>
      </c>
      <c r="G45" s="21">
        <v>-248.52</v>
      </c>
      <c r="H45" s="21">
        <v>-489.46</v>
      </c>
      <c r="I45" s="21">
        <v>-501.59</v>
      </c>
      <c r="J45" s="21">
        <v>-505.33</v>
      </c>
      <c r="K45" s="21">
        <v>-471.31</v>
      </c>
      <c r="L45" s="21">
        <v>-515.96</v>
      </c>
      <c r="M45" s="21">
        <v>-483.08</v>
      </c>
      <c r="N45" s="21">
        <v>-466.16</v>
      </c>
      <c r="O45" s="21">
        <v>-375.39</v>
      </c>
      <c r="P45" s="21">
        <v>-455.43</v>
      </c>
      <c r="Q45" s="21">
        <v>-359.98</v>
      </c>
      <c r="R45" s="21">
        <v>-278.55</v>
      </c>
    </row>
    <row r="46" ht="15.0" customHeight="1">
      <c r="A46" s="14" t="s">
        <v>181</v>
      </c>
      <c r="B46" s="15"/>
      <c r="C46" s="22">
        <v>-51.4</v>
      </c>
      <c r="D46" s="22">
        <v>-50.34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ht="15.0" customHeight="1">
      <c r="A47" s="14" t="s">
        <v>182</v>
      </c>
      <c r="B47" s="15"/>
      <c r="C47" s="20">
        <v>1.03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ht="15.0" customHeight="1">
      <c r="A48" s="14" t="s">
        <v>183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2">
        <v>-1.54</v>
      </c>
      <c r="R48" s="15"/>
    </row>
    <row r="49" ht="15.0" customHeight="1">
      <c r="A49" s="14" t="s">
        <v>184</v>
      </c>
      <c r="B49" s="15"/>
      <c r="C49" s="15">
        <v>11391.3</v>
      </c>
      <c r="D49" s="16">
        <v>9251.16</v>
      </c>
      <c r="E49" s="16">
        <v>6899.47</v>
      </c>
      <c r="F49" s="16">
        <v>5742.4</v>
      </c>
      <c r="G49" s="16">
        <v>4114.15</v>
      </c>
      <c r="H49" s="16">
        <v>3349.33</v>
      </c>
      <c r="I49" s="16">
        <v>2499.18</v>
      </c>
      <c r="J49" s="16">
        <v>2149.39</v>
      </c>
      <c r="K49" s="16">
        <v>1379.8</v>
      </c>
      <c r="L49" s="16">
        <v>681.31</v>
      </c>
      <c r="M49" s="16">
        <v>413.11</v>
      </c>
      <c r="N49" s="20">
        <v>32.75</v>
      </c>
      <c r="O49" s="20">
        <v>29.75</v>
      </c>
      <c r="P49" s="15"/>
      <c r="Q49" s="15"/>
      <c r="R49" s="15"/>
    </row>
    <row r="50" ht="15.0" customHeight="1">
      <c r="A50" s="14" t="s">
        <v>185</v>
      </c>
      <c r="B50" s="15"/>
      <c r="C50" s="21">
        <v>-4679.89</v>
      </c>
      <c r="D50" s="21">
        <v>-3493.47</v>
      </c>
      <c r="E50" s="21">
        <v>-2532.94</v>
      </c>
      <c r="F50" s="21">
        <v>-1846.26</v>
      </c>
      <c r="G50" s="21">
        <v>-1372.08</v>
      </c>
      <c r="H50" s="21">
        <v>-926.41</v>
      </c>
      <c r="I50" s="21">
        <v>-639.19</v>
      </c>
      <c r="J50" s="21">
        <v>-399.26</v>
      </c>
      <c r="K50" s="21">
        <v>-202.94</v>
      </c>
      <c r="L50" s="22">
        <v>-98.38</v>
      </c>
      <c r="M50" s="22">
        <v>-36.42</v>
      </c>
      <c r="N50" s="22">
        <v>-6.0</v>
      </c>
      <c r="O50" s="22">
        <v>-2.48</v>
      </c>
      <c r="P50" s="15"/>
      <c r="Q50" s="15"/>
      <c r="R50" s="15"/>
    </row>
    <row r="51" ht="15.0" customHeight="1">
      <c r="A51" s="14" t="s">
        <v>186</v>
      </c>
      <c r="B51" s="15"/>
      <c r="C51" s="22">
        <v>-1.03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ht="15.0" customHeight="1">
      <c r="A52" s="14" t="s">
        <v>187</v>
      </c>
      <c r="B52" s="15"/>
      <c r="C52" s="16">
        <v>158.33</v>
      </c>
      <c r="D52" s="20">
        <v>94.64</v>
      </c>
      <c r="E52" s="20">
        <v>93.19</v>
      </c>
      <c r="F52" s="20">
        <v>71.12</v>
      </c>
      <c r="G52" s="20">
        <v>92.93</v>
      </c>
      <c r="H52" s="20">
        <v>76.89</v>
      </c>
      <c r="I52" s="20">
        <v>76.12</v>
      </c>
      <c r="J52" s="20">
        <v>66.04</v>
      </c>
      <c r="K52" s="20">
        <v>46.47</v>
      </c>
      <c r="L52" s="20">
        <v>42.91</v>
      </c>
      <c r="M52" s="20">
        <v>46.01</v>
      </c>
      <c r="N52" s="20">
        <v>31.29</v>
      </c>
      <c r="O52" s="20">
        <v>53.14</v>
      </c>
      <c r="P52" s="15"/>
      <c r="Q52" s="15"/>
      <c r="R52" s="15"/>
    </row>
    <row r="53" ht="15.0" customHeight="1">
      <c r="A53" s="14" t="s">
        <v>188</v>
      </c>
      <c r="B53" s="15"/>
      <c r="C53" s="22">
        <v>-84.3</v>
      </c>
      <c r="D53" s="22">
        <v>-43.29</v>
      </c>
      <c r="E53" s="22">
        <v>-39.53</v>
      </c>
      <c r="F53" s="22">
        <v>-47.74</v>
      </c>
      <c r="G53" s="22">
        <v>-39.68</v>
      </c>
      <c r="H53" s="22">
        <v>-31.88</v>
      </c>
      <c r="I53" s="22">
        <v>-28.3</v>
      </c>
      <c r="J53" s="22">
        <v>-21.01</v>
      </c>
      <c r="K53" s="22">
        <v>-23.71</v>
      </c>
      <c r="L53" s="22">
        <v>-17.79</v>
      </c>
      <c r="M53" s="22">
        <v>-15.34</v>
      </c>
      <c r="N53" s="22">
        <v>-9.7</v>
      </c>
      <c r="O53" s="22">
        <v>-34.7</v>
      </c>
      <c r="P53" s="15"/>
      <c r="Q53" s="15"/>
      <c r="R53" s="15"/>
    </row>
    <row r="54" ht="15.0" customHeight="1">
      <c r="A54" s="14" t="s">
        <v>189</v>
      </c>
      <c r="B54" s="15"/>
      <c r="C54" s="16">
        <v>361.89</v>
      </c>
      <c r="D54" s="16">
        <v>310.08</v>
      </c>
      <c r="E54" s="16">
        <v>249.44</v>
      </c>
      <c r="F54" s="16">
        <v>231.88</v>
      </c>
      <c r="G54" s="16">
        <v>199.44</v>
      </c>
      <c r="H54" s="16">
        <v>163.15</v>
      </c>
      <c r="I54" s="16">
        <v>146.38</v>
      </c>
      <c r="J54" s="16">
        <v>134.09</v>
      </c>
      <c r="K54" s="16">
        <v>122.33</v>
      </c>
      <c r="L54" s="16">
        <v>128.73</v>
      </c>
      <c r="M54" s="16">
        <v>105.44</v>
      </c>
      <c r="N54" s="20">
        <v>85.93</v>
      </c>
      <c r="O54" s="20">
        <v>42.56</v>
      </c>
      <c r="P54" s="15"/>
      <c r="Q54" s="15"/>
      <c r="R54" s="15"/>
    </row>
    <row r="55" ht="15.0" customHeight="1">
      <c r="A55" s="14" t="s">
        <v>190</v>
      </c>
      <c r="B55" s="15"/>
      <c r="C55" s="21">
        <v>-295.06</v>
      </c>
      <c r="D55" s="21">
        <v>-253.7</v>
      </c>
      <c r="E55" s="21">
        <v>-197.67</v>
      </c>
      <c r="F55" s="21">
        <v>-177.32</v>
      </c>
      <c r="G55" s="21">
        <v>-154.54</v>
      </c>
      <c r="H55" s="21">
        <v>-133.15</v>
      </c>
      <c r="I55" s="21">
        <v>-121.01</v>
      </c>
      <c r="J55" s="21">
        <v>-109.07</v>
      </c>
      <c r="K55" s="22">
        <v>-95.78</v>
      </c>
      <c r="L55" s="21">
        <v>-100.47</v>
      </c>
      <c r="M55" s="22">
        <v>-78.6</v>
      </c>
      <c r="N55" s="22">
        <v>-63.61</v>
      </c>
      <c r="O55" s="22">
        <v>-33.42</v>
      </c>
      <c r="P55" s="15"/>
      <c r="Q55" s="15"/>
      <c r="R55" s="15"/>
    </row>
    <row r="56" ht="15.0" customHeight="1">
      <c r="A56" s="14" t="s">
        <v>191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2">
        <v>-0.96</v>
      </c>
      <c r="N56" s="15"/>
      <c r="O56" s="15"/>
      <c r="P56" s="15"/>
      <c r="Q56" s="15"/>
      <c r="R56" s="15"/>
    </row>
    <row r="57" ht="15.0" customHeight="1">
      <c r="A57" s="14" t="s">
        <v>192</v>
      </c>
      <c r="B57" s="15"/>
      <c r="C57" s="16">
        <v>3555.15</v>
      </c>
      <c r="D57" s="16">
        <v>2903.51</v>
      </c>
      <c r="E57" s="16">
        <v>2190.32</v>
      </c>
      <c r="F57" s="16">
        <v>1830.67</v>
      </c>
      <c r="G57" s="16">
        <v>1400.27</v>
      </c>
      <c r="H57" s="16">
        <v>1159.89</v>
      </c>
      <c r="I57" s="16">
        <v>892.91</v>
      </c>
      <c r="J57" s="16">
        <v>784.51</v>
      </c>
      <c r="K57" s="16">
        <v>556.66</v>
      </c>
      <c r="L57" s="16">
        <v>344.32</v>
      </c>
      <c r="M57" s="16">
        <v>264.55</v>
      </c>
      <c r="N57" s="15"/>
      <c r="O57" s="15"/>
      <c r="P57" s="15"/>
      <c r="Q57" s="15"/>
      <c r="R57" s="15"/>
    </row>
    <row r="58" ht="15.0" customHeight="1">
      <c r="A58" s="14" t="s">
        <v>193</v>
      </c>
      <c r="B58" s="15"/>
      <c r="C58" s="22">
        <v>-50.38</v>
      </c>
      <c r="D58" s="22">
        <v>-38.26</v>
      </c>
      <c r="E58" s="22">
        <v>-36.71</v>
      </c>
      <c r="F58" s="22">
        <v>-22.41</v>
      </c>
      <c r="G58" s="22">
        <v>-15.66</v>
      </c>
      <c r="H58" s="22">
        <v>-9.38</v>
      </c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/>
      <c r="O58" s="15"/>
      <c r="P58" s="15"/>
      <c r="Q58" s="15"/>
      <c r="R58" s="15"/>
    </row>
    <row r="59" ht="15.0" customHeight="1">
      <c r="A59" s="14" t="s">
        <v>194</v>
      </c>
      <c r="B59" s="16">
        <v>3444.42</v>
      </c>
      <c r="C59" s="16">
        <v>3120.27</v>
      </c>
      <c r="D59" s="16">
        <v>2741.42</v>
      </c>
      <c r="E59" s="16">
        <v>2225.15</v>
      </c>
      <c r="F59" s="16">
        <v>1999.22</v>
      </c>
      <c r="G59" s="16">
        <v>1570.48</v>
      </c>
      <c r="H59" s="16">
        <v>1409.31</v>
      </c>
      <c r="I59" s="16">
        <v>596.25</v>
      </c>
      <c r="J59" s="16">
        <v>550.36</v>
      </c>
      <c r="K59" s="16">
        <v>440.02</v>
      </c>
      <c r="L59" s="16">
        <v>436.42</v>
      </c>
      <c r="M59" s="16">
        <v>369.98</v>
      </c>
      <c r="N59" s="16">
        <v>322.35</v>
      </c>
      <c r="O59" s="16">
        <v>285.93</v>
      </c>
      <c r="P59" s="16">
        <v>301.11</v>
      </c>
      <c r="Q59" s="16">
        <v>267.85</v>
      </c>
      <c r="R59" s="16">
        <v>290.32</v>
      </c>
    </row>
    <row r="60" ht="15.0" customHeight="1">
      <c r="A60" s="14" t="s">
        <v>195</v>
      </c>
      <c r="B60" s="15"/>
      <c r="C60" s="16">
        <v>1316.99</v>
      </c>
      <c r="D60" s="16">
        <v>1063.14</v>
      </c>
      <c r="E60" s="16">
        <v>875.38</v>
      </c>
      <c r="F60" s="16">
        <v>834.96</v>
      </c>
      <c r="G60" s="16">
        <v>721.54</v>
      </c>
      <c r="H60" s="16">
        <v>627.3</v>
      </c>
      <c r="I60" s="16">
        <v>561.12</v>
      </c>
      <c r="J60" s="16">
        <v>539.35</v>
      </c>
      <c r="K60" s="16">
        <v>458.04</v>
      </c>
      <c r="L60" s="16">
        <v>510.72</v>
      </c>
      <c r="M60" s="16">
        <v>435.16</v>
      </c>
      <c r="N60" s="16">
        <v>397.06</v>
      </c>
      <c r="O60" s="16">
        <v>369.6</v>
      </c>
      <c r="P60" s="16">
        <v>376.21</v>
      </c>
      <c r="Q60" s="16">
        <v>329.66</v>
      </c>
      <c r="R60" s="16">
        <v>328.92</v>
      </c>
    </row>
    <row r="61" ht="15.0" customHeight="1">
      <c r="A61" s="14" t="s">
        <v>196</v>
      </c>
      <c r="B61" s="15"/>
      <c r="C61" s="21">
        <v>-696.02</v>
      </c>
      <c r="D61" s="21">
        <v>-579.9</v>
      </c>
      <c r="E61" s="21">
        <v>-505.46</v>
      </c>
      <c r="F61" s="21">
        <v>-466.68</v>
      </c>
      <c r="G61" s="21">
        <v>-444.83</v>
      </c>
      <c r="H61" s="21">
        <v>-383.5</v>
      </c>
      <c r="I61" s="21">
        <v>-340.58</v>
      </c>
      <c r="J61" s="21">
        <v>-322.21</v>
      </c>
      <c r="K61" s="21">
        <v>-273.12</v>
      </c>
      <c r="L61" s="21">
        <v>-306.64</v>
      </c>
      <c r="M61" s="21">
        <v>-254.0</v>
      </c>
      <c r="N61" s="21">
        <v>-226.0</v>
      </c>
      <c r="O61" s="21">
        <v>-208.15</v>
      </c>
      <c r="P61" s="21">
        <v>-209.73</v>
      </c>
      <c r="Q61" s="21">
        <v>-182.16</v>
      </c>
      <c r="R61" s="21">
        <v>-172.64</v>
      </c>
    </row>
    <row r="62" ht="15.0" customHeight="1">
      <c r="A62" s="14" t="s">
        <v>197</v>
      </c>
      <c r="B62" s="15"/>
      <c r="C62" s="22">
        <v>-1.03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ht="15.0" customHeight="1">
      <c r="A63" s="14" t="s">
        <v>198</v>
      </c>
      <c r="B63" s="15"/>
      <c r="C63" s="16">
        <v>631.25</v>
      </c>
      <c r="D63" s="16">
        <v>546.67</v>
      </c>
      <c r="E63" s="16">
        <v>477.22</v>
      </c>
      <c r="F63" s="16">
        <v>471.55</v>
      </c>
      <c r="G63" s="16">
        <v>404.11</v>
      </c>
      <c r="H63" s="16">
        <v>321.62</v>
      </c>
      <c r="I63" s="16">
        <v>171.75</v>
      </c>
      <c r="J63" s="16">
        <v>165.11</v>
      </c>
      <c r="K63" s="16">
        <v>117.59</v>
      </c>
      <c r="L63" s="16">
        <v>105.7</v>
      </c>
      <c r="M63" s="20">
        <v>84.35</v>
      </c>
      <c r="N63" s="20">
        <v>54.54</v>
      </c>
      <c r="O63" s="20">
        <v>54.88</v>
      </c>
      <c r="P63" s="20">
        <v>64.44</v>
      </c>
      <c r="Q63" s="20">
        <v>54.57</v>
      </c>
      <c r="R63" s="20">
        <v>65.56</v>
      </c>
    </row>
    <row r="64" ht="15.0" customHeight="1">
      <c r="A64" s="14" t="s">
        <v>199</v>
      </c>
      <c r="B64" s="15"/>
      <c r="C64" s="16">
        <v>2449.95</v>
      </c>
      <c r="D64" s="16">
        <v>1993.39</v>
      </c>
      <c r="E64" s="16">
        <v>1652.86</v>
      </c>
      <c r="F64" s="16">
        <v>1478.96</v>
      </c>
      <c r="G64" s="16">
        <v>1358.51</v>
      </c>
      <c r="H64" s="16">
        <v>1148.64</v>
      </c>
      <c r="I64" s="16">
        <v>709.45</v>
      </c>
      <c r="J64" s="16">
        <v>669.43</v>
      </c>
      <c r="K64" s="16">
        <v>502.61</v>
      </c>
      <c r="L64" s="16">
        <v>527.47</v>
      </c>
      <c r="M64" s="16">
        <v>419.82</v>
      </c>
      <c r="N64" s="16">
        <v>359.6</v>
      </c>
      <c r="O64" s="16">
        <v>348.13</v>
      </c>
      <c r="P64" s="15"/>
      <c r="Q64" s="15"/>
      <c r="R64" s="15"/>
    </row>
    <row r="65" ht="15.0" customHeight="1">
      <c r="A65" s="14" t="s">
        <v>200</v>
      </c>
      <c r="B65" s="15"/>
      <c r="C65" s="21">
        <v>-1818.7</v>
      </c>
      <c r="D65" s="21">
        <v>-1446.72</v>
      </c>
      <c r="E65" s="21">
        <v>-1175.64</v>
      </c>
      <c r="F65" s="21">
        <v>-1007.4</v>
      </c>
      <c r="G65" s="21">
        <v>-954.4</v>
      </c>
      <c r="H65" s="21">
        <v>-827.02</v>
      </c>
      <c r="I65" s="21">
        <v>-537.7</v>
      </c>
      <c r="J65" s="21">
        <v>-504.33</v>
      </c>
      <c r="K65" s="21">
        <v>-385.02</v>
      </c>
      <c r="L65" s="21">
        <v>-421.77</v>
      </c>
      <c r="M65" s="21">
        <v>-335.48</v>
      </c>
      <c r="N65" s="21">
        <v>-305.06</v>
      </c>
      <c r="O65" s="21">
        <v>-293.25</v>
      </c>
      <c r="P65" s="15"/>
      <c r="Q65" s="15"/>
      <c r="R65" s="15"/>
    </row>
    <row r="66" ht="15.0" customHeight="1">
      <c r="A66" s="14" t="s">
        <v>201</v>
      </c>
      <c r="B66" s="15"/>
      <c r="C66" s="16">
        <v>566.48</v>
      </c>
      <c r="D66" s="16">
        <v>500.36</v>
      </c>
      <c r="E66" s="16">
        <v>351.09</v>
      </c>
      <c r="F66" s="16">
        <v>311.77</v>
      </c>
      <c r="G66" s="16">
        <v>278.8</v>
      </c>
      <c r="H66" s="16">
        <v>262.55</v>
      </c>
      <c r="I66" s="16">
        <v>198.1</v>
      </c>
      <c r="J66" s="16">
        <v>164.11</v>
      </c>
      <c r="K66" s="16">
        <v>134.66</v>
      </c>
      <c r="L66" s="16">
        <v>125.59</v>
      </c>
      <c r="M66" s="16">
        <v>102.56</v>
      </c>
      <c r="N66" s="20">
        <v>80.19</v>
      </c>
      <c r="O66" s="20">
        <v>66.11</v>
      </c>
      <c r="P66" s="20">
        <v>66.58</v>
      </c>
      <c r="Q66" s="20">
        <v>64.1</v>
      </c>
      <c r="R66" s="20">
        <v>66.19</v>
      </c>
    </row>
    <row r="67" ht="15.0" customHeight="1">
      <c r="A67" s="14" t="s">
        <v>202</v>
      </c>
      <c r="B67" s="15"/>
      <c r="C67" s="16">
        <v>2094.23</v>
      </c>
      <c r="D67" s="16">
        <v>1740.7</v>
      </c>
      <c r="E67" s="16">
        <v>1205.76</v>
      </c>
      <c r="F67" s="16">
        <v>1035.66</v>
      </c>
      <c r="G67" s="16">
        <v>895.92</v>
      </c>
      <c r="H67" s="16">
        <v>752.94</v>
      </c>
      <c r="I67" s="16">
        <v>631.38</v>
      </c>
      <c r="J67" s="16">
        <v>582.38</v>
      </c>
      <c r="K67" s="16">
        <v>472.26</v>
      </c>
      <c r="L67" s="16">
        <v>438.51</v>
      </c>
      <c r="M67" s="16">
        <v>355.6</v>
      </c>
      <c r="N67" s="16">
        <v>298.67</v>
      </c>
      <c r="O67" s="16">
        <v>287.86</v>
      </c>
      <c r="P67" s="15"/>
      <c r="Q67" s="15"/>
      <c r="R67" s="15"/>
    </row>
    <row r="68" ht="15.0" customHeight="1">
      <c r="A68" s="14" t="s">
        <v>203</v>
      </c>
      <c r="B68" s="15"/>
      <c r="C68" s="21">
        <v>-1527.75</v>
      </c>
      <c r="D68" s="21">
        <v>-1240.33</v>
      </c>
      <c r="E68" s="21">
        <v>-854.67</v>
      </c>
      <c r="F68" s="21">
        <v>-723.89</v>
      </c>
      <c r="G68" s="21">
        <v>-617.12</v>
      </c>
      <c r="H68" s="21">
        <v>-490.4</v>
      </c>
      <c r="I68" s="21">
        <v>-433.28</v>
      </c>
      <c r="J68" s="21">
        <v>-418.27</v>
      </c>
      <c r="K68" s="21">
        <v>-337.6</v>
      </c>
      <c r="L68" s="21">
        <v>-312.92</v>
      </c>
      <c r="M68" s="21">
        <v>-253.04</v>
      </c>
      <c r="N68" s="21">
        <v>-218.48</v>
      </c>
      <c r="O68" s="21">
        <v>-221.76</v>
      </c>
      <c r="P68" s="15"/>
      <c r="Q68" s="15"/>
      <c r="R68" s="15"/>
    </row>
    <row r="69" ht="15.0" customHeight="1">
      <c r="A69" s="14" t="s">
        <v>204</v>
      </c>
      <c r="B69" s="15"/>
      <c r="C69" s="20">
        <v>1.03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20">
        <v>16.56</v>
      </c>
      <c r="O69" s="20">
        <v>3.5</v>
      </c>
      <c r="P69" s="15"/>
      <c r="Q69" s="15"/>
      <c r="R69" s="15"/>
    </row>
    <row r="70" ht="15.0" customHeight="1">
      <c r="A70" s="14" t="s">
        <v>205</v>
      </c>
      <c r="B70" s="15"/>
      <c r="C70" s="20">
        <v>60.66</v>
      </c>
      <c r="D70" s="20">
        <v>24.16</v>
      </c>
      <c r="E70" s="20">
        <v>48.0</v>
      </c>
      <c r="F70" s="20">
        <v>16.56</v>
      </c>
      <c r="G70" s="20">
        <v>38.64</v>
      </c>
      <c r="H70" s="20">
        <v>22.5</v>
      </c>
      <c r="I70" s="20">
        <v>5.86</v>
      </c>
      <c r="J70" s="20">
        <v>4.0</v>
      </c>
      <c r="K70" s="20">
        <v>2.84</v>
      </c>
      <c r="L70" s="20">
        <v>1.05</v>
      </c>
      <c r="M70" s="20">
        <v>1.92</v>
      </c>
      <c r="N70" s="15"/>
      <c r="O70" s="15"/>
      <c r="P70" s="20">
        <v>3.61</v>
      </c>
      <c r="Q70" s="20">
        <v>1.68</v>
      </c>
      <c r="R70" s="20">
        <v>2.29</v>
      </c>
    </row>
    <row r="71" ht="15.0" customHeight="1">
      <c r="A71" s="14" t="s">
        <v>206</v>
      </c>
      <c r="B71" s="15"/>
      <c r="C71" s="20">
        <v>60.66</v>
      </c>
      <c r="D71" s="20">
        <v>24.16</v>
      </c>
      <c r="E71" s="20">
        <v>48.0</v>
      </c>
      <c r="F71" s="20">
        <v>16.56</v>
      </c>
      <c r="G71" s="20">
        <v>38.64</v>
      </c>
      <c r="H71" s="20">
        <v>22.5</v>
      </c>
      <c r="I71" s="20">
        <v>5.86</v>
      </c>
      <c r="J71" s="20">
        <v>4.0</v>
      </c>
      <c r="K71" s="20">
        <v>2.84</v>
      </c>
      <c r="L71" s="20">
        <v>1.05</v>
      </c>
      <c r="M71" s="20">
        <v>1.92</v>
      </c>
      <c r="N71" s="15"/>
      <c r="O71" s="15"/>
      <c r="P71" s="15"/>
      <c r="Q71" s="15"/>
      <c r="R71" s="15"/>
    </row>
    <row r="72" ht="15.0" customHeight="1">
      <c r="A72" s="14" t="s">
        <v>207</v>
      </c>
      <c r="B72" s="15"/>
      <c r="C72" s="15">
        <v>0.0</v>
      </c>
      <c r="D72" s="15">
        <v>0.0</v>
      </c>
      <c r="E72" s="15">
        <v>0.0</v>
      </c>
      <c r="F72" s="15">
        <v>0.0</v>
      </c>
      <c r="G72" s="15">
        <v>0.0</v>
      </c>
      <c r="H72" s="15">
        <v>0.0</v>
      </c>
      <c r="I72" s="15">
        <v>0.0</v>
      </c>
      <c r="J72" s="15">
        <v>0.0</v>
      </c>
      <c r="K72" s="15">
        <v>0.0</v>
      </c>
      <c r="L72" s="15">
        <v>0.0</v>
      </c>
      <c r="M72" s="15">
        <v>0.0</v>
      </c>
      <c r="N72" s="15"/>
      <c r="O72" s="15"/>
      <c r="P72" s="15"/>
      <c r="Q72" s="15"/>
      <c r="R72" s="15"/>
    </row>
    <row r="73" ht="15.0" customHeight="1">
      <c r="A73" s="14" t="s">
        <v>208</v>
      </c>
      <c r="B73" s="15"/>
      <c r="C73" s="16">
        <v>1984.22</v>
      </c>
      <c r="D73" s="16">
        <v>1800.1</v>
      </c>
      <c r="E73" s="16">
        <v>1368.6</v>
      </c>
      <c r="F73" s="16">
        <v>1132.11</v>
      </c>
      <c r="G73" s="16">
        <v>798.81</v>
      </c>
      <c r="H73" s="16">
        <v>693.87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ht="15.0" customHeight="1">
      <c r="A74" s="14" t="s">
        <v>209</v>
      </c>
      <c r="B74" s="15"/>
      <c r="C74" s="21">
        <v>-742.29</v>
      </c>
      <c r="D74" s="21">
        <v>-613.12</v>
      </c>
      <c r="E74" s="21">
        <v>-389.68</v>
      </c>
      <c r="F74" s="21">
        <v>-301.05</v>
      </c>
      <c r="G74" s="21">
        <v>-226.59</v>
      </c>
      <c r="H74" s="21">
        <v>-135.02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ht="15.0" customHeight="1">
      <c r="A75" s="14" t="s">
        <v>210</v>
      </c>
      <c r="B75" s="15"/>
      <c r="C75" s="22">
        <v>-1.03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ht="15.0" customHeight="1">
      <c r="A76" s="14" t="s">
        <v>211</v>
      </c>
      <c r="B76" s="16">
        <v>510.65</v>
      </c>
      <c r="C76" s="20">
        <v>30.84</v>
      </c>
      <c r="D76" s="20">
        <v>29.2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20">
        <v>25.72</v>
      </c>
      <c r="Q76" s="20">
        <v>24.73</v>
      </c>
      <c r="R76" s="20">
        <v>26.98</v>
      </c>
    </row>
    <row r="77" ht="15.0" customHeight="1">
      <c r="A77" s="14" t="s">
        <v>212</v>
      </c>
      <c r="B77" s="15"/>
      <c r="C77" s="15"/>
      <c r="D77" s="15"/>
      <c r="E77" s="15"/>
      <c r="F77" s="15"/>
      <c r="G77" s="15"/>
      <c r="H77" s="15"/>
      <c r="I77" s="15"/>
      <c r="J77" s="15"/>
      <c r="K77" s="15">
        <v>0.0</v>
      </c>
      <c r="L77" s="20">
        <v>4.19</v>
      </c>
      <c r="M77" s="20">
        <v>3.83</v>
      </c>
      <c r="N77" s="20">
        <v>3.31</v>
      </c>
      <c r="O77" s="20">
        <v>3.01</v>
      </c>
      <c r="P77" s="20">
        <v>5.82</v>
      </c>
      <c r="Q77" s="20">
        <v>5.45</v>
      </c>
      <c r="R77" s="20">
        <v>5.18</v>
      </c>
    </row>
    <row r="78" ht="15.0" customHeight="1">
      <c r="A78" s="14" t="s">
        <v>213</v>
      </c>
      <c r="B78" s="15"/>
      <c r="C78" s="15"/>
      <c r="D78" s="15"/>
      <c r="E78" s="20">
        <v>14.12</v>
      </c>
      <c r="F78" s="20">
        <v>12.67</v>
      </c>
      <c r="G78" s="20">
        <v>11.49</v>
      </c>
      <c r="H78" s="20">
        <v>8.44</v>
      </c>
      <c r="I78" s="20">
        <v>16.59</v>
      </c>
      <c r="J78" s="20">
        <v>5.0</v>
      </c>
      <c r="K78" s="20">
        <v>4.74</v>
      </c>
      <c r="L78" s="20">
        <v>3.14</v>
      </c>
      <c r="M78" s="20">
        <v>1.92</v>
      </c>
      <c r="N78" s="20">
        <v>1.77</v>
      </c>
      <c r="O78" s="20">
        <v>1.9</v>
      </c>
      <c r="P78" s="20">
        <v>1.9</v>
      </c>
      <c r="Q78" s="20">
        <v>2.67</v>
      </c>
      <c r="R78" s="20">
        <v>3.88</v>
      </c>
    </row>
    <row r="79" ht="15.0" customHeight="1">
      <c r="A79" s="14" t="s">
        <v>214</v>
      </c>
      <c r="B79" s="15"/>
      <c r="C79" s="16">
        <v>434.88</v>
      </c>
      <c r="D79" s="16">
        <v>352.37</v>
      </c>
      <c r="E79" s="16">
        <v>329.44</v>
      </c>
      <c r="F79" s="16">
        <v>299.1</v>
      </c>
      <c r="G79" s="16">
        <v>196.31</v>
      </c>
      <c r="H79" s="16">
        <v>162.22</v>
      </c>
      <c r="I79" s="16">
        <v>132.72</v>
      </c>
      <c r="J79" s="16">
        <v>125.08</v>
      </c>
      <c r="K79" s="20">
        <v>98.63</v>
      </c>
      <c r="L79" s="20">
        <v>83.73</v>
      </c>
      <c r="M79" s="20">
        <v>46.01</v>
      </c>
      <c r="N79" s="20">
        <v>38.4</v>
      </c>
      <c r="O79" s="20">
        <v>23.24</v>
      </c>
      <c r="P79" s="20">
        <v>18.0</v>
      </c>
      <c r="Q79" s="20">
        <v>16.61</v>
      </c>
      <c r="R79" s="20">
        <v>17.92</v>
      </c>
    </row>
    <row r="80" ht="15.0" customHeight="1">
      <c r="A80" s="14" t="s">
        <v>215</v>
      </c>
      <c r="B80" s="15"/>
      <c r="C80" s="15"/>
      <c r="D80" s="20">
        <v>1.01</v>
      </c>
      <c r="E80" s="15"/>
      <c r="F80" s="15"/>
      <c r="G80" s="15"/>
      <c r="H80" s="15"/>
      <c r="I80" s="15"/>
      <c r="J80" s="15"/>
      <c r="K80" s="15"/>
      <c r="L80" s="15"/>
      <c r="M80" s="20">
        <v>0.96</v>
      </c>
      <c r="N80" s="15"/>
      <c r="O80" s="15"/>
      <c r="P80" s="15"/>
      <c r="Q80" s="15"/>
      <c r="R80" s="15"/>
    </row>
    <row r="81" ht="15.0" customHeight="1">
      <c r="A81" s="17" t="s">
        <v>216</v>
      </c>
      <c r="B81" s="18">
        <v>33278.56</v>
      </c>
      <c r="C81" s="18">
        <v>29699.63</v>
      </c>
      <c r="D81" s="18">
        <v>25199.32</v>
      </c>
      <c r="E81" s="18">
        <v>19780.69</v>
      </c>
      <c r="F81" s="18">
        <v>17409.39</v>
      </c>
      <c r="G81" s="18">
        <v>13901.44</v>
      </c>
      <c r="H81" s="18">
        <v>12090.23</v>
      </c>
      <c r="I81" s="19">
        <v>9658.08</v>
      </c>
      <c r="J81" s="19">
        <v>8973.8</v>
      </c>
      <c r="K81" s="19">
        <v>7014.71</v>
      </c>
      <c r="L81" s="19">
        <v>5770.75</v>
      </c>
      <c r="M81" s="19">
        <v>4905.61</v>
      </c>
      <c r="N81" s="19">
        <v>3237.31</v>
      </c>
      <c r="O81" s="19">
        <v>2895.68</v>
      </c>
      <c r="P81" s="19">
        <v>2880.8</v>
      </c>
      <c r="Q81" s="19">
        <v>1606.02</v>
      </c>
      <c r="R81" s="19">
        <v>1291.79</v>
      </c>
    </row>
    <row r="82" ht="15.0" customHeight="1">
      <c r="A82" s="14" t="s">
        <v>217</v>
      </c>
      <c r="B82" s="15"/>
      <c r="C82" s="20">
        <v>1.03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ht="15.0" customHeight="1">
      <c r="A83" s="17" t="s">
        <v>218</v>
      </c>
      <c r="B83" s="18">
        <v>44948.04</v>
      </c>
      <c r="C83" s="18">
        <v>39981.61</v>
      </c>
      <c r="D83" s="18">
        <v>34522.97</v>
      </c>
      <c r="E83" s="18">
        <v>28022.41</v>
      </c>
      <c r="F83" s="18">
        <v>24236.16</v>
      </c>
      <c r="G83" s="18">
        <v>19069.19</v>
      </c>
      <c r="H83" s="18">
        <v>16482.24</v>
      </c>
      <c r="I83" s="18">
        <v>13489.31</v>
      </c>
      <c r="J83" s="18">
        <v>12199.88</v>
      </c>
      <c r="K83" s="19">
        <v>9603.62</v>
      </c>
      <c r="L83" s="19">
        <v>8433.21</v>
      </c>
      <c r="M83" s="19">
        <v>7126.46</v>
      </c>
      <c r="N83" s="19">
        <v>5153.48</v>
      </c>
      <c r="O83" s="19">
        <v>4616.13</v>
      </c>
      <c r="P83" s="19">
        <v>4603.62</v>
      </c>
      <c r="Q83" s="19">
        <v>2970.0</v>
      </c>
      <c r="R83" s="19">
        <v>2363.66</v>
      </c>
    </row>
    <row r="84" ht="15.0" customHeight="1">
      <c r="A84" s="14" t="s">
        <v>219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20">
        <v>4.23</v>
      </c>
      <c r="Q84" s="16">
        <v>562.22</v>
      </c>
      <c r="R84" s="15"/>
    </row>
    <row r="85" ht="15.0" customHeight="1">
      <c r="A85" s="14" t="s">
        <v>220</v>
      </c>
      <c r="B85" s="16">
        <v>6142.0</v>
      </c>
      <c r="C85" s="16">
        <f>7008.53-C88</f>
        <v>6687.76</v>
      </c>
      <c r="D85" s="16">
        <f>6324.5-D88</f>
        <v>6048.65</v>
      </c>
      <c r="E85" s="16">
        <f>5198.61-E88</f>
        <v>4977.41</v>
      </c>
      <c r="F85" s="16">
        <f>3640.88-F88</f>
        <v>3466.48</v>
      </c>
      <c r="G85" s="16">
        <f>2766.09-G88</f>
        <v>2613.64</v>
      </c>
      <c r="H85" s="16">
        <f>3460.91-H88</f>
        <v>3446.85</v>
      </c>
      <c r="I85" s="16">
        <v>1719.46</v>
      </c>
      <c r="J85" s="16">
        <v>2809.81</v>
      </c>
      <c r="K85" s="16">
        <v>2077.77</v>
      </c>
      <c r="L85" s="16">
        <v>1403.44</v>
      </c>
      <c r="M85" s="16">
        <v>264.55</v>
      </c>
      <c r="N85" s="16">
        <v>1719.13</v>
      </c>
      <c r="O85" s="16">
        <v>1697.18</v>
      </c>
      <c r="P85" s="15">
        <f t="shared" ref="P85:Q85" si="1">P84+P86+P87</f>
        <v>227.52</v>
      </c>
      <c r="Q85" s="15">
        <f t="shared" si="1"/>
        <v>697.32</v>
      </c>
      <c r="R85" s="20">
        <v>66.44</v>
      </c>
    </row>
    <row r="86" ht="15.0" customHeight="1">
      <c r="A86" s="14" t="s">
        <v>221</v>
      </c>
      <c r="B86" s="15"/>
      <c r="C86" s="16">
        <v>6339.24</v>
      </c>
      <c r="D86" s="16">
        <v>5744.6</v>
      </c>
      <c r="E86" s="16">
        <v>4909.64</v>
      </c>
      <c r="F86" s="16">
        <v>3287.22</v>
      </c>
      <c r="G86" s="16">
        <v>2612.59</v>
      </c>
      <c r="H86" s="16">
        <v>2927.38</v>
      </c>
      <c r="I86" s="16">
        <v>1467.69</v>
      </c>
      <c r="J86" s="16">
        <v>2492.61</v>
      </c>
      <c r="K86" s="15"/>
      <c r="L86" s="15"/>
      <c r="M86" s="15"/>
      <c r="N86" s="15"/>
      <c r="O86" s="15"/>
      <c r="P86" s="16">
        <v>160.53</v>
      </c>
      <c r="Q86" s="20">
        <v>89.68</v>
      </c>
      <c r="R86" s="20">
        <v>80.91</v>
      </c>
    </row>
    <row r="87" ht="15.0" customHeight="1">
      <c r="A87" s="14" t="s">
        <v>222</v>
      </c>
      <c r="B87" s="15"/>
      <c r="C87" s="16">
        <v>348.52</v>
      </c>
      <c r="D87" s="16">
        <v>304.04</v>
      </c>
      <c r="E87" s="20">
        <v>67.77</v>
      </c>
      <c r="F87" s="16">
        <v>179.27</v>
      </c>
      <c r="G87" s="20">
        <v>1.04</v>
      </c>
      <c r="H87" s="16">
        <v>519.47</v>
      </c>
      <c r="I87" s="16">
        <v>251.77</v>
      </c>
      <c r="J87" s="16">
        <v>317.2</v>
      </c>
      <c r="K87" s="15"/>
      <c r="L87" s="15"/>
      <c r="M87" s="15"/>
      <c r="N87" s="15"/>
      <c r="O87" s="15"/>
      <c r="P87" s="20">
        <v>62.76</v>
      </c>
      <c r="Q87" s="20">
        <v>45.42</v>
      </c>
      <c r="R87" s="15"/>
    </row>
    <row r="88" ht="15.0" customHeight="1">
      <c r="A88" s="14" t="s">
        <v>223</v>
      </c>
      <c r="B88" s="15"/>
      <c r="C88" s="16">
        <v>320.77</v>
      </c>
      <c r="D88" s="16">
        <v>275.85</v>
      </c>
      <c r="E88" s="16">
        <v>221.2</v>
      </c>
      <c r="F88" s="16">
        <v>174.4</v>
      </c>
      <c r="G88" s="16">
        <v>152.45</v>
      </c>
      <c r="H88" s="20">
        <v>14.06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ht="15.0" customHeight="1">
      <c r="A89" s="14" t="s">
        <v>224</v>
      </c>
      <c r="B89" s="16">
        <v>1999.95</v>
      </c>
      <c r="C89" s="16">
        <v>1717.95</v>
      </c>
      <c r="D89" s="16">
        <v>1405.44</v>
      </c>
      <c r="E89" s="16">
        <v>1363.89</v>
      </c>
      <c r="F89" s="16">
        <v>1260.72</v>
      </c>
      <c r="G89" s="16">
        <v>831.18</v>
      </c>
      <c r="H89" s="16">
        <v>637.61</v>
      </c>
      <c r="I89" s="16">
        <v>616.74</v>
      </c>
      <c r="J89" s="16">
        <v>557.36</v>
      </c>
      <c r="K89" s="16">
        <v>480.8</v>
      </c>
      <c r="L89" s="16">
        <v>387.23</v>
      </c>
      <c r="M89" s="16">
        <v>329.72</v>
      </c>
      <c r="N89" s="16">
        <v>295.1</v>
      </c>
      <c r="O89" s="16">
        <v>268.73</v>
      </c>
      <c r="P89" s="16">
        <v>318.63</v>
      </c>
      <c r="Q89" s="16">
        <v>247.31</v>
      </c>
      <c r="R89" s="16">
        <v>221.73</v>
      </c>
    </row>
    <row r="90" ht="15.0" customHeight="1">
      <c r="A90" s="14" t="s">
        <v>225</v>
      </c>
      <c r="B90" s="15"/>
      <c r="C90" s="16">
        <v>360.86</v>
      </c>
      <c r="D90" s="16">
        <v>383.58</v>
      </c>
      <c r="E90" s="16">
        <v>419.8</v>
      </c>
      <c r="F90" s="16">
        <v>615.74</v>
      </c>
      <c r="G90" s="16">
        <v>243.3</v>
      </c>
      <c r="H90" s="16">
        <v>245.67</v>
      </c>
      <c r="I90" s="16">
        <v>424.5</v>
      </c>
      <c r="J90" s="16">
        <v>260.17</v>
      </c>
      <c r="K90" s="16">
        <v>134.66</v>
      </c>
      <c r="L90" s="16">
        <v>189.43</v>
      </c>
      <c r="M90" s="16">
        <v>127.48</v>
      </c>
      <c r="N90" s="16">
        <v>107.62</v>
      </c>
      <c r="O90" s="20">
        <v>97.64</v>
      </c>
      <c r="P90" s="20">
        <v>97.82</v>
      </c>
      <c r="Q90" s="20">
        <v>93.37</v>
      </c>
      <c r="R90" s="20">
        <v>81.88</v>
      </c>
    </row>
    <row r="91" ht="15.0" customHeight="1">
      <c r="A91" s="14" t="s">
        <v>226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>
        <v>0.0</v>
      </c>
      <c r="N91" s="20">
        <v>94.25</v>
      </c>
      <c r="O91" s="20">
        <v>85.6</v>
      </c>
      <c r="P91" s="20">
        <v>95.45</v>
      </c>
      <c r="Q91" s="20">
        <v>56.4</v>
      </c>
      <c r="R91" s="20">
        <v>48.55</v>
      </c>
    </row>
    <row r="92" ht="15.0" customHeight="1">
      <c r="A92" s="14" t="s">
        <v>227</v>
      </c>
      <c r="B92" s="15"/>
      <c r="C92" s="16">
        <v>529.47</v>
      </c>
      <c r="D92" s="16">
        <v>511.44</v>
      </c>
      <c r="E92" s="16">
        <v>469.69</v>
      </c>
      <c r="F92" s="16">
        <v>321.51</v>
      </c>
      <c r="G92" s="16">
        <v>229.72</v>
      </c>
      <c r="H92" s="16">
        <v>196.91</v>
      </c>
      <c r="I92" s="16">
        <v>184.44</v>
      </c>
      <c r="J92" s="16">
        <v>198.13</v>
      </c>
      <c r="K92" s="16">
        <v>145.09</v>
      </c>
      <c r="L92" s="16">
        <v>113.03</v>
      </c>
      <c r="M92" s="20">
        <v>62.3</v>
      </c>
      <c r="N92" s="20">
        <v>59.01</v>
      </c>
      <c r="O92" s="20">
        <v>78.83</v>
      </c>
      <c r="P92" s="20">
        <v>83.83</v>
      </c>
      <c r="Q92" s="16">
        <v>109.52</v>
      </c>
      <c r="R92" s="20">
        <v>62.29</v>
      </c>
    </row>
    <row r="93" ht="15.0" customHeight="1">
      <c r="A93" s="14" t="s">
        <v>228</v>
      </c>
      <c r="B93" s="15"/>
      <c r="C93" s="20">
        <v>66.83</v>
      </c>
      <c r="D93" s="20">
        <v>51.34</v>
      </c>
      <c r="E93" s="20">
        <v>47.06</v>
      </c>
      <c r="F93" s="20">
        <v>66.25</v>
      </c>
      <c r="G93" s="20">
        <v>39.68</v>
      </c>
      <c r="H93" s="20">
        <v>57.2</v>
      </c>
      <c r="I93" s="20">
        <v>40.99</v>
      </c>
      <c r="J93" s="20">
        <v>36.02</v>
      </c>
      <c r="K93" s="20">
        <v>38.88</v>
      </c>
      <c r="L93" s="20">
        <v>45.0</v>
      </c>
      <c r="M93" s="20">
        <v>34.51</v>
      </c>
      <c r="N93" s="20">
        <v>42.89</v>
      </c>
      <c r="O93" s="15">
        <v>0.0</v>
      </c>
      <c r="P93" s="15"/>
      <c r="Q93" s="15"/>
      <c r="R93" s="15"/>
    </row>
    <row r="94" ht="15.0" customHeight="1">
      <c r="A94" s="14" t="s">
        <v>229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6">
        <v>191.52</v>
      </c>
      <c r="M94" s="16">
        <v>118.85</v>
      </c>
      <c r="N94" s="16">
        <v>134.58</v>
      </c>
      <c r="O94" s="16">
        <v>112.25</v>
      </c>
      <c r="P94" s="16">
        <v>108.91</v>
      </c>
      <c r="Q94" s="16">
        <v>120.33</v>
      </c>
      <c r="R94" s="16">
        <v>112.63</v>
      </c>
    </row>
    <row r="95" ht="15.0" customHeight="1">
      <c r="A95" s="14" t="s">
        <v>230</v>
      </c>
      <c r="B95" s="15"/>
      <c r="C95" s="16">
        <v>1217.27</v>
      </c>
      <c r="D95" s="16">
        <v>1193.02</v>
      </c>
      <c r="E95" s="16">
        <v>985.5</v>
      </c>
      <c r="F95" s="16">
        <v>900.23</v>
      </c>
      <c r="G95" s="16">
        <v>814.48</v>
      </c>
      <c r="H95" s="16">
        <v>643.24</v>
      </c>
      <c r="I95" s="16">
        <v>537.7</v>
      </c>
      <c r="J95" s="16">
        <v>495.32</v>
      </c>
      <c r="K95" s="16">
        <v>396.4</v>
      </c>
      <c r="L95" s="16">
        <v>412.35</v>
      </c>
      <c r="M95" s="16">
        <v>334.52</v>
      </c>
      <c r="N95" s="16">
        <v>296.16</v>
      </c>
      <c r="O95" s="16">
        <v>276.29</v>
      </c>
      <c r="P95" s="16">
        <v>265.25</v>
      </c>
      <c r="Q95" s="16">
        <v>221.31</v>
      </c>
      <c r="R95" s="16">
        <v>204.78</v>
      </c>
    </row>
    <row r="96" ht="15.0" customHeight="1">
      <c r="A96" s="14" t="s">
        <v>231</v>
      </c>
      <c r="B96" s="15"/>
      <c r="C96" s="16">
        <v>777.24</v>
      </c>
      <c r="D96" s="16">
        <v>722.86</v>
      </c>
      <c r="E96" s="16">
        <v>584.53</v>
      </c>
      <c r="F96" s="16">
        <v>525.14</v>
      </c>
      <c r="G96" s="16">
        <v>491.82</v>
      </c>
      <c r="H96" s="16">
        <v>427.57</v>
      </c>
      <c r="I96" s="16">
        <v>398.15</v>
      </c>
      <c r="J96" s="16">
        <v>352.23</v>
      </c>
      <c r="K96" s="16">
        <v>280.7</v>
      </c>
      <c r="L96" s="16">
        <v>286.76</v>
      </c>
      <c r="M96" s="16">
        <v>227.16</v>
      </c>
      <c r="N96" s="16">
        <v>199.05</v>
      </c>
      <c r="O96" s="16">
        <v>186.41</v>
      </c>
      <c r="P96" s="16">
        <v>176.82</v>
      </c>
      <c r="Q96" s="16">
        <v>155.5</v>
      </c>
      <c r="R96" s="16">
        <v>139.33</v>
      </c>
    </row>
    <row r="97" ht="15.0" customHeight="1">
      <c r="A97" s="14" t="s">
        <v>232</v>
      </c>
      <c r="B97" s="15"/>
      <c r="C97" s="15"/>
      <c r="D97" s="15"/>
      <c r="E97" s="15"/>
      <c r="F97" s="15"/>
      <c r="G97" s="15"/>
      <c r="H97" s="15"/>
      <c r="I97" s="15"/>
      <c r="J97" s="20">
        <v>6.0</v>
      </c>
      <c r="K97" s="20">
        <v>4.74</v>
      </c>
      <c r="L97" s="20">
        <v>19.88</v>
      </c>
      <c r="M97" s="20">
        <v>15.34</v>
      </c>
      <c r="N97" s="20">
        <v>24.08</v>
      </c>
      <c r="O97" s="20">
        <v>23.67</v>
      </c>
      <c r="P97" s="15"/>
      <c r="Q97" s="15"/>
      <c r="R97" s="15"/>
    </row>
    <row r="98" ht="15.0" customHeight="1">
      <c r="A98" s="14" t="s">
        <v>233</v>
      </c>
      <c r="B98" s="15"/>
      <c r="C98" s="16">
        <v>118.23</v>
      </c>
      <c r="D98" s="20">
        <v>86.58</v>
      </c>
      <c r="E98" s="20">
        <v>87.54</v>
      </c>
      <c r="F98" s="16">
        <v>119.84</v>
      </c>
      <c r="G98" s="20">
        <v>30.28</v>
      </c>
      <c r="H98" s="20">
        <v>29.07</v>
      </c>
      <c r="I98" s="20">
        <v>5.86</v>
      </c>
      <c r="J98" s="15"/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234</v>
      </c>
      <c r="B99" s="15"/>
      <c r="C99" s="16">
        <v>321.79</v>
      </c>
      <c r="D99" s="16">
        <v>383.58</v>
      </c>
      <c r="E99" s="16">
        <v>313.44</v>
      </c>
      <c r="F99" s="16">
        <v>255.26</v>
      </c>
      <c r="G99" s="16">
        <v>292.38</v>
      </c>
      <c r="H99" s="16">
        <v>186.59</v>
      </c>
      <c r="I99" s="16">
        <v>133.69</v>
      </c>
      <c r="J99" s="16">
        <v>137.09</v>
      </c>
      <c r="K99" s="16">
        <v>110.95</v>
      </c>
      <c r="L99" s="16">
        <v>105.7</v>
      </c>
      <c r="M99" s="20">
        <v>92.02</v>
      </c>
      <c r="N99" s="20">
        <v>73.02</v>
      </c>
      <c r="O99" s="20">
        <v>66.22</v>
      </c>
      <c r="P99" s="20">
        <v>88.42</v>
      </c>
      <c r="Q99" s="20">
        <v>65.81</v>
      </c>
      <c r="R99" s="20">
        <v>65.45</v>
      </c>
    </row>
    <row r="100" ht="15.0" customHeight="1">
      <c r="A100" s="14" t="s">
        <v>235</v>
      </c>
      <c r="B100" s="16">
        <v>3654.37</v>
      </c>
      <c r="C100" s="16">
        <v>839.95</v>
      </c>
      <c r="D100" s="16">
        <v>723.86</v>
      </c>
      <c r="E100" s="16">
        <v>522.4</v>
      </c>
      <c r="F100" s="16">
        <v>744.35</v>
      </c>
      <c r="G100" s="16">
        <v>412.46</v>
      </c>
      <c r="H100" s="16">
        <v>333.81</v>
      </c>
      <c r="I100" s="16">
        <v>335.7</v>
      </c>
      <c r="J100" s="16">
        <v>234.15</v>
      </c>
      <c r="K100" s="16">
        <v>189.66</v>
      </c>
      <c r="L100" s="15"/>
      <c r="M100" s="15"/>
      <c r="N100" s="15"/>
      <c r="O100" s="15"/>
      <c r="P100" s="15"/>
      <c r="Q100" s="15"/>
      <c r="R100" s="15"/>
    </row>
    <row r="101" ht="15.0" customHeight="1">
      <c r="A101" s="14" t="s">
        <v>236</v>
      </c>
      <c r="B101" s="15"/>
      <c r="C101" s="16">
        <v>198.42</v>
      </c>
      <c r="D101" s="16">
        <v>109.74</v>
      </c>
      <c r="E101" s="20">
        <v>59.3</v>
      </c>
      <c r="F101" s="16">
        <v>340.02</v>
      </c>
      <c r="G101" s="20">
        <v>40.72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ht="15.0" customHeight="1">
      <c r="A102" s="14" t="s">
        <v>237</v>
      </c>
      <c r="B102" s="15"/>
      <c r="C102" s="16">
        <v>641.53</v>
      </c>
      <c r="D102" s="16">
        <v>614.13</v>
      </c>
      <c r="E102" s="16">
        <v>463.1</v>
      </c>
      <c r="F102" s="16">
        <v>404.33</v>
      </c>
      <c r="G102" s="16">
        <v>371.74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ht="15.0" customHeight="1">
      <c r="A103" s="14" t="s">
        <v>238</v>
      </c>
      <c r="B103" s="15"/>
      <c r="C103" s="15"/>
      <c r="D103" s="22">
        <v>-1.01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ht="15.0" customHeight="1">
      <c r="A104" s="17" t="s">
        <v>239</v>
      </c>
      <c r="B104" s="18">
        <v>11796.32</v>
      </c>
      <c r="C104" s="18">
        <v>11740.85</v>
      </c>
      <c r="D104" s="18">
        <v>10592.17</v>
      </c>
      <c r="E104" s="19">
        <v>9006.97</v>
      </c>
      <c r="F104" s="19">
        <v>7549.69</v>
      </c>
      <c r="G104" s="19">
        <v>5336.91</v>
      </c>
      <c r="H104" s="19">
        <v>5575.34</v>
      </c>
      <c r="I104" s="19">
        <v>3859.52</v>
      </c>
      <c r="J104" s="19">
        <v>4590.96</v>
      </c>
      <c r="K104" s="19">
        <v>3463.26</v>
      </c>
      <c r="L104" s="19">
        <v>2742.0</v>
      </c>
      <c r="M104" s="19">
        <v>1271.93</v>
      </c>
      <c r="N104" s="19">
        <v>2748.72</v>
      </c>
      <c r="O104" s="19">
        <v>2616.53</v>
      </c>
      <c r="P104" s="19">
        <v>1197.39</v>
      </c>
      <c r="Q104" s="19">
        <v>1545.55</v>
      </c>
      <c r="R104" s="19">
        <v>879.21</v>
      </c>
    </row>
    <row r="105" ht="15.0" customHeight="1">
      <c r="A105" s="14" t="s">
        <v>240</v>
      </c>
      <c r="B105" s="16">
        <v>5880.66</v>
      </c>
      <c r="C105" s="16">
        <v>3643.57</v>
      </c>
      <c r="D105" s="16">
        <v>3260.91</v>
      </c>
      <c r="E105" s="16">
        <v>2579.07</v>
      </c>
      <c r="F105" s="16">
        <v>3089.44</v>
      </c>
      <c r="G105" s="16">
        <v>2367.2</v>
      </c>
      <c r="H105" s="16">
        <v>1532.14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ht="15.0" customHeight="1">
      <c r="A106" s="14" t="s">
        <v>241</v>
      </c>
      <c r="B106" s="15"/>
      <c r="C106" s="16">
        <v>920.15</v>
      </c>
      <c r="D106" s="16">
        <v>911.12</v>
      </c>
      <c r="E106" s="16">
        <v>757.72</v>
      </c>
      <c r="F106" s="16">
        <v>656.66</v>
      </c>
      <c r="G106" s="16">
        <v>419.77</v>
      </c>
      <c r="H106" s="16">
        <v>544.78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ht="15.0" customHeight="1">
      <c r="A107" s="14" t="s">
        <v>242</v>
      </c>
      <c r="B107" s="15"/>
      <c r="C107" s="16">
        <v>2723.43</v>
      </c>
      <c r="D107" s="16">
        <v>2349.79</v>
      </c>
      <c r="E107" s="16">
        <v>1821.35</v>
      </c>
      <c r="F107" s="16">
        <v>2432.77</v>
      </c>
      <c r="G107" s="16">
        <v>1947.43</v>
      </c>
      <c r="H107" s="16">
        <v>987.36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ht="15.0" customHeight="1">
      <c r="A108" s="14" t="s">
        <v>243</v>
      </c>
      <c r="B108" s="15"/>
      <c r="C108" s="15"/>
      <c r="D108" s="15"/>
      <c r="E108" s="15"/>
      <c r="F108" s="15"/>
      <c r="G108" s="15"/>
      <c r="H108" s="15"/>
      <c r="I108" s="16">
        <v>1733.13</v>
      </c>
      <c r="J108" s="16">
        <v>997.64</v>
      </c>
      <c r="K108" s="16">
        <v>1027.03</v>
      </c>
      <c r="L108" s="16">
        <v>1113.54</v>
      </c>
      <c r="M108" s="16">
        <v>2216.06</v>
      </c>
      <c r="N108" s="20">
        <v>72.77</v>
      </c>
      <c r="O108" s="20">
        <v>65.56</v>
      </c>
      <c r="P108" s="16">
        <v>1691.76</v>
      </c>
      <c r="Q108" s="16">
        <v>496.74</v>
      </c>
      <c r="R108" s="16">
        <v>585.08</v>
      </c>
    </row>
    <row r="109" ht="15.0" customHeight="1">
      <c r="A109" s="14" t="s">
        <v>244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>
        <v>0.0</v>
      </c>
      <c r="N109" s="15"/>
      <c r="O109" s="15"/>
      <c r="P109" s="15"/>
      <c r="Q109" s="15"/>
      <c r="R109" s="15"/>
    </row>
    <row r="110" ht="15.0" customHeight="1">
      <c r="A110" s="14" t="s">
        <v>245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20">
        <v>0.64</v>
      </c>
      <c r="O110" s="20">
        <v>3.56</v>
      </c>
      <c r="P110" s="20">
        <v>31.7</v>
      </c>
      <c r="Q110" s="20">
        <v>6.61</v>
      </c>
      <c r="R110" s="20">
        <v>5.14</v>
      </c>
    </row>
    <row r="111" ht="15.0" customHeight="1">
      <c r="A111" s="14" t="s">
        <v>246</v>
      </c>
      <c r="B111" s="16">
        <v>6192.3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ht="15.0" customHeight="1">
      <c r="A112" s="14" t="s">
        <v>247</v>
      </c>
      <c r="B112" s="15"/>
      <c r="C112" s="16">
        <v>116.17</v>
      </c>
      <c r="D112" s="20">
        <v>98.66</v>
      </c>
      <c r="E112" s="20">
        <v>65.89</v>
      </c>
      <c r="F112" s="20">
        <v>55.53</v>
      </c>
      <c r="G112" s="20">
        <v>45.94</v>
      </c>
      <c r="H112" s="20">
        <v>37.51</v>
      </c>
      <c r="I112" s="20">
        <v>36.11</v>
      </c>
      <c r="J112" s="20">
        <v>36.02</v>
      </c>
      <c r="K112" s="20">
        <v>35.09</v>
      </c>
      <c r="L112" s="20">
        <v>40.82</v>
      </c>
      <c r="M112" s="20">
        <v>37.38</v>
      </c>
      <c r="N112" s="20">
        <v>35.86</v>
      </c>
      <c r="O112" s="20">
        <v>32.3</v>
      </c>
      <c r="P112" s="20">
        <v>33.37</v>
      </c>
      <c r="Q112" s="20">
        <v>28.16</v>
      </c>
      <c r="R112" s="20">
        <v>26.51</v>
      </c>
    </row>
    <row r="113" ht="15.0" customHeight="1">
      <c r="A113" s="14" t="s">
        <v>248</v>
      </c>
      <c r="B113" s="15"/>
      <c r="C113" s="16">
        <v>2971.2</v>
      </c>
      <c r="D113" s="16">
        <v>2551.14</v>
      </c>
      <c r="E113" s="16">
        <v>1976.66</v>
      </c>
      <c r="F113" s="16">
        <v>1712.78</v>
      </c>
      <c r="G113" s="16">
        <v>1234.25</v>
      </c>
      <c r="H113" s="16">
        <v>1022.05</v>
      </c>
      <c r="I113" s="16">
        <v>804.11</v>
      </c>
      <c r="J113" s="16">
        <v>736.48</v>
      </c>
      <c r="K113" s="16">
        <v>497.87</v>
      </c>
      <c r="L113" s="16">
        <v>365.25</v>
      </c>
      <c r="M113" s="16">
        <v>254.0</v>
      </c>
      <c r="N113" s="20">
        <v>35.43</v>
      </c>
      <c r="O113" s="20">
        <v>18.35</v>
      </c>
      <c r="P113" s="20">
        <v>15.09</v>
      </c>
      <c r="Q113" s="20">
        <v>14.2</v>
      </c>
      <c r="R113" s="20">
        <v>17.11</v>
      </c>
    </row>
    <row r="114" ht="15.0" customHeight="1">
      <c r="A114" s="14" t="s">
        <v>249</v>
      </c>
      <c r="B114" s="15"/>
      <c r="C114" s="20">
        <v>70.94</v>
      </c>
      <c r="D114" s="20">
        <v>69.47</v>
      </c>
      <c r="E114" s="20">
        <v>61.18</v>
      </c>
      <c r="F114" s="20">
        <v>66.25</v>
      </c>
      <c r="G114" s="20">
        <v>30.28</v>
      </c>
      <c r="H114" s="20">
        <v>33.76</v>
      </c>
      <c r="I114" s="20">
        <v>35.13</v>
      </c>
      <c r="J114" s="20">
        <v>30.02</v>
      </c>
      <c r="K114" s="20">
        <v>19.91</v>
      </c>
      <c r="L114" s="20">
        <v>23.02</v>
      </c>
      <c r="M114" s="20">
        <v>18.21</v>
      </c>
      <c r="N114" s="20">
        <v>15.02</v>
      </c>
      <c r="O114" s="20">
        <v>37.0</v>
      </c>
      <c r="P114" s="20">
        <v>42.3</v>
      </c>
      <c r="Q114" s="20">
        <v>32.67</v>
      </c>
      <c r="R114" s="20">
        <v>24.69</v>
      </c>
    </row>
    <row r="115" ht="15.0" customHeight="1">
      <c r="A115" s="14" t="s">
        <v>250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>
        <v>0.0</v>
      </c>
      <c r="N115" s="20">
        <v>0.9</v>
      </c>
      <c r="O115" s="15"/>
      <c r="P115" s="15"/>
      <c r="Q115" s="15"/>
      <c r="R115" s="15"/>
    </row>
    <row r="116" ht="15.0" customHeight="1">
      <c r="A116" s="14" t="s">
        <v>251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20">
        <v>18.21</v>
      </c>
      <c r="N116" s="20">
        <v>14.12</v>
      </c>
      <c r="O116" s="15"/>
      <c r="P116" s="15"/>
      <c r="Q116" s="15"/>
      <c r="R116" s="15"/>
    </row>
    <row r="117" ht="15.0" customHeight="1">
      <c r="A117" s="14" t="s">
        <v>245</v>
      </c>
      <c r="B117" s="15"/>
      <c r="C117" s="16">
        <v>2512.67</v>
      </c>
      <c r="D117" s="16">
        <v>2515.9</v>
      </c>
      <c r="E117" s="16">
        <v>1777.11</v>
      </c>
      <c r="F117" s="16">
        <v>1283.13</v>
      </c>
      <c r="G117" s="16">
        <v>995.12</v>
      </c>
      <c r="H117" s="16">
        <v>806.39</v>
      </c>
      <c r="I117" s="16">
        <v>436.21</v>
      </c>
      <c r="J117" s="16">
        <v>259.17</v>
      </c>
      <c r="K117" s="20">
        <v>48.36</v>
      </c>
      <c r="L117" s="15"/>
      <c r="M117" s="15"/>
      <c r="N117" s="15"/>
      <c r="O117" s="15"/>
      <c r="P117" s="15"/>
      <c r="Q117" s="15"/>
      <c r="R117" s="15"/>
    </row>
    <row r="118" ht="15.0" customHeight="1">
      <c r="A118" s="14" t="s">
        <v>252</v>
      </c>
      <c r="B118" s="15"/>
      <c r="C118" s="16">
        <v>2511.64</v>
      </c>
      <c r="D118" s="16">
        <v>2512.88</v>
      </c>
      <c r="E118" s="16">
        <v>1772.4</v>
      </c>
      <c r="F118" s="16">
        <v>1274.36</v>
      </c>
      <c r="G118" s="16">
        <v>988.86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ht="15.0" customHeight="1">
      <c r="A119" s="14" t="s">
        <v>253</v>
      </c>
      <c r="B119" s="15"/>
      <c r="C119" s="20">
        <v>1.03</v>
      </c>
      <c r="D119" s="20">
        <v>3.02</v>
      </c>
      <c r="E119" s="20">
        <v>4.71</v>
      </c>
      <c r="F119" s="20">
        <v>8.77</v>
      </c>
      <c r="G119" s="20">
        <v>6.27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ht="15.0" customHeight="1">
      <c r="A120" s="14" t="s">
        <v>254</v>
      </c>
      <c r="B120" s="15"/>
      <c r="C120" s="15"/>
      <c r="D120" s="22">
        <v>-1.01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ht="15.0" customHeight="1">
      <c r="A121" s="17" t="s">
        <v>255</v>
      </c>
      <c r="B121" s="18">
        <v>12072.97</v>
      </c>
      <c r="C121" s="19">
        <v>9314.55</v>
      </c>
      <c r="D121" s="19">
        <v>8495.08</v>
      </c>
      <c r="E121" s="19">
        <v>6459.9</v>
      </c>
      <c r="F121" s="19">
        <v>6207.13</v>
      </c>
      <c r="G121" s="19">
        <v>4672.8</v>
      </c>
      <c r="H121" s="19">
        <v>3431.85</v>
      </c>
      <c r="I121" s="19">
        <v>3044.68</v>
      </c>
      <c r="J121" s="19">
        <v>2059.33</v>
      </c>
      <c r="K121" s="19">
        <v>1628.26</v>
      </c>
      <c r="L121" s="19">
        <v>1542.63</v>
      </c>
      <c r="M121" s="19">
        <v>2525.65</v>
      </c>
      <c r="N121" s="19">
        <v>159.72</v>
      </c>
      <c r="O121" s="19">
        <v>156.78</v>
      </c>
      <c r="P121" s="19">
        <v>1814.22</v>
      </c>
      <c r="Q121" s="19">
        <v>578.36</v>
      </c>
      <c r="R121" s="19">
        <v>658.53</v>
      </c>
    </row>
    <row r="122" ht="15.0" customHeight="1">
      <c r="A122" s="17" t="s">
        <v>256</v>
      </c>
      <c r="B122" s="18">
        <v>23869.28</v>
      </c>
      <c r="C122" s="18">
        <v>21055.4</v>
      </c>
      <c r="D122" s="18">
        <v>19087.25</v>
      </c>
      <c r="E122" s="18">
        <v>15466.87</v>
      </c>
      <c r="F122" s="18">
        <v>13756.82</v>
      </c>
      <c r="G122" s="18">
        <v>10009.71</v>
      </c>
      <c r="H122" s="19">
        <v>9007.19</v>
      </c>
      <c r="I122" s="19">
        <v>6904.21</v>
      </c>
      <c r="J122" s="19">
        <v>6650.29</v>
      </c>
      <c r="K122" s="19">
        <v>5091.52</v>
      </c>
      <c r="L122" s="19">
        <v>4284.63</v>
      </c>
      <c r="M122" s="19">
        <v>3797.58</v>
      </c>
      <c r="N122" s="19">
        <v>2908.44</v>
      </c>
      <c r="O122" s="19">
        <v>2773.31</v>
      </c>
      <c r="P122" s="19">
        <v>3011.62</v>
      </c>
      <c r="Q122" s="19">
        <v>2123.91</v>
      </c>
      <c r="R122" s="19">
        <v>1537.74</v>
      </c>
    </row>
    <row r="123" ht="15.0" customHeight="1">
      <c r="A123" s="14" t="s">
        <v>257</v>
      </c>
      <c r="B123" s="15"/>
      <c r="C123" s="20">
        <v>18.51</v>
      </c>
      <c r="D123" s="20">
        <v>18.12</v>
      </c>
      <c r="E123" s="20">
        <v>16.94</v>
      </c>
      <c r="F123" s="20">
        <v>17.54</v>
      </c>
      <c r="G123" s="20">
        <v>18.8</v>
      </c>
      <c r="H123" s="20">
        <v>16.88</v>
      </c>
      <c r="I123" s="20">
        <v>17.57</v>
      </c>
      <c r="J123" s="20">
        <v>18.01</v>
      </c>
      <c r="K123" s="20">
        <v>17.07</v>
      </c>
      <c r="L123" s="20">
        <v>18.84</v>
      </c>
      <c r="M123" s="20">
        <v>17.25</v>
      </c>
      <c r="N123" s="20">
        <v>17.12</v>
      </c>
      <c r="O123" s="20">
        <v>15.55</v>
      </c>
      <c r="P123" s="20">
        <v>15.77</v>
      </c>
      <c r="Q123" s="20">
        <v>15.76</v>
      </c>
      <c r="R123" s="20">
        <v>14.7</v>
      </c>
    </row>
    <row r="124" ht="15.0" customHeight="1">
      <c r="A124" s="14" t="s">
        <v>258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20">
        <v>9.84</v>
      </c>
      <c r="Q124" s="20">
        <v>9.84</v>
      </c>
      <c r="R124" s="20">
        <v>9.18</v>
      </c>
    </row>
    <row r="125" ht="15.0" customHeight="1">
      <c r="A125" s="14" t="s">
        <v>259</v>
      </c>
      <c r="B125" s="15"/>
      <c r="C125" s="16">
        <v>1677.85</v>
      </c>
      <c r="D125" s="16">
        <v>936.29</v>
      </c>
      <c r="E125" s="16">
        <v>1109.75</v>
      </c>
      <c r="F125" s="16">
        <v>383.87</v>
      </c>
      <c r="G125" s="20">
        <v>14.62</v>
      </c>
      <c r="H125" s="16">
        <v>464.14</v>
      </c>
      <c r="I125" s="16">
        <v>343.5</v>
      </c>
      <c r="J125" s="16">
        <v>189.12</v>
      </c>
      <c r="K125" s="16">
        <v>162.16</v>
      </c>
      <c r="L125" s="20">
        <v>34.54</v>
      </c>
      <c r="M125" s="16">
        <v>117.9</v>
      </c>
      <c r="N125" s="22">
        <v>-5.86</v>
      </c>
      <c r="O125" s="22">
        <v>-28.11</v>
      </c>
      <c r="P125" s="16">
        <v>1302.95</v>
      </c>
      <c r="Q125" s="16">
        <v>608.66</v>
      </c>
      <c r="R125" s="16">
        <v>614.19</v>
      </c>
    </row>
    <row r="126" ht="15.0" customHeight="1">
      <c r="A126" s="14" t="s">
        <v>260</v>
      </c>
      <c r="B126" s="15"/>
      <c r="C126" s="15">
        <v>17074.61</v>
      </c>
      <c r="D126" s="15">
        <v>14360.49</v>
      </c>
      <c r="E126" s="15">
        <v>11333.77</v>
      </c>
      <c r="F126" s="16">
        <v>9969.79</v>
      </c>
      <c r="G126" s="16">
        <v>8961.33</v>
      </c>
      <c r="H126" s="16">
        <v>6940.58</v>
      </c>
      <c r="I126" s="16">
        <v>6162.55</v>
      </c>
      <c r="J126" s="16">
        <v>5292.42</v>
      </c>
      <c r="K126" s="16">
        <v>4289.24</v>
      </c>
      <c r="L126" s="16">
        <v>4069.04</v>
      </c>
      <c r="M126" s="16">
        <v>3176.47</v>
      </c>
      <c r="N126" s="16">
        <v>2218.69</v>
      </c>
      <c r="O126" s="16">
        <v>1844.07</v>
      </c>
      <c r="P126" s="16">
        <v>252.5</v>
      </c>
      <c r="Q126" s="16">
        <v>203.84</v>
      </c>
      <c r="R126" s="20">
        <v>61.92</v>
      </c>
    </row>
    <row r="127" ht="15.0" customHeight="1">
      <c r="A127" s="14" t="s">
        <v>261</v>
      </c>
      <c r="B127" s="15"/>
      <c r="C127" s="22">
        <v>-1.03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ht="15.0" customHeight="1">
      <c r="A128" s="17" t="s">
        <v>262</v>
      </c>
      <c r="B128" s="18">
        <v>20925.67</v>
      </c>
      <c r="C128" s="18">
        <v>18769.94</v>
      </c>
      <c r="D128" s="18">
        <v>15314.9</v>
      </c>
      <c r="E128" s="18">
        <v>12460.47</v>
      </c>
      <c r="F128" s="18">
        <v>10371.2</v>
      </c>
      <c r="G128" s="19">
        <v>8994.74</v>
      </c>
      <c r="H128" s="19">
        <v>7421.6</v>
      </c>
      <c r="I128" s="19">
        <v>6523.62</v>
      </c>
      <c r="J128" s="19">
        <v>5499.55</v>
      </c>
      <c r="K128" s="19">
        <v>4468.48</v>
      </c>
      <c r="L128" s="19">
        <v>4122.41</v>
      </c>
      <c r="M128" s="19">
        <v>3311.62</v>
      </c>
      <c r="N128" s="19">
        <v>2229.95</v>
      </c>
      <c r="O128" s="19">
        <v>1831.51</v>
      </c>
      <c r="P128" s="19">
        <v>1581.06</v>
      </c>
      <c r="Q128" s="19">
        <v>838.1</v>
      </c>
      <c r="R128" s="19">
        <v>699.98</v>
      </c>
    </row>
    <row r="129" ht="15.0" customHeight="1">
      <c r="A129" s="14" t="s">
        <v>123</v>
      </c>
      <c r="B129" s="16">
        <v>153.09</v>
      </c>
      <c r="C129" s="16">
        <v>156.27</v>
      </c>
      <c r="D129" s="16">
        <v>119.8</v>
      </c>
      <c r="E129" s="20">
        <v>95.07</v>
      </c>
      <c r="F129" s="16">
        <v>108.14</v>
      </c>
      <c r="G129" s="20">
        <v>64.74</v>
      </c>
      <c r="H129" s="20">
        <v>53.45</v>
      </c>
      <c r="I129" s="20">
        <v>61.48</v>
      </c>
      <c r="J129" s="20">
        <v>50.03</v>
      </c>
      <c r="K129" s="20">
        <v>43.62</v>
      </c>
      <c r="L129" s="20">
        <v>26.16</v>
      </c>
      <c r="M129" s="20">
        <v>17.25</v>
      </c>
      <c r="N129" s="20">
        <v>15.09</v>
      </c>
      <c r="O129" s="20">
        <v>11.31</v>
      </c>
      <c r="P129" s="20">
        <v>10.94</v>
      </c>
      <c r="Q129" s="20">
        <v>7.98</v>
      </c>
      <c r="R129" s="16">
        <v>125.94</v>
      </c>
    </row>
    <row r="130" ht="15.0" customHeight="1">
      <c r="A130" s="17" t="s">
        <v>263</v>
      </c>
      <c r="B130" s="19">
        <v>153.09</v>
      </c>
      <c r="C130" s="19">
        <v>156.27</v>
      </c>
      <c r="D130" s="19">
        <v>119.8</v>
      </c>
      <c r="E130" s="25">
        <v>95.07</v>
      </c>
      <c r="F130" s="19">
        <v>108.14</v>
      </c>
      <c r="G130" s="25">
        <v>64.74</v>
      </c>
      <c r="H130" s="25">
        <v>53.45</v>
      </c>
      <c r="I130" s="25">
        <v>61.48</v>
      </c>
      <c r="J130" s="25">
        <v>50.03</v>
      </c>
      <c r="K130" s="25">
        <v>43.62</v>
      </c>
      <c r="L130" s="25">
        <v>26.16</v>
      </c>
      <c r="M130" s="25">
        <v>17.25</v>
      </c>
      <c r="N130" s="25">
        <v>15.09</v>
      </c>
      <c r="O130" s="25">
        <v>11.31</v>
      </c>
      <c r="P130" s="25">
        <v>10.94</v>
      </c>
      <c r="Q130" s="25">
        <v>7.98</v>
      </c>
      <c r="R130" s="19">
        <v>125.94</v>
      </c>
    </row>
    <row r="131" ht="15.0" customHeight="1">
      <c r="A131" s="14" t="s">
        <v>264</v>
      </c>
      <c r="B131" s="15"/>
      <c r="C131" s="15"/>
      <c r="D131" s="20">
        <v>1.01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ht="15.0" customHeight="1">
      <c r="A132" s="17" t="s">
        <v>265</v>
      </c>
      <c r="B132" s="18">
        <v>21078.76</v>
      </c>
      <c r="C132" s="18">
        <v>18926.21</v>
      </c>
      <c r="D132" s="18">
        <v>15435.72</v>
      </c>
      <c r="E132" s="18">
        <v>12555.54</v>
      </c>
      <c r="F132" s="18">
        <v>10479.34</v>
      </c>
      <c r="G132" s="19">
        <v>9059.49</v>
      </c>
      <c r="H132" s="19">
        <v>7475.05</v>
      </c>
      <c r="I132" s="19">
        <v>6585.1</v>
      </c>
      <c r="J132" s="19">
        <v>5549.58</v>
      </c>
      <c r="K132" s="19">
        <v>4512.1</v>
      </c>
      <c r="L132" s="19">
        <v>4148.58</v>
      </c>
      <c r="M132" s="19">
        <v>3328.88</v>
      </c>
      <c r="N132" s="19">
        <v>2245.04</v>
      </c>
      <c r="O132" s="19">
        <v>1842.82</v>
      </c>
      <c r="P132" s="19">
        <v>1592.0</v>
      </c>
      <c r="Q132" s="19">
        <v>846.09</v>
      </c>
      <c r="R132" s="19">
        <v>825.92</v>
      </c>
    </row>
    <row r="133" ht="15.0" customHeight="1">
      <c r="A133" s="17" t="s">
        <v>266</v>
      </c>
      <c r="B133" s="18">
        <v>44948.04</v>
      </c>
      <c r="C133" s="18">
        <v>39981.61</v>
      </c>
      <c r="D133" s="18">
        <v>34522.97</v>
      </c>
      <c r="E133" s="18">
        <v>28022.41</v>
      </c>
      <c r="F133" s="18">
        <v>24236.16</v>
      </c>
      <c r="G133" s="18">
        <v>19069.19</v>
      </c>
      <c r="H133" s="18">
        <v>16482.24</v>
      </c>
      <c r="I133" s="18">
        <v>13489.31</v>
      </c>
      <c r="J133" s="18">
        <v>12199.88</v>
      </c>
      <c r="K133" s="19">
        <v>9603.62</v>
      </c>
      <c r="L133" s="19">
        <v>8433.21</v>
      </c>
      <c r="M133" s="19">
        <v>7126.46</v>
      </c>
      <c r="N133" s="19">
        <v>5153.48</v>
      </c>
      <c r="O133" s="19">
        <v>4616.13</v>
      </c>
      <c r="P133" s="19">
        <v>4603.62</v>
      </c>
      <c r="Q133" s="19">
        <v>2970.0</v>
      </c>
      <c r="R133" s="19">
        <v>2363.66</v>
      </c>
    </row>
    <row r="134" ht="15.0" customHeight="1">
      <c r="A134" s="14" t="s">
        <v>267</v>
      </c>
      <c r="B134" s="16">
        <v>454.22</v>
      </c>
      <c r="C134" s="16">
        <v>454.22</v>
      </c>
      <c r="D134" s="16">
        <v>454.22</v>
      </c>
      <c r="E134" s="16">
        <v>454.22</v>
      </c>
      <c r="F134" s="16">
        <v>454.22</v>
      </c>
      <c r="G134" s="16">
        <v>454.22</v>
      </c>
      <c r="H134" s="16">
        <v>454.22</v>
      </c>
      <c r="I134" s="16">
        <v>454.22</v>
      </c>
      <c r="J134" s="16">
        <v>454.22</v>
      </c>
      <c r="K134" s="16">
        <v>454.22</v>
      </c>
      <c r="L134" s="16">
        <v>454.22</v>
      </c>
      <c r="M134" s="16">
        <v>454.22</v>
      </c>
      <c r="N134" s="16">
        <v>454.22</v>
      </c>
      <c r="O134" s="16">
        <v>454.22</v>
      </c>
      <c r="P134" s="16">
        <v>454.22</v>
      </c>
      <c r="Q134" s="16">
        <v>454.22</v>
      </c>
      <c r="R134" s="16">
        <v>454.22</v>
      </c>
    </row>
    <row r="135" ht="15.0" customHeight="1">
      <c r="A135" s="14" t="s">
        <v>268</v>
      </c>
      <c r="B135" s="15">
        <v>0.0</v>
      </c>
      <c r="C135" s="15">
        <v>0.0</v>
      </c>
      <c r="D135" s="15">
        <v>0.0</v>
      </c>
      <c r="E135" s="15">
        <v>0.0</v>
      </c>
      <c r="F135" s="15">
        <v>0.0</v>
      </c>
      <c r="G135" s="15">
        <v>0.0</v>
      </c>
      <c r="H135" s="15">
        <v>0.0</v>
      </c>
      <c r="I135" s="15">
        <v>0.0</v>
      </c>
      <c r="J135" s="15">
        <v>0.0</v>
      </c>
      <c r="K135" s="15">
        <v>0.0</v>
      </c>
      <c r="L135" s="15">
        <v>0.0</v>
      </c>
      <c r="M135" s="15">
        <v>0.0</v>
      </c>
      <c r="N135" s="15">
        <v>0.0</v>
      </c>
      <c r="O135" s="15">
        <v>0.0</v>
      </c>
      <c r="P135" s="15">
        <v>0.0</v>
      </c>
      <c r="Q135" s="15">
        <v>0.0</v>
      </c>
      <c r="R135" s="15">
        <v>0.0</v>
      </c>
    </row>
    <row r="136" ht="15.0" customHeight="1">
      <c r="A136" s="14" t="s">
        <v>269</v>
      </c>
      <c r="B136" s="16">
        <v>454.22</v>
      </c>
      <c r="C136" s="16">
        <v>454.22</v>
      </c>
      <c r="D136" s="16">
        <v>454.22</v>
      </c>
      <c r="E136" s="16">
        <v>454.22</v>
      </c>
      <c r="F136" s="16">
        <v>454.22</v>
      </c>
      <c r="G136" s="16">
        <v>454.22</v>
      </c>
      <c r="H136" s="16">
        <v>454.22</v>
      </c>
      <c r="I136" s="16">
        <v>454.22</v>
      </c>
      <c r="J136" s="16">
        <v>454.22</v>
      </c>
      <c r="K136" s="16">
        <v>454.22</v>
      </c>
      <c r="L136" s="16">
        <v>454.22</v>
      </c>
      <c r="M136" s="16">
        <v>454.22</v>
      </c>
      <c r="N136" s="16">
        <v>454.22</v>
      </c>
      <c r="O136" s="16">
        <v>454.22</v>
      </c>
      <c r="P136" s="16">
        <v>454.22</v>
      </c>
      <c r="Q136" s="16">
        <v>454.22</v>
      </c>
      <c r="R136" s="16">
        <v>454.22</v>
      </c>
    </row>
    <row r="137" ht="15.0" customHeight="1">
      <c r="A137" s="14" t="s">
        <v>270</v>
      </c>
      <c r="B137" s="15"/>
      <c r="C137" s="15"/>
      <c r="D137" s="15"/>
      <c r="E137" s="16">
        <v>6903.24</v>
      </c>
      <c r="F137" s="16">
        <v>5898.28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ht="15.0" customHeight="1">
      <c r="A138" s="14" t="s">
        <v>271</v>
      </c>
      <c r="B138" s="15"/>
      <c r="C138" s="16">
        <v>3478.05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ht="15.0" customHeight="1">
      <c r="A139" s="14" t="s">
        <v>272</v>
      </c>
      <c r="B139" s="15"/>
      <c r="C139" s="16">
        <v>6938.62</v>
      </c>
      <c r="D139" s="16">
        <v>6338.59</v>
      </c>
      <c r="E139" s="16">
        <v>5056.48</v>
      </c>
      <c r="F139" s="16">
        <v>3317.42</v>
      </c>
      <c r="G139" s="16">
        <v>2637.65</v>
      </c>
      <c r="H139" s="16">
        <v>2952.7</v>
      </c>
      <c r="I139" s="15"/>
      <c r="J139" s="16">
        <v>2518.63</v>
      </c>
      <c r="K139" s="16">
        <v>2106.22</v>
      </c>
      <c r="L139" s="16">
        <v>1426.47</v>
      </c>
      <c r="M139" s="16">
        <v>265.5</v>
      </c>
      <c r="N139" s="16">
        <v>1730.66</v>
      </c>
      <c r="O139" s="15"/>
      <c r="P139" s="15"/>
      <c r="Q139" s="15"/>
      <c r="R139" s="15"/>
    </row>
    <row r="140" ht="15.0" customHeight="1">
      <c r="A140" s="14" t="s">
        <v>273</v>
      </c>
      <c r="B140" s="15"/>
      <c r="C140" s="16">
        <v>2169.28</v>
      </c>
      <c r="D140" s="16">
        <v>2308.51</v>
      </c>
      <c r="E140" s="16">
        <v>1772.4</v>
      </c>
      <c r="F140" s="16">
        <v>1588.07</v>
      </c>
      <c r="G140" s="16">
        <v>1437.86</v>
      </c>
      <c r="H140" s="16">
        <v>1007.99</v>
      </c>
      <c r="I140" s="15"/>
      <c r="J140" s="16">
        <v>1010.65</v>
      </c>
      <c r="K140" s="15"/>
      <c r="L140" s="15"/>
      <c r="M140" s="15"/>
      <c r="N140" s="15"/>
      <c r="O140" s="15"/>
      <c r="P140" s="15"/>
      <c r="Q140" s="15"/>
      <c r="R140" s="15"/>
    </row>
    <row r="141" ht="15.0" customHeight="1">
      <c r="A141" s="14" t="s">
        <v>274</v>
      </c>
      <c r="B141" s="15"/>
      <c r="C141" s="16">
        <v>639.48</v>
      </c>
      <c r="D141" s="20">
        <v>80.54</v>
      </c>
      <c r="E141" s="20">
        <v>65.89</v>
      </c>
      <c r="F141" s="16">
        <v>992.79</v>
      </c>
      <c r="G141" s="16">
        <v>610.86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ht="15.0" customHeight="1">
      <c r="A142" s="14" t="s">
        <v>275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6">
        <v>1033.67</v>
      </c>
      <c r="L142" s="20">
        <v>46.05</v>
      </c>
      <c r="M142" s="16">
        <v>2197.84</v>
      </c>
      <c r="N142" s="20">
        <v>56.55</v>
      </c>
      <c r="O142" s="15"/>
      <c r="P142" s="15"/>
      <c r="Q142" s="15"/>
      <c r="R142" s="15"/>
    </row>
    <row r="143" ht="15.0" customHeight="1">
      <c r="A143" s="14" t="s">
        <v>276</v>
      </c>
      <c r="B143" s="15"/>
      <c r="C143" s="15">
        <v>0.0</v>
      </c>
      <c r="D143" s="20">
        <v>17.11</v>
      </c>
      <c r="E143" s="20">
        <v>8.47</v>
      </c>
      <c r="F143" s="15">
        <v>0.0</v>
      </c>
      <c r="G143" s="15">
        <v>0.0</v>
      </c>
      <c r="H143" s="15"/>
      <c r="I143" s="15"/>
      <c r="J143" s="15"/>
      <c r="K143" s="20">
        <v>0.95</v>
      </c>
      <c r="L143" s="16">
        <v>1082.15</v>
      </c>
      <c r="M143" s="20">
        <v>17.25</v>
      </c>
      <c r="N143" s="20">
        <v>16.22</v>
      </c>
      <c r="O143" s="15"/>
      <c r="P143" s="15"/>
      <c r="Q143" s="15"/>
      <c r="R143" s="15"/>
    </row>
    <row r="144" ht="15.0" customHeight="1">
      <c r="A144" s="14" t="s">
        <v>277</v>
      </c>
      <c r="B144" s="15"/>
      <c r="C144" s="15"/>
      <c r="D144" s="15"/>
      <c r="E144" s="16">
        <v>1083.4</v>
      </c>
      <c r="F144" s="16">
        <v>895.36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ht="15.0" customHeight="1">
      <c r="A145" s="14" t="s">
        <v>278</v>
      </c>
      <c r="B145" s="15"/>
      <c r="C145" s="16">
        <v>364.97</v>
      </c>
      <c r="D145" s="16">
        <v>301.02</v>
      </c>
      <c r="E145" s="16">
        <v>240.02</v>
      </c>
      <c r="F145" s="16">
        <v>187.06</v>
      </c>
      <c r="G145" s="16">
        <v>152.45</v>
      </c>
      <c r="H145" s="20">
        <v>14.06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ht="15.0" customHeight="1">
      <c r="A146" s="14" t="s">
        <v>279</v>
      </c>
      <c r="B146" s="15"/>
      <c r="C146" s="16">
        <v>319.74</v>
      </c>
      <c r="D146" s="16">
        <v>271.83</v>
      </c>
      <c r="E146" s="16">
        <v>216.49</v>
      </c>
      <c r="F146" s="16">
        <v>174.4</v>
      </c>
      <c r="G146" s="16">
        <v>107.55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ht="15.0" customHeight="1">
      <c r="A147" s="14" t="s">
        <v>280</v>
      </c>
      <c r="B147" s="15"/>
      <c r="C147" s="16">
        <v>570.59</v>
      </c>
      <c r="D147" s="16">
        <v>501.37</v>
      </c>
      <c r="E147" s="16">
        <v>422.63</v>
      </c>
      <c r="F147" s="16">
        <v>352.69</v>
      </c>
      <c r="G147" s="16">
        <v>203.62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ht="15.0" customHeight="1">
      <c r="A148" s="14" t="s">
        <v>281</v>
      </c>
      <c r="B148" s="15"/>
      <c r="C148" s="16">
        <v>225.15</v>
      </c>
      <c r="D148" s="16">
        <v>251.69</v>
      </c>
      <c r="E148" s="16">
        <v>204.25</v>
      </c>
      <c r="F148" s="16">
        <v>181.22</v>
      </c>
      <c r="G148" s="16">
        <v>108.6</v>
      </c>
      <c r="H148" s="16">
        <v>544.78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ht="15.0" customHeight="1">
      <c r="A149" s="14" t="s">
        <v>282</v>
      </c>
      <c r="B149" s="16">
        <v>423.84</v>
      </c>
      <c r="C149" s="16">
        <v>423.84</v>
      </c>
      <c r="D149" s="16">
        <v>423.84</v>
      </c>
      <c r="E149" s="16">
        <v>423.84</v>
      </c>
      <c r="F149" s="16">
        <v>423.84</v>
      </c>
      <c r="G149" s="16">
        <v>423.84</v>
      </c>
      <c r="H149" s="16">
        <v>423.84</v>
      </c>
      <c r="I149" s="16">
        <v>423.84</v>
      </c>
      <c r="J149" s="16">
        <v>423.84</v>
      </c>
      <c r="K149" s="16">
        <v>423.84</v>
      </c>
      <c r="L149" s="16">
        <v>423.84</v>
      </c>
      <c r="M149" s="16">
        <v>423.84</v>
      </c>
      <c r="N149" s="16">
        <v>423.84</v>
      </c>
      <c r="O149" s="16">
        <v>454.22</v>
      </c>
      <c r="P149" s="16">
        <v>454.22</v>
      </c>
      <c r="Q149" s="16">
        <v>454.22</v>
      </c>
      <c r="R149" s="16">
        <v>454.22</v>
      </c>
    </row>
    <row r="150" ht="15.0" customHeight="1">
      <c r="A150" s="14" t="s">
        <v>283</v>
      </c>
      <c r="B150" s="15">
        <v>0.0</v>
      </c>
      <c r="C150" s="15">
        <v>0.0</v>
      </c>
      <c r="D150" s="15">
        <v>0.0</v>
      </c>
      <c r="E150" s="15">
        <v>0.0</v>
      </c>
      <c r="F150" s="15">
        <v>0.0</v>
      </c>
      <c r="G150" s="15">
        <v>0.0</v>
      </c>
      <c r="H150" s="15">
        <v>0.0</v>
      </c>
      <c r="I150" s="15">
        <v>0.0</v>
      </c>
      <c r="J150" s="15">
        <v>0.0</v>
      </c>
      <c r="K150" s="15">
        <v>0.0</v>
      </c>
      <c r="L150" s="15">
        <v>0.0</v>
      </c>
      <c r="M150" s="15">
        <v>0.0</v>
      </c>
      <c r="N150" s="15">
        <v>0.0</v>
      </c>
      <c r="O150" s="15">
        <v>0.0</v>
      </c>
      <c r="P150" s="15">
        <v>0.0</v>
      </c>
      <c r="Q150" s="15">
        <v>0.0</v>
      </c>
      <c r="R150" s="15">
        <v>0.0</v>
      </c>
    </row>
    <row r="151" ht="15.0" customHeight="1">
      <c r="A151" s="14" t="s">
        <v>284</v>
      </c>
      <c r="B151" s="16">
        <v>423.84</v>
      </c>
      <c r="C151" s="16">
        <v>423.84</v>
      </c>
      <c r="D151" s="16">
        <v>423.84</v>
      </c>
      <c r="E151" s="16">
        <v>423.84</v>
      </c>
      <c r="F151" s="16">
        <v>423.84</v>
      </c>
      <c r="G151" s="16">
        <v>423.84</v>
      </c>
      <c r="H151" s="16">
        <v>423.84</v>
      </c>
      <c r="I151" s="16">
        <v>423.84</v>
      </c>
      <c r="J151" s="16">
        <v>423.84</v>
      </c>
      <c r="K151" s="16">
        <v>423.84</v>
      </c>
      <c r="L151" s="16">
        <v>423.84</v>
      </c>
      <c r="M151" s="16">
        <v>423.84</v>
      </c>
      <c r="N151" s="16">
        <v>423.84</v>
      </c>
      <c r="O151" s="16">
        <v>454.22</v>
      </c>
      <c r="P151" s="16">
        <v>454.22</v>
      </c>
      <c r="Q151" s="16">
        <v>454.22</v>
      </c>
      <c r="R151" s="16">
        <v>454.22</v>
      </c>
    </row>
    <row r="152" ht="15.0" customHeight="1">
      <c r="A152" s="14" t="s">
        <v>285</v>
      </c>
      <c r="B152" s="20">
        <v>0.93</v>
      </c>
      <c r="C152" s="20">
        <v>0.93</v>
      </c>
      <c r="D152" s="20">
        <v>0.93</v>
      </c>
      <c r="E152" s="20">
        <v>0.93</v>
      </c>
      <c r="F152" s="20">
        <v>0.93</v>
      </c>
      <c r="G152" s="20">
        <v>0.93</v>
      </c>
      <c r="H152" s="20">
        <v>0.93</v>
      </c>
      <c r="I152" s="20">
        <v>0.93</v>
      </c>
      <c r="J152" s="20">
        <v>0.93</v>
      </c>
      <c r="K152" s="20">
        <v>0.93</v>
      </c>
      <c r="L152" s="20">
        <v>0.93</v>
      </c>
      <c r="M152" s="20">
        <v>0.93</v>
      </c>
      <c r="N152" s="20">
        <v>0.93</v>
      </c>
      <c r="O152" s="20">
        <v>1.0</v>
      </c>
      <c r="P152" s="20">
        <v>1.0</v>
      </c>
      <c r="Q152" s="20">
        <v>1.0</v>
      </c>
      <c r="R152" s="20">
        <v>1.0</v>
      </c>
    </row>
    <row r="153" ht="15.0" customHeight="1">
      <c r="A153" s="14" t="s">
        <v>282</v>
      </c>
      <c r="B153" s="20">
        <v>30.38</v>
      </c>
      <c r="C153" s="20">
        <v>30.38</v>
      </c>
      <c r="D153" s="20">
        <v>30.38</v>
      </c>
      <c r="E153" s="20">
        <v>30.38</v>
      </c>
      <c r="F153" s="20">
        <v>30.38</v>
      </c>
      <c r="G153" s="20">
        <v>6.08</v>
      </c>
      <c r="H153" s="20">
        <v>6.08</v>
      </c>
      <c r="I153" s="20">
        <v>6.08</v>
      </c>
      <c r="J153" s="20">
        <v>6.08</v>
      </c>
      <c r="K153" s="20">
        <v>6.08</v>
      </c>
      <c r="L153" s="20">
        <v>6.08</v>
      </c>
      <c r="M153" s="20">
        <v>6.08</v>
      </c>
      <c r="N153" s="20">
        <v>6.08</v>
      </c>
      <c r="O153" s="15"/>
      <c r="P153" s="15"/>
      <c r="Q153" s="15"/>
      <c r="R153" s="15"/>
    </row>
    <row r="154" ht="15.0" customHeight="1">
      <c r="A154" s="14" t="s">
        <v>283</v>
      </c>
      <c r="B154" s="15">
        <v>0.0</v>
      </c>
      <c r="C154" s="15">
        <v>0.0</v>
      </c>
      <c r="D154" s="15">
        <v>0.0</v>
      </c>
      <c r="E154" s="15">
        <v>0.0</v>
      </c>
      <c r="F154" s="15">
        <v>0.0</v>
      </c>
      <c r="G154" s="15">
        <v>0.0</v>
      </c>
      <c r="H154" s="15">
        <v>0.0</v>
      </c>
      <c r="I154" s="15">
        <v>0.0</v>
      </c>
      <c r="J154" s="15">
        <v>0.0</v>
      </c>
      <c r="K154" s="15">
        <v>0.0</v>
      </c>
      <c r="L154" s="15">
        <v>0.0</v>
      </c>
      <c r="M154" s="15">
        <v>0.0</v>
      </c>
      <c r="N154" s="15">
        <v>0.0</v>
      </c>
      <c r="O154" s="15"/>
      <c r="P154" s="15"/>
      <c r="Q154" s="15"/>
      <c r="R154" s="15"/>
    </row>
    <row r="155" ht="15.0" customHeight="1">
      <c r="A155" s="14" t="s">
        <v>284</v>
      </c>
      <c r="B155" s="20">
        <v>30.38</v>
      </c>
      <c r="C155" s="20">
        <v>30.38</v>
      </c>
      <c r="D155" s="20">
        <v>30.38</v>
      </c>
      <c r="E155" s="20">
        <v>30.38</v>
      </c>
      <c r="F155" s="20">
        <v>30.38</v>
      </c>
      <c r="G155" s="20">
        <v>6.08</v>
      </c>
      <c r="H155" s="20">
        <v>6.08</v>
      </c>
      <c r="I155" s="20">
        <v>6.08</v>
      </c>
      <c r="J155" s="20">
        <v>6.08</v>
      </c>
      <c r="K155" s="20">
        <v>6.08</v>
      </c>
      <c r="L155" s="20">
        <v>6.08</v>
      </c>
      <c r="M155" s="20">
        <v>6.08</v>
      </c>
      <c r="N155" s="20">
        <v>6.08</v>
      </c>
      <c r="O155" s="15"/>
      <c r="P155" s="15"/>
      <c r="Q155" s="15"/>
      <c r="R155" s="15"/>
    </row>
    <row r="156" ht="15.0" customHeight="1">
      <c r="A156" s="14" t="s">
        <v>285</v>
      </c>
      <c r="B156" s="20">
        <v>0.07</v>
      </c>
      <c r="C156" s="20">
        <v>0.07</v>
      </c>
      <c r="D156" s="20">
        <v>0.07</v>
      </c>
      <c r="E156" s="20">
        <v>0.07</v>
      </c>
      <c r="F156" s="20">
        <v>0.07</v>
      </c>
      <c r="G156" s="20">
        <v>0.07</v>
      </c>
      <c r="H156" s="20">
        <v>0.07</v>
      </c>
      <c r="I156" s="20">
        <v>0.07</v>
      </c>
      <c r="J156" s="20">
        <v>0.07</v>
      </c>
      <c r="K156" s="20">
        <v>0.07</v>
      </c>
      <c r="L156" s="20">
        <v>0.07</v>
      </c>
      <c r="M156" s="20">
        <v>0.07</v>
      </c>
      <c r="N156" s="20">
        <v>0.07</v>
      </c>
      <c r="O156" s="15"/>
      <c r="P156" s="15"/>
      <c r="Q156" s="15"/>
      <c r="R156" s="15"/>
    </row>
    <row r="157" ht="15.0" customHeight="1">
      <c r="A157" s="14" t="s">
        <v>286</v>
      </c>
      <c r="B157" s="16">
        <v>7814.0</v>
      </c>
      <c r="C157" s="16">
        <v>7379.0</v>
      </c>
      <c r="D157" s="16">
        <v>6899.0</v>
      </c>
      <c r="E157" s="16">
        <v>6512.0</v>
      </c>
      <c r="F157" s="16">
        <v>5443.0</v>
      </c>
      <c r="G157" s="16">
        <v>5433.0</v>
      </c>
      <c r="H157" s="16">
        <v>5443.0</v>
      </c>
      <c r="I157" s="16">
        <v>4926.0</v>
      </c>
      <c r="J157" s="16">
        <v>4758.0</v>
      </c>
      <c r="K157" s="16">
        <v>3627.0</v>
      </c>
      <c r="L157" s="16">
        <v>3386.0</v>
      </c>
      <c r="M157" s="16">
        <v>3009.0</v>
      </c>
      <c r="N157" s="16">
        <v>2865.0</v>
      </c>
      <c r="O157" s="15"/>
      <c r="P157" s="16">
        <v>3106.0</v>
      </c>
      <c r="Q157" s="16">
        <v>2234.0</v>
      </c>
      <c r="R157" s="16">
        <v>2024.0</v>
      </c>
    </row>
    <row r="158" ht="15.0" customHeight="1">
      <c r="A158" s="14" t="s">
        <v>287</v>
      </c>
      <c r="B158" s="15"/>
      <c r="C158" s="15"/>
      <c r="D158" s="15"/>
      <c r="E158" s="15"/>
      <c r="F158" s="15"/>
      <c r="G158" s="15"/>
      <c r="H158" s="15">
        <v>0.0</v>
      </c>
      <c r="I158" s="16">
        <v>159.07</v>
      </c>
      <c r="J158" s="16">
        <v>119.08</v>
      </c>
      <c r="K158" s="20">
        <v>79.66</v>
      </c>
      <c r="L158" s="20">
        <v>47.1</v>
      </c>
      <c r="M158" s="20">
        <v>45.05</v>
      </c>
      <c r="N158" s="20">
        <v>45.24</v>
      </c>
      <c r="O158" s="20">
        <v>57.35</v>
      </c>
      <c r="P158" s="15"/>
      <c r="Q158" s="15"/>
      <c r="R158" s="15"/>
    </row>
    <row r="159" ht="15.0" customHeight="1">
      <c r="A159" s="14" t="s">
        <v>288</v>
      </c>
      <c r="B159" s="15"/>
      <c r="C159" s="15"/>
      <c r="D159" s="15"/>
      <c r="E159" s="15"/>
      <c r="F159" s="15"/>
      <c r="G159" s="15"/>
      <c r="H159" s="15">
        <v>0.0</v>
      </c>
      <c r="I159" s="16">
        <v>321.06</v>
      </c>
      <c r="J159" s="16">
        <v>286.18</v>
      </c>
      <c r="K159" s="16">
        <v>200.1</v>
      </c>
      <c r="L159" s="20">
        <v>77.45</v>
      </c>
      <c r="M159" s="20">
        <v>82.43</v>
      </c>
      <c r="N159" s="20">
        <v>83.88</v>
      </c>
      <c r="O159" s="20">
        <v>94.16</v>
      </c>
      <c r="P159" s="15"/>
      <c r="Q159" s="15"/>
      <c r="R159" s="15"/>
    </row>
    <row r="160" ht="15.0" customHeight="1">
      <c r="A160" s="14" t="s">
        <v>289</v>
      </c>
      <c r="B160" s="15"/>
      <c r="C160" s="15"/>
      <c r="D160" s="15"/>
      <c r="E160" s="15"/>
      <c r="F160" s="15"/>
      <c r="G160" s="15"/>
      <c r="H160" s="15">
        <v>0.0</v>
      </c>
      <c r="I160" s="16">
        <v>105.39</v>
      </c>
      <c r="J160" s="16">
        <v>109.07</v>
      </c>
      <c r="K160" s="20">
        <v>66.38</v>
      </c>
      <c r="L160" s="20">
        <v>30.35</v>
      </c>
      <c r="M160" s="20">
        <v>27.8</v>
      </c>
      <c r="N160" s="20">
        <v>23.56</v>
      </c>
      <c r="O160" s="20">
        <v>42.8</v>
      </c>
      <c r="P160" s="15"/>
      <c r="Q160" s="15"/>
      <c r="R160" s="15"/>
    </row>
    <row r="161" ht="15.0" customHeight="1">
      <c r="A161" s="14" t="s">
        <v>290</v>
      </c>
      <c r="B161" s="15"/>
      <c r="C161" s="15"/>
      <c r="D161" s="15"/>
      <c r="E161" s="15"/>
      <c r="F161" s="15"/>
      <c r="G161" s="15"/>
      <c r="H161" s="15">
        <v>0.0</v>
      </c>
      <c r="I161" s="16">
        <v>585.52</v>
      </c>
      <c r="J161" s="16">
        <v>514.33</v>
      </c>
      <c r="K161" s="16">
        <v>346.14</v>
      </c>
      <c r="L161" s="16">
        <v>154.89</v>
      </c>
      <c r="M161" s="16">
        <v>155.28</v>
      </c>
      <c r="N161" s="16">
        <v>152.68</v>
      </c>
      <c r="O161" s="16">
        <v>194.32</v>
      </c>
      <c r="P161" s="15"/>
      <c r="Q161" s="15"/>
      <c r="R161" s="15"/>
    </row>
    <row r="162" ht="15.0" customHeight="1">
      <c r="A162" s="14" t="s">
        <v>291</v>
      </c>
      <c r="B162" s="15"/>
      <c r="C162" s="15">
        <v>26100.0</v>
      </c>
      <c r="D162" s="15">
        <v>23316.0</v>
      </c>
      <c r="E162" s="15">
        <v>21518.0</v>
      </c>
      <c r="F162" s="15">
        <v>20801.0</v>
      </c>
      <c r="G162" s="15">
        <v>14063.0</v>
      </c>
      <c r="H162" s="15">
        <v>10995.0</v>
      </c>
      <c r="I162" s="16">
        <v>7794.0</v>
      </c>
      <c r="J162" s="16">
        <v>6716.0</v>
      </c>
      <c r="K162" s="16">
        <v>6417.0</v>
      </c>
      <c r="L162" s="16">
        <v>6635.0</v>
      </c>
      <c r="M162" s="16">
        <v>7494.0</v>
      </c>
      <c r="N162" s="15"/>
      <c r="O162" s="15"/>
      <c r="P162" s="15"/>
      <c r="Q162" s="15"/>
      <c r="R162" s="15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46094.4224162963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293</v>
      </c>
      <c r="C15" s="10" t="s">
        <v>293</v>
      </c>
      <c r="D15" s="10" t="s">
        <v>293</v>
      </c>
      <c r="E15" s="10" t="s">
        <v>293</v>
      </c>
      <c r="F15" s="10" t="s">
        <v>293</v>
      </c>
      <c r="G15" s="10" t="s">
        <v>293</v>
      </c>
      <c r="H15" s="10" t="s">
        <v>293</v>
      </c>
      <c r="I15" s="10" t="s">
        <v>293</v>
      </c>
      <c r="J15" s="10" t="s">
        <v>293</v>
      </c>
      <c r="K15" s="10" t="s">
        <v>293</v>
      </c>
      <c r="L15" s="10" t="s">
        <v>293</v>
      </c>
      <c r="M15" s="10" t="s">
        <v>293</v>
      </c>
      <c r="N15" s="10" t="s">
        <v>293</v>
      </c>
      <c r="O15" s="10" t="s">
        <v>293</v>
      </c>
      <c r="P15" s="10" t="s">
        <v>293</v>
      </c>
      <c r="Q15" s="10" t="s">
        <v>293</v>
      </c>
      <c r="R15" s="10" t="s">
        <v>293</v>
      </c>
    </row>
    <row r="16" ht="15.0" customHeight="1" outlineLevel="1">
      <c r="A16" s="8" t="s">
        <v>41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</row>
    <row r="18">
      <c r="A18" s="12" t="s">
        <v>294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295</v>
      </c>
      <c r="B20" s="15"/>
      <c r="C20" s="21">
        <v>-144.41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ht="15.0" customHeight="1">
      <c r="A21" s="14" t="s">
        <v>296</v>
      </c>
      <c r="B21" s="15"/>
      <c r="C21" s="22">
        <v>-7.12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ht="15.0" customHeight="1">
      <c r="A22" s="14" t="s">
        <v>297</v>
      </c>
      <c r="B22" s="15"/>
      <c r="C22" s="15"/>
      <c r="D22" s="16">
        <v>1480.97</v>
      </c>
      <c r="E22" s="16">
        <v>1093.62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ht="15.0" customHeight="1">
      <c r="A23" s="14" t="s">
        <v>298</v>
      </c>
      <c r="B23" s="15"/>
      <c r="C23" s="22">
        <v>-27.46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ht="15.0" customHeight="1">
      <c r="A24" s="14" t="s">
        <v>299</v>
      </c>
      <c r="B24" s="16">
        <v>5335.0</v>
      </c>
      <c r="C24" s="16">
        <v>4465.64</v>
      </c>
      <c r="D24" s="16">
        <v>4497.65</v>
      </c>
      <c r="E24" s="16">
        <v>3878.49</v>
      </c>
      <c r="F24" s="16">
        <v>3332.34</v>
      </c>
      <c r="G24" s="16">
        <v>2442.03</v>
      </c>
      <c r="H24" s="16">
        <v>1982.14</v>
      </c>
      <c r="I24" s="16">
        <v>1664.1</v>
      </c>
      <c r="J24" s="16">
        <v>1377.96</v>
      </c>
      <c r="K24" s="16">
        <v>1114.52</v>
      </c>
      <c r="L24" s="16">
        <v>956.11</v>
      </c>
      <c r="M24" s="16">
        <v>638.41</v>
      </c>
      <c r="N24" s="16">
        <v>490.78</v>
      </c>
      <c r="O24" s="16">
        <v>524.52</v>
      </c>
      <c r="P24" s="16">
        <v>368.77</v>
      </c>
      <c r="Q24" s="16">
        <v>356.87</v>
      </c>
      <c r="R24" s="16">
        <v>201.9</v>
      </c>
    </row>
    <row r="25" ht="15.0" customHeight="1">
      <c r="A25" s="14" t="s">
        <v>88</v>
      </c>
      <c r="B25" s="16">
        <v>5475.87</v>
      </c>
      <c r="C25" s="16">
        <v>4979.22</v>
      </c>
      <c r="D25" s="16">
        <v>4730.55</v>
      </c>
      <c r="E25" s="16">
        <v>3755.92</v>
      </c>
      <c r="F25" s="16">
        <v>3147.93</v>
      </c>
      <c r="G25" s="16">
        <v>2314.09</v>
      </c>
      <c r="H25" s="16">
        <v>1916.07</v>
      </c>
      <c r="I25" s="16">
        <v>1781.16</v>
      </c>
      <c r="J25" s="16">
        <v>1470.92</v>
      </c>
      <c r="K25" s="16">
        <v>1229.41</v>
      </c>
      <c r="L25" s="16">
        <v>1058.41</v>
      </c>
      <c r="M25" s="16">
        <v>740.38</v>
      </c>
      <c r="N25" s="16">
        <v>565.63</v>
      </c>
      <c r="O25" s="16">
        <v>612.41</v>
      </c>
      <c r="P25" s="16">
        <v>391.22</v>
      </c>
      <c r="Q25" s="16">
        <v>343.97</v>
      </c>
      <c r="R25" s="16">
        <v>158.02</v>
      </c>
    </row>
    <row r="26" ht="15.0" customHeight="1">
      <c r="A26" s="14" t="s">
        <v>300</v>
      </c>
      <c r="B26" s="20">
        <v>4.24</v>
      </c>
      <c r="C26" s="16">
        <v>1533.63</v>
      </c>
      <c r="D26" s="15"/>
      <c r="E26" s="15"/>
      <c r="F26" s="15"/>
      <c r="G26" s="16">
        <v>798.32</v>
      </c>
      <c r="H26" s="16">
        <v>656.06</v>
      </c>
      <c r="I26" s="16">
        <v>366.16</v>
      </c>
      <c r="J26" s="16">
        <v>307.93</v>
      </c>
      <c r="K26" s="16">
        <v>207.19</v>
      </c>
      <c r="L26" s="15"/>
      <c r="M26" s="15"/>
      <c r="N26" s="15"/>
      <c r="O26" s="15"/>
      <c r="P26" s="16">
        <v>148.19</v>
      </c>
      <c r="Q26" s="20">
        <v>98.61</v>
      </c>
      <c r="R26" s="20">
        <v>73.96</v>
      </c>
    </row>
    <row r="27" ht="15.0" customHeight="1">
      <c r="A27" s="14" t="s">
        <v>301</v>
      </c>
      <c r="B27" s="16">
        <v>1967.92</v>
      </c>
      <c r="C27" s="16">
        <v>1712.62</v>
      </c>
      <c r="D27" s="15"/>
      <c r="E27" s="15"/>
      <c r="F27" s="16">
        <v>941.07</v>
      </c>
      <c r="G27" s="16">
        <v>790.13</v>
      </c>
      <c r="H27" s="16">
        <v>609.53</v>
      </c>
      <c r="I27" s="16">
        <v>367.1</v>
      </c>
      <c r="J27" s="16">
        <v>308.9</v>
      </c>
      <c r="K27" s="16">
        <v>220.94</v>
      </c>
      <c r="L27" s="16">
        <v>150.11</v>
      </c>
      <c r="M27" s="16">
        <v>103.8</v>
      </c>
      <c r="N27" s="16">
        <v>112.21</v>
      </c>
      <c r="O27" s="20">
        <v>63.28</v>
      </c>
      <c r="P27" s="16">
        <v>179.89</v>
      </c>
      <c r="Q27" s="16">
        <v>121.06</v>
      </c>
      <c r="R27" s="16">
        <v>119.99</v>
      </c>
    </row>
    <row r="28" ht="15.0" customHeight="1">
      <c r="A28" s="14" t="s">
        <v>302</v>
      </c>
      <c r="B28" s="15"/>
      <c r="C28" s="15"/>
      <c r="D28" s="15"/>
      <c r="E28" s="15"/>
      <c r="F28" s="15"/>
      <c r="G28" s="20">
        <v>8.19</v>
      </c>
      <c r="H28" s="20">
        <v>46.53</v>
      </c>
      <c r="I28" s="22">
        <v>-0.94</v>
      </c>
      <c r="J28" s="22">
        <v>-0.97</v>
      </c>
      <c r="K28" s="22">
        <v>-13.75</v>
      </c>
      <c r="L28" s="15"/>
      <c r="M28" s="15"/>
      <c r="N28" s="15"/>
      <c r="O28" s="15"/>
      <c r="P28" s="15"/>
      <c r="Q28" s="15"/>
      <c r="R28" s="15"/>
    </row>
    <row r="29" ht="15.0" customHeight="1">
      <c r="A29" s="14" t="s">
        <v>303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2">
        <v>-1.19</v>
      </c>
      <c r="Q29" s="22">
        <v>-0.19</v>
      </c>
      <c r="R29" s="22">
        <v>-0.03</v>
      </c>
    </row>
    <row r="30" ht="15.0" customHeight="1">
      <c r="A30" s="14" t="s">
        <v>304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0.0</v>
      </c>
      <c r="Q30" s="22">
        <v>-6.33</v>
      </c>
      <c r="R30" s="15"/>
    </row>
    <row r="31" ht="15.0" customHeight="1">
      <c r="A31" s="14" t="s">
        <v>305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22">
        <v>-30.51</v>
      </c>
      <c r="Q31" s="22">
        <v>-15.93</v>
      </c>
      <c r="R31" s="22">
        <v>-46.01</v>
      </c>
    </row>
    <row r="32" ht="15.0" customHeight="1">
      <c r="A32" s="14" t="s">
        <v>306</v>
      </c>
      <c r="B32" s="21">
        <v>-438.49</v>
      </c>
      <c r="C32" s="20">
        <v>16.27</v>
      </c>
      <c r="D32" s="20">
        <v>1.0</v>
      </c>
      <c r="E32" s="20">
        <v>5.7</v>
      </c>
      <c r="F32" s="22">
        <v>-9.02</v>
      </c>
      <c r="G32" s="22">
        <v>-1.02</v>
      </c>
      <c r="H32" s="22">
        <v>-9.31</v>
      </c>
      <c r="I32" s="22">
        <v>-3.75</v>
      </c>
      <c r="J32" s="22">
        <v>-3.87</v>
      </c>
      <c r="K32" s="20">
        <v>5.89</v>
      </c>
      <c r="L32" s="20">
        <v>0.96</v>
      </c>
      <c r="M32" s="22">
        <v>-5.51</v>
      </c>
      <c r="N32" s="22">
        <v>-2.32</v>
      </c>
      <c r="O32" s="22">
        <v>-0.29</v>
      </c>
      <c r="P32" s="15"/>
      <c r="Q32" s="15"/>
      <c r="R32" s="15"/>
    </row>
    <row r="33" ht="15.0" customHeight="1">
      <c r="A33" s="14" t="s">
        <v>307</v>
      </c>
      <c r="B33" s="15"/>
      <c r="C33" s="20">
        <v>58.99</v>
      </c>
      <c r="D33" s="20">
        <v>44.79</v>
      </c>
      <c r="E33" s="20">
        <v>10.45</v>
      </c>
      <c r="F33" s="20">
        <v>1.0</v>
      </c>
      <c r="G33" s="20">
        <v>1.02</v>
      </c>
      <c r="H33" s="20">
        <v>3.72</v>
      </c>
      <c r="I33" s="20">
        <v>1.87</v>
      </c>
      <c r="J33" s="20">
        <v>0.97</v>
      </c>
      <c r="K33" s="20">
        <v>1.96</v>
      </c>
      <c r="L33" s="20">
        <v>3.82</v>
      </c>
      <c r="M33" s="20">
        <v>1.84</v>
      </c>
      <c r="N33" s="20">
        <v>1.64</v>
      </c>
      <c r="O33" s="20">
        <v>3.57</v>
      </c>
      <c r="P33" s="15"/>
      <c r="Q33" s="15"/>
      <c r="R33" s="15"/>
    </row>
    <row r="34" ht="15.0" customHeight="1">
      <c r="A34" s="14" t="s">
        <v>308</v>
      </c>
      <c r="B34" s="15"/>
      <c r="C34" s="21">
        <v>-524.77</v>
      </c>
      <c r="D34" s="21">
        <v>-423.99</v>
      </c>
      <c r="E34" s="21">
        <v>-121.62</v>
      </c>
      <c r="F34" s="22">
        <v>-63.14</v>
      </c>
      <c r="G34" s="22">
        <v>-63.46</v>
      </c>
      <c r="H34" s="22">
        <v>-53.04</v>
      </c>
      <c r="I34" s="22">
        <v>-39.33</v>
      </c>
      <c r="J34" s="22">
        <v>-41.64</v>
      </c>
      <c r="K34" s="22">
        <v>-40.26</v>
      </c>
      <c r="L34" s="22">
        <v>-28.68</v>
      </c>
      <c r="M34" s="22">
        <v>-35.82</v>
      </c>
      <c r="N34" s="22">
        <v>-27.63</v>
      </c>
      <c r="O34" s="22">
        <v>-38.94</v>
      </c>
      <c r="P34" s="15"/>
      <c r="Q34" s="15"/>
      <c r="R34" s="15"/>
    </row>
    <row r="35" ht="15.0" customHeight="1">
      <c r="A35" s="14" t="s">
        <v>309</v>
      </c>
      <c r="B35" s="21">
        <v>-1673.48</v>
      </c>
      <c r="C35" s="21">
        <v>-1597.7</v>
      </c>
      <c r="D35" s="21">
        <v>-1336.66</v>
      </c>
      <c r="E35" s="21">
        <v>-865.58</v>
      </c>
      <c r="F35" s="21">
        <v>-685.51</v>
      </c>
      <c r="G35" s="21">
        <v>-606.92</v>
      </c>
      <c r="H35" s="21">
        <v>-531.36</v>
      </c>
      <c r="I35" s="21">
        <v>-442.01</v>
      </c>
      <c r="J35" s="21">
        <v>-356.35</v>
      </c>
      <c r="K35" s="21">
        <v>-289.68</v>
      </c>
      <c r="L35" s="21">
        <v>-228.51</v>
      </c>
      <c r="M35" s="21">
        <v>-166.26</v>
      </c>
      <c r="N35" s="21">
        <v>-158.74</v>
      </c>
      <c r="O35" s="21">
        <v>-115.53</v>
      </c>
      <c r="P35" s="21">
        <v>-170.64</v>
      </c>
      <c r="Q35" s="22">
        <v>-85.71</v>
      </c>
      <c r="R35" s="22">
        <v>-30.07</v>
      </c>
    </row>
    <row r="36" ht="15.0" customHeight="1">
      <c r="A36" s="14" t="s">
        <v>310</v>
      </c>
      <c r="B36" s="15"/>
      <c r="C36" s="15"/>
      <c r="D36" s="15"/>
      <c r="E36" s="15"/>
      <c r="F36" s="21">
        <v>-387.85</v>
      </c>
      <c r="G36" s="16">
        <v>436.0</v>
      </c>
      <c r="H36" s="21">
        <v>-130.28</v>
      </c>
      <c r="I36" s="21">
        <v>-228.5</v>
      </c>
      <c r="J36" s="22">
        <v>-93.93</v>
      </c>
      <c r="K36" s="22">
        <v>-50.08</v>
      </c>
      <c r="L36" s="22">
        <v>-49.72</v>
      </c>
      <c r="M36" s="21">
        <v>-100.13</v>
      </c>
      <c r="N36" s="20">
        <v>13.09</v>
      </c>
      <c r="O36" s="22">
        <v>-0.81</v>
      </c>
      <c r="P36" s="15"/>
      <c r="Q36" s="15"/>
      <c r="R36" s="15"/>
    </row>
    <row r="37" ht="15.0" customHeight="1">
      <c r="A37" s="14" t="s">
        <v>311</v>
      </c>
      <c r="B37" s="22">
        <v>-30.72</v>
      </c>
      <c r="C37" s="20">
        <v>53.9</v>
      </c>
      <c r="D37" s="16">
        <v>145.31</v>
      </c>
      <c r="E37" s="21">
        <v>-700.26</v>
      </c>
      <c r="F37" s="21">
        <v>-628.38</v>
      </c>
      <c r="G37" s="16">
        <v>212.88</v>
      </c>
      <c r="H37" s="22">
        <v>-87.47</v>
      </c>
      <c r="I37" s="21">
        <v>-243.48</v>
      </c>
      <c r="J37" s="21">
        <v>-120.07</v>
      </c>
      <c r="K37" s="22">
        <v>-55.97</v>
      </c>
      <c r="L37" s="22">
        <v>-56.41</v>
      </c>
      <c r="M37" s="22">
        <v>-36.74</v>
      </c>
      <c r="N37" s="22">
        <v>-11.73</v>
      </c>
      <c r="O37" s="20">
        <v>21.49</v>
      </c>
      <c r="P37" s="22">
        <v>-26.16</v>
      </c>
      <c r="Q37" s="22">
        <v>-5.66</v>
      </c>
      <c r="R37" s="16">
        <v>116.18</v>
      </c>
    </row>
    <row r="38" ht="15.0" customHeight="1">
      <c r="A38" s="14" t="s">
        <v>312</v>
      </c>
      <c r="B38" s="21">
        <v>-154.64</v>
      </c>
      <c r="C38" s="16">
        <v>167.8</v>
      </c>
      <c r="D38" s="22">
        <v>-24.88</v>
      </c>
      <c r="E38" s="21">
        <v>-407.61</v>
      </c>
      <c r="F38" s="21">
        <v>-464.02</v>
      </c>
      <c r="G38" s="16">
        <v>148.4</v>
      </c>
      <c r="H38" s="16">
        <v>127.49</v>
      </c>
      <c r="I38" s="21">
        <v>-200.4</v>
      </c>
      <c r="J38" s="22">
        <v>-82.31</v>
      </c>
      <c r="K38" s="20">
        <v>10.8</v>
      </c>
      <c r="L38" s="21">
        <v>-108.04</v>
      </c>
      <c r="M38" s="22">
        <v>-77.16</v>
      </c>
      <c r="N38" s="22">
        <v>-10.59</v>
      </c>
      <c r="O38" s="20">
        <v>21.09</v>
      </c>
      <c r="P38" s="20">
        <v>31.89</v>
      </c>
      <c r="Q38" s="22">
        <v>-64.09</v>
      </c>
      <c r="R38" s="20">
        <v>88.91</v>
      </c>
    </row>
    <row r="39" ht="15.0" customHeight="1">
      <c r="A39" s="14" t="s">
        <v>313</v>
      </c>
      <c r="B39" s="16">
        <v>278.56</v>
      </c>
      <c r="C39" s="21">
        <v>-126.11</v>
      </c>
      <c r="D39" s="21">
        <v>-181.14</v>
      </c>
      <c r="E39" s="16">
        <v>145.37</v>
      </c>
      <c r="F39" s="16">
        <v>704.55</v>
      </c>
      <c r="G39" s="20">
        <v>74.71</v>
      </c>
      <c r="H39" s="21">
        <v>-170.3</v>
      </c>
      <c r="I39" s="16">
        <v>215.39</v>
      </c>
      <c r="J39" s="16">
        <v>108.45</v>
      </c>
      <c r="K39" s="22">
        <v>-4.91</v>
      </c>
      <c r="L39" s="16">
        <v>114.73</v>
      </c>
      <c r="M39" s="20">
        <v>13.78</v>
      </c>
      <c r="N39" s="20">
        <v>35.41</v>
      </c>
      <c r="O39" s="22">
        <v>-43.38</v>
      </c>
      <c r="P39" s="20">
        <v>62.75</v>
      </c>
      <c r="Q39" s="20">
        <v>14.91</v>
      </c>
      <c r="R39" s="22">
        <v>-50.87</v>
      </c>
    </row>
    <row r="40" ht="15.0" customHeight="1">
      <c r="A40" s="14" t="s">
        <v>314</v>
      </c>
      <c r="B40" s="22">
        <v>-2.12</v>
      </c>
      <c r="C40" s="15"/>
      <c r="D40" s="20">
        <v>1.0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ht="15.0" customHeight="1">
      <c r="A41" s="17" t="s">
        <v>315</v>
      </c>
      <c r="B41" s="19">
        <v>5427.15</v>
      </c>
      <c r="C41" s="19">
        <v>4561.23</v>
      </c>
      <c r="D41" s="19">
        <v>4436.94</v>
      </c>
      <c r="E41" s="19">
        <v>2915.99</v>
      </c>
      <c r="F41" s="19">
        <v>2944.48</v>
      </c>
      <c r="G41" s="19">
        <v>2878.03</v>
      </c>
      <c r="H41" s="19">
        <v>1851.86</v>
      </c>
      <c r="I41" s="19">
        <v>1435.61</v>
      </c>
      <c r="J41" s="19">
        <v>1284.03</v>
      </c>
      <c r="K41" s="19">
        <v>1064.44</v>
      </c>
      <c r="L41" s="19">
        <v>906.39</v>
      </c>
      <c r="M41" s="19">
        <v>538.29</v>
      </c>
      <c r="N41" s="19">
        <v>503.87</v>
      </c>
      <c r="O41" s="19">
        <v>523.71</v>
      </c>
      <c r="P41" s="19">
        <v>437.26</v>
      </c>
      <c r="Q41" s="19">
        <v>302.03</v>
      </c>
      <c r="R41" s="19">
        <v>356.11</v>
      </c>
    </row>
    <row r="42" ht="15.0" customHeight="1">
      <c r="A42" s="14" t="s">
        <v>316</v>
      </c>
      <c r="B42" s="21">
        <v>-3558.79</v>
      </c>
      <c r="C42" s="21">
        <v>-2940.14</v>
      </c>
      <c r="D42" s="21">
        <v>-3700.44</v>
      </c>
      <c r="E42" s="21">
        <v>-2279.4</v>
      </c>
      <c r="F42" s="21">
        <v>-2996.6</v>
      </c>
      <c r="G42" s="21">
        <v>-1080.8</v>
      </c>
      <c r="H42" s="21">
        <v>-1657.37</v>
      </c>
      <c r="I42" s="21">
        <v>-468.23</v>
      </c>
      <c r="J42" s="21">
        <v>-1334.38</v>
      </c>
      <c r="K42" s="21">
        <v>-1578.99</v>
      </c>
      <c r="L42" s="21">
        <v>-547.85</v>
      </c>
      <c r="M42" s="21">
        <v>-1161.09</v>
      </c>
      <c r="N42" s="15">
        <v>0.0</v>
      </c>
      <c r="O42" s="22">
        <v>-77.47</v>
      </c>
      <c r="P42" s="21">
        <v>-1530.02</v>
      </c>
      <c r="Q42" s="21">
        <v>-556.59</v>
      </c>
      <c r="R42" s="22">
        <v>-62.21</v>
      </c>
    </row>
    <row r="43" ht="15.0" customHeight="1">
      <c r="A43" s="14" t="s">
        <v>317</v>
      </c>
      <c r="B43" s="21">
        <v>-457.56</v>
      </c>
      <c r="C43" s="21">
        <v>-506.46</v>
      </c>
      <c r="D43" s="21">
        <v>-426.97</v>
      </c>
      <c r="E43" s="21">
        <v>-265.09</v>
      </c>
      <c r="F43" s="21">
        <v>-281.62</v>
      </c>
      <c r="G43" s="21">
        <v>-244.61</v>
      </c>
      <c r="H43" s="21">
        <v>-250.33</v>
      </c>
      <c r="I43" s="21">
        <v>-151.71</v>
      </c>
      <c r="J43" s="21">
        <v>-139.44</v>
      </c>
      <c r="K43" s="21">
        <v>-111.94</v>
      </c>
      <c r="L43" s="22">
        <v>-97.52</v>
      </c>
      <c r="M43" s="22">
        <v>-96.45</v>
      </c>
      <c r="N43" s="22">
        <v>-86.04</v>
      </c>
      <c r="O43" s="22">
        <v>-64.56</v>
      </c>
      <c r="P43" s="22">
        <v>-48.32</v>
      </c>
      <c r="Q43" s="22">
        <v>-45.96</v>
      </c>
      <c r="R43" s="22">
        <v>-45.05</v>
      </c>
    </row>
    <row r="44" ht="15.0" customHeight="1">
      <c r="A44" s="14" t="s">
        <v>318</v>
      </c>
      <c r="B44" s="15"/>
      <c r="C44" s="20">
        <v>90.51</v>
      </c>
      <c r="D44" s="20">
        <v>41.8</v>
      </c>
      <c r="E44" s="20">
        <v>28.5</v>
      </c>
      <c r="F44" s="20">
        <v>15.03</v>
      </c>
      <c r="G44" s="20">
        <v>16.38</v>
      </c>
      <c r="H44" s="20">
        <v>24.2</v>
      </c>
      <c r="I44" s="20">
        <v>11.24</v>
      </c>
      <c r="J44" s="20">
        <v>6.78</v>
      </c>
      <c r="K44" s="20">
        <v>9.82</v>
      </c>
      <c r="L44" s="20">
        <v>19.12</v>
      </c>
      <c r="M44" s="20">
        <v>18.37</v>
      </c>
      <c r="N44" s="20">
        <v>8.76</v>
      </c>
      <c r="O44" s="20">
        <v>15.37</v>
      </c>
      <c r="P44" s="20">
        <v>12.55</v>
      </c>
      <c r="Q44" s="20">
        <v>23.33</v>
      </c>
      <c r="R44" s="20">
        <v>11.77</v>
      </c>
    </row>
    <row r="45" ht="15.0" customHeight="1">
      <c r="A45" s="14" t="s">
        <v>319</v>
      </c>
      <c r="B45" s="22">
        <v>-42.37</v>
      </c>
      <c r="C45" s="22">
        <v>-38.65</v>
      </c>
      <c r="D45" s="22">
        <v>-51.75</v>
      </c>
      <c r="E45" s="22">
        <v>-65.56</v>
      </c>
      <c r="F45" s="22">
        <v>-31.07</v>
      </c>
      <c r="G45" s="22">
        <v>-25.59</v>
      </c>
      <c r="H45" s="22">
        <v>-29.78</v>
      </c>
      <c r="I45" s="22">
        <v>-17.79</v>
      </c>
      <c r="J45" s="22">
        <v>-8.72</v>
      </c>
      <c r="K45" s="22">
        <v>-8.84</v>
      </c>
      <c r="L45" s="22">
        <v>-8.6</v>
      </c>
      <c r="M45" s="22">
        <v>-10.1</v>
      </c>
      <c r="N45" s="22">
        <v>-16.84</v>
      </c>
      <c r="O45" s="22">
        <v>-8.12</v>
      </c>
      <c r="P45" s="15"/>
      <c r="Q45" s="15">
        <v>0.0</v>
      </c>
      <c r="R45" s="22">
        <v>-13.79</v>
      </c>
    </row>
    <row r="46" ht="15.0" customHeight="1">
      <c r="A46" s="14" t="s">
        <v>320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>
        <v>0.0</v>
      </c>
      <c r="R46" s="20">
        <v>41.9</v>
      </c>
    </row>
    <row r="47" ht="15.0" customHeight="1">
      <c r="A47" s="14" t="s">
        <v>321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>
        <v>0.0</v>
      </c>
      <c r="R47" s="22">
        <v>-1.36</v>
      </c>
    </row>
    <row r="48" ht="15.0" customHeight="1">
      <c r="A48" s="14" t="s">
        <v>322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>
        <v>0.0</v>
      </c>
      <c r="R48" s="20">
        <v>1.47</v>
      </c>
    </row>
    <row r="49" ht="15.0" customHeight="1">
      <c r="A49" s="14" t="s">
        <v>323</v>
      </c>
      <c r="B49" s="22">
        <v>-1.06</v>
      </c>
      <c r="C49" s="15"/>
      <c r="D49" s="22">
        <v>-1.0</v>
      </c>
      <c r="E49" s="15"/>
      <c r="F49" s="15"/>
      <c r="G49" s="15"/>
      <c r="H49" s="15"/>
      <c r="I49" s="15"/>
      <c r="J49" s="15"/>
      <c r="K49" s="15"/>
      <c r="L49" s="15"/>
      <c r="M49" s="22">
        <v>-0.92</v>
      </c>
      <c r="N49" s="15"/>
      <c r="O49" s="15"/>
      <c r="P49" s="15"/>
      <c r="Q49" s="15"/>
      <c r="R49" s="15"/>
    </row>
    <row r="50" ht="15.0" customHeight="1">
      <c r="A50" s="17" t="s">
        <v>324</v>
      </c>
      <c r="B50" s="23">
        <v>-4059.77</v>
      </c>
      <c r="C50" s="23">
        <v>-3394.74</v>
      </c>
      <c r="D50" s="23">
        <v>-4138.36</v>
      </c>
      <c r="E50" s="23">
        <v>-2581.54</v>
      </c>
      <c r="F50" s="23">
        <v>-3294.25</v>
      </c>
      <c r="G50" s="23">
        <v>-1334.62</v>
      </c>
      <c r="H50" s="23">
        <v>-1913.28</v>
      </c>
      <c r="I50" s="23">
        <v>-626.5</v>
      </c>
      <c r="J50" s="23">
        <v>-1475.76</v>
      </c>
      <c r="K50" s="23">
        <v>-1689.95</v>
      </c>
      <c r="L50" s="23">
        <v>-634.85</v>
      </c>
      <c r="M50" s="23">
        <v>-1250.19</v>
      </c>
      <c r="N50" s="24">
        <v>-94.12</v>
      </c>
      <c r="O50" s="23">
        <v>-134.78</v>
      </c>
      <c r="P50" s="23">
        <v>-1565.78</v>
      </c>
      <c r="Q50" s="23">
        <v>-579.22</v>
      </c>
      <c r="R50" s="24">
        <v>-67.27</v>
      </c>
    </row>
    <row r="51" ht="15.0" customHeight="1">
      <c r="A51" s="14" t="s">
        <v>325</v>
      </c>
      <c r="B51" s="22">
        <v>-9.53</v>
      </c>
      <c r="C51" s="22">
        <v>-3.05</v>
      </c>
      <c r="D51" s="22">
        <v>-1.99</v>
      </c>
      <c r="E51" s="20">
        <v>13.3</v>
      </c>
      <c r="F51" s="20">
        <v>16.04</v>
      </c>
      <c r="G51" s="22">
        <v>-64.48</v>
      </c>
      <c r="H51" s="20">
        <v>16.75</v>
      </c>
      <c r="I51" s="22">
        <v>-12.17</v>
      </c>
      <c r="J51" s="15">
        <v>0.0</v>
      </c>
      <c r="K51" s="22">
        <v>-14.73</v>
      </c>
      <c r="L51" s="22">
        <v>-1.91</v>
      </c>
      <c r="M51" s="15">
        <v>0.0</v>
      </c>
      <c r="N51" s="22">
        <v>-2.83</v>
      </c>
      <c r="O51" s="20">
        <v>0.68</v>
      </c>
      <c r="P51" s="15"/>
      <c r="Q51" s="15"/>
      <c r="R51" s="15"/>
    </row>
    <row r="52" ht="15.0" customHeight="1">
      <c r="A52" s="14" t="s">
        <v>326</v>
      </c>
      <c r="B52" s="15"/>
      <c r="C52" s="15"/>
      <c r="D52" s="15"/>
      <c r="E52" s="15"/>
      <c r="F52" s="16">
        <v>5605.34</v>
      </c>
      <c r="G52" s="16">
        <v>4857.45</v>
      </c>
      <c r="H52" s="16">
        <v>2939.71</v>
      </c>
      <c r="I52" s="16">
        <v>2008.72</v>
      </c>
      <c r="J52" s="16">
        <v>2453.79</v>
      </c>
      <c r="K52" s="16">
        <v>1993.37</v>
      </c>
      <c r="L52" s="16">
        <v>493.35</v>
      </c>
      <c r="M52" s="16">
        <v>1187.73</v>
      </c>
      <c r="N52" s="15">
        <v>0.0</v>
      </c>
      <c r="O52" s="20">
        <v>73.67</v>
      </c>
      <c r="P52" s="16">
        <v>867.59</v>
      </c>
      <c r="Q52" s="16">
        <v>540.42</v>
      </c>
      <c r="R52" s="15"/>
    </row>
    <row r="53" ht="15.0" customHeight="1">
      <c r="A53" s="14" t="s">
        <v>327</v>
      </c>
      <c r="B53" s="15"/>
      <c r="C53" s="21">
        <v>-8098.35</v>
      </c>
      <c r="D53" s="21">
        <v>-7705.43</v>
      </c>
      <c r="E53" s="21">
        <v>-2801.98</v>
      </c>
      <c r="F53" s="21">
        <v>-4402.7</v>
      </c>
      <c r="G53" s="21">
        <v>-5276.05</v>
      </c>
      <c r="H53" s="21">
        <v>-2153.37</v>
      </c>
      <c r="I53" s="21">
        <v>-2386.12</v>
      </c>
      <c r="J53" s="21">
        <v>-1914.42</v>
      </c>
      <c r="K53" s="21">
        <v>-1281.45</v>
      </c>
      <c r="L53" s="21">
        <v>-575.58</v>
      </c>
      <c r="M53" s="21">
        <v>-697.2</v>
      </c>
      <c r="N53" s="21">
        <v>-186.51</v>
      </c>
      <c r="O53" s="21">
        <v>-221.8</v>
      </c>
      <c r="P53" s="21">
        <v>-146.32</v>
      </c>
      <c r="Q53" s="22">
        <v>-83.98</v>
      </c>
      <c r="R53" s="21">
        <v>-101.27</v>
      </c>
    </row>
    <row r="54" ht="15.0" customHeight="1">
      <c r="A54" s="14" t="s">
        <v>328</v>
      </c>
      <c r="B54" s="16">
        <v>886.52</v>
      </c>
      <c r="C54" s="16">
        <v>7923.43</v>
      </c>
      <c r="D54" s="16">
        <v>8331.46</v>
      </c>
      <c r="E54" s="16">
        <v>3301.75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ht="15.0" customHeight="1">
      <c r="A55" s="14" t="s">
        <v>297</v>
      </c>
      <c r="B55" s="21">
        <v>-358.0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ht="15.0" customHeight="1">
      <c r="A56" s="14" t="s">
        <v>329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>
        <v>0.0</v>
      </c>
      <c r="M56" s="16">
        <v>459.29</v>
      </c>
      <c r="N56" s="15"/>
      <c r="O56" s="15"/>
      <c r="P56" s="16">
        <v>629.63</v>
      </c>
      <c r="Q56" s="15"/>
      <c r="R56" s="15"/>
    </row>
    <row r="57" ht="15.0" customHeight="1">
      <c r="A57" s="14" t="s">
        <v>330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0">
        <v>1.19</v>
      </c>
      <c r="Q57" s="20">
        <v>0.19</v>
      </c>
      <c r="R57" s="15"/>
    </row>
    <row r="58" ht="15.0" customHeight="1">
      <c r="A58" s="14" t="s">
        <v>331</v>
      </c>
      <c r="B58" s="21">
        <v>-1154.49</v>
      </c>
      <c r="C58" s="21">
        <v>-970.22</v>
      </c>
      <c r="D58" s="21">
        <v>-968.4</v>
      </c>
      <c r="E58" s="21">
        <v>-805.72</v>
      </c>
      <c r="F58" s="21">
        <v>-546.2</v>
      </c>
      <c r="G58" s="21">
        <v>-538.35</v>
      </c>
      <c r="H58" s="21">
        <v>-455.99</v>
      </c>
      <c r="I58" s="21">
        <v>-358.67</v>
      </c>
      <c r="J58" s="21">
        <v>-326.33</v>
      </c>
      <c r="K58" s="21">
        <v>-279.86</v>
      </c>
      <c r="L58" s="21">
        <v>-240.94</v>
      </c>
      <c r="M58" s="21">
        <v>-100.13</v>
      </c>
      <c r="N58" s="22">
        <v>-97.06</v>
      </c>
      <c r="O58" s="22">
        <v>-81.96</v>
      </c>
      <c r="P58" s="22">
        <v>-73.41</v>
      </c>
      <c r="Q58" s="22">
        <v>-33.22</v>
      </c>
      <c r="R58" s="22">
        <v>-49.38</v>
      </c>
    </row>
    <row r="59" ht="15.0" customHeight="1">
      <c r="A59" s="14" t="s">
        <v>332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>
        <v>0.0</v>
      </c>
      <c r="M59" s="22">
        <v>-91.86</v>
      </c>
      <c r="N59" s="22">
        <v>-90.25</v>
      </c>
      <c r="O59" s="22">
        <v>-94.54</v>
      </c>
      <c r="P59" s="22">
        <v>-56.14</v>
      </c>
      <c r="Q59" s="22">
        <v>-50.39</v>
      </c>
      <c r="R59" s="22">
        <v>-43.62</v>
      </c>
    </row>
    <row r="60" ht="15.0" customHeight="1">
      <c r="A60" s="14" t="s">
        <v>333</v>
      </c>
      <c r="B60" s="21">
        <v>-198.06</v>
      </c>
      <c r="C60" s="21">
        <v>-279.67</v>
      </c>
      <c r="D60" s="15"/>
      <c r="E60" s="15"/>
      <c r="F60" s="22">
        <v>-98.22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ht="15.0" customHeight="1">
      <c r="A61" s="14" t="s">
        <v>334</v>
      </c>
      <c r="B61" s="22">
        <v>-1.06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ht="15.0" customHeight="1">
      <c r="A62" s="17" t="s">
        <v>335</v>
      </c>
      <c r="B62" s="23">
        <v>-834.62</v>
      </c>
      <c r="C62" s="23">
        <v>-1427.86</v>
      </c>
      <c r="D62" s="23">
        <v>-344.37</v>
      </c>
      <c r="E62" s="23">
        <v>-292.64</v>
      </c>
      <c r="F62" s="19">
        <v>574.26</v>
      </c>
      <c r="G62" s="23">
        <v>-1021.44</v>
      </c>
      <c r="H62" s="19">
        <v>347.11</v>
      </c>
      <c r="I62" s="23">
        <v>-748.24</v>
      </c>
      <c r="J62" s="19">
        <v>213.04</v>
      </c>
      <c r="K62" s="19">
        <v>417.33</v>
      </c>
      <c r="L62" s="23">
        <v>-325.08</v>
      </c>
      <c r="M62" s="19">
        <v>757.83</v>
      </c>
      <c r="N62" s="23">
        <v>-376.65</v>
      </c>
      <c r="O62" s="23">
        <v>-323.94</v>
      </c>
      <c r="P62" s="19">
        <v>1222.54</v>
      </c>
      <c r="Q62" s="19">
        <v>373.02</v>
      </c>
      <c r="R62" s="23">
        <v>-194.27</v>
      </c>
    </row>
    <row r="63" ht="15.0" customHeight="1">
      <c r="A63" s="14" t="s">
        <v>336</v>
      </c>
      <c r="B63" s="16">
        <v>1658.79</v>
      </c>
      <c r="C63" s="16">
        <v>1635.7</v>
      </c>
      <c r="D63" s="16">
        <v>1714.52</v>
      </c>
      <c r="E63" s="16">
        <v>1420.37</v>
      </c>
      <c r="F63" s="16">
        <v>1139.91</v>
      </c>
      <c r="G63" s="16">
        <v>761.22</v>
      </c>
      <c r="H63" s="16">
        <v>379.75</v>
      </c>
      <c r="I63" s="16">
        <v>297.64</v>
      </c>
      <c r="J63" s="16">
        <v>293.19</v>
      </c>
      <c r="K63" s="16">
        <v>440.02</v>
      </c>
      <c r="L63" s="16">
        <v>560.96</v>
      </c>
      <c r="M63" s="16">
        <v>423.66</v>
      </c>
      <c r="N63" s="16">
        <v>378.83</v>
      </c>
      <c r="O63" s="16">
        <v>289.23</v>
      </c>
      <c r="P63" s="16">
        <v>198.73</v>
      </c>
      <c r="Q63" s="20">
        <v>99.71</v>
      </c>
      <c r="R63" s="15">
        <v>0.0</v>
      </c>
    </row>
    <row r="64" ht="15.0" customHeight="1">
      <c r="A64" s="14" t="s">
        <v>118</v>
      </c>
      <c r="B64" s="21">
        <v>-151.46</v>
      </c>
      <c r="C64" s="16">
        <v>186.11</v>
      </c>
      <c r="D64" s="22">
        <v>-66.68</v>
      </c>
      <c r="E64" s="16">
        <v>142.52</v>
      </c>
      <c r="F64" s="16">
        <v>115.25</v>
      </c>
      <c r="G64" s="22">
        <v>-70.62</v>
      </c>
      <c r="H64" s="20">
        <v>15.82</v>
      </c>
      <c r="I64" s="20">
        <v>32.78</v>
      </c>
      <c r="J64" s="22">
        <v>-9.68</v>
      </c>
      <c r="K64" s="20">
        <v>40.26</v>
      </c>
      <c r="L64" s="22">
        <v>-15.3</v>
      </c>
      <c r="M64" s="20">
        <v>40.42</v>
      </c>
      <c r="N64" s="20">
        <v>2.72</v>
      </c>
      <c r="O64" s="22">
        <v>-9.92</v>
      </c>
      <c r="P64" s="15"/>
      <c r="Q64" s="15"/>
      <c r="R64" s="15"/>
    </row>
    <row r="65" ht="15.0" customHeight="1">
      <c r="A65" s="14" t="s">
        <v>337</v>
      </c>
      <c r="B65" s="16">
        <v>2053.53</v>
      </c>
      <c r="C65" s="16">
        <v>1559.62</v>
      </c>
      <c r="D65" s="16">
        <v>1601.76</v>
      </c>
      <c r="E65" s="16">
        <v>1602.97</v>
      </c>
      <c r="F65" s="16">
        <v>1470.19</v>
      </c>
      <c r="G65" s="16">
        <v>1221.71</v>
      </c>
      <c r="H65" s="16">
        <v>683.56</v>
      </c>
      <c r="I65" s="16">
        <v>395.22</v>
      </c>
      <c r="J65" s="16">
        <v>305.2</v>
      </c>
      <c r="K65" s="16">
        <v>277.86</v>
      </c>
      <c r="L65" s="16">
        <v>485.61</v>
      </c>
      <c r="M65" s="16">
        <v>513.76</v>
      </c>
      <c r="N65" s="16">
        <v>416.24</v>
      </c>
      <c r="O65" s="16">
        <v>344.09</v>
      </c>
      <c r="P65" s="16">
        <v>293.18</v>
      </c>
      <c r="Q65" s="16">
        <v>198.72</v>
      </c>
      <c r="R65" s="20">
        <v>92.98</v>
      </c>
    </row>
    <row r="66" ht="15.0" customHeight="1">
      <c r="A66" s="14" t="s">
        <v>338</v>
      </c>
      <c r="B66" s="16">
        <v>533.82</v>
      </c>
      <c r="C66" s="21">
        <v>-261.37</v>
      </c>
      <c r="D66" s="22">
        <v>-45.78</v>
      </c>
      <c r="E66" s="20">
        <v>41.81</v>
      </c>
      <c r="F66" s="16">
        <v>224.49</v>
      </c>
      <c r="G66" s="16">
        <v>521.98</v>
      </c>
      <c r="H66" s="16">
        <v>285.69</v>
      </c>
      <c r="I66" s="20">
        <v>60.87</v>
      </c>
      <c r="J66" s="20">
        <v>21.3</v>
      </c>
      <c r="K66" s="21">
        <v>-208.17</v>
      </c>
      <c r="L66" s="22">
        <v>-53.54</v>
      </c>
      <c r="M66" s="20">
        <v>45.93</v>
      </c>
      <c r="N66" s="20">
        <v>33.11</v>
      </c>
      <c r="O66" s="20">
        <v>65.0</v>
      </c>
      <c r="P66" s="20">
        <v>94.01</v>
      </c>
      <c r="Q66" s="20">
        <v>95.83</v>
      </c>
      <c r="R66" s="20">
        <v>94.57</v>
      </c>
    </row>
    <row r="67" ht="15.0" customHeight="1">
      <c r="A67" s="17" t="s">
        <v>339</v>
      </c>
      <c r="B67" s="19">
        <v>381.3</v>
      </c>
      <c r="C67" s="24">
        <v>-75.26</v>
      </c>
      <c r="D67" s="23">
        <v>-112.47</v>
      </c>
      <c r="E67" s="19">
        <v>184.33</v>
      </c>
      <c r="F67" s="19">
        <v>339.75</v>
      </c>
      <c r="G67" s="19">
        <v>451.36</v>
      </c>
      <c r="H67" s="19">
        <v>301.51</v>
      </c>
      <c r="I67" s="25">
        <v>93.65</v>
      </c>
      <c r="J67" s="25">
        <v>11.62</v>
      </c>
      <c r="K67" s="23">
        <v>-167.91</v>
      </c>
      <c r="L67" s="24">
        <v>-68.84</v>
      </c>
      <c r="M67" s="25">
        <v>86.35</v>
      </c>
      <c r="N67" s="25">
        <v>35.82</v>
      </c>
      <c r="O67" s="25">
        <v>55.08</v>
      </c>
      <c r="P67" s="25">
        <v>94.01</v>
      </c>
      <c r="Q67" s="25">
        <v>95.83</v>
      </c>
      <c r="R67" s="25">
        <v>94.57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46094.4224164583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6" ht="15.0" customHeight="1" outlineLevel="1">
      <c r="A16" s="8" t="s">
        <v>41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</row>
    <row r="18">
      <c r="A18" s="12" t="s">
        <v>341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</row>
    <row r="20" ht="15.0" customHeight="1">
      <c r="A20" s="26" t="s">
        <v>342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ht="15.0" customHeight="1">
      <c r="A21" s="28" t="s">
        <v>342</v>
      </c>
      <c r="B21" s="29">
        <v>158961.83</v>
      </c>
      <c r="C21" s="29">
        <v>121145.27</v>
      </c>
      <c r="D21" s="29">
        <v>80725.51</v>
      </c>
      <c r="E21" s="29">
        <v>125162.03</v>
      </c>
      <c r="F21" s="29">
        <v>74815.08</v>
      </c>
      <c r="G21" s="29">
        <v>50479.06</v>
      </c>
      <c r="H21" s="29">
        <v>30598.34</v>
      </c>
      <c r="I21" s="29">
        <v>28021.51</v>
      </c>
      <c r="J21" s="29">
        <v>21885.4</v>
      </c>
      <c r="K21" s="29">
        <v>21134.61</v>
      </c>
      <c r="L21" s="29">
        <v>13068.83</v>
      </c>
      <c r="M21" s="29"/>
      <c r="N21" s="29"/>
      <c r="O21" s="29"/>
      <c r="P21" s="29"/>
      <c r="Q21" s="29"/>
    </row>
    <row r="22" ht="15.0" customHeight="1">
      <c r="A22" s="28" t="s">
        <v>343</v>
      </c>
      <c r="B22" s="29">
        <v>115316.62</v>
      </c>
      <c r="C22" s="29">
        <v>92631.12</v>
      </c>
      <c r="D22" s="29">
        <v>69854.59</v>
      </c>
      <c r="E22" s="29">
        <v>61049.9</v>
      </c>
      <c r="F22" s="29">
        <v>43422.03</v>
      </c>
      <c r="G22" s="29">
        <v>29342.48</v>
      </c>
      <c r="H22" s="29">
        <v>22691.81</v>
      </c>
      <c r="I22" s="29"/>
      <c r="J22" s="29"/>
      <c r="K22" s="29"/>
      <c r="L22" s="29"/>
      <c r="M22" s="29"/>
      <c r="N22" s="29"/>
      <c r="O22" s="29"/>
      <c r="P22" s="29"/>
      <c r="Q22" s="29"/>
    </row>
    <row r="23" ht="15.0" customHeight="1">
      <c r="A23" s="26" t="s">
        <v>344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ht="15.0" customHeight="1">
      <c r="A24" s="28" t="s">
        <v>344</v>
      </c>
      <c r="B24" s="29">
        <v>149713.08</v>
      </c>
      <c r="C24" s="29">
        <v>113041.82</v>
      </c>
      <c r="D24" s="29">
        <v>74455.74</v>
      </c>
      <c r="E24" s="29">
        <v>119793.75</v>
      </c>
      <c r="F24" s="29">
        <v>70838.76</v>
      </c>
      <c r="G24" s="29">
        <v>46116.12</v>
      </c>
      <c r="H24" s="29">
        <v>27479.49</v>
      </c>
      <c r="I24" s="29">
        <v>24469.22</v>
      </c>
      <c r="J24" s="29">
        <v>19014.84</v>
      </c>
      <c r="K24" s="29">
        <v>19077.06</v>
      </c>
      <c r="L24" s="29">
        <v>11084.73</v>
      </c>
      <c r="M24" s="29"/>
      <c r="N24" s="29"/>
      <c r="O24" s="29"/>
      <c r="P24" s="29"/>
      <c r="Q24" s="29"/>
    </row>
    <row r="25" ht="15.0" customHeight="1">
      <c r="A25" s="28" t="s">
        <v>345</v>
      </c>
      <c r="B25" s="29">
        <v>108526.25</v>
      </c>
      <c r="C25" s="29">
        <v>86856.12</v>
      </c>
      <c r="D25" s="29">
        <v>65368.9</v>
      </c>
      <c r="E25" s="29">
        <v>57013.07</v>
      </c>
      <c r="F25" s="29">
        <v>39614.04</v>
      </c>
      <c r="G25" s="29">
        <v>26268.45</v>
      </c>
      <c r="H25" s="29">
        <v>19996.68</v>
      </c>
      <c r="I25" s="29"/>
      <c r="J25" s="29"/>
      <c r="K25" s="29"/>
      <c r="L25" s="29"/>
      <c r="M25" s="29"/>
      <c r="N25" s="29"/>
      <c r="O25" s="29"/>
      <c r="P25" s="29"/>
      <c r="Q25" s="29"/>
    </row>
    <row r="26" ht="15.0" customHeight="1">
      <c r="A26" s="26" t="s">
        <v>346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ht="15.0" customHeight="1">
      <c r="A27" s="28" t="s">
        <v>347</v>
      </c>
      <c r="B27" s="30">
        <v>329.61</v>
      </c>
      <c r="C27" s="30">
        <v>248.87</v>
      </c>
      <c r="D27" s="30">
        <v>163.92</v>
      </c>
      <c r="E27" s="30">
        <v>263.74</v>
      </c>
      <c r="F27" s="30">
        <v>164.77</v>
      </c>
      <c r="G27" s="30">
        <v>107.27</v>
      </c>
      <c r="H27" s="31">
        <v>63.92</v>
      </c>
      <c r="I27" s="31">
        <v>56.92</v>
      </c>
      <c r="J27" s="31">
        <v>44.23</v>
      </c>
      <c r="K27" s="31">
        <v>44.37</v>
      </c>
      <c r="L27" s="31">
        <v>25.78</v>
      </c>
      <c r="M27" s="29"/>
      <c r="N27" s="29"/>
      <c r="O27" s="29"/>
      <c r="P27" s="29"/>
      <c r="Q27" s="29"/>
    </row>
    <row r="28" ht="15.0" customHeight="1">
      <c r="A28" s="28" t="s">
        <v>348</v>
      </c>
      <c r="B28" s="30">
        <v>240.67</v>
      </c>
      <c r="C28" s="30">
        <v>194.15</v>
      </c>
      <c r="D28" s="30">
        <v>147.32</v>
      </c>
      <c r="E28" s="30">
        <v>129.63</v>
      </c>
      <c r="F28" s="31">
        <v>92.14</v>
      </c>
      <c r="G28" s="31">
        <v>61.1</v>
      </c>
      <c r="H28" s="31">
        <v>46.51</v>
      </c>
      <c r="I28" s="29"/>
      <c r="J28" s="29"/>
      <c r="K28" s="29"/>
      <c r="L28" s="29"/>
      <c r="M28" s="29"/>
      <c r="N28" s="29"/>
      <c r="O28" s="29"/>
      <c r="P28" s="29"/>
      <c r="Q28" s="29"/>
    </row>
    <row r="29" ht="15.0" customHeight="1">
      <c r="A29" s="26" t="s">
        <v>349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ht="15.0" customHeight="1">
      <c r="A30" s="28" t="s">
        <v>350</v>
      </c>
      <c r="B30" s="32">
        <v>2.71</v>
      </c>
      <c r="C30" s="32">
        <v>3.54</v>
      </c>
      <c r="D30" s="32">
        <v>3.44</v>
      </c>
      <c r="E30" s="32">
        <v>2.14</v>
      </c>
      <c r="F30" s="32">
        <v>3.56</v>
      </c>
      <c r="G30" s="32">
        <v>3.25</v>
      </c>
      <c r="H30" s="32">
        <v>4.54</v>
      </c>
      <c r="I30" s="32">
        <v>4.54</v>
      </c>
      <c r="J30" s="32">
        <v>4.53</v>
      </c>
      <c r="K30" s="32">
        <v>4.35</v>
      </c>
      <c r="L30" s="32">
        <v>3.85</v>
      </c>
      <c r="M30" s="32"/>
      <c r="N30" s="32"/>
      <c r="O30" s="32"/>
      <c r="P30" s="32"/>
      <c r="Q30" s="32"/>
    </row>
    <row r="31" ht="15.0" customHeight="1">
      <c r="A31" s="28" t="s">
        <v>351</v>
      </c>
      <c r="B31" s="32">
        <v>2.98</v>
      </c>
      <c r="C31" s="32">
        <v>3.1</v>
      </c>
      <c r="D31" s="32">
        <v>3.08</v>
      </c>
      <c r="E31" s="32">
        <v>3.11</v>
      </c>
      <c r="F31" s="32">
        <v>3.85</v>
      </c>
      <c r="G31" s="32">
        <v>4.06</v>
      </c>
      <c r="H31" s="32">
        <v>4.43</v>
      </c>
      <c r="I31" s="32"/>
      <c r="J31" s="32"/>
      <c r="K31" s="32"/>
      <c r="L31" s="32"/>
      <c r="M31" s="32"/>
      <c r="N31" s="32"/>
      <c r="O31" s="32"/>
      <c r="P31" s="32"/>
      <c r="Q31" s="32"/>
    </row>
    <row r="32" ht="15.0" customHeight="1">
      <c r="A32" s="26" t="s">
        <v>352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ht="15.0" customHeight="1">
      <c r="A33" s="28" t="s">
        <v>353</v>
      </c>
      <c r="B33" s="32">
        <v>0.46</v>
      </c>
      <c r="C33" s="32">
        <v>0.51</v>
      </c>
      <c r="D33" s="32">
        <v>0.6</v>
      </c>
      <c r="E33" s="32">
        <v>0.31</v>
      </c>
      <c r="F33" s="32">
        <v>0.47</v>
      </c>
      <c r="G33" s="32">
        <v>0.56</v>
      </c>
      <c r="H33" s="32">
        <v>0.85</v>
      </c>
      <c r="I33" s="32">
        <v>0.86</v>
      </c>
      <c r="J33" s="32">
        <v>0.9</v>
      </c>
      <c r="K33" s="32">
        <v>0.86</v>
      </c>
      <c r="L33" s="32">
        <v>0.0</v>
      </c>
      <c r="M33" s="32"/>
      <c r="N33" s="32"/>
      <c r="O33" s="32"/>
      <c r="P33" s="32"/>
      <c r="Q33" s="32"/>
    </row>
    <row r="34" ht="15.0" customHeight="1">
      <c r="A34" s="28" t="s">
        <v>354</v>
      </c>
      <c r="B34" s="32">
        <v>0.46</v>
      </c>
      <c r="C34" s="32">
        <v>0.47</v>
      </c>
      <c r="D34" s="32">
        <v>0.49</v>
      </c>
      <c r="E34" s="32">
        <v>0.49</v>
      </c>
      <c r="F34" s="32">
        <v>0.65</v>
      </c>
      <c r="G34" s="32">
        <v>0.76</v>
      </c>
      <c r="H34" s="32">
        <v>0.77</v>
      </c>
      <c r="I34" s="32"/>
      <c r="J34" s="32"/>
      <c r="K34" s="32"/>
      <c r="L34" s="32"/>
      <c r="M34" s="32"/>
      <c r="N34" s="32"/>
      <c r="O34" s="32"/>
      <c r="P34" s="32"/>
      <c r="Q34" s="32"/>
    </row>
    <row r="35" ht="15.0" customHeight="1">
      <c r="A35" s="28" t="s">
        <v>355</v>
      </c>
      <c r="B35" s="32">
        <v>0.66</v>
      </c>
      <c r="C35" s="32">
        <v>0.73</v>
      </c>
      <c r="D35" s="32">
        <v>0.86</v>
      </c>
      <c r="E35" s="32">
        <v>0.44</v>
      </c>
      <c r="F35" s="32">
        <v>0.67</v>
      </c>
      <c r="G35" s="32">
        <v>0.8</v>
      </c>
      <c r="H35" s="32">
        <v>1.22</v>
      </c>
      <c r="I35" s="32">
        <v>1.23</v>
      </c>
      <c r="J35" s="32">
        <v>1.29</v>
      </c>
      <c r="K35" s="32">
        <v>1.23</v>
      </c>
      <c r="L35" s="32">
        <v>0.0</v>
      </c>
      <c r="M35" s="32"/>
      <c r="N35" s="32"/>
      <c r="O35" s="32"/>
      <c r="P35" s="32"/>
      <c r="Q35" s="32"/>
    </row>
    <row r="36" ht="15.0" customHeight="1">
      <c r="A36" s="28" t="s">
        <v>356</v>
      </c>
      <c r="B36" s="32">
        <v>0.65</v>
      </c>
      <c r="C36" s="32">
        <v>0.67</v>
      </c>
      <c r="D36" s="32">
        <v>0.7</v>
      </c>
      <c r="E36" s="32">
        <v>0.7</v>
      </c>
      <c r="F36" s="32">
        <v>0.92</v>
      </c>
      <c r="G36" s="32">
        <v>1.09</v>
      </c>
      <c r="H36" s="32">
        <v>1.1</v>
      </c>
      <c r="I36" s="32"/>
      <c r="J36" s="32"/>
      <c r="K36" s="32"/>
      <c r="L36" s="32"/>
      <c r="M36" s="32"/>
      <c r="N36" s="32"/>
      <c r="O36" s="32"/>
      <c r="P36" s="32"/>
      <c r="Q36" s="32"/>
    </row>
    <row r="37" ht="15.0" customHeight="1">
      <c r="A37" s="26" t="s">
        <v>357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ht="15.0" customHeight="1">
      <c r="A38" s="28" t="s">
        <v>358</v>
      </c>
      <c r="B38" s="31">
        <v>7.98</v>
      </c>
      <c r="C38" s="31">
        <v>7.38</v>
      </c>
      <c r="D38" s="31">
        <v>5.98</v>
      </c>
      <c r="E38" s="31">
        <v>11.55</v>
      </c>
      <c r="F38" s="31">
        <v>8.32</v>
      </c>
      <c r="G38" s="31">
        <v>6.57</v>
      </c>
      <c r="H38" s="31">
        <v>4.45</v>
      </c>
      <c r="I38" s="31">
        <v>4.7</v>
      </c>
      <c r="J38" s="31">
        <v>4.5</v>
      </c>
      <c r="K38" s="31">
        <v>4.89</v>
      </c>
      <c r="L38" s="31">
        <v>3.54</v>
      </c>
      <c r="M38" s="29"/>
      <c r="N38" s="29"/>
      <c r="O38" s="29"/>
      <c r="P38" s="29"/>
      <c r="Q38" s="29"/>
    </row>
    <row r="39" ht="15.0" customHeight="1">
      <c r="A39" s="28" t="s">
        <v>359</v>
      </c>
      <c r="B39" s="31">
        <v>8.06</v>
      </c>
      <c r="C39" s="31">
        <v>7.87</v>
      </c>
      <c r="D39" s="31">
        <v>7.55</v>
      </c>
      <c r="E39" s="31">
        <v>7.68</v>
      </c>
      <c r="F39" s="31">
        <v>6.0</v>
      </c>
      <c r="G39" s="31">
        <v>5.15</v>
      </c>
      <c r="H39" s="31">
        <v>4.46</v>
      </c>
      <c r="I39" s="29"/>
      <c r="J39" s="29"/>
      <c r="K39" s="29"/>
      <c r="L39" s="29"/>
      <c r="M39" s="29"/>
      <c r="N39" s="29"/>
      <c r="O39" s="29"/>
      <c r="P39" s="29"/>
      <c r="Q39" s="29"/>
    </row>
    <row r="40" ht="15.0" customHeight="1">
      <c r="A40" s="26" t="s">
        <v>360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ht="15.0" customHeight="1">
      <c r="A41" s="28" t="s">
        <v>361</v>
      </c>
      <c r="B41" s="31">
        <v>5.57</v>
      </c>
      <c r="C41" s="31">
        <v>4.59</v>
      </c>
      <c r="D41" s="31">
        <v>3.67</v>
      </c>
      <c r="E41" s="31">
        <v>7.03</v>
      </c>
      <c r="F41" s="31">
        <v>5.2</v>
      </c>
      <c r="G41" s="31">
        <v>3.75</v>
      </c>
      <c r="H41" s="31">
        <v>2.49</v>
      </c>
      <c r="I41" s="31">
        <v>2.57</v>
      </c>
      <c r="J41" s="31">
        <v>2.36</v>
      </c>
      <c r="K41" s="31">
        <v>2.44</v>
      </c>
      <c r="L41" s="31">
        <v>1.8</v>
      </c>
      <c r="M41" s="29"/>
      <c r="N41" s="29"/>
      <c r="O41" s="29"/>
      <c r="P41" s="29"/>
      <c r="Q41" s="29"/>
    </row>
    <row r="42" ht="15.0" customHeight="1">
      <c r="A42" s="28" t="s">
        <v>362</v>
      </c>
      <c r="B42" s="31">
        <v>5.14</v>
      </c>
      <c r="C42" s="31">
        <v>4.81</v>
      </c>
      <c r="D42" s="31">
        <v>4.52</v>
      </c>
      <c r="E42" s="31">
        <v>4.5</v>
      </c>
      <c r="F42" s="31">
        <v>3.42</v>
      </c>
      <c r="G42" s="31">
        <v>2.81</v>
      </c>
      <c r="H42" s="31">
        <v>2.37</v>
      </c>
      <c r="I42" s="29"/>
      <c r="J42" s="29"/>
      <c r="K42" s="29"/>
      <c r="L42" s="29"/>
      <c r="M42" s="29"/>
      <c r="N42" s="29"/>
      <c r="O42" s="29"/>
      <c r="P42" s="29"/>
      <c r="Q42" s="29"/>
    </row>
    <row r="43" ht="15.0" customHeight="1">
      <c r="A43" s="26" t="s">
        <v>363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ht="15.0" customHeight="1">
      <c r="A44" s="28" t="s">
        <v>364</v>
      </c>
      <c r="B44" s="31">
        <v>36.88</v>
      </c>
      <c r="C44" s="31">
        <v>28.23</v>
      </c>
      <c r="D44" s="31">
        <v>29.07</v>
      </c>
      <c r="E44" s="31">
        <v>46.82</v>
      </c>
      <c r="F44" s="31">
        <v>28.13</v>
      </c>
      <c r="G44" s="31">
        <v>30.77</v>
      </c>
      <c r="H44" s="31">
        <v>22.01</v>
      </c>
      <c r="I44" s="31">
        <v>22.01</v>
      </c>
      <c r="J44" s="31">
        <v>22.06</v>
      </c>
      <c r="K44" s="31">
        <v>23.01</v>
      </c>
      <c r="L44" s="31">
        <v>26.0</v>
      </c>
      <c r="M44" s="29"/>
      <c r="N44" s="29"/>
      <c r="O44" s="29"/>
      <c r="P44" s="29"/>
      <c r="Q44" s="29"/>
    </row>
    <row r="45" ht="15.0" customHeight="1">
      <c r="A45" s="28" t="s">
        <v>365</v>
      </c>
      <c r="B45" s="31">
        <v>33.6</v>
      </c>
      <c r="C45" s="31">
        <v>32.3</v>
      </c>
      <c r="D45" s="31">
        <v>32.5</v>
      </c>
      <c r="E45" s="31">
        <v>32.18</v>
      </c>
      <c r="F45" s="31">
        <v>25.95</v>
      </c>
      <c r="G45" s="31">
        <v>24.62</v>
      </c>
      <c r="H45" s="31">
        <v>22.58</v>
      </c>
      <c r="I45" s="29"/>
      <c r="J45" s="29"/>
      <c r="K45" s="29"/>
      <c r="L45" s="29"/>
      <c r="M45" s="29"/>
      <c r="N45" s="29"/>
      <c r="O45" s="29"/>
      <c r="P45" s="29"/>
      <c r="Q45" s="29"/>
    </row>
    <row r="46" ht="15.0" customHeight="1">
      <c r="A46" s="26" t="s">
        <v>366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ht="15.0" customHeight="1">
      <c r="A47" s="28" t="s">
        <v>367</v>
      </c>
      <c r="B47" s="31">
        <v>28.93</v>
      </c>
      <c r="C47" s="31">
        <v>23.36</v>
      </c>
      <c r="D47" s="31">
        <v>19.88</v>
      </c>
      <c r="E47" s="31">
        <v>36.51</v>
      </c>
      <c r="F47" s="31">
        <v>29.17</v>
      </c>
      <c r="G47" s="31">
        <v>23.8</v>
      </c>
      <c r="H47" s="31">
        <v>16.42</v>
      </c>
      <c r="I47" s="31">
        <v>18.11</v>
      </c>
      <c r="J47" s="31">
        <v>18.4</v>
      </c>
      <c r="K47" s="31">
        <v>19.61</v>
      </c>
      <c r="L47" s="31">
        <v>17.89</v>
      </c>
      <c r="M47" s="29"/>
      <c r="N47" s="29"/>
      <c r="O47" s="29"/>
      <c r="P47" s="29"/>
      <c r="Q47" s="29"/>
    </row>
    <row r="48" ht="15.0" customHeight="1">
      <c r="A48" s="28" t="s">
        <v>368</v>
      </c>
      <c r="B48" s="31">
        <v>27.06</v>
      </c>
      <c r="C48" s="31">
        <v>26.08</v>
      </c>
      <c r="D48" s="31">
        <v>25.76</v>
      </c>
      <c r="E48" s="31">
        <v>26.87</v>
      </c>
      <c r="F48" s="31">
        <v>22.19</v>
      </c>
      <c r="G48" s="31">
        <v>19.59</v>
      </c>
      <c r="H48" s="31">
        <v>17.88</v>
      </c>
      <c r="I48" s="29"/>
      <c r="J48" s="29"/>
      <c r="K48" s="29"/>
      <c r="L48" s="29"/>
      <c r="M48" s="29"/>
      <c r="N48" s="29"/>
      <c r="O48" s="29"/>
      <c r="P48" s="29"/>
      <c r="Q48" s="29"/>
    </row>
    <row r="49" ht="15.0" customHeight="1">
      <c r="A49" s="26" t="s">
        <v>369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ht="15.0" customHeight="1">
      <c r="A50" s="28" t="s">
        <v>370</v>
      </c>
      <c r="B50" s="31">
        <v>44.13</v>
      </c>
      <c r="C50" s="31">
        <v>34.3</v>
      </c>
      <c r="D50" s="31">
        <v>28.41</v>
      </c>
      <c r="E50" s="31">
        <v>51.45</v>
      </c>
      <c r="F50" s="31">
        <v>43.04</v>
      </c>
      <c r="G50" s="31">
        <v>34.53</v>
      </c>
      <c r="H50" s="31">
        <v>21.42</v>
      </c>
      <c r="I50" s="31">
        <v>23.82</v>
      </c>
      <c r="J50" s="31">
        <v>23.34</v>
      </c>
      <c r="K50" s="31">
        <v>23.78</v>
      </c>
      <c r="L50" s="31">
        <v>21.82</v>
      </c>
      <c r="M50" s="29"/>
      <c r="N50" s="29"/>
      <c r="O50" s="29"/>
      <c r="P50" s="29"/>
      <c r="Q50" s="29"/>
    </row>
    <row r="51" ht="15.0" customHeight="1">
      <c r="A51" s="28" t="s">
        <v>371</v>
      </c>
      <c r="B51" s="31">
        <v>39.64</v>
      </c>
      <c r="C51" s="31">
        <v>37.7</v>
      </c>
      <c r="D51" s="31">
        <v>36.52</v>
      </c>
      <c r="E51" s="31">
        <v>37.61</v>
      </c>
      <c r="F51" s="31">
        <v>30.59</v>
      </c>
      <c r="G51" s="31">
        <v>25.98</v>
      </c>
      <c r="H51" s="31">
        <v>22.78</v>
      </c>
      <c r="I51" s="29"/>
      <c r="J51" s="29"/>
      <c r="K51" s="29"/>
      <c r="L51" s="29"/>
      <c r="M51" s="29"/>
      <c r="N51" s="29"/>
      <c r="O51" s="29"/>
      <c r="P51" s="29"/>
      <c r="Q51" s="29"/>
    </row>
    <row r="52" ht="15.0" customHeight="1">
      <c r="A52" s="26" t="s">
        <v>372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ht="15.0" customHeight="1">
      <c r="A53" s="28" t="s">
        <v>373</v>
      </c>
      <c r="B53" s="31">
        <v>43.61</v>
      </c>
      <c r="C53" s="31">
        <v>33.76</v>
      </c>
      <c r="D53" s="31">
        <v>28.05</v>
      </c>
      <c r="E53" s="31">
        <v>50.56</v>
      </c>
      <c r="F53" s="31">
        <v>42.51</v>
      </c>
      <c r="G53" s="31">
        <v>31.68</v>
      </c>
      <c r="H53" s="31">
        <v>21.22</v>
      </c>
      <c r="I53" s="31">
        <v>23.45</v>
      </c>
      <c r="J53" s="31">
        <v>23.24</v>
      </c>
      <c r="K53" s="31">
        <v>23.4</v>
      </c>
      <c r="L53" s="31">
        <v>18.24</v>
      </c>
      <c r="M53" s="29"/>
      <c r="N53" s="29"/>
      <c r="O53" s="29"/>
      <c r="P53" s="29"/>
      <c r="Q53" s="29"/>
    </row>
    <row r="54" ht="15.0" customHeight="1">
      <c r="A54" s="28" t="s">
        <v>374</v>
      </c>
      <c r="B54" s="31">
        <v>8.06</v>
      </c>
      <c r="C54" s="31">
        <v>7.87</v>
      </c>
      <c r="D54" s="31">
        <v>7.55</v>
      </c>
      <c r="E54" s="31">
        <v>7.68</v>
      </c>
      <c r="F54" s="31">
        <v>6.0</v>
      </c>
      <c r="G54" s="31">
        <v>5.15</v>
      </c>
      <c r="H54" s="31">
        <v>4.46</v>
      </c>
      <c r="I54" s="29"/>
      <c r="J54" s="29"/>
      <c r="K54" s="29"/>
      <c r="L54" s="29"/>
      <c r="M54" s="29"/>
      <c r="N54" s="29"/>
      <c r="O54" s="29"/>
      <c r="P54" s="29"/>
      <c r="Q54" s="29"/>
    </row>
    <row r="55" ht="15.0" customHeight="1">
      <c r="A55" s="26" t="s">
        <v>375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ht="15.0" customHeight="1">
      <c r="A56" s="28" t="s">
        <v>376</v>
      </c>
      <c r="B56" s="31">
        <v>55.57</v>
      </c>
      <c r="C56" s="31">
        <v>1.95</v>
      </c>
      <c r="D56" s="31">
        <v>1.72</v>
      </c>
      <c r="E56" s="31">
        <v>1.18</v>
      </c>
      <c r="F56" s="31">
        <v>4.04</v>
      </c>
      <c r="G56" s="31">
        <v>4.13</v>
      </c>
      <c r="H56" s="31">
        <v>0.76</v>
      </c>
      <c r="I56" s="31">
        <v>1.22</v>
      </c>
      <c r="J56" s="31">
        <v>1.94</v>
      </c>
      <c r="K56" s="31">
        <v>0.53</v>
      </c>
      <c r="L56" s="31">
        <v>0.45</v>
      </c>
      <c r="M56" s="29"/>
      <c r="N56" s="29"/>
      <c r="O56" s="29"/>
      <c r="P56" s="29"/>
      <c r="Q56" s="29"/>
    </row>
    <row r="57" ht="15.0" customHeight="1">
      <c r="A57" s="28" t="s">
        <v>377</v>
      </c>
      <c r="B57" s="31">
        <v>2.33</v>
      </c>
      <c r="C57" s="31">
        <v>2.02</v>
      </c>
      <c r="D57" s="31">
        <v>1.76</v>
      </c>
      <c r="E57" s="31">
        <v>1.76</v>
      </c>
      <c r="F57" s="31">
        <v>1.97</v>
      </c>
      <c r="G57" s="31">
        <v>1.19</v>
      </c>
      <c r="H57" s="31">
        <v>0.77</v>
      </c>
      <c r="I57" s="29"/>
      <c r="J57" s="29"/>
      <c r="K57" s="29"/>
      <c r="L57" s="29"/>
      <c r="M57" s="29"/>
      <c r="N57" s="29"/>
      <c r="O57" s="29"/>
      <c r="P57" s="29"/>
      <c r="Q57" s="29"/>
    </row>
    <row r="58" ht="15.0" customHeight="1">
      <c r="A58" s="26" t="s">
        <v>378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</row>
    <row r="59" ht="15.0" customHeight="1">
      <c r="A59" s="28" t="s">
        <v>379</v>
      </c>
      <c r="B59" s="31">
        <v>5.92</v>
      </c>
      <c r="C59" s="31">
        <v>4.92</v>
      </c>
      <c r="D59" s="31">
        <v>3.98</v>
      </c>
      <c r="E59" s="31">
        <v>7.35</v>
      </c>
      <c r="F59" s="31">
        <v>5.2</v>
      </c>
      <c r="G59" s="31">
        <v>3.89</v>
      </c>
      <c r="H59" s="31">
        <v>2.62</v>
      </c>
      <c r="I59" s="31">
        <v>2.79</v>
      </c>
      <c r="J59" s="31">
        <v>2.57</v>
      </c>
      <c r="K59" s="31">
        <v>2.56</v>
      </c>
      <c r="L59" s="31">
        <v>2.0</v>
      </c>
      <c r="M59" s="29"/>
      <c r="N59" s="29"/>
      <c r="O59" s="29"/>
      <c r="P59" s="29"/>
      <c r="Q59" s="29"/>
    </row>
    <row r="60" ht="15.0" customHeight="1">
      <c r="A60" s="28" t="s">
        <v>380</v>
      </c>
      <c r="B60" s="31">
        <v>5.42</v>
      </c>
      <c r="C60" s="31">
        <v>5.05</v>
      </c>
      <c r="D60" s="31">
        <v>4.72</v>
      </c>
      <c r="E60" s="31">
        <v>4.67</v>
      </c>
      <c r="F60" s="31">
        <v>3.55</v>
      </c>
      <c r="G60" s="31">
        <v>2.97</v>
      </c>
      <c r="H60" s="31">
        <v>2.55</v>
      </c>
      <c r="I60" s="29"/>
      <c r="J60" s="29"/>
      <c r="K60" s="29"/>
      <c r="L60" s="29"/>
      <c r="M60" s="29"/>
      <c r="N60" s="29"/>
      <c r="O60" s="29"/>
      <c r="P60" s="29"/>
      <c r="Q60" s="29"/>
    </row>
    <row r="61" ht="15.0" customHeight="1">
      <c r="A61" s="26" t="s">
        <v>381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 ht="15.0" customHeight="1">
      <c r="A62" s="28" t="s">
        <v>382</v>
      </c>
      <c r="B62" s="31">
        <v>23.36</v>
      </c>
      <c r="C62" s="31">
        <v>19.14</v>
      </c>
      <c r="D62" s="31">
        <v>16.69</v>
      </c>
      <c r="E62" s="31">
        <v>31.17</v>
      </c>
      <c r="F62" s="31">
        <v>23.4</v>
      </c>
      <c r="G62" s="31">
        <v>18.9</v>
      </c>
      <c r="H62" s="31">
        <v>13.59</v>
      </c>
      <c r="I62" s="31">
        <v>15.1</v>
      </c>
      <c r="J62" s="31">
        <v>15.58</v>
      </c>
      <c r="K62" s="31">
        <v>15.81</v>
      </c>
      <c r="L62" s="31">
        <v>13.25</v>
      </c>
      <c r="M62" s="29"/>
      <c r="N62" s="29"/>
      <c r="O62" s="29"/>
      <c r="P62" s="29"/>
      <c r="Q62" s="29"/>
    </row>
    <row r="63" ht="15.0" customHeight="1">
      <c r="A63" s="28" t="s">
        <v>383</v>
      </c>
      <c r="B63" s="31">
        <v>22.23</v>
      </c>
      <c r="C63" s="31">
        <v>21.44</v>
      </c>
      <c r="D63" s="31">
        <v>21.23</v>
      </c>
      <c r="E63" s="31">
        <v>22.07</v>
      </c>
      <c r="F63" s="31">
        <v>18.0</v>
      </c>
      <c r="G63" s="31">
        <v>16.02</v>
      </c>
      <c r="H63" s="31">
        <v>14.63</v>
      </c>
      <c r="I63" s="29"/>
      <c r="J63" s="29"/>
      <c r="K63" s="29"/>
      <c r="L63" s="29"/>
      <c r="M63" s="29"/>
      <c r="N63" s="29"/>
      <c r="O63" s="29"/>
      <c r="P63" s="29"/>
      <c r="Q63" s="29"/>
    </row>
    <row r="64" ht="15.0" customHeight="1">
      <c r="A64" s="26" t="s">
        <v>384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ht="15.0" customHeight="1">
      <c r="A65" s="28" t="s">
        <v>385</v>
      </c>
      <c r="B65" s="31">
        <v>34.47</v>
      </c>
      <c r="C65" s="31">
        <v>26.99</v>
      </c>
      <c r="D65" s="31">
        <v>27.94</v>
      </c>
      <c r="E65" s="31">
        <v>43.73</v>
      </c>
      <c r="F65" s="31">
        <v>25.48</v>
      </c>
      <c r="G65" s="31">
        <v>27.05</v>
      </c>
      <c r="H65" s="31">
        <v>20.45</v>
      </c>
      <c r="I65" s="31">
        <v>21.12</v>
      </c>
      <c r="J65" s="31">
        <v>21.29</v>
      </c>
      <c r="K65" s="31">
        <v>21.3</v>
      </c>
      <c r="L65" s="31">
        <v>23.27</v>
      </c>
      <c r="M65" s="29"/>
      <c r="N65" s="29"/>
      <c r="O65" s="29"/>
      <c r="P65" s="29"/>
      <c r="Q65" s="29"/>
    </row>
    <row r="66" ht="15.0" customHeight="1">
      <c r="A66" s="28" t="s">
        <v>386</v>
      </c>
      <c r="B66" s="31">
        <v>31.57</v>
      </c>
      <c r="C66" s="31">
        <v>30.13</v>
      </c>
      <c r="D66" s="31">
        <v>30.07</v>
      </c>
      <c r="E66" s="31">
        <v>29.56</v>
      </c>
      <c r="F66" s="31">
        <v>23.78</v>
      </c>
      <c r="G66" s="31">
        <v>22.74</v>
      </c>
      <c r="H66" s="31">
        <v>21.23</v>
      </c>
      <c r="I66" s="29"/>
      <c r="J66" s="29"/>
      <c r="K66" s="29"/>
      <c r="L66" s="29"/>
      <c r="M66" s="29"/>
      <c r="N66" s="29"/>
      <c r="O66" s="29"/>
      <c r="P66" s="29"/>
      <c r="Q66" s="29"/>
    </row>
    <row r="67" ht="15.0" customHeight="1">
      <c r="A67" s="26" t="s">
        <v>387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 ht="15.0" customHeight="1">
      <c r="A68" s="28" t="s">
        <v>388</v>
      </c>
      <c r="B68" s="31">
        <v>39.15</v>
      </c>
      <c r="C68" s="31">
        <v>30.26</v>
      </c>
      <c r="D68" s="31">
        <v>31.52</v>
      </c>
      <c r="E68" s="31">
        <v>48.92</v>
      </c>
      <c r="F68" s="31">
        <v>28.12</v>
      </c>
      <c r="G68" s="31">
        <v>31.87</v>
      </c>
      <c r="H68" s="31">
        <v>23.19</v>
      </c>
      <c r="I68" s="31">
        <v>23.87</v>
      </c>
      <c r="J68" s="31">
        <v>24.01</v>
      </c>
      <c r="K68" s="31">
        <v>24.13</v>
      </c>
      <c r="L68" s="31">
        <v>29.01</v>
      </c>
      <c r="M68" s="29"/>
      <c r="N68" s="29"/>
      <c r="O68" s="29"/>
      <c r="P68" s="29"/>
      <c r="Q68" s="29"/>
    </row>
    <row r="69" ht="15.0" customHeight="1">
      <c r="A69" s="28" t="s">
        <v>389</v>
      </c>
      <c r="B69" s="31">
        <v>35.45</v>
      </c>
      <c r="C69" s="31">
        <v>33.92</v>
      </c>
      <c r="D69" s="31">
        <v>33.93</v>
      </c>
      <c r="E69" s="31">
        <v>33.37</v>
      </c>
      <c r="F69" s="31">
        <v>26.92</v>
      </c>
      <c r="G69" s="31">
        <v>26.03</v>
      </c>
      <c r="H69" s="31">
        <v>24.26</v>
      </c>
      <c r="I69" s="29"/>
      <c r="J69" s="29"/>
      <c r="K69" s="29"/>
      <c r="L69" s="29"/>
      <c r="M69" s="29"/>
      <c r="N69" s="29"/>
      <c r="O69" s="29"/>
      <c r="P69" s="29"/>
      <c r="Q69" s="29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