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2avgFhY5gcJCmRGy5F6MhJT1tioYhKNWqtwjJDWgRG8="/>
    </ext>
  </extLst>
</workbook>
</file>

<file path=xl/sharedStrings.xml><?xml version="1.0" encoding="utf-8"?>
<sst xmlns="http://schemas.openxmlformats.org/spreadsheetml/2006/main" count="642" uniqueCount="398">
  <si>
    <t>Company Fundamentals - Income Statement</t>
  </si>
  <si>
    <t>Company Name</t>
  </si>
  <si>
    <t>Dometic Group AB (publ) (DOMETIC.ST)</t>
  </si>
  <si>
    <t>Country of Exchange</t>
  </si>
  <si>
    <t>Sweden</t>
  </si>
  <si>
    <t>Country of Headquarters</t>
  </si>
  <si>
    <t>TRBC Industry Group</t>
  </si>
  <si>
    <t>Automobiles &amp; Auto Parts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</si>
  <si>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</si>
  <si>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</si>
  <si>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</si>
  <si>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</si>
  <si>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</si>
  <si>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</si>
  <si>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</si>
  <si>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</si>
  <si>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</si>
  <si>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</si>
  <si>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</si>
  <si>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</si>
  <si>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</si>
  <si>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</si>
  <si>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</si>
  <si>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</si>
  <si>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</si>
  <si>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</si>
  <si>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</si>
  <si>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</si>
  <si>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</si>
  <si>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</si>
  <si>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</si>
  <si>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</si>
  <si>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</si>
  <si>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</si>
  <si>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</si>
  <si>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</si>
  <si>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</si>
  <si>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</si>
  <si>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</si>
  <si>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</si>
  <si>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</si>
  <si>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</si>
  <si>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</si>
  <si>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</si>
  <si>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</si>
  <si>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</si>
  <si>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</si>
  <si>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</si>
  <si>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</si>
  <si>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</si>
  <si>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</si>
  <si>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Net sales</t>
  </si>
  <si>
    <t>Total Revenue</t>
  </si>
  <si>
    <t>Cost of goods sold</t>
  </si>
  <si>
    <t>Depreciation in Cost of Revenues</t>
  </si>
  <si>
    <t>Amortization of Intangibles excluding Goodwill in Cost of Revenues</t>
  </si>
  <si>
    <t>Cost of goods sold - Balancing value</t>
  </si>
  <si>
    <t>Cost of Revenues/COGS</t>
  </si>
  <si>
    <t>Balancing Item - Gross Margin</t>
  </si>
  <si>
    <t>Gross Profit</t>
  </si>
  <si>
    <t>Sales expenses</t>
  </si>
  <si>
    <t>Depreciation in Selling, General &amp; Administrative Expenses</t>
  </si>
  <si>
    <t>Amortization of Intangibles excluding Goodwill in Selling, General &amp; Administrative Expenses</t>
  </si>
  <si>
    <t>Sales expenses - Balancing value</t>
  </si>
  <si>
    <t>Administrative expenses</t>
  </si>
  <si>
    <t>Administrative expenses - Balancing value</t>
  </si>
  <si>
    <t>Other operating income and expenses</t>
  </si>
  <si>
    <t>Gain on disposal of fixed assets</t>
  </si>
  <si>
    <t>Foreign Exchange Gain/Loss - Non-Business</t>
  </si>
  <si>
    <t>Other Operating Income</t>
  </si>
  <si>
    <t>Loss on disposal of fixed assets</t>
  </si>
  <si>
    <t>Foreign Exchange Loss–Non-Business</t>
  </si>
  <si>
    <t>Acquisition-related costs</t>
  </si>
  <si>
    <t>Legal costs</t>
  </si>
  <si>
    <t>Other Operating Expense</t>
  </si>
  <si>
    <t>Other operating expenses - Balancing value</t>
  </si>
  <si>
    <t>Litigation Payment</t>
  </si>
  <si>
    <t>Severance Cost</t>
  </si>
  <si>
    <t>Bad Debt Written-Off/Provision</t>
  </si>
  <si>
    <t>Other operating income/expenses - Balancing value</t>
  </si>
  <si>
    <t>Research and development expenses</t>
  </si>
  <si>
    <t>Items affecting comparability</t>
  </si>
  <si>
    <t>Global restructuring program</t>
  </si>
  <si>
    <t>Other</t>
  </si>
  <si>
    <t>Items affecting comparability - Balancing value</t>
  </si>
  <si>
    <t>Amortization and impairment of acquisition-related intangible assets</t>
  </si>
  <si>
    <t>Amortization trademarks</t>
  </si>
  <si>
    <t>Amortization technology</t>
  </si>
  <si>
    <t>Amortization intellectual property and other rights</t>
  </si>
  <si>
    <t>Amortization customer relationship assets</t>
  </si>
  <si>
    <t>Impairment - Goodwill</t>
  </si>
  <si>
    <t>Amortization of acquisition-related intangible assets - Balancing value</t>
  </si>
  <si>
    <t>Operating (Income)/Expense, Net</t>
  </si>
  <si>
    <t>Balancing Item - Income from Operations, net</t>
  </si>
  <si>
    <t>Operating profit</t>
  </si>
  <si>
    <t>Financial income</t>
  </si>
  <si>
    <t>Financial expenses</t>
  </si>
  <si>
    <t>Interest Expense</t>
  </si>
  <si>
    <t>Interest Expense on Financial Lease Liabilities</t>
  </si>
  <si>
    <t>Interest expense on pension liabilities and expected return on plan assets</t>
  </si>
  <si>
    <t>Amortization of Deferred Financing Costs</t>
  </si>
  <si>
    <t>Foreign Exchange Gain/Loss – Non-Business</t>
  </si>
  <si>
    <t>Financial expenses - Other</t>
  </si>
  <si>
    <t>Financial expenses - Remaining value</t>
  </si>
  <si>
    <t>Balancing Item - Non Operating Income/(Expense), net</t>
  </si>
  <si>
    <t>Net financial expenses</t>
  </si>
  <si>
    <t>Balancing Item - Pretax Income</t>
  </si>
  <si>
    <t>Profit before tax</t>
  </si>
  <si>
    <t>Taxes</t>
  </si>
  <si>
    <t>Income Taxes - Non-Recurring Tax Change Impact</t>
  </si>
  <si>
    <t>Taxes - Balancing value</t>
  </si>
  <si>
    <t>Current Tax - Total</t>
  </si>
  <si>
    <t>Deferred Tax - Total</t>
  </si>
  <si>
    <t>Income Taxes - Total</t>
  </si>
  <si>
    <t>Balancing Item - Net Income Including After Tax Adjustment</t>
  </si>
  <si>
    <t>Profit (loss) for the year</t>
  </si>
  <si>
    <t>Net Income Including Extra Items</t>
  </si>
  <si>
    <t>Net Income excluding  Extra Items applicable to Common</t>
  </si>
  <si>
    <t>Balancing Item - Net Income After Extraordinary Items applicable to Common</t>
  </si>
  <si>
    <t>Profit for the period</t>
  </si>
  <si>
    <t>Reported Comprehensive Income</t>
  </si>
  <si>
    <t>Remeasurements of defined benefit pension plans, net of tax</t>
  </si>
  <si>
    <t>Cash flow hedges, net after tax</t>
  </si>
  <si>
    <t>Profit from hedging of net investments</t>
  </si>
  <si>
    <t>Exchange rate differences on translation of foreign operations</t>
  </si>
  <si>
    <t>Balancing Item - Other Comprehensive Income</t>
  </si>
  <si>
    <t>Other comprehensive income for the period Total comprehensive income for the period attributable</t>
  </si>
  <si>
    <t>Balancing Item - Total Comprehensive Income</t>
  </si>
  <si>
    <t>to the owner of the ParentCompany</t>
  </si>
  <si>
    <t>Profit for the period attributable to owners of the Parent Company</t>
  </si>
  <si>
    <t>Diluted Net Income excluding Extra Items applicable to Common - (Company Level)</t>
  </si>
  <si>
    <t>EPS - Diluted - excluding Extraordinary Items Applicable to Common - Total</t>
  </si>
  <si>
    <t>EPS - Diluted - including Extraordinary Items Applicable to Common - Total</t>
  </si>
  <si>
    <t>after dilution</t>
  </si>
  <si>
    <t>EPS - Basic - excluding Extraordinary Items Applicable to Common - Total</t>
  </si>
  <si>
    <t>EPS - Basic - including Extraordinary Items Applicable to Common - Total</t>
  </si>
  <si>
    <t>before dilution</t>
  </si>
  <si>
    <t>Depreciation of Financial Lease Right-of-Use Assets - Supplemental</t>
  </si>
  <si>
    <t>Depreciation &amp; Amortization - Supplemental</t>
  </si>
  <si>
    <t>Auditor Fees</t>
  </si>
  <si>
    <t>Audit-Related Fees</t>
  </si>
  <si>
    <t>Tax Fees</t>
  </si>
  <si>
    <t>Auditor Fees - Total</t>
  </si>
  <si>
    <t>Fees (Non-auditor) - Other</t>
  </si>
  <si>
    <t>Labor &amp; Related Expenses - Total</t>
  </si>
  <si>
    <t>Rental Expense - Supplemental</t>
  </si>
  <si>
    <t>Amortization of Trademarks, Marketing &amp; Artistic Intangibles - Supplemental</t>
  </si>
  <si>
    <t>Amortization of Capitalized Research &amp; Development Expenses - Supplemental</t>
  </si>
  <si>
    <t>Amortization of Licenses, Copyrights, Property Rights &amp; Designs - Supplemental</t>
  </si>
  <si>
    <t>Amortization of Other Intangibles excluding Goodwill - Supplemental</t>
  </si>
  <si>
    <t>Depreciation - Supplemental</t>
  </si>
  <si>
    <t>Amortization of Intangible Assets excluding Goodwill - Total</t>
  </si>
  <si>
    <t>Total Depreciation &amp; Amortization (Combined)</t>
  </si>
  <si>
    <t>Depreciation - Total</t>
  </si>
  <si>
    <t>Sale of Fixed Assets</t>
  </si>
  <si>
    <t>Impairment - Fixed Assets</t>
  </si>
  <si>
    <t>Non-GAAP Adjusted Net Earnings</t>
  </si>
  <si>
    <t>Non-GAAP EPS Basic</t>
  </si>
  <si>
    <t>Non-GAAP EPS Diluted</t>
  </si>
  <si>
    <t>Interest Expense on Financial Lease Liabilities - Supplemental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</si>
  <si>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</si>
  <si>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</si>
  <si>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</si>
  <si>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</si>
  <si>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Allocated Net Income including Extraordinary Items Applicable to Common - Issue Specific</t>
  </si>
  <si>
    <t>Allocated Diluted Net Income including Extraordinary Items Applicable to Common - Issue Specific</t>
  </si>
  <si>
    <t>EPS - Basic - excluding Extraordinary Items Applicable to Common - Issue Specific</t>
  </si>
  <si>
    <t>EPS - Diluted - excluding Extraordinary Items Applicable to Common - Issue Specific</t>
  </si>
  <si>
    <t>Net Income - Diluted - excluding Extraordinary Items Applicable to Common - Issue Specific</t>
  </si>
  <si>
    <t>Diluted Earnings Allocation Factor - Issue Specific</t>
  </si>
  <si>
    <t>Net Income - excluding Extraordinary Items applicable to Common - Issue Specific</t>
  </si>
  <si>
    <t>Earnings Allocation Factor - Issue Specific</t>
  </si>
  <si>
    <t>Company Fundamentals - Balance Sheet</t>
  </si>
  <si>
    <t>Industrial - Differentiated</t>
  </si>
  <si>
    <t>Balance Sheet - Company Specific (Currency: Norwegian Krone)</t>
  </si>
  <si>
    <t>Goodwill</t>
  </si>
  <si>
    <t>Goodwill - Gross</t>
  </si>
  <si>
    <t>Goodwill - Accumulated Amortization &amp; Impairment</t>
  </si>
  <si>
    <t>Other intangible assets</t>
  </si>
  <si>
    <t>Trademarks</t>
  </si>
  <si>
    <t>Trademarks - Gross</t>
  </si>
  <si>
    <t>Trademarks - Accumulated Amortization &amp; Impairment</t>
  </si>
  <si>
    <t>Trademarks - Balancing value</t>
  </si>
  <si>
    <t>Customer Relationship - Gross</t>
  </si>
  <si>
    <t>Customer Relationship - Accumulated Amortization &amp; Impairment</t>
  </si>
  <si>
    <t>Customer Relationship - Net - Balancing value</t>
  </si>
  <si>
    <t>Intangible Assets - Other - Gross</t>
  </si>
  <si>
    <t>Intangible Assets - Other - Accumulated Amortization &amp; Impairment</t>
  </si>
  <si>
    <t>Intangible Assets - Other - Net - Balancing value</t>
  </si>
  <si>
    <t>Intelectual Property Rights - Gross</t>
  </si>
  <si>
    <t>Intelectual Property Rights - Accumulated Amortization &amp; Impairment</t>
  </si>
  <si>
    <t>Intelectual Property Rights - Net - Balancing value</t>
  </si>
  <si>
    <t>Research &amp; Development Costs - Gross</t>
  </si>
  <si>
    <t>Research &amp; Development Costs - Accumulated Amortization &amp; Impairment</t>
  </si>
  <si>
    <t>Technology- Gross</t>
  </si>
  <si>
    <t>Technology - Accumulated Amortization &amp; Impairment</t>
  </si>
  <si>
    <t>Technology - Net - Balancing value</t>
  </si>
  <si>
    <t>Other intangible assets - Balancing value</t>
  </si>
  <si>
    <t>Intangible Assets - Net - Total</t>
  </si>
  <si>
    <t>Buildings, land and land improvements</t>
  </si>
  <si>
    <t>Buildings - Gross</t>
  </si>
  <si>
    <t>Buildings - Accumulated Depreciation &amp; Impairment</t>
  </si>
  <si>
    <t>Buildings - Net - Balancing value</t>
  </si>
  <si>
    <t>Land and land improvements- Gross</t>
  </si>
  <si>
    <t>Land and land improvements- Accumulated Depreciation &amp; Impairment</t>
  </si>
  <si>
    <t>Land and land improvements- Net - Balancing value</t>
  </si>
  <si>
    <t>Machinery and other technical installations</t>
  </si>
  <si>
    <t>Machinery and other technical installations - Gross</t>
  </si>
  <si>
    <t>Machinery and other technical installations - Accumulated Depreciation &amp; Impairment</t>
  </si>
  <si>
    <t>Machinery and other technical installations - Balancing value</t>
  </si>
  <si>
    <t>Equipment and installations - Net</t>
  </si>
  <si>
    <t>Equipment and installations - Gross</t>
  </si>
  <si>
    <t>Equipment and installations - Accumulated Depreciation &amp; Impairment</t>
  </si>
  <si>
    <t>Equipment and installations - Net - Balancing value</t>
  </si>
  <si>
    <t>Construction in progress and advance payments</t>
  </si>
  <si>
    <t>Tangible assets</t>
  </si>
  <si>
    <t>Deferred tax assets</t>
  </si>
  <si>
    <t>Derivative Financial Instruments</t>
  </si>
  <si>
    <t>Other non-current assets</t>
  </si>
  <si>
    <t>Shares and participation in associated companies</t>
  </si>
  <si>
    <t>Other Non-Current Assets</t>
  </si>
  <si>
    <t>Other non-current receivables - Balancing value</t>
  </si>
  <si>
    <t>Right-of-use assets</t>
  </si>
  <si>
    <t>Right of Use Tangible Assets - Capital/Finance Lease - Gross</t>
  </si>
  <si>
    <t>Right of Use Tangible Assets - Capital/Finance Lease - Accumulated Depreciation</t>
  </si>
  <si>
    <t>Balancing Item - Noncurrent Assets</t>
  </si>
  <si>
    <t>Total non-current assets</t>
  </si>
  <si>
    <t>Inventories</t>
  </si>
  <si>
    <t>Inventories - Raw Materials - Net</t>
  </si>
  <si>
    <t>Inventories - Finished Goods</t>
  </si>
  <si>
    <t>Inventories - Other</t>
  </si>
  <si>
    <t>Trade receivables</t>
  </si>
  <si>
    <t>Trade Receivable - Gross</t>
  </si>
  <si>
    <t>provision for expected credit losses</t>
  </si>
  <si>
    <t>Receivables related parties</t>
  </si>
  <si>
    <t>Current tax assets</t>
  </si>
  <si>
    <t>Other current receivables</t>
  </si>
  <si>
    <t>Prepaid expenses and accrued income</t>
  </si>
  <si>
    <t>Cash and cash equivalents</t>
  </si>
  <si>
    <t>Derivatives, short term</t>
  </si>
  <si>
    <t>Balancing Item - Current Assets</t>
  </si>
  <si>
    <t>Total Current Assets</t>
  </si>
  <si>
    <t>Balancing Item - Assets</t>
  </si>
  <si>
    <t>TOTAL ASSETS</t>
  </si>
  <si>
    <t>Share capital</t>
  </si>
  <si>
    <t>Other paid-in capital</t>
  </si>
  <si>
    <t>Other reserves</t>
  </si>
  <si>
    <t>Retained Earnings</t>
  </si>
  <si>
    <t>Shareholders' Equity - Total</t>
  </si>
  <si>
    <t>TOTAL EQUITY</t>
  </si>
  <si>
    <t>Long-term borrowings</t>
  </si>
  <si>
    <t>Liabilities to credit institutions</t>
  </si>
  <si>
    <t>Deferred tax liabilities</t>
  </si>
  <si>
    <t>Provisions for pensions</t>
  </si>
  <si>
    <t>Derivative Liabilities - Hedging - Long-Term</t>
  </si>
  <si>
    <t>Other Provisions, long term</t>
  </si>
  <si>
    <t>Provisions - Environmental Obligations - Long-Term</t>
  </si>
  <si>
    <t>Provisions - Restructuring - Long-Term</t>
  </si>
  <si>
    <t>Provisions - Other - Balancing value</t>
  </si>
  <si>
    <t>Other non-current liabilities</t>
  </si>
  <si>
    <t>Leasing Liabilities, long-term</t>
  </si>
  <si>
    <t>Balancing Item - Noncurrent Liabilities</t>
  </si>
  <si>
    <t>Total Non-Current Liabilities</t>
  </si>
  <si>
    <t>Current Portion of Long-Term Debt excluding Capitalized Leases</t>
  </si>
  <si>
    <t>Short-term borrowings</t>
  </si>
  <si>
    <t>Trade payables</t>
  </si>
  <si>
    <t>Current tax liabilities</t>
  </si>
  <si>
    <t>Advance payments from customers</t>
  </si>
  <si>
    <t>Leasing Liabilities, Short-Term</t>
  </si>
  <si>
    <t>Derivative Liabilities, short term</t>
  </si>
  <si>
    <t>Other Provisions, short term</t>
  </si>
  <si>
    <t>Other current liabilities</t>
  </si>
  <si>
    <t>Accrued expenses and prepaid income</t>
  </si>
  <si>
    <t>Interest Payable - Short-Term Debt</t>
  </si>
  <si>
    <t>Customer Advances - Short-Term</t>
  </si>
  <si>
    <t>Accrued Payroll</t>
  </si>
  <si>
    <t>Accrued expenses and prepaid income - Balancing value</t>
  </si>
  <si>
    <t>Balancing Item - Current Liabilities</t>
  </si>
  <si>
    <t>Total Current Liabilities</t>
  </si>
  <si>
    <t>Balancing Item - Liabilities</t>
  </si>
  <si>
    <t>TOTAL LIABILITIES</t>
  </si>
  <si>
    <t>Balancing Item - Total Liability and Equity</t>
  </si>
  <si>
    <t>TOTAL EQUITY AND LIABILITIES</t>
  </si>
  <si>
    <t>Common Shares - Treasury - Total</t>
  </si>
  <si>
    <t>Common Shares - Outstanding - Total</t>
  </si>
  <si>
    <t>Common Shares - Issued - Total</t>
  </si>
  <si>
    <t>Capital Lease Maturities - Total</t>
  </si>
  <si>
    <t>Capital Lease Maturities - Due within 1 Year</t>
  </si>
  <si>
    <t>Capital Lease Maturities - Due in Year 2</t>
  </si>
  <si>
    <t>Capital Lease Maturities - Due in Year 3</t>
  </si>
  <si>
    <t>Capital Lease Maturities - Due in Year 4</t>
  </si>
  <si>
    <t>Capital Lease Maturities - Remaining Maturities</t>
  </si>
  <si>
    <t>Revolving Line of Credit - Unutilized/Unused Amount</t>
  </si>
  <si>
    <t>Common Shares - Issued - Issue Specific</t>
  </si>
  <si>
    <t>Common Shares - Treasury - Issue Specific</t>
  </si>
  <si>
    <t>Common Shares - Outstanding - Issue Specific</t>
  </si>
  <si>
    <t>Asset Allocation Factor - Issue Specific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</si>
  <si>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</si>
  <si>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</si>
  <si>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</si>
  <si>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</si>
  <si>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Common Shareholders - Number</t>
  </si>
  <si>
    <t>Company Fundamentals - Cash Flow</t>
  </si>
  <si>
    <t>Industrial - Indirect</t>
  </si>
  <si>
    <t>Cash Flow - Company Specific (Currency: Norwegian Krone)</t>
  </si>
  <si>
    <t>Amortization, depreciation and impairment</t>
  </si>
  <si>
    <t>Depreciation and amortization</t>
  </si>
  <si>
    <t>Adjustment for result from sale of subsidiaries</t>
  </si>
  <si>
    <t>Other non-cash items</t>
  </si>
  <si>
    <t>Relocation China</t>
  </si>
  <si>
    <t>Adjustment for other non-cash items - Balancing value</t>
  </si>
  <si>
    <t>Exchange rate differences</t>
  </si>
  <si>
    <t>Changes in inventories</t>
  </si>
  <si>
    <t>Changes in trade receivables</t>
  </si>
  <si>
    <t>Changes in trade payables</t>
  </si>
  <si>
    <t>Changes in other working capital</t>
  </si>
  <si>
    <t>Income tax paid</t>
  </si>
  <si>
    <t>Balancing Item - Operating (Indirect)</t>
  </si>
  <si>
    <t>Net cash flow from operations</t>
  </si>
  <si>
    <t>Acquisition of operations</t>
  </si>
  <si>
    <t>Investments in fixed assets</t>
  </si>
  <si>
    <t>Proceeds from sale of fixed assets</t>
  </si>
  <si>
    <t>Investments in intangible and tangible assets</t>
  </si>
  <si>
    <t>Deposit</t>
  </si>
  <si>
    <t>Proceeds from sale of subsidiaries</t>
  </si>
  <si>
    <t>Other investing activities</t>
  </si>
  <si>
    <t>Balancing Item - Investing</t>
  </si>
  <si>
    <t>Net cash flow from investments</t>
  </si>
  <si>
    <t>Repayment of long-term borrowings</t>
  </si>
  <si>
    <t>Raised long-term borrowings</t>
  </si>
  <si>
    <t>Cost paid in relation to contribution</t>
  </si>
  <si>
    <t>New share issue</t>
  </si>
  <si>
    <t>Changes in short-term borrowings</t>
  </si>
  <si>
    <t>Payment of lease liabilities related to lease agreements</t>
  </si>
  <si>
    <t>Paid interest</t>
  </si>
  <si>
    <t>Received interest</t>
  </si>
  <si>
    <t>Other financing activities</t>
  </si>
  <si>
    <t>Dividend paid to shareholders of the Parent Company</t>
  </si>
  <si>
    <t>Balancing Item - Financing</t>
  </si>
  <si>
    <t>Net cash flow from financing</t>
  </si>
  <si>
    <t>Cash flow for the period</t>
  </si>
  <si>
    <t>Cash and cash equivalents at beginning of period</t>
  </si>
  <si>
    <t>Exchange differences on cash and cash equivalents</t>
  </si>
  <si>
    <t>Cash and cash equivalents at end of period</t>
  </si>
  <si>
    <t>Net Change in Cash including Foreign Exchange Effects</t>
  </si>
  <si>
    <t>Non-GAAP Free Cash Flow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</si>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</sst>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3" width="15.71"/>
    <col customWidth="1" min="14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46092.4361713542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</row>
    <row r="12" ht="15.0" customHeight="1" outlineLevel="1">
      <c r="A12" s="8" t="s">
        <v>30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</row>
    <row r="13" ht="15.0" customHeight="1" outlineLevel="1">
      <c r="A13" s="8" t="s">
        <v>31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</row>
    <row r="14" ht="15.0" customHeight="1" outlineLevel="1">
      <c r="A14" s="8" t="s">
        <v>32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</row>
    <row r="15" ht="15.0" customHeight="1" outlineLevel="1">
      <c r="A15" s="8" t="s">
        <v>34</v>
      </c>
      <c r="B15" s="10" t="s">
        <v>35</v>
      </c>
      <c r="C15" s="10" t="s">
        <v>35</v>
      </c>
      <c r="D15" s="10" t="s">
        <v>35</v>
      </c>
      <c r="E15" s="10" t="s">
        <v>35</v>
      </c>
      <c r="F15" s="10" t="s">
        <v>35</v>
      </c>
      <c r="G15" s="10" t="s">
        <v>35</v>
      </c>
      <c r="H15" s="10" t="s">
        <v>35</v>
      </c>
      <c r="I15" s="10" t="s">
        <v>35</v>
      </c>
      <c r="J15" s="10" t="s">
        <v>35</v>
      </c>
      <c r="K15" s="10" t="s">
        <v>35</v>
      </c>
      <c r="L15" s="10" t="s">
        <v>35</v>
      </c>
      <c r="M15" s="10" t="s">
        <v>35</v>
      </c>
    </row>
    <row r="16" ht="15.0" customHeight="1" outlineLevel="1">
      <c r="A16" s="8" t="s">
        <v>36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</row>
    <row r="18">
      <c r="A18" s="12" t="s">
        <v>37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>
      <c r="A19" s="12" t="s">
        <v>38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  <c r="L19" s="13" t="s">
        <v>49</v>
      </c>
      <c r="M19" s="13" t="s">
        <v>50</v>
      </c>
    </row>
    <row r="20" ht="15.0" customHeight="1">
      <c r="A20" s="14" t="s">
        <v>51</v>
      </c>
      <c r="B20" s="15">
        <v>22286.9</v>
      </c>
      <c r="C20" s="15">
        <v>25038.48</v>
      </c>
      <c r="D20" s="15">
        <v>27643.81</v>
      </c>
      <c r="E20" s="15">
        <v>28280.1</v>
      </c>
      <c r="F20" s="15">
        <v>21563.49</v>
      </c>
      <c r="G20" s="15">
        <v>16587.57</v>
      </c>
      <c r="H20" s="15">
        <v>17218.59</v>
      </c>
      <c r="I20" s="15">
        <v>17113.02</v>
      </c>
      <c r="J20" s="15">
        <v>13599.45</v>
      </c>
      <c r="K20" s="15">
        <v>12164.47</v>
      </c>
      <c r="L20" s="15">
        <v>10981.82</v>
      </c>
      <c r="M20" s="16">
        <v>8089.03</v>
      </c>
    </row>
    <row r="21" ht="15.0" customHeight="1">
      <c r="A21" s="17" t="s">
        <v>52</v>
      </c>
      <c r="B21" s="18">
        <v>22286.9</v>
      </c>
      <c r="C21" s="18">
        <v>25038.48</v>
      </c>
      <c r="D21" s="18">
        <v>27643.81</v>
      </c>
      <c r="E21" s="18">
        <v>28280.1</v>
      </c>
      <c r="F21" s="18">
        <v>21563.49</v>
      </c>
      <c r="G21" s="18">
        <v>16587.57</v>
      </c>
      <c r="H21" s="18">
        <v>17218.59</v>
      </c>
      <c r="I21" s="18">
        <v>17113.02</v>
      </c>
      <c r="J21" s="18">
        <v>13599.45</v>
      </c>
      <c r="K21" s="18">
        <v>12164.47</v>
      </c>
      <c r="L21" s="18">
        <v>10981.82</v>
      </c>
      <c r="M21" s="19">
        <v>8089.03</v>
      </c>
    </row>
    <row r="22" ht="15.0" customHeight="1">
      <c r="A22" s="14" t="s">
        <v>53</v>
      </c>
      <c r="B22" s="15">
        <v>15787.88</v>
      </c>
      <c r="C22" s="15">
        <v>18102.56</v>
      </c>
      <c r="D22" s="15">
        <v>19899.56</v>
      </c>
      <c r="E22" s="15">
        <v>20792.01</v>
      </c>
      <c r="F22" s="15">
        <v>15188.45</v>
      </c>
      <c r="G22" s="15">
        <v>11156.98</v>
      </c>
      <c r="H22" s="15">
        <v>11636.02</v>
      </c>
      <c r="I22" s="15">
        <v>11540.1</v>
      </c>
      <c r="J22" s="16">
        <v>9295.15</v>
      </c>
      <c r="K22" s="16">
        <v>8310.29</v>
      </c>
      <c r="L22" s="16">
        <v>7770.27</v>
      </c>
      <c r="M22" s="16">
        <v>5627.23</v>
      </c>
    </row>
    <row r="23" ht="15.0" customHeight="1">
      <c r="A23" s="14" t="s">
        <v>54</v>
      </c>
      <c r="B23" s="15"/>
      <c r="C23" s="16">
        <v>449.51</v>
      </c>
      <c r="D23" s="16">
        <v>411.05</v>
      </c>
      <c r="E23" s="15"/>
      <c r="F23" s="15"/>
      <c r="G23" s="15"/>
      <c r="H23" s="15"/>
      <c r="I23" s="15"/>
      <c r="J23" s="15"/>
      <c r="K23" s="15"/>
      <c r="L23" s="15"/>
      <c r="M23" s="15"/>
    </row>
    <row r="24" ht="15.0" customHeight="1">
      <c r="A24" s="14" t="s">
        <v>55</v>
      </c>
      <c r="B24" s="15"/>
      <c r="C24" s="20">
        <v>74.24</v>
      </c>
      <c r="D24" s="20">
        <v>74.65</v>
      </c>
      <c r="E24" s="15"/>
      <c r="F24" s="15"/>
      <c r="G24" s="15"/>
      <c r="H24" s="15"/>
      <c r="I24" s="15"/>
      <c r="J24" s="15"/>
      <c r="K24" s="15"/>
      <c r="L24" s="15"/>
      <c r="M24" s="15"/>
    </row>
    <row r="25" ht="15.0" customHeight="1">
      <c r="A25" s="14" t="s">
        <v>56</v>
      </c>
      <c r="B25" s="15"/>
      <c r="C25" s="15">
        <v>17578.8</v>
      </c>
      <c r="D25" s="15">
        <v>19413.86</v>
      </c>
      <c r="E25" s="15"/>
      <c r="F25" s="15"/>
      <c r="G25" s="15"/>
      <c r="H25" s="15"/>
      <c r="I25" s="15"/>
      <c r="J25" s="15"/>
      <c r="K25" s="15"/>
      <c r="L25" s="15"/>
      <c r="M25" s="15"/>
    </row>
    <row r="26" ht="15.0" customHeight="1">
      <c r="A26" s="17" t="s">
        <v>57</v>
      </c>
      <c r="B26" s="18">
        <v>15787.88</v>
      </c>
      <c r="C26" s="18">
        <v>18102.56</v>
      </c>
      <c r="D26" s="18">
        <v>19899.56</v>
      </c>
      <c r="E26" s="18">
        <v>20792.01</v>
      </c>
      <c r="F26" s="18">
        <v>15188.45</v>
      </c>
      <c r="G26" s="18">
        <v>11156.98</v>
      </c>
      <c r="H26" s="18">
        <v>11636.02</v>
      </c>
      <c r="I26" s="18">
        <v>11540.1</v>
      </c>
      <c r="J26" s="19">
        <v>9295.15</v>
      </c>
      <c r="K26" s="19">
        <v>8310.29</v>
      </c>
      <c r="L26" s="19">
        <v>7770.27</v>
      </c>
      <c r="M26" s="19">
        <v>5627.23</v>
      </c>
    </row>
    <row r="27" ht="15.0" customHeight="1">
      <c r="A27" s="14" t="s">
        <v>58</v>
      </c>
      <c r="B27" s="15"/>
      <c r="C27" s="15"/>
      <c r="D27" s="15"/>
      <c r="E27" s="21">
        <v>-0.95</v>
      </c>
      <c r="F27" s="15"/>
      <c r="G27" s="15"/>
      <c r="H27" s="15"/>
      <c r="I27" s="15"/>
      <c r="J27" s="15"/>
      <c r="K27" s="15"/>
      <c r="L27" s="15"/>
      <c r="M27" s="15"/>
    </row>
    <row r="28" ht="15.0" customHeight="1">
      <c r="A28" s="17" t="s">
        <v>59</v>
      </c>
      <c r="B28" s="19">
        <v>6499.02</v>
      </c>
      <c r="C28" s="19">
        <v>6935.92</v>
      </c>
      <c r="D28" s="19">
        <v>7744.25</v>
      </c>
      <c r="E28" s="19">
        <v>7487.14</v>
      </c>
      <c r="F28" s="19">
        <v>6375.04</v>
      </c>
      <c r="G28" s="19">
        <v>5430.6</v>
      </c>
      <c r="H28" s="19">
        <v>5582.57</v>
      </c>
      <c r="I28" s="19">
        <v>5572.92</v>
      </c>
      <c r="J28" s="19">
        <v>4304.3</v>
      </c>
      <c r="K28" s="19">
        <v>3854.18</v>
      </c>
      <c r="L28" s="19">
        <v>3211.56</v>
      </c>
      <c r="M28" s="19">
        <v>2461.8</v>
      </c>
    </row>
    <row r="29" ht="15.0" customHeight="1">
      <c r="A29" s="14" t="s">
        <v>60</v>
      </c>
      <c r="B29" s="16">
        <v>2087.61</v>
      </c>
      <c r="C29" s="16">
        <v>2196.71</v>
      </c>
      <c r="D29" s="16">
        <v>2173.68</v>
      </c>
      <c r="E29" s="16">
        <v>2076.07</v>
      </c>
      <c r="F29" s="16">
        <v>1596.52</v>
      </c>
      <c r="G29" s="16">
        <v>2272.13</v>
      </c>
      <c r="H29" s="16">
        <v>2243.64</v>
      </c>
      <c r="I29" s="16">
        <v>2115.48</v>
      </c>
      <c r="J29" s="16">
        <v>1734.31</v>
      </c>
      <c r="K29" s="16">
        <v>1621.21</v>
      </c>
      <c r="L29" s="16">
        <v>1370.1</v>
      </c>
      <c r="M29" s="16">
        <v>1136.29</v>
      </c>
    </row>
    <row r="30" ht="15.0" customHeight="1">
      <c r="A30" s="14" t="s">
        <v>61</v>
      </c>
      <c r="B30" s="15"/>
      <c r="C30" s="20">
        <v>5.08</v>
      </c>
      <c r="D30" s="20">
        <v>15.92</v>
      </c>
      <c r="E30" s="15"/>
      <c r="F30" s="15"/>
      <c r="G30" s="15"/>
      <c r="H30" s="15"/>
      <c r="I30" s="15"/>
      <c r="J30" s="15"/>
      <c r="K30" s="15"/>
      <c r="L30" s="15"/>
      <c r="M30" s="15"/>
    </row>
    <row r="31" ht="15.0" customHeight="1">
      <c r="A31" s="14" t="s">
        <v>62</v>
      </c>
      <c r="B31" s="15"/>
      <c r="C31" s="16">
        <v>528.84</v>
      </c>
      <c r="D31" s="16">
        <v>532.47</v>
      </c>
      <c r="E31" s="15"/>
      <c r="F31" s="15"/>
      <c r="G31" s="15"/>
      <c r="H31" s="15"/>
      <c r="I31" s="15"/>
      <c r="J31" s="15"/>
      <c r="K31" s="15"/>
      <c r="L31" s="15"/>
      <c r="M31" s="15"/>
    </row>
    <row r="32" ht="15.0" customHeight="1">
      <c r="A32" s="14" t="s">
        <v>63</v>
      </c>
      <c r="B32" s="15"/>
      <c r="C32" s="16">
        <v>1662.79</v>
      </c>
      <c r="D32" s="16">
        <v>1625.29</v>
      </c>
      <c r="E32" s="15"/>
      <c r="F32" s="15"/>
      <c r="G32" s="15"/>
      <c r="H32" s="15"/>
      <c r="I32" s="15"/>
      <c r="J32" s="15"/>
      <c r="K32" s="15"/>
      <c r="L32" s="15"/>
      <c r="M32" s="15"/>
    </row>
    <row r="33" ht="15.0" customHeight="1">
      <c r="A33" s="14" t="s">
        <v>64</v>
      </c>
      <c r="B33" s="16">
        <v>1434.11</v>
      </c>
      <c r="C33" s="16">
        <v>1510.24</v>
      </c>
      <c r="D33" s="16">
        <v>1522.77</v>
      </c>
      <c r="E33" s="16">
        <v>1307.4</v>
      </c>
      <c r="F33" s="16">
        <v>1088.4</v>
      </c>
      <c r="G33" s="16">
        <v>936.49</v>
      </c>
      <c r="H33" s="16">
        <v>854.28</v>
      </c>
      <c r="I33" s="16">
        <v>800.68</v>
      </c>
      <c r="J33" s="16">
        <v>645.89</v>
      </c>
      <c r="K33" s="16">
        <v>593.1</v>
      </c>
      <c r="L33" s="16">
        <v>487.61</v>
      </c>
      <c r="M33" s="16">
        <v>386.72</v>
      </c>
    </row>
    <row r="34" ht="15.0" customHeight="1">
      <c r="A34" s="14" t="s">
        <v>61</v>
      </c>
      <c r="B34" s="15"/>
      <c r="C34" s="20">
        <v>28.48</v>
      </c>
      <c r="D34" s="20">
        <v>51.75</v>
      </c>
      <c r="E34" s="15"/>
      <c r="F34" s="15"/>
      <c r="G34" s="15"/>
      <c r="H34" s="15"/>
      <c r="I34" s="15"/>
      <c r="J34" s="15"/>
      <c r="K34" s="15"/>
      <c r="L34" s="15"/>
      <c r="M34" s="15"/>
    </row>
    <row r="35" ht="15.0" customHeight="1">
      <c r="A35" s="14" t="s">
        <v>65</v>
      </c>
      <c r="B35" s="15"/>
      <c r="C35" s="16">
        <v>1481.77</v>
      </c>
      <c r="D35" s="16">
        <v>1471.02</v>
      </c>
      <c r="E35" s="15"/>
      <c r="F35" s="15"/>
      <c r="G35" s="15"/>
      <c r="H35" s="15"/>
      <c r="I35" s="15"/>
      <c r="J35" s="15"/>
      <c r="K35" s="15"/>
      <c r="L35" s="15"/>
      <c r="M35" s="15"/>
    </row>
    <row r="36" ht="15.0" customHeight="1">
      <c r="A36" s="14" t="s">
        <v>66</v>
      </c>
      <c r="B36" s="20">
        <v>20.12</v>
      </c>
      <c r="C36" s="21">
        <v>-83.39</v>
      </c>
      <c r="D36" s="20">
        <v>12.94</v>
      </c>
      <c r="E36" s="22">
        <v>-135.87</v>
      </c>
      <c r="F36" s="21">
        <v>-78.17</v>
      </c>
      <c r="G36" s="21">
        <v>-65.5</v>
      </c>
      <c r="H36" s="21">
        <v>-63.28</v>
      </c>
      <c r="I36" s="21">
        <v>-57.12</v>
      </c>
      <c r="J36" s="20">
        <v>50.35</v>
      </c>
      <c r="K36" s="21">
        <v>-19.64</v>
      </c>
      <c r="L36" s="21">
        <v>-61.19</v>
      </c>
      <c r="M36" s="21">
        <v>-5.51</v>
      </c>
    </row>
    <row r="37" ht="15.0" customHeight="1">
      <c r="A37" s="14" t="s">
        <v>67</v>
      </c>
      <c r="B37" s="15"/>
      <c r="C37" s="21">
        <v>-2.03</v>
      </c>
      <c r="D37" s="21">
        <v>-24.88</v>
      </c>
      <c r="E37" s="21">
        <v>-1.9</v>
      </c>
      <c r="F37" s="21">
        <v>-42.09</v>
      </c>
      <c r="G37" s="21">
        <v>-2.05</v>
      </c>
      <c r="H37" s="21">
        <v>-2.79</v>
      </c>
      <c r="I37" s="21">
        <v>-2.81</v>
      </c>
      <c r="J37" s="21">
        <v>-1.94</v>
      </c>
      <c r="K37" s="15">
        <v>0.0</v>
      </c>
      <c r="L37" s="20">
        <v>1.91</v>
      </c>
      <c r="M37" s="15">
        <v>0.0</v>
      </c>
    </row>
    <row r="38" ht="15.0" customHeight="1">
      <c r="A38" s="14" t="s">
        <v>68</v>
      </c>
      <c r="B38" s="15"/>
      <c r="C38" s="21">
        <v>-55.93</v>
      </c>
      <c r="D38" s="21">
        <v>-54.74</v>
      </c>
      <c r="E38" s="22">
        <v>-192.88</v>
      </c>
      <c r="F38" s="22">
        <v>-137.3</v>
      </c>
      <c r="G38" s="21">
        <v>-32.75</v>
      </c>
      <c r="H38" s="21">
        <v>-60.49</v>
      </c>
      <c r="I38" s="21">
        <v>-85.22</v>
      </c>
      <c r="J38" s="21">
        <v>-4.84</v>
      </c>
      <c r="K38" s="15"/>
      <c r="L38" s="15"/>
      <c r="M38" s="15"/>
    </row>
    <row r="39" ht="15.0" customHeight="1">
      <c r="A39" s="14" t="s">
        <v>69</v>
      </c>
      <c r="B39" s="15"/>
      <c r="C39" s="22">
        <v>-166.79</v>
      </c>
      <c r="D39" s="22">
        <v>-111.47</v>
      </c>
      <c r="E39" s="21">
        <v>-38.96</v>
      </c>
      <c r="F39" s="21">
        <v>-8.02</v>
      </c>
      <c r="G39" s="22">
        <v>-120.77</v>
      </c>
      <c r="H39" s="21">
        <v>-23.26</v>
      </c>
      <c r="I39" s="21">
        <v>-2.81</v>
      </c>
      <c r="J39" s="21">
        <v>-5.81</v>
      </c>
      <c r="K39" s="15"/>
      <c r="L39" s="15"/>
      <c r="M39" s="15"/>
    </row>
    <row r="40" ht="15.0" customHeight="1">
      <c r="A40" s="14" t="s">
        <v>70</v>
      </c>
      <c r="B40" s="15"/>
      <c r="C40" s="20">
        <v>2.03</v>
      </c>
      <c r="D40" s="20">
        <v>22.89</v>
      </c>
      <c r="E40" s="20">
        <v>0.95</v>
      </c>
      <c r="F40" s="20">
        <v>1.0</v>
      </c>
      <c r="G40" s="20">
        <v>2.05</v>
      </c>
      <c r="H40" s="20">
        <v>0.93</v>
      </c>
      <c r="I40" s="20">
        <v>1.87</v>
      </c>
      <c r="J40" s="20">
        <v>1.94</v>
      </c>
      <c r="K40" s="15"/>
      <c r="L40" s="15"/>
      <c r="M40" s="15"/>
    </row>
    <row r="41" ht="15.0" customHeight="1">
      <c r="A41" s="14" t="s">
        <v>71</v>
      </c>
      <c r="B41" s="15"/>
      <c r="C41" s="20">
        <v>79.33</v>
      </c>
      <c r="D41" s="16">
        <v>127.4</v>
      </c>
      <c r="E41" s="20">
        <v>76.01</v>
      </c>
      <c r="F41" s="20">
        <v>64.14</v>
      </c>
      <c r="G41" s="20">
        <v>52.2</v>
      </c>
      <c r="H41" s="20">
        <v>18.61</v>
      </c>
      <c r="I41" s="20">
        <v>20.6</v>
      </c>
      <c r="J41" s="20">
        <v>52.29</v>
      </c>
      <c r="K41" s="15"/>
      <c r="L41" s="15"/>
      <c r="M41" s="15"/>
    </row>
    <row r="42" ht="15.0" customHeight="1">
      <c r="A42" s="14" t="s">
        <v>72</v>
      </c>
      <c r="B42" s="15"/>
      <c r="C42" s="20">
        <v>1.02</v>
      </c>
      <c r="D42" s="20">
        <v>2.99</v>
      </c>
      <c r="E42" s="20">
        <v>16.15</v>
      </c>
      <c r="F42" s="15"/>
      <c r="G42" s="15"/>
      <c r="H42" s="15"/>
      <c r="I42" s="15"/>
      <c r="J42" s="15"/>
      <c r="K42" s="15"/>
      <c r="L42" s="15"/>
      <c r="M42" s="15"/>
    </row>
    <row r="43" ht="15.0" customHeight="1">
      <c r="A43" s="14" t="s">
        <v>73</v>
      </c>
      <c r="B43" s="15"/>
      <c r="C43" s="20">
        <v>55.93</v>
      </c>
      <c r="D43" s="20">
        <v>35.83</v>
      </c>
      <c r="E43" s="15"/>
      <c r="F43" s="15"/>
      <c r="G43" s="15"/>
      <c r="H43" s="15"/>
      <c r="I43" s="15"/>
      <c r="J43" s="15"/>
      <c r="K43" s="15"/>
      <c r="L43" s="15"/>
      <c r="M43" s="15"/>
    </row>
    <row r="44" ht="15.0" customHeight="1">
      <c r="A44" s="14" t="s">
        <v>74</v>
      </c>
      <c r="B44" s="15"/>
      <c r="C44" s="20">
        <v>3.05</v>
      </c>
      <c r="D44" s="20">
        <v>4.98</v>
      </c>
      <c r="E44" s="20">
        <v>4.75</v>
      </c>
      <c r="F44" s="20">
        <v>44.1</v>
      </c>
      <c r="G44" s="20">
        <v>35.82</v>
      </c>
      <c r="H44" s="20">
        <v>3.72</v>
      </c>
      <c r="I44" s="20">
        <v>11.24</v>
      </c>
      <c r="J44" s="20">
        <v>8.72</v>
      </c>
      <c r="K44" s="15"/>
      <c r="L44" s="15"/>
      <c r="M44" s="15"/>
    </row>
    <row r="45" ht="15.0" customHeight="1">
      <c r="A45" s="14" t="s">
        <v>75</v>
      </c>
      <c r="B45" s="15"/>
      <c r="C45" s="15"/>
      <c r="D45" s="20">
        <v>9.95</v>
      </c>
      <c r="E45" s="15"/>
      <c r="F45" s="15"/>
      <c r="G45" s="15"/>
      <c r="H45" s="15"/>
      <c r="I45" s="15"/>
      <c r="J45" s="15"/>
      <c r="K45" s="15"/>
      <c r="L45" s="15"/>
      <c r="M45" s="15"/>
    </row>
    <row r="46" ht="15.0" customHeight="1">
      <c r="A46" s="14" t="s">
        <v>76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>
        <v>0.0</v>
      </c>
      <c r="M46" s="20">
        <v>1.84</v>
      </c>
    </row>
    <row r="47" ht="15.0" customHeight="1">
      <c r="A47" s="14" t="s">
        <v>77</v>
      </c>
      <c r="B47" s="15"/>
      <c r="C47" s="15"/>
      <c r="D47" s="15"/>
      <c r="E47" s="15"/>
      <c r="F47" s="15"/>
      <c r="G47" s="15"/>
      <c r="H47" s="15"/>
      <c r="I47" s="15"/>
      <c r="J47" s="15"/>
      <c r="K47" s="15">
        <v>0.0</v>
      </c>
      <c r="L47" s="20">
        <v>3.82</v>
      </c>
      <c r="M47" s="20">
        <v>1.84</v>
      </c>
    </row>
    <row r="48" ht="15.0" customHeight="1">
      <c r="A48" s="14" t="s">
        <v>78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>
        <v>0.0</v>
      </c>
      <c r="M48" s="20">
        <v>1.84</v>
      </c>
    </row>
    <row r="49" ht="15.0" customHeight="1">
      <c r="A49" s="14" t="s">
        <v>79</v>
      </c>
      <c r="B49" s="15"/>
      <c r="C49" s="15"/>
      <c r="D49" s="15"/>
      <c r="E49" s="15"/>
      <c r="F49" s="15"/>
      <c r="G49" s="15"/>
      <c r="H49" s="15"/>
      <c r="I49" s="15"/>
      <c r="J49" s="15"/>
      <c r="K49" s="21">
        <v>-19.64</v>
      </c>
      <c r="L49" s="21">
        <v>-66.93</v>
      </c>
      <c r="M49" s="21">
        <v>-11.02</v>
      </c>
    </row>
    <row r="50" ht="15.0" customHeight="1">
      <c r="A50" s="14" t="s">
        <v>80</v>
      </c>
      <c r="B50" s="16">
        <v>591.01</v>
      </c>
      <c r="C50" s="16">
        <v>596.98</v>
      </c>
      <c r="D50" s="16">
        <v>588.21</v>
      </c>
      <c r="E50" s="16">
        <v>504.53</v>
      </c>
      <c r="F50" s="16">
        <v>412.91</v>
      </c>
      <c r="G50" s="15"/>
      <c r="H50" s="15"/>
      <c r="I50" s="15"/>
      <c r="J50" s="15"/>
      <c r="K50" s="15"/>
      <c r="L50" s="15"/>
      <c r="M50" s="15"/>
    </row>
    <row r="51" ht="15.0" customHeight="1">
      <c r="A51" s="14" t="s">
        <v>81</v>
      </c>
      <c r="B51" s="20">
        <v>8.47</v>
      </c>
      <c r="C51" s="16">
        <v>1220.4</v>
      </c>
      <c r="D51" s="16">
        <v>166.21</v>
      </c>
      <c r="E51" s="16">
        <v>505.48</v>
      </c>
      <c r="F51" s="16">
        <v>123.27</v>
      </c>
      <c r="G51" s="20">
        <v>60.39</v>
      </c>
      <c r="H51" s="20">
        <v>90.27</v>
      </c>
      <c r="I51" s="20">
        <v>86.16</v>
      </c>
      <c r="J51" s="21">
        <v>-45.51</v>
      </c>
      <c r="K51" s="20">
        <v>47.13</v>
      </c>
      <c r="L51" s="21">
        <v>-22.95</v>
      </c>
      <c r="M51" s="20">
        <v>74.41</v>
      </c>
    </row>
    <row r="52" ht="15.0" customHeight="1">
      <c r="A52" s="14" t="s">
        <v>82</v>
      </c>
      <c r="B52" s="15"/>
      <c r="C52" s="16">
        <v>1178.7</v>
      </c>
      <c r="D52" s="16">
        <v>141.33</v>
      </c>
      <c r="E52" s="16">
        <v>474.12</v>
      </c>
      <c r="F52" s="20">
        <v>86.19</v>
      </c>
      <c r="G52" s="16">
        <v>118.72</v>
      </c>
      <c r="H52" s="16">
        <v>107.95</v>
      </c>
      <c r="I52" s="15"/>
      <c r="J52" s="15"/>
      <c r="K52" s="15"/>
      <c r="L52" s="15"/>
      <c r="M52" s="15"/>
    </row>
    <row r="53" ht="15.0" customHeight="1">
      <c r="A53" s="14" t="s">
        <v>83</v>
      </c>
      <c r="B53" s="15"/>
      <c r="C53" s="20">
        <v>40.68</v>
      </c>
      <c r="D53" s="20">
        <v>24.88</v>
      </c>
      <c r="E53" s="20">
        <v>31.35</v>
      </c>
      <c r="F53" s="20">
        <v>37.08</v>
      </c>
      <c r="G53" s="21">
        <v>-58.34</v>
      </c>
      <c r="H53" s="21">
        <v>-17.68</v>
      </c>
      <c r="I53" s="15"/>
      <c r="J53" s="15"/>
      <c r="K53" s="15"/>
      <c r="L53" s="15"/>
      <c r="M53" s="15"/>
    </row>
    <row r="54" ht="15.0" customHeight="1">
      <c r="A54" s="14" t="s">
        <v>84</v>
      </c>
      <c r="B54" s="15"/>
      <c r="C54" s="20">
        <v>1.02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</row>
    <row r="55" ht="15.0" customHeight="1">
      <c r="A55" s="14" t="s">
        <v>85</v>
      </c>
      <c r="B55" s="16">
        <v>557.12</v>
      </c>
      <c r="C55" s="16">
        <f>2637.07-C60</f>
        <v>603.08</v>
      </c>
      <c r="D55" s="16">
        <v>610.1</v>
      </c>
      <c r="E55" s="16">
        <v>580.54</v>
      </c>
      <c r="F55" s="16">
        <v>369.81</v>
      </c>
      <c r="G55" s="16">
        <v>302.95</v>
      </c>
      <c r="H55" s="16">
        <v>281.97</v>
      </c>
      <c r="I55" s="16">
        <v>205.09</v>
      </c>
      <c r="J55" s="20">
        <v>73.59</v>
      </c>
      <c r="K55" s="20">
        <v>67.75</v>
      </c>
      <c r="L55" s="20">
        <v>65.02</v>
      </c>
      <c r="M55" s="20">
        <v>9.19</v>
      </c>
    </row>
    <row r="56" ht="15.0" customHeight="1">
      <c r="A56" s="14" t="s">
        <v>86</v>
      </c>
      <c r="B56" s="20">
        <v>46.6</v>
      </c>
      <c r="C56" s="20">
        <v>55.93</v>
      </c>
      <c r="D56" s="20">
        <v>70.66</v>
      </c>
      <c r="E56" s="20">
        <v>86.46</v>
      </c>
      <c r="F56" s="15"/>
      <c r="G56" s="15"/>
      <c r="H56" s="15"/>
      <c r="I56" s="15"/>
      <c r="J56" s="15"/>
      <c r="K56" s="15"/>
      <c r="L56" s="15"/>
      <c r="M56" s="15"/>
    </row>
    <row r="57" ht="15.0" customHeight="1">
      <c r="A57" s="14" t="s">
        <v>87</v>
      </c>
      <c r="B57" s="20">
        <v>55.08</v>
      </c>
      <c r="C57" s="20">
        <v>71.19</v>
      </c>
      <c r="D57" s="20">
        <v>72.66</v>
      </c>
      <c r="E57" s="20">
        <v>70.31</v>
      </c>
      <c r="F57" s="15"/>
      <c r="G57" s="15"/>
      <c r="H57" s="15"/>
      <c r="I57" s="15"/>
      <c r="J57" s="15"/>
      <c r="K57" s="15"/>
      <c r="L57" s="15"/>
      <c r="M57" s="15"/>
    </row>
    <row r="58" ht="15.0" customHeight="1">
      <c r="A58" s="14" t="s">
        <v>88</v>
      </c>
      <c r="B58" s="20">
        <v>3.18</v>
      </c>
      <c r="C58" s="20">
        <v>3.05</v>
      </c>
      <c r="D58" s="20">
        <v>2.99</v>
      </c>
      <c r="E58" s="20">
        <v>1.9</v>
      </c>
      <c r="F58" s="15"/>
      <c r="G58" s="15"/>
      <c r="H58" s="15"/>
      <c r="I58" s="15"/>
      <c r="J58" s="15"/>
      <c r="K58" s="15"/>
      <c r="L58" s="15"/>
      <c r="M58" s="15"/>
    </row>
    <row r="59" ht="15.0" customHeight="1">
      <c r="A59" s="14" t="s">
        <v>89</v>
      </c>
      <c r="B59" s="16">
        <v>452.26</v>
      </c>
      <c r="C59" s="16">
        <v>472.9</v>
      </c>
      <c r="D59" s="16">
        <v>462.8</v>
      </c>
      <c r="E59" s="16">
        <v>421.86</v>
      </c>
      <c r="F59" s="15"/>
      <c r="G59" s="15"/>
      <c r="H59" s="15"/>
      <c r="I59" s="15"/>
      <c r="J59" s="15"/>
      <c r="K59" s="15"/>
      <c r="L59" s="15"/>
      <c r="M59" s="15"/>
    </row>
    <row r="60" ht="15.0" customHeight="1">
      <c r="A60" s="14" t="s">
        <v>90</v>
      </c>
      <c r="B60" s="15"/>
      <c r="C60" s="16">
        <v>2033.99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</row>
    <row r="61" ht="15.0" customHeight="1">
      <c r="A61" s="14" t="s">
        <v>91</v>
      </c>
      <c r="B61" s="15"/>
      <c r="C61" s="15"/>
      <c r="D61" s="20">
        <v>1.0</v>
      </c>
      <c r="E61" s="15"/>
      <c r="F61" s="15"/>
      <c r="G61" s="15"/>
      <c r="H61" s="15"/>
      <c r="I61" s="15"/>
      <c r="J61" s="15"/>
      <c r="K61" s="15"/>
      <c r="L61" s="15"/>
      <c r="M61" s="15"/>
    </row>
    <row r="62" ht="15.0" customHeight="1">
      <c r="A62" s="17" t="s">
        <v>92</v>
      </c>
      <c r="B62" s="19">
        <v>4698.45</v>
      </c>
      <c r="C62" s="19">
        <v>8078.01</v>
      </c>
      <c r="D62" s="19">
        <v>5073.92</v>
      </c>
      <c r="E62" s="19">
        <v>4838.14</v>
      </c>
      <c r="F62" s="19">
        <v>3512.74</v>
      </c>
      <c r="G62" s="19">
        <v>3506.45</v>
      </c>
      <c r="H62" s="19">
        <v>3406.87</v>
      </c>
      <c r="I62" s="19">
        <v>3150.28</v>
      </c>
      <c r="J62" s="19">
        <v>2458.63</v>
      </c>
      <c r="K62" s="19">
        <v>2309.56</v>
      </c>
      <c r="L62" s="19">
        <v>1838.59</v>
      </c>
      <c r="M62" s="19">
        <v>1601.09</v>
      </c>
    </row>
    <row r="63" ht="15.0" customHeight="1">
      <c r="A63" s="14" t="s">
        <v>93</v>
      </c>
      <c r="B63" s="15"/>
      <c r="C63" s="15"/>
      <c r="D63" s="21">
        <v>-1.0</v>
      </c>
      <c r="E63" s="20">
        <v>0.95</v>
      </c>
      <c r="F63" s="21">
        <v>-1.0</v>
      </c>
      <c r="G63" s="15"/>
      <c r="H63" s="15"/>
      <c r="I63" s="15"/>
      <c r="J63" s="20">
        <v>0.97</v>
      </c>
      <c r="K63" s="15"/>
      <c r="L63" s="15"/>
      <c r="M63" s="15"/>
    </row>
    <row r="64" ht="15.0" customHeight="1">
      <c r="A64" s="17" t="s">
        <v>94</v>
      </c>
      <c r="B64" s="19">
        <v>1800.58</v>
      </c>
      <c r="C64" s="23">
        <v>-1142.09</v>
      </c>
      <c r="D64" s="19">
        <v>2669.33</v>
      </c>
      <c r="E64" s="19">
        <v>2649.95</v>
      </c>
      <c r="F64" s="19">
        <v>2861.3</v>
      </c>
      <c r="G64" s="19">
        <v>1924.15</v>
      </c>
      <c r="H64" s="19">
        <v>2175.7</v>
      </c>
      <c r="I64" s="19">
        <v>2422.64</v>
      </c>
      <c r="J64" s="19">
        <v>1846.64</v>
      </c>
      <c r="K64" s="19">
        <v>1544.62</v>
      </c>
      <c r="L64" s="19">
        <v>1372.97</v>
      </c>
      <c r="M64" s="19">
        <v>860.71</v>
      </c>
    </row>
    <row r="65" ht="15.0" customHeight="1">
      <c r="A65" s="14" t="s">
        <v>95</v>
      </c>
      <c r="B65" s="16">
        <v>220.31</v>
      </c>
      <c r="C65" s="16">
        <v>153.57</v>
      </c>
      <c r="D65" s="16">
        <v>167.21</v>
      </c>
      <c r="E65" s="20">
        <v>42.76</v>
      </c>
      <c r="F65" s="20">
        <v>13.03</v>
      </c>
      <c r="G65" s="20">
        <v>7.16</v>
      </c>
      <c r="H65" s="20">
        <v>13.03</v>
      </c>
      <c r="I65" s="20">
        <v>10.3</v>
      </c>
      <c r="J65" s="20">
        <v>5.81</v>
      </c>
      <c r="K65" s="20">
        <v>5.89</v>
      </c>
      <c r="L65" s="20">
        <v>1.91</v>
      </c>
      <c r="M65" s="20">
        <v>1.84</v>
      </c>
    </row>
    <row r="66" ht="15.0" customHeight="1">
      <c r="A66" s="14" t="s">
        <v>96</v>
      </c>
      <c r="B66" s="22">
        <v>-1120.59</v>
      </c>
      <c r="C66" s="22">
        <v>-1014.96</v>
      </c>
      <c r="D66" s="22">
        <v>-963.43</v>
      </c>
      <c r="E66" s="22">
        <v>-376.26</v>
      </c>
      <c r="F66" s="22">
        <v>-513.13</v>
      </c>
      <c r="G66" s="22">
        <v>-550.63</v>
      </c>
      <c r="H66" s="22">
        <v>-485.76</v>
      </c>
      <c r="I66" s="22">
        <v>-413.92</v>
      </c>
      <c r="J66" s="22">
        <v>-205.29</v>
      </c>
      <c r="K66" s="22">
        <v>-121.76</v>
      </c>
      <c r="L66" s="22">
        <v>-1055.54</v>
      </c>
      <c r="M66" s="22">
        <v>-1511.99</v>
      </c>
    </row>
    <row r="67" ht="15.0" customHeight="1">
      <c r="A67" s="14" t="s">
        <v>97</v>
      </c>
      <c r="B67" s="22">
        <v>-862.16</v>
      </c>
      <c r="C67" s="22">
        <v>-852.24</v>
      </c>
      <c r="D67" s="22">
        <v>-882.81</v>
      </c>
      <c r="E67" s="22">
        <v>-504.53</v>
      </c>
      <c r="F67" s="22">
        <v>-374.83</v>
      </c>
      <c r="G67" s="22">
        <v>-408.37</v>
      </c>
      <c r="H67" s="22">
        <v>-403.87</v>
      </c>
      <c r="I67" s="22">
        <v>-382.08</v>
      </c>
      <c r="J67" s="22">
        <v>-108.45</v>
      </c>
      <c r="K67" s="22">
        <v>-114.89</v>
      </c>
      <c r="L67" s="22">
        <v>-599.48</v>
      </c>
      <c r="M67" s="22">
        <v>-622.8</v>
      </c>
    </row>
    <row r="68" ht="15.0" customHeight="1">
      <c r="A68" s="14" t="s">
        <v>98</v>
      </c>
      <c r="B68" s="15"/>
      <c r="C68" s="22">
        <v>-122.04</v>
      </c>
      <c r="D68" s="21">
        <v>-59.72</v>
      </c>
      <c r="E68" s="21">
        <v>-34.21</v>
      </c>
      <c r="F68" s="21">
        <v>-26.06</v>
      </c>
      <c r="G68" s="21">
        <v>-22.52</v>
      </c>
      <c r="H68" s="21">
        <v>-17.68</v>
      </c>
      <c r="I68" s="15"/>
      <c r="J68" s="15"/>
      <c r="K68" s="15"/>
      <c r="L68" s="15"/>
      <c r="M68" s="15"/>
    </row>
    <row r="69" ht="15.0" customHeight="1">
      <c r="A69" s="14" t="s">
        <v>99</v>
      </c>
      <c r="B69" s="15"/>
      <c r="C69" s="21">
        <v>-21.36</v>
      </c>
      <c r="D69" s="21">
        <v>-22.89</v>
      </c>
      <c r="E69" s="21">
        <v>-11.4</v>
      </c>
      <c r="F69" s="21">
        <v>-12.03</v>
      </c>
      <c r="G69" s="21">
        <v>-16.38</v>
      </c>
      <c r="H69" s="21">
        <v>-19.54</v>
      </c>
      <c r="I69" s="21">
        <v>-16.86</v>
      </c>
      <c r="J69" s="21">
        <v>-11.62</v>
      </c>
      <c r="K69" s="21">
        <v>-12.77</v>
      </c>
      <c r="L69" s="15"/>
      <c r="M69" s="15"/>
    </row>
    <row r="70" ht="15.0" customHeight="1">
      <c r="A70" s="14" t="s">
        <v>100</v>
      </c>
      <c r="B70" s="15"/>
      <c r="C70" s="21">
        <v>-20.34</v>
      </c>
      <c r="D70" s="21">
        <v>-22.89</v>
      </c>
      <c r="E70" s="21">
        <v>-23.75</v>
      </c>
      <c r="F70" s="21">
        <v>-22.05</v>
      </c>
      <c r="G70" s="21">
        <v>-22.52</v>
      </c>
      <c r="H70" s="21">
        <v>-46.53</v>
      </c>
      <c r="I70" s="21">
        <v>-18.73</v>
      </c>
      <c r="J70" s="21">
        <v>-6.78</v>
      </c>
      <c r="K70" s="21">
        <v>-6.87</v>
      </c>
      <c r="L70" s="22">
        <v>-232.33</v>
      </c>
      <c r="M70" s="21">
        <v>-90.02</v>
      </c>
    </row>
    <row r="71" ht="15.0" customHeight="1">
      <c r="A71" s="14" t="s">
        <v>101</v>
      </c>
      <c r="B71" s="22">
        <v>-259.49</v>
      </c>
      <c r="C71" s="20">
        <v>41.7</v>
      </c>
      <c r="D71" s="20">
        <v>52.75</v>
      </c>
      <c r="E71" s="16">
        <v>215.68</v>
      </c>
      <c r="F71" s="21">
        <v>-58.13</v>
      </c>
      <c r="G71" s="21">
        <v>-57.31</v>
      </c>
      <c r="H71" s="20">
        <v>17.68</v>
      </c>
      <c r="I71" s="20">
        <v>15.92</v>
      </c>
      <c r="J71" s="21">
        <v>-64.88</v>
      </c>
      <c r="K71" s="20">
        <v>23.57</v>
      </c>
      <c r="L71" s="20">
        <v>18.17</v>
      </c>
      <c r="M71" s="22">
        <v>-467.56</v>
      </c>
    </row>
    <row r="72" ht="15.0" customHeight="1">
      <c r="A72" s="14" t="s">
        <v>102</v>
      </c>
      <c r="B72" s="15"/>
      <c r="C72" s="21">
        <v>-40.68</v>
      </c>
      <c r="D72" s="20">
        <v>27.87</v>
      </c>
      <c r="E72" s="21">
        <v>-18.05</v>
      </c>
      <c r="F72" s="21">
        <v>-20.04</v>
      </c>
      <c r="G72" s="21">
        <v>-25.59</v>
      </c>
      <c r="H72" s="21">
        <v>-14.89</v>
      </c>
      <c r="I72" s="21">
        <v>-11.24</v>
      </c>
      <c r="J72" s="21">
        <v>-14.53</v>
      </c>
      <c r="K72" s="21">
        <v>-10.8</v>
      </c>
      <c r="L72" s="22">
        <v>-241.89</v>
      </c>
      <c r="M72" s="22">
        <v>-331.61</v>
      </c>
    </row>
    <row r="73" ht="15.0" customHeight="1">
      <c r="A73" s="14" t="s">
        <v>103</v>
      </c>
      <c r="B73" s="20">
        <v>1.06</v>
      </c>
      <c r="C73" s="15"/>
      <c r="D73" s="21">
        <v>-55.74</v>
      </c>
      <c r="E73" s="15"/>
      <c r="F73" s="15"/>
      <c r="G73" s="20">
        <v>2.05</v>
      </c>
      <c r="H73" s="21">
        <v>-0.93</v>
      </c>
      <c r="I73" s="21">
        <v>-0.94</v>
      </c>
      <c r="J73" s="20">
        <v>0.97</v>
      </c>
      <c r="K73" s="15"/>
      <c r="L73" s="15"/>
      <c r="M73" s="15"/>
    </row>
    <row r="74" ht="15.0" customHeight="1">
      <c r="A74" s="14" t="s">
        <v>104</v>
      </c>
      <c r="B74" s="15"/>
      <c r="C74" s="15"/>
      <c r="D74" s="15"/>
      <c r="E74" s="15"/>
      <c r="F74" s="15"/>
      <c r="G74" s="21">
        <v>-1.02</v>
      </c>
      <c r="H74" s="15"/>
      <c r="I74" s="15"/>
      <c r="J74" s="15"/>
      <c r="K74" s="15"/>
      <c r="L74" s="15"/>
      <c r="M74" s="15"/>
    </row>
    <row r="75" ht="15.0" customHeight="1">
      <c r="A75" s="17" t="s">
        <v>105</v>
      </c>
      <c r="B75" s="23">
        <v>-900.29</v>
      </c>
      <c r="C75" s="23">
        <v>-861.4</v>
      </c>
      <c r="D75" s="23">
        <v>-796.22</v>
      </c>
      <c r="E75" s="23">
        <v>-333.5</v>
      </c>
      <c r="F75" s="23">
        <v>-500.1</v>
      </c>
      <c r="G75" s="23">
        <v>-544.49</v>
      </c>
      <c r="H75" s="23">
        <v>-472.74</v>
      </c>
      <c r="I75" s="23">
        <v>-403.62</v>
      </c>
      <c r="J75" s="23">
        <v>-199.48</v>
      </c>
      <c r="K75" s="23">
        <v>-115.87</v>
      </c>
      <c r="L75" s="23">
        <v>-1053.63</v>
      </c>
      <c r="M75" s="23">
        <v>-1510.15</v>
      </c>
    </row>
    <row r="76" ht="15.0" customHeight="1">
      <c r="A76" s="14" t="s">
        <v>106</v>
      </c>
      <c r="B76" s="15"/>
      <c r="C76" s="15"/>
      <c r="D76" s="20">
        <v>1.0</v>
      </c>
      <c r="E76" s="15"/>
      <c r="F76" s="20">
        <v>1.0</v>
      </c>
      <c r="G76" s="15"/>
      <c r="H76" s="15"/>
      <c r="I76" s="15"/>
      <c r="J76" s="21">
        <v>-0.97</v>
      </c>
      <c r="K76" s="15"/>
      <c r="L76" s="15"/>
      <c r="M76" s="15"/>
    </row>
    <row r="77" ht="15.0" customHeight="1">
      <c r="A77" s="17" t="s">
        <v>107</v>
      </c>
      <c r="B77" s="19">
        <v>900.29</v>
      </c>
      <c r="C77" s="23">
        <v>-2003.49</v>
      </c>
      <c r="D77" s="19">
        <v>1874.11</v>
      </c>
      <c r="E77" s="19">
        <v>2316.45</v>
      </c>
      <c r="F77" s="19">
        <v>2362.2</v>
      </c>
      <c r="G77" s="19">
        <v>1379.65</v>
      </c>
      <c r="H77" s="19">
        <v>1702.97</v>
      </c>
      <c r="I77" s="19">
        <v>2019.03</v>
      </c>
      <c r="J77" s="19">
        <v>1646.19</v>
      </c>
      <c r="K77" s="19">
        <v>1428.75</v>
      </c>
      <c r="L77" s="19">
        <v>319.34</v>
      </c>
      <c r="M77" s="23">
        <v>-649.44</v>
      </c>
    </row>
    <row r="78" ht="15.0" customHeight="1">
      <c r="A78" s="14" t="s">
        <v>108</v>
      </c>
      <c r="B78" s="16">
        <v>446.97</v>
      </c>
      <c r="C78" s="16">
        <v>337.64</v>
      </c>
      <c r="D78" s="16">
        <v>548.4</v>
      </c>
      <c r="E78" s="16">
        <v>621.39</v>
      </c>
      <c r="F78" s="16">
        <v>631.39</v>
      </c>
      <c r="G78" s="16">
        <v>918.06</v>
      </c>
      <c r="H78" s="16">
        <v>469.94</v>
      </c>
      <c r="I78" s="16">
        <v>543.15</v>
      </c>
      <c r="J78" s="16">
        <v>199.48</v>
      </c>
      <c r="K78" s="20">
        <v>91.32</v>
      </c>
      <c r="L78" s="22">
        <v>-667.36</v>
      </c>
      <c r="M78" s="16">
        <v>111.15</v>
      </c>
    </row>
    <row r="79" ht="15.0" customHeight="1">
      <c r="A79" s="14" t="s">
        <v>109</v>
      </c>
      <c r="B79" s="15"/>
      <c r="C79" s="15"/>
      <c r="D79" s="15"/>
      <c r="E79" s="15"/>
      <c r="F79" s="15"/>
      <c r="G79" s="15"/>
      <c r="H79" s="15"/>
      <c r="I79" s="15"/>
      <c r="J79" s="22">
        <v>-219.81</v>
      </c>
      <c r="K79" s="15"/>
      <c r="L79" s="15"/>
      <c r="M79" s="15"/>
    </row>
    <row r="80" ht="15.0" customHeight="1">
      <c r="A80" s="14" t="s">
        <v>110</v>
      </c>
      <c r="B80" s="15"/>
      <c r="C80" s="15"/>
      <c r="D80" s="15"/>
      <c r="E80" s="15"/>
      <c r="F80" s="15"/>
      <c r="G80" s="15"/>
      <c r="H80" s="15"/>
      <c r="I80" s="15"/>
      <c r="J80" s="16">
        <v>419.29</v>
      </c>
      <c r="K80" s="15"/>
      <c r="L80" s="15"/>
      <c r="M80" s="15"/>
    </row>
    <row r="81" ht="15.0" customHeight="1">
      <c r="A81" s="14" t="s">
        <v>111</v>
      </c>
      <c r="B81" s="15"/>
      <c r="C81" s="16">
        <v>736.31</v>
      </c>
      <c r="D81" s="16">
        <v>800.2</v>
      </c>
      <c r="E81" s="16">
        <v>687.9</v>
      </c>
      <c r="F81" s="16">
        <v>716.58</v>
      </c>
      <c r="G81" s="16">
        <v>977.43</v>
      </c>
      <c r="H81" s="16">
        <v>549.97</v>
      </c>
      <c r="I81" s="22">
        <v>-277.19</v>
      </c>
      <c r="J81" s="15"/>
      <c r="K81" s="16">
        <v>190.5</v>
      </c>
      <c r="L81" s="16">
        <v>161.58</v>
      </c>
      <c r="M81" s="20">
        <v>98.29</v>
      </c>
    </row>
    <row r="82" ht="15.0" customHeight="1">
      <c r="A82" s="14" t="s">
        <v>112</v>
      </c>
      <c r="B82" s="15"/>
      <c r="C82" s="22">
        <v>-398.66</v>
      </c>
      <c r="D82" s="22">
        <v>-251.8</v>
      </c>
      <c r="E82" s="21">
        <v>-66.51</v>
      </c>
      <c r="F82" s="21">
        <v>-84.19</v>
      </c>
      <c r="G82" s="21">
        <v>-59.36</v>
      </c>
      <c r="H82" s="21">
        <v>-80.03</v>
      </c>
      <c r="I82" s="16">
        <v>265.96</v>
      </c>
      <c r="J82" s="15"/>
      <c r="K82" s="21">
        <v>-99.18</v>
      </c>
      <c r="L82" s="22">
        <v>-828.94</v>
      </c>
      <c r="M82" s="20">
        <v>12.86</v>
      </c>
    </row>
    <row r="83" ht="15.0" customHeight="1">
      <c r="A83" s="14" t="s">
        <v>110</v>
      </c>
      <c r="B83" s="15"/>
      <c r="C83" s="15"/>
      <c r="D83" s="15"/>
      <c r="E83" s="15"/>
      <c r="F83" s="21">
        <v>-1.0</v>
      </c>
      <c r="G83" s="15"/>
      <c r="H83" s="15"/>
      <c r="I83" s="16">
        <v>554.39</v>
      </c>
      <c r="J83" s="15"/>
      <c r="K83" s="15"/>
      <c r="L83" s="15"/>
      <c r="M83" s="15"/>
    </row>
    <row r="84" ht="15.0" customHeight="1">
      <c r="A84" s="17" t="s">
        <v>113</v>
      </c>
      <c r="B84" s="19">
        <v>446.97</v>
      </c>
      <c r="C84" s="19">
        <v>337.64</v>
      </c>
      <c r="D84" s="19">
        <v>548.4</v>
      </c>
      <c r="E84" s="19">
        <v>621.39</v>
      </c>
      <c r="F84" s="19">
        <v>631.39</v>
      </c>
      <c r="G84" s="19">
        <v>918.06</v>
      </c>
      <c r="H84" s="19">
        <v>469.94</v>
      </c>
      <c r="I84" s="19">
        <v>543.15</v>
      </c>
      <c r="J84" s="19">
        <v>199.48</v>
      </c>
      <c r="K84" s="24">
        <v>91.32</v>
      </c>
      <c r="L84" s="23">
        <v>-667.36</v>
      </c>
      <c r="M84" s="19">
        <v>111.15</v>
      </c>
    </row>
    <row r="85" ht="15.0" customHeight="1">
      <c r="A85" s="14" t="s">
        <v>114</v>
      </c>
      <c r="B85" s="15"/>
      <c r="C85" s="15"/>
      <c r="D85" s="15"/>
      <c r="E85" s="15"/>
      <c r="F85" s="21">
        <v>-1.0</v>
      </c>
      <c r="G85" s="15"/>
      <c r="H85" s="15"/>
      <c r="I85" s="15"/>
      <c r="J85" s="20">
        <v>0.97</v>
      </c>
      <c r="K85" s="15"/>
      <c r="L85" s="15"/>
      <c r="M85" s="15"/>
    </row>
    <row r="86" ht="15.0" customHeight="1">
      <c r="A86" s="17" t="s">
        <v>115</v>
      </c>
      <c r="B86" s="19">
        <v>453.32</v>
      </c>
      <c r="C86" s="23">
        <v>-2341.13</v>
      </c>
      <c r="D86" s="19">
        <v>1325.71</v>
      </c>
      <c r="E86" s="19">
        <v>1695.06</v>
      </c>
      <c r="F86" s="19">
        <v>1729.81</v>
      </c>
      <c r="G86" s="19">
        <v>461.59</v>
      </c>
      <c r="H86" s="19">
        <v>1233.02</v>
      </c>
      <c r="I86" s="19">
        <v>1475.87</v>
      </c>
      <c r="J86" s="19">
        <v>1447.68</v>
      </c>
      <c r="K86" s="19">
        <v>1337.42</v>
      </c>
      <c r="L86" s="19">
        <v>986.7</v>
      </c>
      <c r="M86" s="23">
        <v>-760.59</v>
      </c>
    </row>
    <row r="87" ht="15.0" customHeight="1">
      <c r="A87" s="17" t="s">
        <v>116</v>
      </c>
      <c r="B87" s="19">
        <v>453.32</v>
      </c>
      <c r="C87" s="23">
        <v>-2341.13</v>
      </c>
      <c r="D87" s="19">
        <v>1325.71</v>
      </c>
      <c r="E87" s="19">
        <v>1695.06</v>
      </c>
      <c r="F87" s="19">
        <v>1729.81</v>
      </c>
      <c r="G87" s="19">
        <v>461.59</v>
      </c>
      <c r="H87" s="19">
        <v>1233.02</v>
      </c>
      <c r="I87" s="19">
        <v>1475.87</v>
      </c>
      <c r="J87" s="19">
        <v>1447.68</v>
      </c>
      <c r="K87" s="19">
        <v>1337.42</v>
      </c>
      <c r="L87" s="19">
        <v>986.7</v>
      </c>
      <c r="M87" s="23">
        <v>-760.59</v>
      </c>
    </row>
    <row r="88" ht="15.0" customHeight="1">
      <c r="A88" s="17" t="s">
        <v>117</v>
      </c>
      <c r="B88" s="19">
        <v>453.32</v>
      </c>
      <c r="C88" s="23">
        <v>-2341.13</v>
      </c>
      <c r="D88" s="19">
        <v>1325.71</v>
      </c>
      <c r="E88" s="19">
        <v>1695.06</v>
      </c>
      <c r="F88" s="19">
        <v>1729.81</v>
      </c>
      <c r="G88" s="19">
        <v>461.59</v>
      </c>
      <c r="H88" s="19">
        <v>1233.02</v>
      </c>
      <c r="I88" s="19">
        <v>1475.87</v>
      </c>
      <c r="J88" s="19">
        <v>1447.68</v>
      </c>
      <c r="K88" s="19">
        <v>1337.42</v>
      </c>
      <c r="L88" s="19">
        <v>986.7</v>
      </c>
      <c r="M88" s="23">
        <v>-760.59</v>
      </c>
    </row>
    <row r="89" ht="15.0" customHeight="1">
      <c r="A89" s="14" t="s">
        <v>118</v>
      </c>
      <c r="B89" s="15"/>
      <c r="C89" s="21">
        <v>-1.02</v>
      </c>
      <c r="D89" s="15"/>
      <c r="E89" s="15"/>
      <c r="F89" s="15"/>
      <c r="G89" s="15"/>
      <c r="H89" s="15"/>
      <c r="I89" s="15"/>
      <c r="J89" s="15"/>
      <c r="K89" s="15"/>
      <c r="L89" s="15"/>
      <c r="M89" s="15"/>
    </row>
    <row r="90" ht="15.0" customHeight="1">
      <c r="A90" s="17" t="s">
        <v>119</v>
      </c>
      <c r="B90" s="19">
        <v>453.32</v>
      </c>
      <c r="C90" s="23">
        <v>-2342.15</v>
      </c>
      <c r="D90" s="19">
        <v>1325.71</v>
      </c>
      <c r="E90" s="19">
        <v>1695.06</v>
      </c>
      <c r="F90" s="19">
        <v>1729.81</v>
      </c>
      <c r="G90" s="19">
        <v>461.59</v>
      </c>
      <c r="H90" s="19">
        <v>1233.02</v>
      </c>
      <c r="I90" s="19">
        <v>1475.87</v>
      </c>
      <c r="J90" s="19">
        <v>1447.68</v>
      </c>
      <c r="K90" s="19">
        <v>1337.42</v>
      </c>
      <c r="L90" s="19">
        <v>986.7</v>
      </c>
      <c r="M90" s="23">
        <v>-760.59</v>
      </c>
    </row>
    <row r="91" ht="15.0" customHeight="1">
      <c r="A91" s="14" t="s">
        <v>120</v>
      </c>
      <c r="B91" s="15"/>
      <c r="C91" s="22">
        <v>-2342.15</v>
      </c>
      <c r="D91" s="16">
        <v>1325.71</v>
      </c>
      <c r="E91" s="16">
        <v>1695.06</v>
      </c>
      <c r="F91" s="16">
        <v>1729.81</v>
      </c>
      <c r="G91" s="16">
        <v>461.59</v>
      </c>
      <c r="H91" s="16">
        <v>1233.02</v>
      </c>
      <c r="I91" s="16">
        <v>1475.87</v>
      </c>
      <c r="J91" s="16">
        <v>1447.68</v>
      </c>
      <c r="K91" s="15"/>
      <c r="L91" s="15"/>
      <c r="M91" s="15"/>
    </row>
    <row r="92" ht="15.0" customHeight="1">
      <c r="A92" s="14" t="s">
        <v>121</v>
      </c>
      <c r="B92" s="15"/>
      <c r="C92" s="20">
        <v>22.37</v>
      </c>
      <c r="D92" s="20">
        <v>7.96</v>
      </c>
      <c r="E92" s="16">
        <v>169.13</v>
      </c>
      <c r="F92" s="20">
        <v>79.17</v>
      </c>
      <c r="G92" s="21">
        <v>-14.33</v>
      </c>
      <c r="H92" s="21">
        <v>-64.21</v>
      </c>
      <c r="I92" s="21">
        <v>-2.81</v>
      </c>
      <c r="J92" s="15">
        <v>0.0</v>
      </c>
      <c r="K92" s="15"/>
      <c r="L92" s="15"/>
      <c r="M92" s="15"/>
    </row>
    <row r="93" ht="15.0" customHeight="1">
      <c r="A93" s="14" t="s">
        <v>122</v>
      </c>
      <c r="B93" s="15"/>
      <c r="C93" s="20">
        <v>15.25</v>
      </c>
      <c r="D93" s="20">
        <v>2.99</v>
      </c>
      <c r="E93" s="21">
        <v>-69.36</v>
      </c>
      <c r="F93" s="16">
        <v>108.24</v>
      </c>
      <c r="G93" s="21">
        <v>-63.46</v>
      </c>
      <c r="H93" s="21">
        <v>-27.92</v>
      </c>
      <c r="I93" s="20">
        <v>7.49</v>
      </c>
      <c r="J93" s="20">
        <v>24.21</v>
      </c>
      <c r="K93" s="15"/>
      <c r="L93" s="15"/>
      <c r="M93" s="15"/>
    </row>
    <row r="94" ht="15.0" customHeight="1">
      <c r="A94" s="14" t="s">
        <v>123</v>
      </c>
      <c r="B94" s="15"/>
      <c r="C94" s="22">
        <v>-640.71</v>
      </c>
      <c r="D94" s="16">
        <v>155.26</v>
      </c>
      <c r="E94" s="16">
        <v>544.43</v>
      </c>
      <c r="F94" s="16">
        <v>294.65</v>
      </c>
      <c r="G94" s="16">
        <v>133.05</v>
      </c>
      <c r="H94" s="21">
        <v>-38.15</v>
      </c>
      <c r="I94" s="21">
        <v>-13.11</v>
      </c>
      <c r="J94" s="20">
        <v>63.91</v>
      </c>
      <c r="K94" s="15"/>
      <c r="L94" s="15"/>
      <c r="M94" s="15"/>
    </row>
    <row r="95" ht="15.0" customHeight="1">
      <c r="A95" s="14" t="s">
        <v>124</v>
      </c>
      <c r="B95" s="15"/>
      <c r="C95" s="16">
        <v>3026.58</v>
      </c>
      <c r="D95" s="22">
        <v>-1499.88</v>
      </c>
      <c r="E95" s="16">
        <v>2174.88</v>
      </c>
      <c r="F95" s="16">
        <v>1392.07</v>
      </c>
      <c r="G95" s="22">
        <v>-1706.14</v>
      </c>
      <c r="H95" s="16">
        <v>729.58</v>
      </c>
      <c r="I95" s="16">
        <v>518.8</v>
      </c>
      <c r="J95" s="22">
        <v>-486.11</v>
      </c>
      <c r="K95" s="15"/>
      <c r="L95" s="15"/>
      <c r="M95" s="15"/>
    </row>
    <row r="96" ht="15.0" customHeight="1">
      <c r="A96" s="14" t="s">
        <v>125</v>
      </c>
      <c r="B96" s="15"/>
      <c r="C96" s="15"/>
      <c r="D96" s="20">
        <v>1.0</v>
      </c>
      <c r="E96" s="21">
        <v>-0.95</v>
      </c>
      <c r="F96" s="21">
        <v>-1.0</v>
      </c>
      <c r="G96" s="15"/>
      <c r="H96" s="15"/>
      <c r="I96" s="15"/>
      <c r="J96" s="15"/>
      <c r="K96" s="15"/>
      <c r="L96" s="15"/>
      <c r="M96" s="15"/>
    </row>
    <row r="97" ht="15.0" customHeight="1">
      <c r="A97" s="17" t="s">
        <v>126</v>
      </c>
      <c r="B97" s="18"/>
      <c r="C97" s="19">
        <v>2423.51</v>
      </c>
      <c r="D97" s="23">
        <v>-1332.68</v>
      </c>
      <c r="E97" s="19">
        <v>2818.13</v>
      </c>
      <c r="F97" s="19">
        <v>1873.13</v>
      </c>
      <c r="G97" s="23">
        <v>-1650.88</v>
      </c>
      <c r="H97" s="19">
        <v>599.3</v>
      </c>
      <c r="I97" s="19">
        <v>510.38</v>
      </c>
      <c r="J97" s="23">
        <v>-397.99</v>
      </c>
      <c r="K97" s="18"/>
      <c r="L97" s="18"/>
      <c r="M97" s="18"/>
    </row>
    <row r="98" ht="15.0" customHeight="1">
      <c r="A98" s="14" t="s">
        <v>127</v>
      </c>
      <c r="B98" s="15"/>
      <c r="C98" s="15"/>
      <c r="D98" s="20">
        <v>1.0</v>
      </c>
      <c r="E98" s="15"/>
      <c r="F98" s="21">
        <v>-1.0</v>
      </c>
      <c r="G98" s="15"/>
      <c r="H98" s="15"/>
      <c r="I98" s="15"/>
      <c r="J98" s="15"/>
      <c r="K98" s="15"/>
      <c r="L98" s="15"/>
      <c r="M98" s="15"/>
    </row>
    <row r="99" ht="15.0" customHeight="1">
      <c r="A99" s="17" t="s">
        <v>128</v>
      </c>
      <c r="B99" s="18"/>
      <c r="C99" s="24">
        <v>81.36</v>
      </c>
      <c r="D99" s="25">
        <v>-6.97</v>
      </c>
      <c r="E99" s="19">
        <v>4514.14</v>
      </c>
      <c r="F99" s="19">
        <v>3602.93</v>
      </c>
      <c r="G99" s="23">
        <v>-1189.29</v>
      </c>
      <c r="H99" s="19">
        <v>1832.32</v>
      </c>
      <c r="I99" s="19">
        <v>1986.25</v>
      </c>
      <c r="J99" s="19">
        <v>1049.69</v>
      </c>
      <c r="K99" s="18"/>
      <c r="L99" s="18"/>
      <c r="M99" s="18"/>
    </row>
    <row r="100" ht="15.0" customHeight="1">
      <c r="A100" s="14" t="s">
        <v>129</v>
      </c>
      <c r="B100" s="16">
        <v>453.32</v>
      </c>
      <c r="C100" s="22">
        <v>-2342.15</v>
      </c>
      <c r="D100" s="16">
        <v>1325.71</v>
      </c>
      <c r="E100" s="16">
        <v>1695.06</v>
      </c>
      <c r="F100" s="16">
        <v>1729.81</v>
      </c>
      <c r="G100" s="16">
        <v>461.59</v>
      </c>
      <c r="H100" s="16">
        <v>1233.02</v>
      </c>
      <c r="I100" s="16">
        <v>1475.87</v>
      </c>
      <c r="J100" s="16">
        <v>1447.68</v>
      </c>
      <c r="K100" s="16">
        <v>1337.42</v>
      </c>
      <c r="L100" s="16">
        <v>986.7</v>
      </c>
      <c r="M100" s="22">
        <v>-760.59</v>
      </c>
    </row>
    <row r="101" ht="15.0" customHeight="1">
      <c r="A101" s="14" t="s">
        <v>130</v>
      </c>
      <c r="B101" s="16">
        <v>453.32</v>
      </c>
      <c r="C101" s="22">
        <v>-2341.13</v>
      </c>
      <c r="D101" s="16">
        <v>1325.71</v>
      </c>
      <c r="E101" s="16">
        <v>1695.06</v>
      </c>
      <c r="F101" s="16">
        <v>1729.81</v>
      </c>
      <c r="G101" s="16">
        <v>461.59</v>
      </c>
      <c r="H101" s="16">
        <v>1233.02</v>
      </c>
      <c r="I101" s="16">
        <v>1475.87</v>
      </c>
      <c r="J101" s="16">
        <v>1447.68</v>
      </c>
      <c r="K101" s="16">
        <v>1337.42</v>
      </c>
      <c r="L101" s="16">
        <v>986.7</v>
      </c>
      <c r="M101" s="22">
        <v>-760.59</v>
      </c>
    </row>
    <row r="102" ht="15.0" customHeight="1">
      <c r="A102" s="14" t="s">
        <v>131</v>
      </c>
      <c r="B102" s="20">
        <v>1.42</v>
      </c>
      <c r="C102" s="21">
        <v>-7.33</v>
      </c>
      <c r="D102" s="20">
        <v>4.15</v>
      </c>
      <c r="E102" s="20">
        <v>5.3</v>
      </c>
      <c r="F102" s="20">
        <v>5.59</v>
      </c>
      <c r="G102" s="20">
        <v>1.56</v>
      </c>
      <c r="H102" s="20">
        <v>4.17</v>
      </c>
      <c r="I102" s="20">
        <v>4.99</v>
      </c>
      <c r="J102" s="20">
        <v>4.89</v>
      </c>
      <c r="K102" s="20">
        <v>4.52</v>
      </c>
      <c r="L102" s="20">
        <v>3.34</v>
      </c>
      <c r="M102" s="21">
        <v>-2.57</v>
      </c>
    </row>
    <row r="103" ht="15.0" customHeight="1">
      <c r="A103" s="14" t="s">
        <v>132</v>
      </c>
      <c r="B103" s="20">
        <v>1.42</v>
      </c>
      <c r="C103" s="21">
        <v>-7.33</v>
      </c>
      <c r="D103" s="20">
        <v>4.15</v>
      </c>
      <c r="E103" s="20">
        <v>5.3</v>
      </c>
      <c r="F103" s="20">
        <v>5.59</v>
      </c>
      <c r="G103" s="20">
        <v>1.56</v>
      </c>
      <c r="H103" s="20">
        <v>4.17</v>
      </c>
      <c r="I103" s="20">
        <v>4.99</v>
      </c>
      <c r="J103" s="20">
        <v>4.89</v>
      </c>
      <c r="K103" s="20">
        <v>4.52</v>
      </c>
      <c r="L103" s="20">
        <v>3.34</v>
      </c>
      <c r="M103" s="21">
        <v>-2.57</v>
      </c>
    </row>
    <row r="104" ht="15.0" customHeight="1">
      <c r="A104" s="14" t="s">
        <v>133</v>
      </c>
      <c r="B104" s="16">
        <v>319.5</v>
      </c>
      <c r="C104" s="16">
        <v>319.5</v>
      </c>
      <c r="D104" s="16">
        <v>319.5</v>
      </c>
      <c r="E104" s="16">
        <v>319.5</v>
      </c>
      <c r="F104" s="16">
        <v>309.64</v>
      </c>
      <c r="G104" s="16">
        <v>295.83</v>
      </c>
      <c r="H104" s="16">
        <v>295.83</v>
      </c>
      <c r="I104" s="16">
        <v>295.83</v>
      </c>
      <c r="J104" s="16">
        <v>295.83</v>
      </c>
      <c r="K104" s="16">
        <v>295.83</v>
      </c>
      <c r="L104" s="16">
        <v>295.83</v>
      </c>
      <c r="M104" s="16">
        <v>295.83</v>
      </c>
    </row>
    <row r="105" ht="15.0" customHeight="1">
      <c r="A105" s="14" t="s">
        <v>134</v>
      </c>
      <c r="B105" s="20">
        <v>1.42</v>
      </c>
      <c r="C105" s="21">
        <v>-7.33</v>
      </c>
      <c r="D105" s="20">
        <v>4.15</v>
      </c>
      <c r="E105" s="20">
        <v>5.3</v>
      </c>
      <c r="F105" s="20">
        <v>5.59</v>
      </c>
      <c r="G105" s="20">
        <v>1.56</v>
      </c>
      <c r="H105" s="20">
        <v>4.17</v>
      </c>
      <c r="I105" s="20">
        <v>4.99</v>
      </c>
      <c r="J105" s="20">
        <v>4.89</v>
      </c>
      <c r="K105" s="20">
        <v>4.52</v>
      </c>
      <c r="L105" s="20">
        <v>3.34</v>
      </c>
      <c r="M105" s="21">
        <v>-2.57</v>
      </c>
    </row>
    <row r="106" ht="15.0" customHeight="1">
      <c r="A106" s="14" t="s">
        <v>135</v>
      </c>
      <c r="B106" s="20">
        <v>1.42</v>
      </c>
      <c r="C106" s="21">
        <v>-7.33</v>
      </c>
      <c r="D106" s="20">
        <v>4.15</v>
      </c>
      <c r="E106" s="20">
        <v>5.3</v>
      </c>
      <c r="F106" s="20">
        <v>5.59</v>
      </c>
      <c r="G106" s="20">
        <v>1.56</v>
      </c>
      <c r="H106" s="20">
        <v>4.17</v>
      </c>
      <c r="I106" s="20">
        <v>4.99</v>
      </c>
      <c r="J106" s="20">
        <v>4.89</v>
      </c>
      <c r="K106" s="20">
        <v>4.52</v>
      </c>
      <c r="L106" s="20">
        <v>3.34</v>
      </c>
      <c r="M106" s="21">
        <v>-2.57</v>
      </c>
    </row>
    <row r="107" ht="15.0" customHeight="1">
      <c r="A107" s="14" t="s">
        <v>136</v>
      </c>
      <c r="B107" s="16">
        <v>319.5</v>
      </c>
      <c r="C107" s="16">
        <v>319.5</v>
      </c>
      <c r="D107" s="16">
        <v>319.5</v>
      </c>
      <c r="E107" s="16">
        <v>319.5</v>
      </c>
      <c r="F107" s="16">
        <v>309.64</v>
      </c>
      <c r="G107" s="16">
        <v>295.83</v>
      </c>
      <c r="H107" s="16">
        <v>295.83</v>
      </c>
      <c r="I107" s="16">
        <v>295.83</v>
      </c>
      <c r="J107" s="16">
        <v>295.83</v>
      </c>
      <c r="K107" s="16">
        <v>295.83</v>
      </c>
      <c r="L107" s="16">
        <v>295.83</v>
      </c>
      <c r="M107" s="16">
        <v>295.83</v>
      </c>
    </row>
    <row r="108" ht="15.0" customHeight="1">
      <c r="A108" s="14" t="s">
        <v>137</v>
      </c>
      <c r="B108" s="15"/>
      <c r="C108" s="16">
        <v>391.54</v>
      </c>
      <c r="D108" s="16">
        <v>379.2</v>
      </c>
      <c r="E108" s="16">
        <v>321.15</v>
      </c>
      <c r="F108" s="16">
        <v>223.49</v>
      </c>
      <c r="G108" s="16">
        <v>183.2</v>
      </c>
      <c r="H108" s="16">
        <v>167.51</v>
      </c>
      <c r="I108" s="15"/>
      <c r="J108" s="15"/>
      <c r="K108" s="15"/>
      <c r="L108" s="15"/>
      <c r="M108" s="15"/>
    </row>
    <row r="109" ht="15.0" customHeight="1">
      <c r="A109" s="14" t="s">
        <v>138</v>
      </c>
      <c r="B109" s="15"/>
      <c r="C109" s="16">
        <v>3569.66</v>
      </c>
      <c r="D109" s="16">
        <v>1517.8</v>
      </c>
      <c r="E109" s="16">
        <v>1403.36</v>
      </c>
      <c r="F109" s="16">
        <v>922.03</v>
      </c>
      <c r="G109" s="16">
        <v>807.53</v>
      </c>
      <c r="H109" s="16">
        <v>760.29</v>
      </c>
      <c r="I109" s="16">
        <v>492.58</v>
      </c>
      <c r="J109" s="16">
        <v>310.84</v>
      </c>
      <c r="K109" s="16">
        <v>292.62</v>
      </c>
      <c r="L109" s="16">
        <v>278.23</v>
      </c>
      <c r="M109" s="16">
        <v>188.31</v>
      </c>
    </row>
    <row r="110" ht="15.0" customHeight="1">
      <c r="A110" s="14" t="s">
        <v>139</v>
      </c>
      <c r="B110" s="15"/>
      <c r="C110" s="20">
        <v>29.49</v>
      </c>
      <c r="D110" s="20">
        <v>25.88</v>
      </c>
      <c r="E110" s="20">
        <v>21.85</v>
      </c>
      <c r="F110" s="20">
        <v>18.04</v>
      </c>
      <c r="G110" s="20">
        <v>21.49</v>
      </c>
      <c r="H110" s="20">
        <v>18.61</v>
      </c>
      <c r="I110" s="20">
        <v>18.73</v>
      </c>
      <c r="J110" s="20">
        <v>18.4</v>
      </c>
      <c r="K110" s="20">
        <v>12.77</v>
      </c>
      <c r="L110" s="20">
        <v>13.39</v>
      </c>
      <c r="M110" s="20">
        <v>10.1</v>
      </c>
    </row>
    <row r="111" ht="15.0" customHeight="1">
      <c r="A111" s="14" t="s">
        <v>140</v>
      </c>
      <c r="B111" s="15"/>
      <c r="C111" s="15">
        <v>0.0</v>
      </c>
      <c r="D111" s="20">
        <v>2.99</v>
      </c>
      <c r="E111" s="20">
        <v>0.95</v>
      </c>
      <c r="F111" s="15">
        <v>0.0</v>
      </c>
      <c r="G111" s="20">
        <v>1.02</v>
      </c>
      <c r="H111" s="20">
        <v>0.93</v>
      </c>
      <c r="I111" s="20">
        <v>6.56</v>
      </c>
      <c r="J111" s="15">
        <v>0.0</v>
      </c>
      <c r="K111" s="20">
        <v>3.93</v>
      </c>
      <c r="L111" s="20">
        <v>1.91</v>
      </c>
      <c r="M111" s="20">
        <v>0.92</v>
      </c>
    </row>
    <row r="112" ht="15.0" customHeight="1">
      <c r="A112" s="14" t="s">
        <v>141</v>
      </c>
      <c r="B112" s="15"/>
      <c r="C112" s="15">
        <v>0.0</v>
      </c>
      <c r="D112" s="15">
        <v>0.0</v>
      </c>
      <c r="E112" s="20">
        <v>0.95</v>
      </c>
      <c r="F112" s="20">
        <v>2.0</v>
      </c>
      <c r="G112" s="20">
        <v>8.19</v>
      </c>
      <c r="H112" s="20">
        <v>10.24</v>
      </c>
      <c r="I112" s="20">
        <v>16.86</v>
      </c>
      <c r="J112" s="20">
        <v>13.56</v>
      </c>
      <c r="K112" s="20">
        <v>6.87</v>
      </c>
      <c r="L112" s="20">
        <v>10.52</v>
      </c>
      <c r="M112" s="20">
        <v>9.19</v>
      </c>
    </row>
    <row r="113" ht="15.0" customHeight="1">
      <c r="A113" s="14" t="s">
        <v>142</v>
      </c>
      <c r="B113" s="15"/>
      <c r="C113" s="20">
        <v>29.49</v>
      </c>
      <c r="D113" s="20">
        <v>28.86</v>
      </c>
      <c r="E113" s="20">
        <v>23.75</v>
      </c>
      <c r="F113" s="20">
        <v>21.05</v>
      </c>
      <c r="G113" s="20">
        <v>30.7</v>
      </c>
      <c r="H113" s="20">
        <v>30.71</v>
      </c>
      <c r="I113" s="20">
        <v>44.01</v>
      </c>
      <c r="J113" s="20">
        <v>38.73</v>
      </c>
      <c r="K113" s="20">
        <v>28.48</v>
      </c>
      <c r="L113" s="20">
        <v>36.33</v>
      </c>
      <c r="M113" s="20">
        <v>26.64</v>
      </c>
    </row>
    <row r="114" ht="15.0" customHeight="1">
      <c r="A114" s="14" t="s">
        <v>143</v>
      </c>
      <c r="B114" s="15"/>
      <c r="C114" s="15"/>
      <c r="D114" s="15"/>
      <c r="E114" s="15"/>
      <c r="F114" s="20">
        <v>1.0</v>
      </c>
      <c r="G114" s="15">
        <v>0.0</v>
      </c>
      <c r="H114" s="15">
        <v>0.0</v>
      </c>
      <c r="I114" s="20">
        <v>1.87</v>
      </c>
      <c r="J114" s="20">
        <v>6.78</v>
      </c>
      <c r="K114" s="20">
        <v>4.91</v>
      </c>
      <c r="L114" s="20">
        <v>10.52</v>
      </c>
      <c r="M114" s="20">
        <v>6.43</v>
      </c>
    </row>
    <row r="115" ht="15.0" customHeight="1">
      <c r="A115" s="14" t="s">
        <v>144</v>
      </c>
      <c r="B115" s="15"/>
      <c r="C115" s="16">
        <v>5218.21</v>
      </c>
      <c r="D115" s="16">
        <v>5195.34</v>
      </c>
      <c r="E115" s="16">
        <v>4897.05</v>
      </c>
      <c r="F115" s="16">
        <v>3857.5</v>
      </c>
      <c r="G115" s="16">
        <v>3149.25</v>
      </c>
      <c r="H115" s="16">
        <v>3320.32</v>
      </c>
      <c r="I115" s="16">
        <v>3264.53</v>
      </c>
      <c r="J115" s="16">
        <v>2539.0</v>
      </c>
      <c r="K115" s="16">
        <v>2347.86</v>
      </c>
      <c r="L115" s="16">
        <v>2203.82</v>
      </c>
      <c r="M115" s="16">
        <v>1754.49</v>
      </c>
    </row>
    <row r="116" ht="15.0" customHeight="1">
      <c r="A116" s="14" t="s">
        <v>145</v>
      </c>
      <c r="B116" s="15"/>
      <c r="C116" s="15"/>
      <c r="D116" s="15"/>
      <c r="E116" s="15"/>
      <c r="F116" s="15"/>
      <c r="G116" s="15"/>
      <c r="H116" s="15"/>
      <c r="I116" s="16">
        <v>158.26</v>
      </c>
      <c r="J116" s="16">
        <v>140.41</v>
      </c>
      <c r="K116" s="15"/>
      <c r="L116" s="15"/>
      <c r="M116" s="15"/>
    </row>
    <row r="117" ht="15.0" customHeight="1">
      <c r="A117" s="14" t="s">
        <v>146</v>
      </c>
      <c r="B117" s="15"/>
      <c r="C117" s="20">
        <v>55.93</v>
      </c>
      <c r="D117" s="20">
        <v>70.66</v>
      </c>
      <c r="E117" s="15"/>
      <c r="F117" s="20">
        <v>63.14</v>
      </c>
      <c r="G117" s="20">
        <v>49.13</v>
      </c>
      <c r="H117" s="20">
        <v>45.6</v>
      </c>
      <c r="I117" s="15"/>
      <c r="J117" s="15"/>
      <c r="K117" s="15"/>
      <c r="L117" s="15"/>
      <c r="M117" s="15"/>
    </row>
    <row r="118" ht="15.0" customHeight="1">
      <c r="A118" s="14" t="s">
        <v>147</v>
      </c>
      <c r="B118" s="15"/>
      <c r="C118" s="20">
        <v>10.17</v>
      </c>
      <c r="D118" s="20">
        <v>2.99</v>
      </c>
      <c r="E118" s="20">
        <v>1.9</v>
      </c>
      <c r="F118" s="20">
        <v>3.01</v>
      </c>
      <c r="G118" s="20">
        <v>3.07</v>
      </c>
      <c r="H118" s="20">
        <v>4.65</v>
      </c>
      <c r="I118" s="20">
        <v>21.54</v>
      </c>
      <c r="J118" s="20">
        <v>10.65</v>
      </c>
      <c r="K118" s="20">
        <v>12.77</v>
      </c>
      <c r="L118" s="20">
        <v>16.25</v>
      </c>
      <c r="M118" s="20">
        <v>16.53</v>
      </c>
    </row>
    <row r="119" ht="15.0" customHeight="1">
      <c r="A119" s="14" t="s">
        <v>148</v>
      </c>
      <c r="B119" s="15"/>
      <c r="C119" s="20">
        <v>3.05</v>
      </c>
      <c r="D119" s="20">
        <v>2.99</v>
      </c>
      <c r="E119" s="15"/>
      <c r="F119" s="20">
        <v>20.04</v>
      </c>
      <c r="G119" s="20">
        <v>23.54</v>
      </c>
      <c r="H119" s="20">
        <v>21.4</v>
      </c>
      <c r="I119" s="20">
        <v>21.54</v>
      </c>
      <c r="J119" s="20">
        <v>22.27</v>
      </c>
      <c r="K119" s="20">
        <v>22.58</v>
      </c>
      <c r="L119" s="20">
        <v>21.03</v>
      </c>
      <c r="M119" s="20">
        <v>3.67</v>
      </c>
    </row>
    <row r="120" ht="15.0" customHeight="1">
      <c r="A120" s="14" t="s">
        <v>149</v>
      </c>
      <c r="B120" s="15"/>
      <c r="C120" s="16">
        <v>591.89</v>
      </c>
      <c r="D120" s="16">
        <v>582.24</v>
      </c>
      <c r="E120" s="15"/>
      <c r="F120" s="16">
        <v>324.72</v>
      </c>
      <c r="G120" s="16">
        <v>265.08</v>
      </c>
      <c r="H120" s="16">
        <v>231.72</v>
      </c>
      <c r="I120" s="16">
        <v>183.55</v>
      </c>
      <c r="J120" s="20">
        <v>61.01</v>
      </c>
      <c r="K120" s="20">
        <v>54.01</v>
      </c>
      <c r="L120" s="20">
        <v>50.67</v>
      </c>
      <c r="M120" s="15">
        <v>0.0</v>
      </c>
    </row>
    <row r="121" ht="15.0" customHeight="1">
      <c r="A121" s="14" t="s">
        <v>150</v>
      </c>
      <c r="B121" s="15"/>
      <c r="C121" s="16">
        <v>483.07</v>
      </c>
      <c r="D121" s="16">
        <v>479.72</v>
      </c>
      <c r="E121" s="16">
        <v>457.02</v>
      </c>
      <c r="F121" s="16">
        <v>287.63</v>
      </c>
      <c r="G121" s="16">
        <v>283.5</v>
      </c>
      <c r="H121" s="16">
        <v>289.41</v>
      </c>
      <c r="I121" s="16">
        <v>266.89</v>
      </c>
      <c r="J121" s="16">
        <v>217.88</v>
      </c>
      <c r="K121" s="16">
        <v>203.26</v>
      </c>
      <c r="L121" s="16">
        <v>190.26</v>
      </c>
      <c r="M121" s="16">
        <v>151.57</v>
      </c>
    </row>
    <row r="122" ht="15.0" customHeight="1">
      <c r="A122" s="14" t="s">
        <v>151</v>
      </c>
      <c r="B122" s="16">
        <v>557.12</v>
      </c>
      <c r="C122" s="16">
        <v>661.05</v>
      </c>
      <c r="D122" s="16">
        <v>658.87</v>
      </c>
      <c r="E122" s="16">
        <v>580.54</v>
      </c>
      <c r="F122" s="16">
        <v>410.9</v>
      </c>
      <c r="G122" s="16">
        <v>340.82</v>
      </c>
      <c r="H122" s="16">
        <v>303.37</v>
      </c>
      <c r="I122" s="16">
        <v>226.63</v>
      </c>
      <c r="J122" s="20">
        <v>93.93</v>
      </c>
      <c r="K122" s="20">
        <v>89.36</v>
      </c>
      <c r="L122" s="20">
        <v>87.96</v>
      </c>
      <c r="M122" s="20">
        <v>20.21</v>
      </c>
    </row>
    <row r="123" ht="15.0" customHeight="1">
      <c r="A123" s="14" t="s">
        <v>152</v>
      </c>
      <c r="B123" s="16">
        <v>1387.5</v>
      </c>
      <c r="C123" s="16">
        <v>1535.67</v>
      </c>
      <c r="D123" s="16">
        <v>1517.8</v>
      </c>
      <c r="E123" s="16">
        <v>1358.71</v>
      </c>
      <c r="F123" s="16">
        <v>922.03</v>
      </c>
      <c r="G123" s="16">
        <v>807.53</v>
      </c>
      <c r="H123" s="16">
        <v>760.29</v>
      </c>
      <c r="I123" s="16">
        <v>493.52</v>
      </c>
      <c r="J123" s="16">
        <v>310.84</v>
      </c>
      <c r="K123" s="16">
        <v>292.62</v>
      </c>
      <c r="L123" s="16">
        <v>278.23</v>
      </c>
      <c r="M123" s="16">
        <v>189.23</v>
      </c>
    </row>
    <row r="124" ht="15.0" customHeight="1">
      <c r="A124" s="14" t="s">
        <v>153</v>
      </c>
      <c r="B124" s="15"/>
      <c r="C124" s="16">
        <v>874.62</v>
      </c>
      <c r="D124" s="16">
        <v>858.92</v>
      </c>
      <c r="E124" s="16">
        <v>778.17</v>
      </c>
      <c r="F124" s="16">
        <v>511.13</v>
      </c>
      <c r="G124" s="16">
        <v>466.71</v>
      </c>
      <c r="H124" s="16">
        <v>456.92</v>
      </c>
      <c r="I124" s="16">
        <v>266.89</v>
      </c>
      <c r="J124" s="16">
        <v>217.88</v>
      </c>
      <c r="K124" s="16">
        <v>203.26</v>
      </c>
      <c r="L124" s="16">
        <v>190.26</v>
      </c>
      <c r="M124" s="16">
        <v>151.57</v>
      </c>
    </row>
    <row r="125" ht="15.0" customHeight="1">
      <c r="A125" s="14" t="s">
        <v>154</v>
      </c>
      <c r="B125" s="15"/>
      <c r="C125" s="15"/>
      <c r="D125" s="15"/>
      <c r="E125" s="15"/>
      <c r="F125" s="15"/>
      <c r="G125" s="20">
        <v>67.55</v>
      </c>
      <c r="H125" s="15"/>
      <c r="I125" s="15"/>
      <c r="J125" s="15"/>
      <c r="K125" s="15"/>
      <c r="L125" s="15"/>
      <c r="M125" s="15"/>
    </row>
    <row r="126" ht="15.0" customHeight="1">
      <c r="A126" s="14" t="s">
        <v>155</v>
      </c>
      <c r="B126" s="15"/>
      <c r="C126" s="21">
        <v>-68.14</v>
      </c>
      <c r="D126" s="21">
        <v>-1.0</v>
      </c>
      <c r="E126" s="21">
        <v>-15.2</v>
      </c>
      <c r="F126" s="20">
        <v>1.0</v>
      </c>
      <c r="G126" s="21">
        <v>-4.09</v>
      </c>
      <c r="H126" s="21">
        <v>-20.47</v>
      </c>
      <c r="I126" s="15">
        <v>0.0</v>
      </c>
      <c r="J126" s="21">
        <v>-1.94</v>
      </c>
      <c r="K126" s="15"/>
      <c r="L126" s="15"/>
      <c r="M126" s="15"/>
    </row>
    <row r="127" ht="15.0" customHeight="1">
      <c r="A127" s="14" t="s">
        <v>156</v>
      </c>
      <c r="B127" s="16">
        <v>851.57</v>
      </c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</row>
    <row r="128" ht="15.0" customHeight="1">
      <c r="A128" s="14" t="s">
        <v>157</v>
      </c>
      <c r="B128" s="20">
        <v>2.67</v>
      </c>
      <c r="C128" s="20">
        <v>3.26</v>
      </c>
      <c r="D128" s="20">
        <v>5.9</v>
      </c>
      <c r="E128" s="20">
        <v>7.91</v>
      </c>
      <c r="F128" s="15"/>
      <c r="G128" s="15"/>
      <c r="H128" s="15"/>
      <c r="I128" s="15"/>
      <c r="J128" s="15"/>
      <c r="K128" s="15"/>
      <c r="L128" s="15"/>
      <c r="M128" s="15"/>
    </row>
    <row r="129" ht="15.0" customHeight="1">
      <c r="A129" s="14" t="s">
        <v>158</v>
      </c>
      <c r="B129" s="20">
        <v>2.67</v>
      </c>
      <c r="C129" s="20">
        <v>3.26</v>
      </c>
      <c r="D129" s="20">
        <v>5.9</v>
      </c>
      <c r="E129" s="20">
        <v>7.91</v>
      </c>
      <c r="F129" s="15"/>
      <c r="G129" s="15"/>
      <c r="H129" s="15"/>
      <c r="I129" s="15"/>
      <c r="J129" s="15"/>
      <c r="K129" s="15"/>
      <c r="L129" s="15"/>
      <c r="M129" s="15"/>
    </row>
    <row r="130" ht="15.0" customHeight="1">
      <c r="A130" s="14" t="s">
        <v>159</v>
      </c>
      <c r="B130" s="15"/>
      <c r="C130" s="16">
        <v>122.04</v>
      </c>
      <c r="D130" s="20">
        <v>59.72</v>
      </c>
      <c r="E130" s="20">
        <v>34.21</v>
      </c>
      <c r="F130" s="20">
        <v>26.06</v>
      </c>
      <c r="G130" s="15"/>
      <c r="H130" s="15"/>
      <c r="I130" s="15"/>
      <c r="J130" s="15"/>
      <c r="K130" s="15"/>
      <c r="L130" s="15"/>
      <c r="M130" s="15"/>
    </row>
    <row r="131" ht="15.0" customHeight="1">
      <c r="A131" s="14" t="s">
        <v>160</v>
      </c>
      <c r="B131" s="16">
        <v>319.5</v>
      </c>
      <c r="C131" s="16">
        <v>319.5</v>
      </c>
      <c r="D131" s="16">
        <v>319.5</v>
      </c>
      <c r="E131" s="16">
        <v>319.5</v>
      </c>
      <c r="F131" s="16">
        <v>309.64</v>
      </c>
      <c r="G131" s="16">
        <v>295.83</v>
      </c>
      <c r="H131" s="16">
        <v>295.83</v>
      </c>
      <c r="I131" s="16">
        <v>295.83</v>
      </c>
      <c r="J131" s="16">
        <v>295.83</v>
      </c>
      <c r="K131" s="16">
        <v>295.83</v>
      </c>
      <c r="L131" s="16">
        <v>295.83</v>
      </c>
      <c r="M131" s="16">
        <v>295.83</v>
      </c>
    </row>
    <row r="132" ht="15.0" customHeight="1">
      <c r="A132" s="14" t="s">
        <v>161</v>
      </c>
      <c r="B132" s="16">
        <v>319.5</v>
      </c>
      <c r="C132" s="16">
        <v>319.5</v>
      </c>
      <c r="D132" s="16">
        <v>319.5</v>
      </c>
      <c r="E132" s="16">
        <v>319.5</v>
      </c>
      <c r="F132" s="16">
        <v>309.64</v>
      </c>
      <c r="G132" s="16">
        <v>295.83</v>
      </c>
      <c r="H132" s="16">
        <v>295.83</v>
      </c>
      <c r="I132" s="16">
        <v>295.83</v>
      </c>
      <c r="J132" s="16">
        <v>295.83</v>
      </c>
      <c r="K132" s="16">
        <v>295.83</v>
      </c>
      <c r="L132" s="16">
        <v>295.83</v>
      </c>
      <c r="M132" s="16">
        <v>295.83</v>
      </c>
    </row>
    <row r="133" ht="15.0" customHeight="1">
      <c r="A133" s="14" t="s">
        <v>162</v>
      </c>
      <c r="B133" s="20">
        <v>1.42</v>
      </c>
      <c r="C133" s="21">
        <v>-7.33</v>
      </c>
      <c r="D133" s="20">
        <v>4.15</v>
      </c>
      <c r="E133" s="20">
        <v>5.3</v>
      </c>
      <c r="F133" s="20">
        <v>5.59</v>
      </c>
      <c r="G133" s="20">
        <v>1.56</v>
      </c>
      <c r="H133" s="20">
        <v>4.17</v>
      </c>
      <c r="I133" s="20">
        <v>4.99</v>
      </c>
      <c r="J133" s="20">
        <v>4.89</v>
      </c>
      <c r="K133" s="20">
        <v>4.52</v>
      </c>
      <c r="L133" s="20">
        <v>3.34</v>
      </c>
      <c r="M133" s="21">
        <v>-2.57</v>
      </c>
    </row>
    <row r="134" ht="15.0" customHeight="1">
      <c r="A134" s="14" t="s">
        <v>163</v>
      </c>
      <c r="B134" s="20">
        <v>1.42</v>
      </c>
      <c r="C134" s="21">
        <v>-7.33</v>
      </c>
      <c r="D134" s="20">
        <v>4.15</v>
      </c>
      <c r="E134" s="20">
        <v>5.3</v>
      </c>
      <c r="F134" s="20">
        <v>5.59</v>
      </c>
      <c r="G134" s="20">
        <v>1.56</v>
      </c>
      <c r="H134" s="20">
        <v>4.17</v>
      </c>
      <c r="I134" s="20">
        <v>4.99</v>
      </c>
      <c r="J134" s="20">
        <v>4.89</v>
      </c>
      <c r="K134" s="20">
        <v>4.52</v>
      </c>
      <c r="L134" s="20">
        <v>3.34</v>
      </c>
      <c r="M134" s="21">
        <v>-2.57</v>
      </c>
    </row>
    <row r="135" ht="15.0" customHeight="1">
      <c r="A135" s="14" t="s">
        <v>164</v>
      </c>
      <c r="B135" s="16">
        <v>453.32</v>
      </c>
      <c r="C135" s="22">
        <v>-2342.15</v>
      </c>
      <c r="D135" s="16">
        <v>1325.71</v>
      </c>
      <c r="E135" s="16">
        <v>1695.06</v>
      </c>
      <c r="F135" s="16">
        <v>1729.81</v>
      </c>
      <c r="G135" s="16">
        <v>461.59</v>
      </c>
      <c r="H135" s="16">
        <v>1233.02</v>
      </c>
      <c r="I135" s="16">
        <v>1475.87</v>
      </c>
      <c r="J135" s="16">
        <v>1447.68</v>
      </c>
      <c r="K135" s="16">
        <v>1337.42</v>
      </c>
      <c r="L135" s="16">
        <v>986.7</v>
      </c>
      <c r="M135" s="22">
        <v>-760.59</v>
      </c>
    </row>
    <row r="136" ht="15.0" customHeight="1">
      <c r="A136" s="14" t="s">
        <v>165</v>
      </c>
      <c r="B136" s="16">
        <v>453.32</v>
      </c>
      <c r="C136" s="22">
        <v>-2342.15</v>
      </c>
      <c r="D136" s="16">
        <v>1325.71</v>
      </c>
      <c r="E136" s="16">
        <v>1695.06</v>
      </c>
      <c r="F136" s="16">
        <v>1729.81</v>
      </c>
      <c r="G136" s="16">
        <v>461.59</v>
      </c>
      <c r="H136" s="16">
        <v>1233.02</v>
      </c>
      <c r="I136" s="16">
        <v>1475.87</v>
      </c>
      <c r="J136" s="16">
        <v>1447.68</v>
      </c>
      <c r="K136" s="16">
        <v>1337.42</v>
      </c>
      <c r="L136" s="16">
        <v>986.7</v>
      </c>
      <c r="M136" s="22">
        <v>-760.59</v>
      </c>
    </row>
    <row r="137" ht="15.0" customHeight="1">
      <c r="A137" s="14" t="s">
        <v>166</v>
      </c>
      <c r="B137" s="20">
        <v>1.42</v>
      </c>
      <c r="C137" s="21">
        <v>-7.33</v>
      </c>
      <c r="D137" s="20">
        <v>4.15</v>
      </c>
      <c r="E137" s="20">
        <v>5.3</v>
      </c>
      <c r="F137" s="20">
        <v>5.59</v>
      </c>
      <c r="G137" s="20">
        <v>1.56</v>
      </c>
      <c r="H137" s="20">
        <v>4.17</v>
      </c>
      <c r="I137" s="20">
        <v>4.99</v>
      </c>
      <c r="J137" s="20">
        <v>4.89</v>
      </c>
      <c r="K137" s="20">
        <v>4.52</v>
      </c>
      <c r="L137" s="20">
        <v>3.34</v>
      </c>
      <c r="M137" s="21">
        <v>-2.57</v>
      </c>
    </row>
    <row r="138" ht="15.0" customHeight="1">
      <c r="A138" s="14" t="s">
        <v>167</v>
      </c>
      <c r="B138" s="20">
        <v>1.42</v>
      </c>
      <c r="C138" s="21">
        <v>-7.33</v>
      </c>
      <c r="D138" s="20">
        <v>4.15</v>
      </c>
      <c r="E138" s="20">
        <v>5.3</v>
      </c>
      <c r="F138" s="20">
        <v>5.59</v>
      </c>
      <c r="G138" s="20">
        <v>1.56</v>
      </c>
      <c r="H138" s="20">
        <v>4.17</v>
      </c>
      <c r="I138" s="20">
        <v>4.99</v>
      </c>
      <c r="J138" s="20">
        <v>4.89</v>
      </c>
      <c r="K138" s="20">
        <v>4.52</v>
      </c>
      <c r="L138" s="20">
        <v>3.34</v>
      </c>
      <c r="M138" s="21">
        <v>-2.57</v>
      </c>
    </row>
    <row r="139" ht="15.0" customHeight="1">
      <c r="A139" s="14" t="s">
        <v>168</v>
      </c>
      <c r="B139" s="16">
        <v>453.32</v>
      </c>
      <c r="C139" s="22">
        <v>-2341.13</v>
      </c>
      <c r="D139" s="16">
        <v>1325.71</v>
      </c>
      <c r="E139" s="16">
        <v>1695.06</v>
      </c>
      <c r="F139" s="16">
        <v>1729.81</v>
      </c>
      <c r="G139" s="16">
        <v>461.59</v>
      </c>
      <c r="H139" s="16">
        <v>1233.02</v>
      </c>
      <c r="I139" s="16">
        <v>1475.87</v>
      </c>
      <c r="J139" s="16">
        <v>1447.68</v>
      </c>
      <c r="K139" s="16">
        <v>1337.42</v>
      </c>
      <c r="L139" s="16">
        <v>986.7</v>
      </c>
      <c r="M139" s="22">
        <v>-760.59</v>
      </c>
    </row>
    <row r="140" ht="15.0" customHeight="1">
      <c r="A140" s="14" t="s">
        <v>169</v>
      </c>
      <c r="B140" s="20">
        <v>1.0</v>
      </c>
      <c r="C140" s="20">
        <v>1.0</v>
      </c>
      <c r="D140" s="20">
        <v>1.0</v>
      </c>
      <c r="E140" s="20">
        <v>1.0</v>
      </c>
      <c r="F140" s="20">
        <v>1.0</v>
      </c>
      <c r="G140" s="20">
        <v>1.0</v>
      </c>
      <c r="H140" s="20">
        <v>1.0</v>
      </c>
      <c r="I140" s="20">
        <v>1.0</v>
      </c>
      <c r="J140" s="20">
        <v>1.0</v>
      </c>
      <c r="K140" s="20">
        <v>1.0</v>
      </c>
      <c r="L140" s="20">
        <v>1.0</v>
      </c>
      <c r="M140" s="20">
        <v>1.0</v>
      </c>
    </row>
    <row r="141" ht="15.0" customHeight="1">
      <c r="A141" s="14" t="s">
        <v>170</v>
      </c>
      <c r="B141" s="16">
        <v>453.32</v>
      </c>
      <c r="C141" s="22">
        <v>-2341.13</v>
      </c>
      <c r="D141" s="16">
        <v>1325.71</v>
      </c>
      <c r="E141" s="16">
        <v>1695.06</v>
      </c>
      <c r="F141" s="16">
        <v>1729.81</v>
      </c>
      <c r="G141" s="16">
        <v>461.59</v>
      </c>
      <c r="H141" s="16">
        <v>1233.02</v>
      </c>
      <c r="I141" s="16">
        <v>1475.87</v>
      </c>
      <c r="J141" s="16">
        <v>1447.68</v>
      </c>
      <c r="K141" s="16">
        <v>1337.42</v>
      </c>
      <c r="L141" s="16">
        <v>986.7</v>
      </c>
      <c r="M141" s="22">
        <v>-760.59</v>
      </c>
    </row>
    <row r="142" ht="15.0" customHeight="1">
      <c r="A142" s="14" t="s">
        <v>171</v>
      </c>
      <c r="B142" s="20">
        <v>1.0</v>
      </c>
      <c r="C142" s="20">
        <v>1.0</v>
      </c>
      <c r="D142" s="20">
        <v>1.0</v>
      </c>
      <c r="E142" s="20">
        <v>1.0</v>
      </c>
      <c r="F142" s="20">
        <v>1.0</v>
      </c>
      <c r="G142" s="20">
        <v>1.0</v>
      </c>
      <c r="H142" s="20">
        <v>1.0</v>
      </c>
      <c r="I142" s="20">
        <v>1.0</v>
      </c>
      <c r="J142" s="20">
        <v>1.0</v>
      </c>
      <c r="K142" s="20">
        <v>1.0</v>
      </c>
      <c r="L142" s="20">
        <v>1.0</v>
      </c>
      <c r="M142" s="20">
        <v>1.0</v>
      </c>
    </row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3" width="15.71"/>
    <col customWidth="1" min="14" max="26" width="8.71"/>
  </cols>
  <sheetData>
    <row r="1" ht="15.0" customHeight="1">
      <c r="A1" s="1" t="s">
        <v>172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46092.436171956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</row>
    <row r="12" ht="15.0" customHeight="1" outlineLevel="1">
      <c r="A12" s="8" t="s">
        <v>30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</row>
    <row r="13" ht="15.0" customHeight="1" outlineLevel="1">
      <c r="A13" s="8" t="s">
        <v>31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</row>
    <row r="14" ht="15.0" customHeight="1" outlineLevel="1">
      <c r="A14" s="8" t="s">
        <v>32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</row>
    <row r="15" ht="15.0" customHeight="1" outlineLevel="1">
      <c r="A15" s="8" t="s">
        <v>34</v>
      </c>
      <c r="B15" s="10" t="s">
        <v>173</v>
      </c>
      <c r="C15" s="10" t="s">
        <v>173</v>
      </c>
      <c r="D15" s="10" t="s">
        <v>173</v>
      </c>
      <c r="E15" s="10" t="s">
        <v>173</v>
      </c>
      <c r="F15" s="10" t="s">
        <v>173</v>
      </c>
      <c r="G15" s="10" t="s">
        <v>173</v>
      </c>
      <c r="H15" s="10" t="s">
        <v>173</v>
      </c>
      <c r="I15" s="10" t="s">
        <v>173</v>
      </c>
      <c r="J15" s="10" t="s">
        <v>173</v>
      </c>
      <c r="K15" s="10" t="s">
        <v>173</v>
      </c>
      <c r="L15" s="10" t="s">
        <v>173</v>
      </c>
      <c r="M15" s="10" t="s">
        <v>173</v>
      </c>
    </row>
    <row r="16" ht="15.0" customHeight="1" outlineLevel="1">
      <c r="A16" s="8" t="s">
        <v>36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</row>
    <row r="18">
      <c r="A18" s="12" t="s">
        <v>174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>
      <c r="A19" s="12" t="s">
        <v>38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  <c r="L19" s="13" t="s">
        <v>49</v>
      </c>
      <c r="M19" s="13" t="s">
        <v>50</v>
      </c>
    </row>
    <row r="20" ht="15.0" customHeight="1">
      <c r="A20" s="14" t="s">
        <v>175</v>
      </c>
      <c r="B20" s="15">
        <v>25372.8</v>
      </c>
      <c r="C20" s="15">
        <v>21241.48</v>
      </c>
      <c r="D20" s="15">
        <v>21410.86</v>
      </c>
      <c r="E20" s="15">
        <v>20788.78</v>
      </c>
      <c r="F20" s="15">
        <v>19975.64</v>
      </c>
      <c r="G20" s="15">
        <v>14143.7</v>
      </c>
      <c r="H20" s="15">
        <v>13907.42</v>
      </c>
      <c r="I20" s="15">
        <v>13943.08</v>
      </c>
      <c r="J20" s="15">
        <v>13288.58</v>
      </c>
      <c r="K20" s="16">
        <v>9793.28</v>
      </c>
      <c r="L20" s="15">
        <v>10109.81</v>
      </c>
      <c r="M20" s="16">
        <v>9585.98</v>
      </c>
    </row>
    <row r="21" ht="15.0" customHeight="1">
      <c r="A21" s="14" t="s">
        <v>176</v>
      </c>
      <c r="B21" s="15"/>
      <c r="C21" s="15">
        <v>23297.68</v>
      </c>
      <c r="D21" s="15">
        <v>21410.86</v>
      </c>
      <c r="E21" s="15">
        <v>20788.78</v>
      </c>
      <c r="F21" s="15">
        <v>19975.64</v>
      </c>
      <c r="G21" s="15">
        <v>14143.7</v>
      </c>
      <c r="H21" s="15">
        <v>13907.42</v>
      </c>
      <c r="I21" s="15">
        <v>13943.08</v>
      </c>
      <c r="J21" s="15"/>
      <c r="K21" s="15"/>
      <c r="L21" s="15"/>
      <c r="M21" s="15"/>
    </row>
    <row r="22" ht="15.0" customHeight="1">
      <c r="A22" s="14" t="s">
        <v>177</v>
      </c>
      <c r="B22" s="15"/>
      <c r="C22" s="22">
        <v>-2056.19</v>
      </c>
      <c r="D22" s="15">
        <v>0.0</v>
      </c>
      <c r="E22" s="15">
        <v>0.0</v>
      </c>
      <c r="F22" s="15">
        <v>0.0</v>
      </c>
      <c r="G22" s="15">
        <v>0.0</v>
      </c>
      <c r="H22" s="15">
        <v>0.0</v>
      </c>
      <c r="I22" s="15">
        <v>0.0</v>
      </c>
      <c r="J22" s="15"/>
      <c r="K22" s="15"/>
      <c r="L22" s="15"/>
      <c r="M22" s="15"/>
    </row>
    <row r="23" ht="15.0" customHeight="1">
      <c r="A23" s="14" t="s">
        <v>178</v>
      </c>
      <c r="B23" s="16">
        <v>5879.57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</row>
    <row r="24" ht="15.0" customHeight="1">
      <c r="A24" s="14" t="s">
        <v>179</v>
      </c>
      <c r="B24" s="15"/>
      <c r="C24" s="16">
        <v>6266.24</v>
      </c>
      <c r="D24" s="16">
        <v>5806.01</v>
      </c>
      <c r="E24" s="16">
        <v>5666.42</v>
      </c>
      <c r="F24" s="16">
        <v>5303.97</v>
      </c>
      <c r="G24" s="16">
        <v>3820.73</v>
      </c>
      <c r="H24" s="16">
        <v>3790.97</v>
      </c>
      <c r="I24" s="16">
        <v>3820.49</v>
      </c>
      <c r="J24" s="16">
        <v>3738.41</v>
      </c>
      <c r="K24" s="16">
        <v>2274.07</v>
      </c>
      <c r="L24" s="16">
        <v>2351.63</v>
      </c>
      <c r="M24" s="16">
        <v>2149.92</v>
      </c>
    </row>
    <row r="25" ht="15.0" customHeight="1">
      <c r="A25" s="14" t="s">
        <v>180</v>
      </c>
      <c r="B25" s="15"/>
      <c r="C25" s="16">
        <v>6682.62</v>
      </c>
      <c r="D25" s="16">
        <v>6141.26</v>
      </c>
      <c r="E25" s="16">
        <v>5919.62</v>
      </c>
      <c r="F25" s="16">
        <v>5458.88</v>
      </c>
      <c r="G25" s="16">
        <v>3912.62</v>
      </c>
      <c r="H25" s="16">
        <v>3835.98</v>
      </c>
      <c r="I25" s="16">
        <v>3820.49</v>
      </c>
      <c r="J25" s="16">
        <v>3738.41</v>
      </c>
      <c r="K25" s="16">
        <v>2274.07</v>
      </c>
      <c r="L25" s="16">
        <v>2351.63</v>
      </c>
      <c r="M25" s="16">
        <v>2149.92</v>
      </c>
    </row>
    <row r="26" ht="15.0" customHeight="1">
      <c r="A26" s="14" t="s">
        <v>181</v>
      </c>
      <c r="B26" s="15"/>
      <c r="C26" s="22">
        <v>-416.38</v>
      </c>
      <c r="D26" s="22">
        <v>-335.25</v>
      </c>
      <c r="E26" s="22">
        <v>-251.32</v>
      </c>
      <c r="F26" s="22">
        <v>-154.91</v>
      </c>
      <c r="G26" s="21">
        <v>-91.89</v>
      </c>
      <c r="H26" s="21">
        <v>-45.95</v>
      </c>
      <c r="I26" s="15">
        <v>0.0</v>
      </c>
      <c r="J26" s="15">
        <v>0.0</v>
      </c>
      <c r="K26" s="15">
        <v>0.0</v>
      </c>
      <c r="L26" s="15">
        <v>0.0</v>
      </c>
      <c r="M26" s="15">
        <v>0.0</v>
      </c>
    </row>
    <row r="27" ht="15.0" customHeight="1">
      <c r="A27" s="14" t="s">
        <v>182</v>
      </c>
      <c r="B27" s="15"/>
      <c r="C27" s="15"/>
      <c r="D27" s="15"/>
      <c r="E27" s="21">
        <v>-1.88</v>
      </c>
      <c r="F27" s="15"/>
      <c r="G27" s="15"/>
      <c r="H27" s="20">
        <v>0.94</v>
      </c>
      <c r="I27" s="15"/>
      <c r="J27" s="15"/>
      <c r="K27" s="15"/>
      <c r="L27" s="15"/>
      <c r="M27" s="15"/>
    </row>
    <row r="28" ht="15.0" customHeight="1">
      <c r="A28" s="14" t="s">
        <v>178</v>
      </c>
      <c r="B28" s="15"/>
      <c r="C28" s="16">
        <v>6985.91</v>
      </c>
      <c r="D28" s="16">
        <v>6868.15</v>
      </c>
      <c r="E28" s="16">
        <v>7134.79</v>
      </c>
      <c r="F28" s="16">
        <v>6835.54</v>
      </c>
      <c r="G28" s="16">
        <v>4023.31</v>
      </c>
      <c r="H28" s="16">
        <v>4275.74</v>
      </c>
      <c r="I28" s="16">
        <v>4398.2</v>
      </c>
      <c r="J28" s="16">
        <v>4262.75</v>
      </c>
      <c r="K28" s="16">
        <v>963.49</v>
      </c>
      <c r="L28" s="16">
        <v>1107.26</v>
      </c>
      <c r="M28" s="16">
        <v>1033.26</v>
      </c>
    </row>
    <row r="29" ht="15.0" customHeight="1">
      <c r="A29" s="14" t="s">
        <v>183</v>
      </c>
      <c r="B29" s="15"/>
      <c r="C29" s="16">
        <v>8454.03</v>
      </c>
      <c r="D29" s="16">
        <v>7646.38</v>
      </c>
      <c r="E29" s="16">
        <v>7401.17</v>
      </c>
      <c r="F29" s="16">
        <v>6646.53</v>
      </c>
      <c r="G29" s="16">
        <v>3591.01</v>
      </c>
      <c r="H29" s="16">
        <v>3632.51</v>
      </c>
      <c r="I29" s="16">
        <v>3572.62</v>
      </c>
      <c r="J29" s="16">
        <v>3254.1</v>
      </c>
      <c r="K29" s="16">
        <v>904.7</v>
      </c>
      <c r="L29" s="16">
        <v>969.12</v>
      </c>
      <c r="M29" s="16">
        <v>830.06</v>
      </c>
    </row>
    <row r="30" ht="15.0" customHeight="1">
      <c r="A30" s="14" t="s">
        <v>184</v>
      </c>
      <c r="B30" s="15"/>
      <c r="C30" s="22">
        <v>-2602.11</v>
      </c>
      <c r="D30" s="22">
        <v>-1909.83</v>
      </c>
      <c r="E30" s="22">
        <v>-1412.84</v>
      </c>
      <c r="F30" s="22">
        <v>-903.16</v>
      </c>
      <c r="G30" s="22">
        <v>-644.27</v>
      </c>
      <c r="H30" s="22">
        <v>-479.15</v>
      </c>
      <c r="I30" s="22">
        <v>-302.52</v>
      </c>
      <c r="J30" s="22">
        <v>-144.09</v>
      </c>
      <c r="K30" s="21">
        <v>-97.68</v>
      </c>
      <c r="L30" s="21">
        <v>-56.51</v>
      </c>
      <c r="M30" s="21">
        <v>-6.71</v>
      </c>
    </row>
    <row r="31" ht="15.0" customHeight="1">
      <c r="A31" s="14" t="s">
        <v>185</v>
      </c>
      <c r="B31" s="15"/>
      <c r="C31" s="15"/>
      <c r="D31" s="15"/>
      <c r="E31" s="15"/>
      <c r="F31" s="21">
        <v>-0.97</v>
      </c>
      <c r="G31" s="15"/>
      <c r="H31" s="15"/>
      <c r="I31" s="15"/>
      <c r="J31" s="15"/>
      <c r="K31" s="15"/>
      <c r="L31" s="15"/>
      <c r="M31" s="15"/>
    </row>
    <row r="32" ht="15.0" customHeight="1">
      <c r="A32" s="14" t="s">
        <v>186</v>
      </c>
      <c r="B32" s="15"/>
      <c r="C32" s="15"/>
      <c r="D32" s="15"/>
      <c r="E32" s="15"/>
      <c r="F32" s="16">
        <v>1125.29</v>
      </c>
      <c r="G32" s="16">
        <v>1032.71</v>
      </c>
      <c r="H32" s="16">
        <v>1038.93</v>
      </c>
      <c r="I32" s="16">
        <v>1009.04</v>
      </c>
      <c r="J32" s="16">
        <v>1001.65</v>
      </c>
      <c r="K32" s="15"/>
      <c r="L32" s="15"/>
      <c r="M32" s="15"/>
    </row>
    <row r="33" ht="15.0" customHeight="1">
      <c r="A33" s="14" t="s">
        <v>187</v>
      </c>
      <c r="B33" s="15"/>
      <c r="C33" s="15"/>
      <c r="D33" s="15"/>
      <c r="E33" s="15"/>
      <c r="F33" s="22">
        <v>-188.04</v>
      </c>
      <c r="G33" s="22">
        <v>-132.61</v>
      </c>
      <c r="H33" s="21">
        <v>-90.02</v>
      </c>
      <c r="I33" s="21">
        <v>-44.89</v>
      </c>
      <c r="J33" s="21">
        <v>-2.0</v>
      </c>
      <c r="K33" s="15"/>
      <c r="L33" s="15"/>
      <c r="M33" s="15"/>
    </row>
    <row r="34" ht="15.0" customHeight="1">
      <c r="A34" s="14" t="s">
        <v>188</v>
      </c>
      <c r="B34" s="15"/>
      <c r="C34" s="15"/>
      <c r="D34" s="15"/>
      <c r="E34" s="15"/>
      <c r="F34" s="20">
        <v>0.97</v>
      </c>
      <c r="G34" s="15"/>
      <c r="H34" s="15"/>
      <c r="I34" s="15"/>
      <c r="J34" s="15"/>
      <c r="K34" s="15"/>
      <c r="L34" s="15"/>
      <c r="M34" s="15"/>
    </row>
    <row r="35" ht="15.0" customHeight="1">
      <c r="A35" s="14" t="s">
        <v>189</v>
      </c>
      <c r="B35" s="15"/>
      <c r="C35" s="16">
        <v>189.17</v>
      </c>
      <c r="D35" s="16">
        <v>181.22</v>
      </c>
      <c r="E35" s="16">
        <v>167.55</v>
      </c>
      <c r="F35" s="16">
        <v>170.5</v>
      </c>
      <c r="G35" s="16">
        <v>179.6</v>
      </c>
      <c r="H35" s="16">
        <v>152.84</v>
      </c>
      <c r="I35" s="16">
        <v>156.14</v>
      </c>
      <c r="J35" s="16">
        <v>160.1</v>
      </c>
      <c r="K35" s="16">
        <v>149.83</v>
      </c>
      <c r="L35" s="16">
        <v>162.22</v>
      </c>
      <c r="M35" s="16">
        <v>148.57</v>
      </c>
    </row>
    <row r="36" ht="15.0" customHeight="1">
      <c r="A36" s="14" t="s">
        <v>190</v>
      </c>
      <c r="B36" s="15"/>
      <c r="C36" s="22">
        <v>-172.72</v>
      </c>
      <c r="D36" s="22">
        <v>-166.12</v>
      </c>
      <c r="E36" s="22">
        <v>-152.48</v>
      </c>
      <c r="F36" s="22">
        <v>-155.88</v>
      </c>
      <c r="G36" s="22">
        <v>-146.19</v>
      </c>
      <c r="H36" s="22">
        <v>-109.71</v>
      </c>
      <c r="I36" s="21">
        <v>-91.73</v>
      </c>
      <c r="J36" s="21">
        <v>-72.05</v>
      </c>
      <c r="K36" s="21">
        <v>-46.47</v>
      </c>
      <c r="L36" s="21">
        <v>-27.21</v>
      </c>
      <c r="M36" s="21">
        <v>-3.83</v>
      </c>
    </row>
    <row r="37" ht="15.0" customHeight="1">
      <c r="A37" s="14" t="s">
        <v>191</v>
      </c>
      <c r="B37" s="15"/>
      <c r="C37" s="15"/>
      <c r="D37" s="20">
        <v>1.01</v>
      </c>
      <c r="E37" s="15"/>
      <c r="F37" s="15"/>
      <c r="G37" s="15"/>
      <c r="H37" s="15"/>
      <c r="I37" s="15"/>
      <c r="J37" s="15"/>
      <c r="K37" s="15"/>
      <c r="L37" s="15"/>
      <c r="M37" s="15"/>
    </row>
    <row r="38" ht="15.0" customHeight="1">
      <c r="A38" s="14" t="s">
        <v>192</v>
      </c>
      <c r="B38" s="15"/>
      <c r="C38" s="16">
        <v>246.74</v>
      </c>
      <c r="D38" s="16">
        <v>195.31</v>
      </c>
      <c r="E38" s="16">
        <v>151.54</v>
      </c>
      <c r="F38" s="16">
        <v>120.81</v>
      </c>
      <c r="G38" s="16">
        <v>116.95</v>
      </c>
      <c r="H38" s="20">
        <v>85.33</v>
      </c>
      <c r="I38" s="20">
        <v>82.95</v>
      </c>
      <c r="J38" s="20">
        <v>84.05</v>
      </c>
      <c r="K38" s="16">
        <v>101.47</v>
      </c>
      <c r="L38" s="16">
        <v>113.03</v>
      </c>
      <c r="M38" s="16">
        <v>105.44</v>
      </c>
    </row>
    <row r="39" ht="15.0" customHeight="1">
      <c r="A39" s="14" t="s">
        <v>193</v>
      </c>
      <c r="B39" s="15"/>
      <c r="C39" s="22">
        <v>-104.87</v>
      </c>
      <c r="D39" s="21">
        <v>-91.62</v>
      </c>
      <c r="E39" s="21">
        <v>-83.77</v>
      </c>
      <c r="F39" s="21">
        <v>-84.76</v>
      </c>
      <c r="G39" s="21">
        <v>-87.71</v>
      </c>
      <c r="H39" s="21">
        <v>-72.2</v>
      </c>
      <c r="I39" s="21">
        <v>-70.26</v>
      </c>
      <c r="J39" s="21">
        <v>-64.04</v>
      </c>
      <c r="K39" s="21">
        <v>-68.28</v>
      </c>
      <c r="L39" s="21">
        <v>-72.21</v>
      </c>
      <c r="M39" s="21">
        <v>-56.55</v>
      </c>
    </row>
    <row r="40" ht="15.0" customHeight="1">
      <c r="A40" s="14" t="s">
        <v>186</v>
      </c>
      <c r="B40" s="15"/>
      <c r="C40" s="16">
        <v>565.45</v>
      </c>
      <c r="D40" s="16">
        <v>525.53</v>
      </c>
      <c r="E40" s="16">
        <v>480.05</v>
      </c>
      <c r="F40" s="16">
        <v>428.68</v>
      </c>
      <c r="G40" s="16">
        <v>337.28</v>
      </c>
      <c r="H40" s="16">
        <v>304.74</v>
      </c>
      <c r="I40" s="16">
        <v>261.53</v>
      </c>
      <c r="J40" s="16">
        <v>202.13</v>
      </c>
      <c r="K40" s="16">
        <v>152.68</v>
      </c>
      <c r="L40" s="16">
        <v>152.8</v>
      </c>
      <c r="M40" s="16">
        <v>135.15</v>
      </c>
    </row>
    <row r="41" ht="15.0" customHeight="1">
      <c r="A41" s="14" t="s">
        <v>187</v>
      </c>
      <c r="B41" s="15"/>
      <c r="C41" s="22">
        <v>-510.96</v>
      </c>
      <c r="D41" s="22">
        <v>-437.94</v>
      </c>
      <c r="E41" s="22">
        <v>-373.68</v>
      </c>
      <c r="F41" s="22">
        <v>-324.43</v>
      </c>
      <c r="G41" s="22">
        <v>-223.46</v>
      </c>
      <c r="H41" s="22">
        <v>-187.53</v>
      </c>
      <c r="I41" s="22">
        <v>-174.68</v>
      </c>
      <c r="J41" s="22">
        <v>-156.1</v>
      </c>
      <c r="K41" s="22">
        <v>-132.76</v>
      </c>
      <c r="L41" s="22">
        <v>-133.96</v>
      </c>
      <c r="M41" s="22">
        <v>-118.85</v>
      </c>
    </row>
    <row r="42" ht="15.0" customHeight="1">
      <c r="A42" s="14" t="s">
        <v>188</v>
      </c>
      <c r="B42" s="15"/>
      <c r="C42" s="15"/>
      <c r="D42" s="15"/>
      <c r="E42" s="20">
        <v>0.94</v>
      </c>
      <c r="F42" s="15"/>
      <c r="G42" s="15"/>
      <c r="H42" s="15"/>
      <c r="I42" s="15"/>
      <c r="J42" s="15"/>
      <c r="K42" s="15"/>
      <c r="L42" s="15"/>
      <c r="M42" s="15"/>
    </row>
    <row r="43" ht="15.0" customHeight="1">
      <c r="A43" s="14" t="s">
        <v>194</v>
      </c>
      <c r="B43" s="15"/>
      <c r="C43" s="16">
        <v>1374.56</v>
      </c>
      <c r="D43" s="16">
        <v>1278.59</v>
      </c>
      <c r="E43" s="16">
        <v>1230.23</v>
      </c>
      <c r="F43" s="15"/>
      <c r="G43" s="15"/>
      <c r="H43" s="15"/>
      <c r="I43" s="15"/>
      <c r="J43" s="15"/>
      <c r="K43" s="15"/>
      <c r="L43" s="15"/>
      <c r="M43" s="15"/>
    </row>
    <row r="44" ht="15.0" customHeight="1">
      <c r="A44" s="14" t="s">
        <v>195</v>
      </c>
      <c r="B44" s="15"/>
      <c r="C44" s="22">
        <v>-454.42</v>
      </c>
      <c r="D44" s="22">
        <v>-354.38</v>
      </c>
      <c r="E44" s="22">
        <v>-272.97</v>
      </c>
      <c r="F44" s="15"/>
      <c r="G44" s="15"/>
      <c r="H44" s="15"/>
      <c r="I44" s="15"/>
      <c r="J44" s="15"/>
      <c r="K44" s="15"/>
      <c r="L44" s="15"/>
      <c r="M44" s="15"/>
    </row>
    <row r="45" ht="15.0" customHeight="1">
      <c r="A45" s="14" t="s">
        <v>196</v>
      </c>
      <c r="B45" s="15"/>
      <c r="C45" s="15"/>
      <c r="D45" s="15"/>
      <c r="E45" s="21">
        <v>-0.94</v>
      </c>
      <c r="F45" s="15"/>
      <c r="G45" s="15"/>
      <c r="H45" s="15"/>
      <c r="I45" s="15"/>
      <c r="J45" s="15"/>
      <c r="K45" s="15"/>
      <c r="L45" s="15"/>
      <c r="M45" s="15"/>
    </row>
    <row r="46" ht="15.0" customHeight="1">
      <c r="A46" s="14" t="s">
        <v>197</v>
      </c>
      <c r="B46" s="15"/>
      <c r="C46" s="20">
        <v>1.03</v>
      </c>
      <c r="D46" s="15"/>
      <c r="E46" s="15"/>
      <c r="F46" s="15"/>
      <c r="G46" s="15"/>
      <c r="H46" s="15"/>
      <c r="I46" s="15"/>
      <c r="J46" s="21">
        <v>-1.0</v>
      </c>
      <c r="K46" s="15"/>
      <c r="L46" s="15"/>
      <c r="M46" s="15"/>
    </row>
    <row r="47" ht="15.0" customHeight="1">
      <c r="A47" s="14" t="s">
        <v>198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>
        <v>13568.7</v>
      </c>
      <c r="M47" s="15"/>
    </row>
    <row r="48" ht="15.0" customHeight="1">
      <c r="A48" s="14" t="s">
        <v>199</v>
      </c>
      <c r="B48" s="15"/>
      <c r="C48" s="16">
        <v>885.19</v>
      </c>
      <c r="D48" s="16">
        <v>836.62</v>
      </c>
      <c r="E48" s="16">
        <v>644.77</v>
      </c>
      <c r="F48" s="16">
        <v>635.23</v>
      </c>
      <c r="G48" s="16">
        <v>570.13</v>
      </c>
      <c r="H48" s="16">
        <v>940.48</v>
      </c>
      <c r="I48" s="16">
        <v>999.28</v>
      </c>
      <c r="J48" s="16">
        <v>958.62</v>
      </c>
      <c r="K48" s="16">
        <v>787.1</v>
      </c>
      <c r="L48" s="16">
        <v>865.51</v>
      </c>
      <c r="M48" s="16">
        <v>844.44</v>
      </c>
    </row>
    <row r="49" ht="15.0" customHeight="1">
      <c r="A49" s="14" t="s">
        <v>200</v>
      </c>
      <c r="B49" s="15"/>
      <c r="C49" s="16">
        <v>1451.67</v>
      </c>
      <c r="D49" s="16">
        <v>1293.69</v>
      </c>
      <c r="E49" s="16">
        <v>1030.69</v>
      </c>
      <c r="F49" s="16">
        <v>946.02</v>
      </c>
      <c r="G49" s="16">
        <v>210.93</v>
      </c>
      <c r="H49" s="16">
        <v>251.29</v>
      </c>
      <c r="I49" s="16">
        <v>255.68</v>
      </c>
      <c r="J49" s="16">
        <v>253.16</v>
      </c>
      <c r="K49" s="16">
        <v>228.54</v>
      </c>
      <c r="L49" s="16">
        <v>252.22</v>
      </c>
      <c r="M49" s="16">
        <v>231.0</v>
      </c>
    </row>
    <row r="50" ht="15.0" customHeight="1">
      <c r="A50" s="14" t="s">
        <v>201</v>
      </c>
      <c r="B50" s="15"/>
      <c r="C50" s="22">
        <v>-805.0</v>
      </c>
      <c r="D50" s="22">
        <v>-676.55</v>
      </c>
      <c r="E50" s="22">
        <v>-597.7</v>
      </c>
      <c r="F50" s="22">
        <v>-512.47</v>
      </c>
      <c r="G50" s="21">
        <v>-50.12</v>
      </c>
      <c r="H50" s="21">
        <v>-45.95</v>
      </c>
      <c r="I50" s="21">
        <v>-45.87</v>
      </c>
      <c r="J50" s="21">
        <v>-44.03</v>
      </c>
      <c r="K50" s="21">
        <v>-41.73</v>
      </c>
      <c r="L50" s="21">
        <v>-45.0</v>
      </c>
      <c r="M50" s="21">
        <v>-42.17</v>
      </c>
    </row>
    <row r="51" ht="15.0" customHeight="1">
      <c r="A51" s="14" t="s">
        <v>202</v>
      </c>
      <c r="B51" s="15"/>
      <c r="C51" s="15"/>
      <c r="D51" s="20">
        <v>1.01</v>
      </c>
      <c r="E51" s="15"/>
      <c r="F51" s="15"/>
      <c r="G51" s="15"/>
      <c r="H51" s="15"/>
      <c r="I51" s="15"/>
      <c r="J51" s="15"/>
      <c r="K51" s="15"/>
      <c r="L51" s="15"/>
      <c r="M51" s="15"/>
    </row>
    <row r="52" ht="15.0" customHeight="1">
      <c r="A52" s="14" t="s">
        <v>203</v>
      </c>
      <c r="B52" s="15"/>
      <c r="C52" s="16">
        <v>295.06</v>
      </c>
      <c r="D52" s="16">
        <v>271.83</v>
      </c>
      <c r="E52" s="16">
        <v>260.73</v>
      </c>
      <c r="F52" s="16">
        <v>250.39</v>
      </c>
      <c r="G52" s="16">
        <v>872.95</v>
      </c>
      <c r="H52" s="16">
        <v>1414.0</v>
      </c>
      <c r="I52" s="16">
        <v>1422.8</v>
      </c>
      <c r="J52" s="16">
        <v>1325.86</v>
      </c>
      <c r="K52" s="16">
        <v>1100.05</v>
      </c>
      <c r="L52" s="16">
        <v>1165.87</v>
      </c>
      <c r="M52" s="16">
        <v>1121.45</v>
      </c>
    </row>
    <row r="53" ht="15.0" customHeight="1">
      <c r="A53" s="14" t="s">
        <v>204</v>
      </c>
      <c r="B53" s="15"/>
      <c r="C53" s="21">
        <v>-57.57</v>
      </c>
      <c r="D53" s="21">
        <v>-53.36</v>
      </c>
      <c r="E53" s="21">
        <v>-48.95</v>
      </c>
      <c r="F53" s="21">
        <v>-48.71</v>
      </c>
      <c r="G53" s="22">
        <v>-463.63</v>
      </c>
      <c r="H53" s="22">
        <v>-678.87</v>
      </c>
      <c r="I53" s="22">
        <v>-633.33</v>
      </c>
      <c r="J53" s="22">
        <v>-576.37</v>
      </c>
      <c r="K53" s="22">
        <v>-499.76</v>
      </c>
      <c r="L53" s="22">
        <v>-507.58</v>
      </c>
      <c r="M53" s="22">
        <v>-465.83</v>
      </c>
    </row>
    <row r="54" ht="15.0" customHeight="1">
      <c r="A54" s="14" t="s">
        <v>205</v>
      </c>
      <c r="B54" s="15"/>
      <c r="C54" s="20">
        <v>1.03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</row>
    <row r="55" ht="15.0" customHeight="1">
      <c r="A55" s="14" t="s">
        <v>206</v>
      </c>
      <c r="B55" s="15"/>
      <c r="C55" s="16">
        <v>982.86</v>
      </c>
      <c r="D55" s="16">
        <v>974.55</v>
      </c>
      <c r="E55" s="16">
        <v>891.38</v>
      </c>
      <c r="F55" s="16">
        <v>780.4</v>
      </c>
      <c r="G55" s="16">
        <v>537.76</v>
      </c>
      <c r="H55" s="16">
        <v>526.03</v>
      </c>
      <c r="I55" s="16">
        <v>509.4</v>
      </c>
      <c r="J55" s="16">
        <v>470.3</v>
      </c>
      <c r="K55" s="16">
        <v>347.08</v>
      </c>
      <c r="L55" s="16">
        <v>396.65</v>
      </c>
      <c r="M55" s="16">
        <v>379.57</v>
      </c>
    </row>
    <row r="56" ht="15.0" customHeight="1">
      <c r="A56" s="14" t="s">
        <v>207</v>
      </c>
      <c r="B56" s="15"/>
      <c r="C56" s="16">
        <v>3136.72</v>
      </c>
      <c r="D56" s="16">
        <v>2805.85</v>
      </c>
      <c r="E56" s="16">
        <v>2699.55</v>
      </c>
      <c r="F56" s="16">
        <v>2414.26</v>
      </c>
      <c r="G56" s="16">
        <v>1775.14</v>
      </c>
      <c r="H56" s="16">
        <v>1726.24</v>
      </c>
      <c r="I56" s="16">
        <v>1639.44</v>
      </c>
      <c r="J56" s="16">
        <v>1496.97</v>
      </c>
      <c r="K56" s="16">
        <v>1234.71</v>
      </c>
      <c r="L56" s="16">
        <v>1326.0</v>
      </c>
      <c r="M56" s="16">
        <v>1277.68</v>
      </c>
    </row>
    <row r="57" ht="15.0" customHeight="1">
      <c r="A57" s="14" t="s">
        <v>208</v>
      </c>
      <c r="B57" s="15"/>
      <c r="C57" s="22">
        <v>-2153.86</v>
      </c>
      <c r="D57" s="22">
        <v>-1830.3</v>
      </c>
      <c r="E57" s="22">
        <v>-1808.17</v>
      </c>
      <c r="F57" s="22">
        <v>-1634.84</v>
      </c>
      <c r="G57" s="22">
        <v>-1237.38</v>
      </c>
      <c r="H57" s="22">
        <v>-1200.21</v>
      </c>
      <c r="I57" s="22">
        <v>-1130.05</v>
      </c>
      <c r="J57" s="22">
        <v>-1026.66</v>
      </c>
      <c r="K57" s="22">
        <v>-887.63</v>
      </c>
      <c r="L57" s="22">
        <v>-929.35</v>
      </c>
      <c r="M57" s="22">
        <v>-898.12</v>
      </c>
    </row>
    <row r="58" ht="15.0" customHeight="1">
      <c r="A58" s="14" t="s">
        <v>209</v>
      </c>
      <c r="B58" s="15"/>
      <c r="C58" s="15"/>
      <c r="D58" s="21">
        <v>-1.01</v>
      </c>
      <c r="E58" s="15"/>
      <c r="F58" s="20">
        <v>0.97</v>
      </c>
      <c r="G58" s="15"/>
      <c r="H58" s="15"/>
      <c r="I58" s="15"/>
      <c r="J58" s="15"/>
      <c r="K58" s="15"/>
      <c r="L58" s="15"/>
      <c r="M58" s="15"/>
    </row>
    <row r="59" ht="15.0" customHeight="1">
      <c r="A59" s="14" t="s">
        <v>210</v>
      </c>
      <c r="B59" s="15"/>
      <c r="C59" s="16">
        <v>399.93</v>
      </c>
      <c r="D59" s="16">
        <v>483.25</v>
      </c>
      <c r="E59" s="16">
        <v>496.99</v>
      </c>
      <c r="F59" s="16">
        <v>409.2</v>
      </c>
      <c r="G59" s="16">
        <v>307.0</v>
      </c>
      <c r="H59" s="16">
        <v>356.31</v>
      </c>
      <c r="I59" s="16">
        <v>336.67</v>
      </c>
      <c r="J59" s="16">
        <v>318.21</v>
      </c>
      <c r="K59" s="16">
        <v>274.06</v>
      </c>
      <c r="L59" s="16">
        <v>291.99</v>
      </c>
      <c r="M59" s="16">
        <v>255.92</v>
      </c>
    </row>
    <row r="60" ht="15.0" customHeight="1">
      <c r="A60" s="14" t="s">
        <v>211</v>
      </c>
      <c r="B60" s="15"/>
      <c r="C60" s="16">
        <v>3030.83</v>
      </c>
      <c r="D60" s="16">
        <v>2831.02</v>
      </c>
      <c r="E60" s="16">
        <v>2722.14</v>
      </c>
      <c r="F60" s="16">
        <v>2525.33</v>
      </c>
      <c r="G60" s="16">
        <v>1919.24</v>
      </c>
      <c r="H60" s="16">
        <v>1937.21</v>
      </c>
      <c r="I60" s="16">
        <v>1847.3</v>
      </c>
      <c r="J60" s="16">
        <v>1705.1</v>
      </c>
      <c r="K60" s="16">
        <v>1493.6</v>
      </c>
      <c r="L60" s="16">
        <v>1549.96</v>
      </c>
      <c r="M60" s="16">
        <v>1365.86</v>
      </c>
    </row>
    <row r="61" ht="15.0" customHeight="1">
      <c r="A61" s="14" t="s">
        <v>212</v>
      </c>
      <c r="B61" s="15"/>
      <c r="C61" s="22">
        <v>-2630.9</v>
      </c>
      <c r="D61" s="22">
        <v>-2349.79</v>
      </c>
      <c r="E61" s="22">
        <v>-2224.21</v>
      </c>
      <c r="F61" s="22">
        <v>-2115.16</v>
      </c>
      <c r="G61" s="22">
        <v>-1611.2</v>
      </c>
      <c r="H61" s="22">
        <v>-1580.9</v>
      </c>
      <c r="I61" s="22">
        <v>-1510.63</v>
      </c>
      <c r="J61" s="22">
        <v>-1386.9</v>
      </c>
      <c r="K61" s="22">
        <v>-1219.54</v>
      </c>
      <c r="L61" s="22">
        <v>-1257.97</v>
      </c>
      <c r="M61" s="22">
        <v>-1109.94</v>
      </c>
    </row>
    <row r="62" ht="15.0" customHeight="1">
      <c r="A62" s="14" t="s">
        <v>213</v>
      </c>
      <c r="B62" s="15"/>
      <c r="C62" s="15"/>
      <c r="D62" s="20">
        <v>2.01</v>
      </c>
      <c r="E62" s="21">
        <v>-0.94</v>
      </c>
      <c r="F62" s="21">
        <v>-0.97</v>
      </c>
      <c r="G62" s="21">
        <v>-1.04</v>
      </c>
      <c r="H62" s="15"/>
      <c r="I62" s="15"/>
      <c r="J62" s="15"/>
      <c r="K62" s="15"/>
      <c r="L62" s="15"/>
      <c r="M62" s="15"/>
    </row>
    <row r="63" ht="15.0" customHeight="1">
      <c r="A63" s="14" t="s">
        <v>214</v>
      </c>
      <c r="B63" s="15"/>
      <c r="C63" s="16">
        <v>221.04</v>
      </c>
      <c r="D63" s="16">
        <v>216.45</v>
      </c>
      <c r="E63" s="16">
        <v>357.68</v>
      </c>
      <c r="F63" s="16">
        <v>396.53</v>
      </c>
      <c r="G63" s="16">
        <v>124.26</v>
      </c>
      <c r="H63" s="16">
        <v>154.71</v>
      </c>
      <c r="I63" s="16">
        <v>215.66</v>
      </c>
      <c r="J63" s="16">
        <v>206.13</v>
      </c>
      <c r="K63" s="20">
        <v>85.35</v>
      </c>
      <c r="L63" s="20">
        <v>85.82</v>
      </c>
      <c r="M63" s="20">
        <v>81.47</v>
      </c>
    </row>
    <row r="64" ht="15.0" customHeight="1">
      <c r="A64" s="14" t="s">
        <v>215</v>
      </c>
      <c r="B64" s="16">
        <v>2166.16</v>
      </c>
      <c r="C64" s="20">
        <f t="shared" ref="C64:K64" si="1">SUM(C63,C60:C61,C56:C57,C52:C53,C49:C50)</f>
        <v>2487.99</v>
      </c>
      <c r="D64" s="20">
        <f t="shared" si="1"/>
        <v>2508.84</v>
      </c>
      <c r="E64" s="20">
        <f t="shared" si="1"/>
        <v>2391.76</v>
      </c>
      <c r="F64" s="20">
        <f t="shared" si="1"/>
        <v>2221.35</v>
      </c>
      <c r="G64" s="20">
        <f t="shared" si="1"/>
        <v>1540.19</v>
      </c>
      <c r="H64" s="20">
        <f t="shared" si="1"/>
        <v>1977.52</v>
      </c>
      <c r="I64" s="20">
        <f t="shared" si="1"/>
        <v>2061</v>
      </c>
      <c r="J64" s="20">
        <f t="shared" si="1"/>
        <v>1953.26</v>
      </c>
      <c r="K64" s="20">
        <f t="shared" si="1"/>
        <v>1493.59</v>
      </c>
      <c r="L64" s="20">
        <v>1639.97</v>
      </c>
      <c r="M64" s="20">
        <f>SUM(M63,M60:M61,M56:M57,M52:M53,M49:M50)</f>
        <v>1561.4</v>
      </c>
    </row>
    <row r="65" ht="15.0" customHeight="1">
      <c r="A65" s="14" t="s">
        <v>216</v>
      </c>
      <c r="B65" s="16">
        <v>1119.71</v>
      </c>
      <c r="C65" s="16">
        <v>1121.65</v>
      </c>
      <c r="D65" s="16">
        <v>722.86</v>
      </c>
      <c r="E65" s="16">
        <v>482.87</v>
      </c>
      <c r="F65" s="16">
        <v>668.36</v>
      </c>
      <c r="G65" s="16">
        <v>623.39</v>
      </c>
      <c r="H65" s="16">
        <v>546.66</v>
      </c>
      <c r="I65" s="16">
        <v>611.86</v>
      </c>
      <c r="J65" s="16">
        <v>897.58</v>
      </c>
      <c r="K65" s="16">
        <v>1162.64</v>
      </c>
      <c r="L65" s="16">
        <v>1142.85</v>
      </c>
      <c r="M65" s="16">
        <v>172.53</v>
      </c>
    </row>
    <row r="66" ht="15.0" customHeight="1">
      <c r="A66" s="14" t="s">
        <v>217</v>
      </c>
      <c r="B66" s="15"/>
      <c r="C66" s="15"/>
      <c r="D66" s="15"/>
      <c r="E66" s="15"/>
      <c r="F66" s="15">
        <v>0.0</v>
      </c>
      <c r="G66" s="15">
        <v>0.0</v>
      </c>
      <c r="H66" s="20">
        <v>1.88</v>
      </c>
      <c r="I66" s="15">
        <v>0.0</v>
      </c>
      <c r="J66" s="20">
        <v>1.0</v>
      </c>
      <c r="K66" s="20">
        <v>6.64</v>
      </c>
      <c r="L66" s="20">
        <v>35.58</v>
      </c>
      <c r="M66" s="20">
        <v>39.3</v>
      </c>
    </row>
    <row r="67" ht="15.0" customHeight="1">
      <c r="A67" s="14" t="s">
        <v>218</v>
      </c>
      <c r="B67" s="16">
        <v>230.72</v>
      </c>
      <c r="C67" s="16">
        <v>254.97</v>
      </c>
      <c r="D67" s="16">
        <v>182.22</v>
      </c>
      <c r="E67" s="16">
        <v>158.13</v>
      </c>
      <c r="F67" s="16">
        <v>141.27</v>
      </c>
      <c r="G67" s="20">
        <v>99.2</v>
      </c>
      <c r="H67" s="20">
        <v>92.83</v>
      </c>
      <c r="I67" s="20">
        <v>69.29</v>
      </c>
      <c r="J67" s="20">
        <v>65.04</v>
      </c>
      <c r="K67" s="20">
        <v>49.31</v>
      </c>
      <c r="L67" s="20">
        <v>48.14</v>
      </c>
      <c r="M67" s="20">
        <v>44.09</v>
      </c>
    </row>
    <row r="68" ht="15.0" customHeight="1">
      <c r="A68" s="14" t="s">
        <v>219</v>
      </c>
      <c r="B68" s="15"/>
      <c r="C68" s="20">
        <v>7.2</v>
      </c>
      <c r="D68" s="20">
        <v>24.16</v>
      </c>
      <c r="E68" s="20">
        <v>20.71</v>
      </c>
      <c r="F68" s="15"/>
      <c r="G68" s="15"/>
      <c r="H68" s="15"/>
      <c r="I68" s="15"/>
      <c r="J68" s="15"/>
      <c r="K68" s="15"/>
      <c r="L68" s="15"/>
      <c r="M68" s="15"/>
    </row>
    <row r="69" ht="15.0" customHeight="1">
      <c r="A69" s="14" t="s">
        <v>220</v>
      </c>
      <c r="B69" s="15"/>
      <c r="C69" s="16">
        <v>247.77</v>
      </c>
      <c r="D69" s="16">
        <v>157.06</v>
      </c>
      <c r="E69" s="16">
        <v>137.42</v>
      </c>
      <c r="F69" s="15"/>
      <c r="G69" s="15"/>
      <c r="H69" s="15"/>
      <c r="I69" s="15"/>
      <c r="J69" s="15"/>
      <c r="K69" s="15"/>
      <c r="L69" s="15"/>
      <c r="M69" s="15"/>
    </row>
    <row r="70" ht="15.0" customHeight="1">
      <c r="A70" s="14" t="s">
        <v>221</v>
      </c>
      <c r="B70" s="15"/>
      <c r="C70" s="15"/>
      <c r="D70" s="20">
        <v>1.01</v>
      </c>
      <c r="E70" s="15"/>
      <c r="F70" s="15"/>
      <c r="G70" s="15"/>
      <c r="H70" s="15"/>
      <c r="I70" s="15"/>
      <c r="J70" s="15"/>
      <c r="K70" s="15"/>
      <c r="L70" s="15"/>
      <c r="M70" s="15"/>
    </row>
    <row r="71" ht="15.0" customHeight="1">
      <c r="A71" s="14" t="s">
        <v>222</v>
      </c>
      <c r="B71" s="16">
        <v>1694.87</v>
      </c>
      <c r="C71" s="16">
        <v>1930.76</v>
      </c>
      <c r="D71" s="16">
        <v>1968.22</v>
      </c>
      <c r="E71" s="16">
        <v>914.91</v>
      </c>
      <c r="F71" s="16">
        <v>974.28</v>
      </c>
      <c r="G71" s="16">
        <v>657.85</v>
      </c>
      <c r="H71" s="16">
        <v>584.16</v>
      </c>
      <c r="I71" s="15"/>
      <c r="J71" s="15"/>
      <c r="K71" s="15"/>
      <c r="L71" s="15"/>
      <c r="M71" s="15"/>
    </row>
    <row r="72" ht="15.0" customHeight="1">
      <c r="A72" s="14" t="s">
        <v>223</v>
      </c>
      <c r="B72" s="15"/>
      <c r="C72" s="16">
        <v>2984.56</v>
      </c>
      <c r="D72" s="16">
        <v>2913.58</v>
      </c>
      <c r="E72" s="16">
        <v>1584.15</v>
      </c>
      <c r="F72" s="16">
        <v>1383.48</v>
      </c>
      <c r="G72" s="16">
        <v>929.34</v>
      </c>
      <c r="H72" s="16">
        <v>733.25</v>
      </c>
      <c r="I72" s="15"/>
      <c r="J72" s="15"/>
      <c r="K72" s="15"/>
      <c r="L72" s="15"/>
      <c r="M72" s="15"/>
    </row>
    <row r="73" ht="15.0" customHeight="1">
      <c r="A73" s="14" t="s">
        <v>224</v>
      </c>
      <c r="B73" s="15"/>
      <c r="C73" s="22">
        <v>-1053.8</v>
      </c>
      <c r="D73" s="22">
        <v>-945.35</v>
      </c>
      <c r="E73" s="22">
        <v>-669.24</v>
      </c>
      <c r="F73" s="22">
        <v>-409.2</v>
      </c>
      <c r="G73" s="22">
        <v>-271.49</v>
      </c>
      <c r="H73" s="22">
        <v>-149.09</v>
      </c>
      <c r="I73" s="15"/>
      <c r="J73" s="15"/>
      <c r="K73" s="15"/>
      <c r="L73" s="15"/>
      <c r="M73" s="15"/>
    </row>
    <row r="74" ht="15.0" customHeight="1">
      <c r="A74" s="14" t="s">
        <v>225</v>
      </c>
      <c r="B74" s="15"/>
      <c r="C74" s="15"/>
      <c r="D74" s="15"/>
      <c r="E74" s="15"/>
      <c r="F74" s="20">
        <v>0.97</v>
      </c>
      <c r="G74" s="15"/>
      <c r="H74" s="20">
        <v>0.94</v>
      </c>
      <c r="I74" s="21">
        <v>-0.98</v>
      </c>
      <c r="J74" s="15"/>
      <c r="K74" s="15"/>
      <c r="L74" s="15"/>
      <c r="M74" s="15"/>
    </row>
    <row r="75" ht="15.0" customHeight="1">
      <c r="A75" s="17" t="s">
        <v>226</v>
      </c>
      <c r="B75" s="18">
        <v>36463.83</v>
      </c>
      <c r="C75" s="18">
        <v>40290.04</v>
      </c>
      <c r="D75" s="18">
        <v>39469.2</v>
      </c>
      <c r="E75" s="18">
        <v>37536.72</v>
      </c>
      <c r="F75" s="18">
        <v>36121.38</v>
      </c>
      <c r="G75" s="18">
        <v>24907.32</v>
      </c>
      <c r="H75" s="18">
        <v>25178.12</v>
      </c>
      <c r="I75" s="18">
        <v>24902.96</v>
      </c>
      <c r="J75" s="18">
        <v>24206.63</v>
      </c>
      <c r="K75" s="18">
        <v>15743.03</v>
      </c>
      <c r="L75" s="18">
        <v>16435.24</v>
      </c>
      <c r="M75" s="18">
        <v>14586.48</v>
      </c>
    </row>
    <row r="76" ht="15.0" customHeight="1">
      <c r="A76" s="14" t="s">
        <v>227</v>
      </c>
      <c r="B76" s="16">
        <v>5279.26</v>
      </c>
      <c r="C76" s="16">
        <v>6636.36</v>
      </c>
      <c r="D76" s="16">
        <v>7376.56</v>
      </c>
      <c r="E76" s="16">
        <v>8766.94</v>
      </c>
      <c r="F76" s="16">
        <v>6803.39</v>
      </c>
      <c r="G76" s="16">
        <v>3271.48</v>
      </c>
      <c r="H76" s="16">
        <v>2772.67</v>
      </c>
      <c r="I76" s="16">
        <v>3680.94</v>
      </c>
      <c r="J76" s="16">
        <v>3352.16</v>
      </c>
      <c r="K76" s="16">
        <v>2500.72</v>
      </c>
      <c r="L76" s="16">
        <v>2301.39</v>
      </c>
      <c r="M76" s="16">
        <v>1936.17</v>
      </c>
    </row>
    <row r="77" ht="15.0" customHeight="1">
      <c r="A77" s="14" t="s">
        <v>228</v>
      </c>
      <c r="B77" s="15"/>
      <c r="C77" s="16">
        <v>1875.25</v>
      </c>
      <c r="D77" s="16">
        <v>2293.41</v>
      </c>
      <c r="E77" s="16">
        <v>2696.72</v>
      </c>
      <c r="F77" s="16">
        <v>2349.96</v>
      </c>
      <c r="G77" s="16">
        <v>1375.21</v>
      </c>
      <c r="H77" s="16">
        <v>1108.32</v>
      </c>
      <c r="I77" s="16">
        <v>1311.56</v>
      </c>
      <c r="J77" s="16">
        <v>1245.8</v>
      </c>
      <c r="K77" s="16">
        <v>859.18</v>
      </c>
      <c r="L77" s="16">
        <v>923.07</v>
      </c>
      <c r="M77" s="16">
        <v>788.85</v>
      </c>
    </row>
    <row r="78" ht="15.0" customHeight="1">
      <c r="A78" s="14" t="s">
        <v>229</v>
      </c>
      <c r="B78" s="15"/>
      <c r="C78" s="16">
        <v>4678.86</v>
      </c>
      <c r="D78" s="16">
        <v>4998.59</v>
      </c>
      <c r="E78" s="16">
        <v>5998.68</v>
      </c>
      <c r="F78" s="16">
        <v>4298.52</v>
      </c>
      <c r="G78" s="16">
        <v>1883.74</v>
      </c>
      <c r="H78" s="16">
        <v>1644.66</v>
      </c>
      <c r="I78" s="16">
        <v>2343.04</v>
      </c>
      <c r="J78" s="16">
        <v>2086.35</v>
      </c>
      <c r="K78" s="16">
        <v>1628.26</v>
      </c>
      <c r="L78" s="16">
        <v>1373.09</v>
      </c>
      <c r="M78" s="16">
        <v>1141.58</v>
      </c>
    </row>
    <row r="79" ht="15.0" customHeight="1">
      <c r="A79" s="14" t="s">
        <v>230</v>
      </c>
      <c r="B79" s="15"/>
      <c r="C79" s="20">
        <v>82.25</v>
      </c>
      <c r="D79" s="20">
        <v>84.57</v>
      </c>
      <c r="E79" s="20">
        <v>71.54</v>
      </c>
      <c r="F79" s="16">
        <v>154.91</v>
      </c>
      <c r="G79" s="20">
        <v>12.53</v>
      </c>
      <c r="H79" s="20">
        <v>19.69</v>
      </c>
      <c r="I79" s="20">
        <v>26.35</v>
      </c>
      <c r="J79" s="20">
        <v>20.01</v>
      </c>
      <c r="K79" s="20">
        <v>13.28</v>
      </c>
      <c r="L79" s="20">
        <v>5.23</v>
      </c>
      <c r="M79" s="20">
        <v>5.75</v>
      </c>
    </row>
    <row r="80" ht="15.0" customHeight="1">
      <c r="A80" s="14" t="s">
        <v>231</v>
      </c>
      <c r="B80" s="16">
        <v>2021.82</v>
      </c>
      <c r="C80" s="16">
        <v>2364.62</v>
      </c>
      <c r="D80" s="16">
        <v>2326.63</v>
      </c>
      <c r="E80" s="16">
        <v>2642.13</v>
      </c>
      <c r="F80" s="16">
        <v>2616.91</v>
      </c>
      <c r="G80" s="16">
        <v>1920.29</v>
      </c>
      <c r="H80" s="16">
        <v>1589.34</v>
      </c>
      <c r="I80" s="16">
        <v>1663.84</v>
      </c>
      <c r="J80" s="16">
        <v>1485.96</v>
      </c>
      <c r="K80" s="16">
        <v>987.2</v>
      </c>
      <c r="L80" s="16">
        <v>948.19</v>
      </c>
      <c r="M80" s="16">
        <v>885.66</v>
      </c>
    </row>
    <row r="81" ht="15.0" customHeight="1">
      <c r="A81" s="14" t="s">
        <v>232</v>
      </c>
      <c r="B81" s="15"/>
      <c r="C81" s="16">
        <v>2468.46</v>
      </c>
      <c r="D81" s="16">
        <v>2452.48</v>
      </c>
      <c r="E81" s="16">
        <v>2849.21</v>
      </c>
      <c r="F81" s="16">
        <v>2763.05</v>
      </c>
      <c r="G81" s="16">
        <v>1997.56</v>
      </c>
      <c r="H81" s="16">
        <v>1631.53</v>
      </c>
      <c r="I81" s="16">
        <v>1682.38</v>
      </c>
      <c r="J81" s="16">
        <v>1514.98</v>
      </c>
      <c r="K81" s="16">
        <v>1033.67</v>
      </c>
      <c r="L81" s="16">
        <v>999.47</v>
      </c>
      <c r="M81" s="16">
        <v>934.54</v>
      </c>
    </row>
    <row r="82" ht="15.0" customHeight="1">
      <c r="A82" s="14" t="s">
        <v>233</v>
      </c>
      <c r="B82" s="15"/>
      <c r="C82" s="22">
        <v>-103.84</v>
      </c>
      <c r="D82" s="22">
        <v>-125.85</v>
      </c>
      <c r="E82" s="22">
        <v>-207.08</v>
      </c>
      <c r="F82" s="22">
        <v>-146.14</v>
      </c>
      <c r="G82" s="21">
        <v>-77.27</v>
      </c>
      <c r="H82" s="21">
        <v>-42.19</v>
      </c>
      <c r="I82" s="21">
        <v>-18.54</v>
      </c>
      <c r="J82" s="21">
        <v>-29.02</v>
      </c>
      <c r="K82" s="21">
        <v>-46.47</v>
      </c>
      <c r="L82" s="21">
        <v>-51.28</v>
      </c>
      <c r="M82" s="21">
        <v>-48.88</v>
      </c>
    </row>
    <row r="83" ht="15.0" customHeight="1">
      <c r="A83" s="14" t="s">
        <v>234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>
        <v>0.0</v>
      </c>
      <c r="M83" s="20">
        <v>21.09</v>
      </c>
    </row>
    <row r="84" ht="15.0" customHeight="1">
      <c r="A84" s="14" t="s">
        <v>235</v>
      </c>
      <c r="B84" s="16">
        <v>247.12</v>
      </c>
      <c r="C84" s="20">
        <v>86.36</v>
      </c>
      <c r="D84" s="16">
        <v>127.86</v>
      </c>
      <c r="E84" s="16">
        <v>102.6</v>
      </c>
      <c r="F84" s="20">
        <v>72.1</v>
      </c>
      <c r="G84" s="20">
        <v>50.12</v>
      </c>
      <c r="H84" s="20">
        <v>69.39</v>
      </c>
      <c r="I84" s="20">
        <v>83.92</v>
      </c>
      <c r="J84" s="16">
        <v>180.12</v>
      </c>
      <c r="K84" s="20">
        <v>44.57</v>
      </c>
      <c r="L84" s="20">
        <v>28.26</v>
      </c>
      <c r="M84" s="20">
        <v>11.5</v>
      </c>
    </row>
    <row r="85" ht="15.0" customHeight="1">
      <c r="A85" s="14" t="s">
        <v>236</v>
      </c>
      <c r="B85" s="16">
        <v>493.15</v>
      </c>
      <c r="C85" s="16">
        <v>371.14</v>
      </c>
      <c r="D85" s="16">
        <v>536.61</v>
      </c>
      <c r="E85" s="16">
        <v>476.28</v>
      </c>
      <c r="F85" s="16">
        <v>475.45</v>
      </c>
      <c r="G85" s="16">
        <v>645.32</v>
      </c>
      <c r="H85" s="16">
        <v>601.04</v>
      </c>
      <c r="I85" s="16">
        <v>664.56</v>
      </c>
      <c r="J85" s="16">
        <v>418.27</v>
      </c>
      <c r="K85" s="16">
        <v>224.75</v>
      </c>
      <c r="L85" s="16">
        <v>187.33</v>
      </c>
      <c r="M85" s="16">
        <v>180.2</v>
      </c>
    </row>
    <row r="86" ht="15.0" customHeight="1">
      <c r="A86" s="14" t="s">
        <v>237</v>
      </c>
      <c r="B86" s="16">
        <v>274.46</v>
      </c>
      <c r="C86" s="16">
        <v>208.7</v>
      </c>
      <c r="D86" s="16">
        <v>249.68</v>
      </c>
      <c r="E86" s="16">
        <v>272.03</v>
      </c>
      <c r="F86" s="16">
        <v>191.93</v>
      </c>
      <c r="G86" s="16">
        <v>128.44</v>
      </c>
      <c r="H86" s="16">
        <v>127.52</v>
      </c>
      <c r="I86" s="16">
        <v>124.91</v>
      </c>
      <c r="J86" s="16">
        <v>132.09</v>
      </c>
      <c r="K86" s="20">
        <v>84.4</v>
      </c>
      <c r="L86" s="16">
        <v>116.17</v>
      </c>
      <c r="M86" s="20">
        <v>89.14</v>
      </c>
    </row>
    <row r="87" ht="15.0" customHeight="1">
      <c r="A87" s="14" t="s">
        <v>238</v>
      </c>
      <c r="B87" s="16">
        <v>5314.25</v>
      </c>
      <c r="C87" s="16">
        <v>4331.37</v>
      </c>
      <c r="D87" s="16">
        <v>4377.41</v>
      </c>
      <c r="E87" s="16">
        <v>4140.63</v>
      </c>
      <c r="F87" s="16">
        <v>4294.62</v>
      </c>
      <c r="G87" s="16">
        <v>8262.76</v>
      </c>
      <c r="H87" s="16">
        <v>4021.64</v>
      </c>
      <c r="I87" s="16">
        <v>2061.99</v>
      </c>
      <c r="J87" s="16">
        <v>1159.75</v>
      </c>
      <c r="K87" s="16">
        <v>1516.36</v>
      </c>
      <c r="L87" s="16">
        <v>871.79</v>
      </c>
      <c r="M87" s="16">
        <v>567.43</v>
      </c>
    </row>
    <row r="88" ht="15.0" customHeight="1">
      <c r="A88" s="14" t="s">
        <v>239</v>
      </c>
      <c r="B88" s="20">
        <v>2.19</v>
      </c>
      <c r="C88" s="20">
        <v>17.48</v>
      </c>
      <c r="D88" s="20">
        <v>21.14</v>
      </c>
      <c r="E88" s="16">
        <v>138.37</v>
      </c>
      <c r="F88" s="16">
        <v>115.94</v>
      </c>
      <c r="G88" s="20">
        <v>91.89</v>
      </c>
      <c r="H88" s="20">
        <v>33.76</v>
      </c>
      <c r="I88" s="16">
        <v>104.42</v>
      </c>
      <c r="J88" s="20">
        <v>90.06</v>
      </c>
      <c r="K88" s="20">
        <v>54.05</v>
      </c>
      <c r="L88" s="15"/>
      <c r="M88" s="15"/>
    </row>
    <row r="89" ht="15.0" customHeight="1">
      <c r="A89" s="14" t="s">
        <v>240</v>
      </c>
      <c r="B89" s="15"/>
      <c r="C89" s="15"/>
      <c r="D89" s="15"/>
      <c r="E89" s="20">
        <v>0.94</v>
      </c>
      <c r="F89" s="15"/>
      <c r="G89" s="15"/>
      <c r="H89" s="15"/>
      <c r="I89" s="15"/>
      <c r="J89" s="15"/>
      <c r="K89" s="15"/>
      <c r="L89" s="15"/>
      <c r="M89" s="15"/>
    </row>
    <row r="90" ht="15.0" customHeight="1">
      <c r="A90" s="17" t="s">
        <v>241</v>
      </c>
      <c r="B90" s="18">
        <v>13632.25</v>
      </c>
      <c r="C90" s="18">
        <v>14016.03</v>
      </c>
      <c r="D90" s="18">
        <v>15015.9</v>
      </c>
      <c r="E90" s="18">
        <v>16539.91</v>
      </c>
      <c r="F90" s="18">
        <v>14570.34</v>
      </c>
      <c r="G90" s="18">
        <v>14370.29</v>
      </c>
      <c r="H90" s="19">
        <v>9215.35</v>
      </c>
      <c r="I90" s="19">
        <v>8384.59</v>
      </c>
      <c r="J90" s="19">
        <v>6818.4</v>
      </c>
      <c r="K90" s="19">
        <v>5412.05</v>
      </c>
      <c r="L90" s="19">
        <v>4453.13</v>
      </c>
      <c r="M90" s="19">
        <v>3691.19</v>
      </c>
    </row>
    <row r="91" ht="15.0" customHeight="1">
      <c r="A91" s="14" t="s">
        <v>242</v>
      </c>
      <c r="B91" s="20">
        <v>1.09</v>
      </c>
      <c r="C91" s="15"/>
      <c r="D91" s="15"/>
      <c r="E91" s="15"/>
      <c r="F91" s="15"/>
      <c r="G91" s="15"/>
      <c r="H91" s="20">
        <v>0.94</v>
      </c>
      <c r="I91" s="15"/>
      <c r="J91" s="15"/>
      <c r="K91" s="15"/>
      <c r="L91" s="15"/>
      <c r="M91" s="15"/>
    </row>
    <row r="92" ht="15.0" customHeight="1">
      <c r="A92" s="17" t="s">
        <v>243</v>
      </c>
      <c r="B92" s="18">
        <v>50097.18</v>
      </c>
      <c r="C92" s="18">
        <v>54306.07</v>
      </c>
      <c r="D92" s="18">
        <v>54485.1</v>
      </c>
      <c r="E92" s="18">
        <v>54076.63</v>
      </c>
      <c r="F92" s="18">
        <v>50691.72</v>
      </c>
      <c r="G92" s="18">
        <v>39277.61</v>
      </c>
      <c r="H92" s="18">
        <v>34394.41</v>
      </c>
      <c r="I92" s="18">
        <v>33287.55</v>
      </c>
      <c r="J92" s="18">
        <v>31025.04</v>
      </c>
      <c r="K92" s="18">
        <v>21155.09</v>
      </c>
      <c r="L92" s="18">
        <v>20888.36</v>
      </c>
      <c r="M92" s="18">
        <v>18277.67</v>
      </c>
    </row>
    <row r="93" ht="15.0" customHeight="1">
      <c r="A93" s="14" t="s">
        <v>244</v>
      </c>
      <c r="B93" s="15"/>
      <c r="C93" s="20">
        <v>1.03</v>
      </c>
      <c r="D93" s="20">
        <v>1.01</v>
      </c>
      <c r="E93" s="20">
        <v>0.94</v>
      </c>
      <c r="F93" s="20">
        <v>0.97</v>
      </c>
      <c r="G93" s="20">
        <v>1.04</v>
      </c>
      <c r="H93" s="20">
        <v>0.94</v>
      </c>
      <c r="I93" s="20">
        <v>0.98</v>
      </c>
      <c r="J93" s="20">
        <v>1.0</v>
      </c>
      <c r="K93" s="20">
        <v>0.95</v>
      </c>
      <c r="L93" s="20">
        <v>1.05</v>
      </c>
      <c r="M93" s="20">
        <v>0.96</v>
      </c>
    </row>
    <row r="94" ht="15.0" customHeight="1">
      <c r="A94" s="14" t="s">
        <v>245</v>
      </c>
      <c r="B94" s="15"/>
      <c r="C94" s="15">
        <v>15192.17</v>
      </c>
      <c r="D94" s="15">
        <v>14876.96</v>
      </c>
      <c r="E94" s="15">
        <v>13909.08</v>
      </c>
      <c r="F94" s="15">
        <v>14396.92</v>
      </c>
      <c r="G94" s="15">
        <v>11951.92</v>
      </c>
      <c r="H94" s="15">
        <v>10732.49</v>
      </c>
      <c r="I94" s="15">
        <v>11169.69</v>
      </c>
      <c r="J94" s="15">
        <v>11453.4</v>
      </c>
      <c r="K94" s="15"/>
      <c r="L94" s="15"/>
      <c r="M94" s="15"/>
    </row>
    <row r="95" ht="15.0" customHeight="1">
      <c r="A95" s="14" t="s">
        <v>246</v>
      </c>
      <c r="B95" s="15"/>
      <c r="C95" s="16">
        <v>6783.37</v>
      </c>
      <c r="D95" s="16">
        <v>4266.67</v>
      </c>
      <c r="E95" s="16">
        <v>5257.91</v>
      </c>
      <c r="F95" s="16">
        <v>2725.06</v>
      </c>
      <c r="G95" s="16">
        <v>1051.51</v>
      </c>
      <c r="H95" s="16">
        <v>2443.55</v>
      </c>
      <c r="I95" s="16">
        <v>1846.33</v>
      </c>
      <c r="J95" s="16">
        <v>1344.87</v>
      </c>
      <c r="K95" s="16">
        <v>1664.3</v>
      </c>
      <c r="L95" s="16">
        <v>1050.75</v>
      </c>
      <c r="M95" s="16">
        <v>1051.48</v>
      </c>
    </row>
    <row r="96" ht="15.0" customHeight="1">
      <c r="A96" s="14" t="s">
        <v>247</v>
      </c>
      <c r="B96" s="15"/>
      <c r="C96" s="16">
        <v>4203.88</v>
      </c>
      <c r="D96" s="16">
        <v>7023.19</v>
      </c>
      <c r="E96" s="16">
        <v>5695.6</v>
      </c>
      <c r="F96" s="16">
        <v>4746.69</v>
      </c>
      <c r="G96" s="16">
        <v>3912.62</v>
      </c>
      <c r="H96" s="16">
        <v>3103.66</v>
      </c>
      <c r="I96" s="16">
        <v>2625.06</v>
      </c>
      <c r="J96" s="16">
        <v>1724.11</v>
      </c>
      <c r="K96" s="15">
        <v>11589.4</v>
      </c>
      <c r="L96" s="15">
        <v>11384.52</v>
      </c>
      <c r="M96" s="16">
        <v>5138.53</v>
      </c>
    </row>
    <row r="97" ht="15.0" customHeight="1">
      <c r="A97" s="17" t="s">
        <v>248</v>
      </c>
      <c r="B97" s="18">
        <v>22888.44</v>
      </c>
      <c r="C97" s="18">
        <v>26180.46</v>
      </c>
      <c r="D97" s="18">
        <v>26167.83</v>
      </c>
      <c r="E97" s="18">
        <v>24863.52</v>
      </c>
      <c r="F97" s="18">
        <v>21869.63</v>
      </c>
      <c r="G97" s="18">
        <v>16917.1</v>
      </c>
      <c r="H97" s="18">
        <v>16280.64</v>
      </c>
      <c r="I97" s="18">
        <v>15642.05</v>
      </c>
      <c r="J97" s="18">
        <v>14523.38</v>
      </c>
      <c r="K97" s="18">
        <v>13254.65</v>
      </c>
      <c r="L97" s="18">
        <v>12436.32</v>
      </c>
      <c r="M97" s="19">
        <v>6190.96</v>
      </c>
    </row>
    <row r="98" ht="15.0" customHeight="1">
      <c r="A98" s="17" t="s">
        <v>249</v>
      </c>
      <c r="B98" s="18">
        <v>22888.44</v>
      </c>
      <c r="C98" s="18">
        <v>26180.46</v>
      </c>
      <c r="D98" s="18">
        <v>26167.83</v>
      </c>
      <c r="E98" s="18">
        <v>24863.52</v>
      </c>
      <c r="F98" s="18">
        <v>21869.63</v>
      </c>
      <c r="G98" s="18">
        <v>16917.1</v>
      </c>
      <c r="H98" s="18">
        <v>16280.64</v>
      </c>
      <c r="I98" s="18">
        <v>15642.05</v>
      </c>
      <c r="J98" s="18">
        <v>14523.38</v>
      </c>
      <c r="K98" s="18">
        <v>13254.65</v>
      </c>
      <c r="L98" s="18">
        <v>12436.32</v>
      </c>
      <c r="M98" s="19">
        <v>6190.96</v>
      </c>
    </row>
    <row r="99" ht="15.0" customHeight="1">
      <c r="A99" s="14" t="s">
        <v>250</v>
      </c>
      <c r="B99" s="15">
        <v>12109.05</v>
      </c>
      <c r="C99" s="15">
        <v>13444.41</v>
      </c>
      <c r="D99" s="15">
        <v>16445.5</v>
      </c>
      <c r="E99" s="15">
        <v>14405.12</v>
      </c>
      <c r="F99" s="15">
        <v>15684.91</v>
      </c>
      <c r="G99" s="15">
        <v>13005.52</v>
      </c>
      <c r="H99" s="15">
        <v>11522.0</v>
      </c>
      <c r="I99" s="15"/>
      <c r="J99" s="15"/>
      <c r="K99" s="15"/>
      <c r="L99" s="15"/>
      <c r="M99" s="15"/>
    </row>
    <row r="100" ht="15.0" customHeight="1">
      <c r="A100" s="14" t="s">
        <v>251</v>
      </c>
      <c r="B100" s="15"/>
      <c r="C100" s="15"/>
      <c r="D100" s="15"/>
      <c r="E100" s="15"/>
      <c r="F100" s="15"/>
      <c r="G100" s="15"/>
      <c r="H100" s="15"/>
      <c r="I100" s="15">
        <v>10946.22</v>
      </c>
      <c r="J100" s="16">
        <v>9816.34</v>
      </c>
      <c r="K100" s="16">
        <v>4222.86</v>
      </c>
      <c r="L100" s="16">
        <v>4555.69</v>
      </c>
      <c r="M100" s="16">
        <v>9006.08</v>
      </c>
    </row>
    <row r="101" ht="15.0" customHeight="1">
      <c r="A101" s="14" t="s">
        <v>252</v>
      </c>
      <c r="B101" s="16">
        <v>3040.93</v>
      </c>
      <c r="C101" s="16">
        <v>3177.84</v>
      </c>
      <c r="D101" s="16">
        <v>2971.97</v>
      </c>
      <c r="E101" s="16">
        <v>2930.16</v>
      </c>
      <c r="F101" s="16">
        <v>2749.41</v>
      </c>
      <c r="G101" s="16">
        <v>1739.64</v>
      </c>
      <c r="H101" s="16">
        <v>1776.87</v>
      </c>
      <c r="I101" s="16">
        <v>1897.07</v>
      </c>
      <c r="J101" s="16">
        <v>1902.23</v>
      </c>
      <c r="K101" s="16">
        <v>562.35</v>
      </c>
      <c r="L101" s="16">
        <v>579.8</v>
      </c>
      <c r="M101" s="16">
        <v>513.76</v>
      </c>
    </row>
    <row r="102" ht="15.0" customHeight="1">
      <c r="A102" s="14" t="s">
        <v>253</v>
      </c>
      <c r="B102" s="16">
        <v>480.03</v>
      </c>
      <c r="C102" s="16">
        <v>526.38</v>
      </c>
      <c r="D102" s="16">
        <v>520.5</v>
      </c>
      <c r="E102" s="16">
        <v>496.99</v>
      </c>
      <c r="F102" s="16">
        <v>685.89</v>
      </c>
      <c r="G102" s="16">
        <v>832.23</v>
      </c>
      <c r="H102" s="16">
        <v>769.82</v>
      </c>
      <c r="I102" s="16">
        <v>721.16</v>
      </c>
      <c r="J102" s="16">
        <v>687.44</v>
      </c>
      <c r="K102" s="16">
        <v>508.3</v>
      </c>
      <c r="L102" s="16">
        <v>498.16</v>
      </c>
      <c r="M102" s="16">
        <v>482.13</v>
      </c>
    </row>
    <row r="103" ht="15.0" customHeight="1">
      <c r="A103" s="14" t="s">
        <v>254</v>
      </c>
      <c r="B103" s="15"/>
      <c r="C103" s="15"/>
      <c r="D103" s="15"/>
      <c r="E103" s="15"/>
      <c r="F103" s="15">
        <v>0.0</v>
      </c>
      <c r="G103" s="20">
        <v>2.09</v>
      </c>
      <c r="H103" s="15"/>
      <c r="I103" s="15"/>
      <c r="J103" s="15"/>
      <c r="K103" s="15"/>
      <c r="L103" s="15"/>
      <c r="M103" s="15"/>
    </row>
    <row r="104" ht="15.0" customHeight="1">
      <c r="A104" s="14" t="s">
        <v>255</v>
      </c>
      <c r="B104" s="16">
        <v>321.48</v>
      </c>
      <c r="C104" s="16">
        <v>447.22</v>
      </c>
      <c r="D104" s="16">
        <v>238.6</v>
      </c>
      <c r="E104" s="16">
        <v>240.02</v>
      </c>
      <c r="F104" s="16">
        <v>239.67</v>
      </c>
      <c r="G104" s="16">
        <v>222.41</v>
      </c>
      <c r="H104" s="16">
        <v>185.66</v>
      </c>
      <c r="I104" s="16">
        <v>186.39</v>
      </c>
      <c r="J104" s="16">
        <v>131.08</v>
      </c>
      <c r="K104" s="16">
        <v>110.95</v>
      </c>
      <c r="L104" s="20">
        <v>77.45</v>
      </c>
      <c r="M104" s="16">
        <v>105.44</v>
      </c>
    </row>
    <row r="105" ht="15.0" customHeight="1">
      <c r="A105" s="14" t="s">
        <v>256</v>
      </c>
      <c r="B105" s="15"/>
      <c r="C105" s="15"/>
      <c r="D105" s="15">
        <v>0.0</v>
      </c>
      <c r="E105" s="15"/>
      <c r="F105" s="20">
        <v>17.54</v>
      </c>
      <c r="G105" s="20">
        <v>18.8</v>
      </c>
      <c r="H105" s="20">
        <v>18.75</v>
      </c>
      <c r="I105" s="20">
        <v>21.47</v>
      </c>
      <c r="J105" s="20">
        <v>23.01</v>
      </c>
      <c r="K105" s="15"/>
      <c r="L105" s="15"/>
      <c r="M105" s="15"/>
    </row>
    <row r="106" ht="15.0" customHeight="1">
      <c r="A106" s="14" t="s">
        <v>257</v>
      </c>
      <c r="B106" s="15"/>
      <c r="C106" s="16">
        <v>195.34</v>
      </c>
      <c r="D106" s="20">
        <v>1.01</v>
      </c>
      <c r="E106" s="15"/>
      <c r="F106" s="15"/>
      <c r="G106" s="15"/>
      <c r="H106" s="15"/>
      <c r="I106" s="15"/>
      <c r="J106" s="15"/>
      <c r="K106" s="15"/>
      <c r="L106" s="15"/>
      <c r="M106" s="15"/>
    </row>
    <row r="107" ht="15.0" customHeight="1">
      <c r="A107" s="14" t="s">
        <v>258</v>
      </c>
      <c r="B107" s="15"/>
      <c r="C107" s="16">
        <v>251.88</v>
      </c>
      <c r="D107" s="16">
        <v>237.6</v>
      </c>
      <c r="E107" s="15"/>
      <c r="F107" s="16">
        <v>222.14</v>
      </c>
      <c r="G107" s="16">
        <v>203.62</v>
      </c>
      <c r="H107" s="16">
        <v>166.9</v>
      </c>
      <c r="I107" s="16">
        <v>164.92</v>
      </c>
      <c r="J107" s="16">
        <v>108.07</v>
      </c>
      <c r="K107" s="15"/>
      <c r="L107" s="15"/>
      <c r="M107" s="15"/>
    </row>
    <row r="108" ht="15.0" customHeight="1">
      <c r="A108" s="14" t="s">
        <v>259</v>
      </c>
      <c r="B108" s="20">
        <v>4.37</v>
      </c>
      <c r="C108" s="20">
        <v>5.14</v>
      </c>
      <c r="D108" s="15">
        <v>0.0</v>
      </c>
      <c r="E108" s="20">
        <v>84.71</v>
      </c>
      <c r="F108" s="16">
        <v>2835.15</v>
      </c>
      <c r="G108" s="15">
        <v>0.0</v>
      </c>
      <c r="H108" s="16">
        <v>154.71</v>
      </c>
      <c r="I108" s="16">
        <v>149.31</v>
      </c>
      <c r="J108" s="15"/>
      <c r="K108" s="15"/>
      <c r="L108" s="15"/>
      <c r="M108" s="15"/>
    </row>
    <row r="109" ht="15.0" customHeight="1">
      <c r="A109" s="14" t="s">
        <v>260</v>
      </c>
      <c r="B109" s="16">
        <v>1542.88</v>
      </c>
      <c r="C109" s="16">
        <v>1764.21</v>
      </c>
      <c r="D109" s="16">
        <v>1727.61</v>
      </c>
      <c r="E109" s="16">
        <v>696.54</v>
      </c>
      <c r="F109" s="16">
        <v>858.34</v>
      </c>
      <c r="G109" s="16">
        <v>627.56</v>
      </c>
      <c r="H109" s="16">
        <v>445.39</v>
      </c>
      <c r="I109" s="15"/>
      <c r="J109" s="15"/>
      <c r="K109" s="15"/>
      <c r="L109" s="15"/>
      <c r="M109" s="15"/>
    </row>
    <row r="110" ht="15.0" customHeight="1">
      <c r="A110" s="14" t="s">
        <v>261</v>
      </c>
      <c r="B110" s="15"/>
      <c r="C110" s="15"/>
      <c r="D110" s="21">
        <v>-2.01</v>
      </c>
      <c r="E110" s="15"/>
      <c r="F110" s="21">
        <v>-0.97</v>
      </c>
      <c r="G110" s="15"/>
      <c r="H110" s="15"/>
      <c r="I110" s="15"/>
      <c r="J110" s="15"/>
      <c r="K110" s="15"/>
      <c r="L110" s="15"/>
      <c r="M110" s="15"/>
    </row>
    <row r="111" ht="15.0" customHeight="1">
      <c r="A111" s="17" t="s">
        <v>262</v>
      </c>
      <c r="B111" s="18">
        <v>17498.75</v>
      </c>
      <c r="C111" s="18">
        <v>19365.21</v>
      </c>
      <c r="D111" s="18">
        <v>21902.17</v>
      </c>
      <c r="E111" s="18">
        <v>18853.54</v>
      </c>
      <c r="F111" s="18">
        <v>23052.41</v>
      </c>
      <c r="G111" s="18">
        <v>16429.45</v>
      </c>
      <c r="H111" s="18">
        <v>14854.46</v>
      </c>
      <c r="I111" s="18">
        <v>13900.14</v>
      </c>
      <c r="J111" s="18">
        <v>12537.1</v>
      </c>
      <c r="K111" s="19">
        <v>5404.47</v>
      </c>
      <c r="L111" s="19">
        <v>5711.1</v>
      </c>
      <c r="M111" s="18">
        <v>10107.4</v>
      </c>
    </row>
    <row r="112" ht="15.0" customHeight="1">
      <c r="A112" s="14" t="s">
        <v>263</v>
      </c>
      <c r="B112" s="15"/>
      <c r="C112" s="15"/>
      <c r="D112" s="15"/>
      <c r="E112" s="15"/>
      <c r="F112" s="15"/>
      <c r="G112" s="15"/>
      <c r="H112" s="15">
        <v>0.0</v>
      </c>
      <c r="I112" s="15"/>
      <c r="J112" s="15"/>
      <c r="K112" s="15"/>
      <c r="L112" s="15"/>
      <c r="M112" s="15"/>
    </row>
    <row r="113" ht="15.0" customHeight="1">
      <c r="A113" s="14" t="s">
        <v>264</v>
      </c>
      <c r="B113" s="16">
        <v>3941.95</v>
      </c>
      <c r="C113" s="16">
        <v>2455.09</v>
      </c>
      <c r="D113" s="15">
        <v>0.0</v>
      </c>
      <c r="E113" s="16">
        <v>3142.88</v>
      </c>
      <c r="F113" s="15">
        <v>0.0</v>
      </c>
      <c r="G113" s="16">
        <v>1044.2</v>
      </c>
      <c r="H113" s="15"/>
      <c r="I113" s="16">
        <v>383.51</v>
      </c>
      <c r="J113" s="16">
        <v>733.47</v>
      </c>
      <c r="K113" s="16">
        <v>312.0</v>
      </c>
      <c r="L113" s="16">
        <v>483.51</v>
      </c>
      <c r="M113" s="20">
        <v>81.47</v>
      </c>
    </row>
    <row r="114" ht="15.0" customHeight="1">
      <c r="A114" s="14" t="s">
        <v>265</v>
      </c>
      <c r="B114" s="16">
        <v>2348.77</v>
      </c>
      <c r="C114" s="16">
        <v>2653.51</v>
      </c>
      <c r="D114" s="16">
        <v>2585.37</v>
      </c>
      <c r="E114" s="16">
        <v>2803.09</v>
      </c>
      <c r="F114" s="16">
        <v>3110.87</v>
      </c>
      <c r="G114" s="16">
        <v>2108.24</v>
      </c>
      <c r="H114" s="16">
        <v>1325.86</v>
      </c>
      <c r="I114" s="16">
        <v>1455.01</v>
      </c>
      <c r="J114" s="16">
        <v>1459.94</v>
      </c>
      <c r="K114" s="16">
        <v>971.08</v>
      </c>
      <c r="L114" s="16">
        <v>1046.56</v>
      </c>
      <c r="M114" s="16">
        <v>721.75</v>
      </c>
    </row>
    <row r="115" ht="15.0" customHeight="1">
      <c r="A115" s="14" t="s">
        <v>266</v>
      </c>
      <c r="B115" s="20">
        <v>50.3</v>
      </c>
      <c r="C115" s="20">
        <v>44.21</v>
      </c>
      <c r="D115" s="16">
        <v>161.08</v>
      </c>
      <c r="E115" s="16">
        <v>278.61</v>
      </c>
      <c r="F115" s="16">
        <v>464.73</v>
      </c>
      <c r="G115" s="16">
        <v>985.73</v>
      </c>
      <c r="H115" s="16">
        <v>438.83</v>
      </c>
      <c r="I115" s="16">
        <v>389.37</v>
      </c>
      <c r="J115" s="16">
        <v>371.24</v>
      </c>
      <c r="K115" s="16">
        <v>278.81</v>
      </c>
      <c r="L115" s="16">
        <v>216.64</v>
      </c>
      <c r="M115" s="16">
        <v>149.53</v>
      </c>
    </row>
    <row r="116" ht="15.0" customHeight="1">
      <c r="A116" s="14" t="s">
        <v>267</v>
      </c>
      <c r="B116" s="20">
        <v>20.78</v>
      </c>
      <c r="C116" s="20">
        <v>25.7</v>
      </c>
      <c r="D116" s="20">
        <v>37.25</v>
      </c>
      <c r="E116" s="20">
        <v>44.24</v>
      </c>
      <c r="F116" s="20">
        <v>49.69</v>
      </c>
      <c r="G116" s="20">
        <v>61.61</v>
      </c>
      <c r="H116" s="20">
        <v>18.75</v>
      </c>
      <c r="I116" s="20">
        <v>37.08</v>
      </c>
      <c r="J116" s="20">
        <v>23.01</v>
      </c>
      <c r="K116" s="20">
        <v>27.5</v>
      </c>
      <c r="L116" s="20">
        <v>14.65</v>
      </c>
      <c r="M116" s="20">
        <v>14.38</v>
      </c>
    </row>
    <row r="117" ht="15.0" customHeight="1">
      <c r="A117" s="14" t="s">
        <v>268</v>
      </c>
      <c r="B117" s="16">
        <v>437.39</v>
      </c>
      <c r="C117" s="16">
        <v>455.45</v>
      </c>
      <c r="D117" s="16">
        <v>390.62</v>
      </c>
      <c r="E117" s="16">
        <v>330.38</v>
      </c>
      <c r="F117" s="16">
        <v>227.01</v>
      </c>
      <c r="G117" s="16">
        <v>145.14</v>
      </c>
      <c r="H117" s="16">
        <v>152.84</v>
      </c>
      <c r="I117" s="15"/>
      <c r="J117" s="15"/>
      <c r="K117" s="15"/>
      <c r="L117" s="15"/>
      <c r="M117" s="15"/>
    </row>
    <row r="118" ht="15.0" customHeight="1">
      <c r="A118" s="14" t="s">
        <v>269</v>
      </c>
      <c r="B118" s="15">
        <v>0.0</v>
      </c>
      <c r="C118" s="20">
        <v>13.37</v>
      </c>
      <c r="D118" s="16">
        <v>134.91</v>
      </c>
      <c r="E118" s="16">
        <v>104.48</v>
      </c>
      <c r="F118" s="20">
        <v>12.67</v>
      </c>
      <c r="G118" s="16">
        <v>146.19</v>
      </c>
      <c r="H118" s="20">
        <v>30.01</v>
      </c>
      <c r="I118" s="16">
        <v>105.39</v>
      </c>
      <c r="J118" s="20">
        <v>45.03</v>
      </c>
      <c r="K118" s="20">
        <v>49.31</v>
      </c>
      <c r="L118" s="20">
        <v>40.82</v>
      </c>
      <c r="M118" s="20">
        <v>21.09</v>
      </c>
    </row>
    <row r="119" ht="15.0" customHeight="1">
      <c r="A119" s="14" t="s">
        <v>270</v>
      </c>
      <c r="B119" s="16">
        <v>462.54</v>
      </c>
      <c r="C119" s="16">
        <v>751.54</v>
      </c>
      <c r="D119" s="16">
        <v>414.79</v>
      </c>
      <c r="E119" s="16">
        <v>559.11</v>
      </c>
      <c r="F119" s="16">
        <v>323.46</v>
      </c>
      <c r="G119" s="16">
        <v>275.67</v>
      </c>
      <c r="H119" s="16">
        <v>249.42</v>
      </c>
      <c r="I119" s="16">
        <v>287.88</v>
      </c>
      <c r="J119" s="16">
        <v>289.19</v>
      </c>
      <c r="K119" s="16">
        <v>186.82</v>
      </c>
      <c r="L119" s="16">
        <v>254.31</v>
      </c>
      <c r="M119" s="16">
        <v>184.03</v>
      </c>
    </row>
    <row r="120" ht="15.0" customHeight="1">
      <c r="A120" s="14" t="s">
        <v>271</v>
      </c>
      <c r="B120" s="16">
        <v>1070.5</v>
      </c>
      <c r="C120" s="16">
        <v>976.69</v>
      </c>
      <c r="D120" s="16">
        <v>1274.56</v>
      </c>
      <c r="E120" s="16">
        <v>1806.29</v>
      </c>
      <c r="F120" s="16">
        <v>188.04</v>
      </c>
      <c r="G120" s="16">
        <v>218.24</v>
      </c>
      <c r="H120" s="16">
        <v>193.16</v>
      </c>
      <c r="I120" s="16">
        <v>198.1</v>
      </c>
      <c r="J120" s="16">
        <v>264.17</v>
      </c>
      <c r="K120" s="16">
        <v>127.07</v>
      </c>
      <c r="L120" s="16">
        <v>182.1</v>
      </c>
      <c r="M120" s="16">
        <v>141.86</v>
      </c>
    </row>
    <row r="121" ht="15.0" customHeight="1">
      <c r="A121" s="14" t="s">
        <v>272</v>
      </c>
      <c r="B121" s="16">
        <v>1376.67</v>
      </c>
      <c r="C121" s="16">
        <v>1384.84</v>
      </c>
      <c r="D121" s="16">
        <v>1416.52</v>
      </c>
      <c r="E121" s="16">
        <v>1290.47</v>
      </c>
      <c r="F121" s="16">
        <v>1392.24</v>
      </c>
      <c r="G121" s="16">
        <v>946.05</v>
      </c>
      <c r="H121" s="16">
        <v>850.46</v>
      </c>
      <c r="I121" s="16">
        <v>889.01</v>
      </c>
      <c r="J121" s="16">
        <v>778.5</v>
      </c>
      <c r="K121" s="16">
        <v>543.39</v>
      </c>
      <c r="L121" s="16">
        <v>502.35</v>
      </c>
      <c r="M121" s="16">
        <v>665.2</v>
      </c>
    </row>
    <row r="122" ht="15.0" customHeight="1">
      <c r="A122" s="14" t="s">
        <v>273</v>
      </c>
      <c r="B122" s="15"/>
      <c r="C122" s="16">
        <v>232.35</v>
      </c>
      <c r="D122" s="16">
        <v>250.68</v>
      </c>
      <c r="E122" s="16">
        <v>219.31</v>
      </c>
      <c r="F122" s="16">
        <v>139.32</v>
      </c>
      <c r="G122" s="16">
        <v>142.01</v>
      </c>
      <c r="H122" s="16">
        <v>155.65</v>
      </c>
      <c r="I122" s="20">
        <v>81.97</v>
      </c>
      <c r="J122" s="20">
        <v>55.04</v>
      </c>
      <c r="K122" s="15"/>
      <c r="L122" s="15"/>
      <c r="M122" s="15"/>
    </row>
    <row r="123" ht="15.0" customHeight="1">
      <c r="A123" s="14" t="s">
        <v>274</v>
      </c>
      <c r="B123" s="15"/>
      <c r="C123" s="16">
        <v>293.01</v>
      </c>
      <c r="D123" s="16">
        <v>274.85</v>
      </c>
      <c r="E123" s="16">
        <v>334.15</v>
      </c>
      <c r="F123" s="16">
        <v>373.15</v>
      </c>
      <c r="G123" s="16">
        <v>201.53</v>
      </c>
      <c r="H123" s="20">
        <v>92.83</v>
      </c>
      <c r="I123" s="20">
        <v>81.0</v>
      </c>
      <c r="J123" s="20">
        <v>80.05</v>
      </c>
      <c r="K123" s="15"/>
      <c r="L123" s="15"/>
      <c r="M123" s="15"/>
    </row>
    <row r="124" ht="15.0" customHeight="1">
      <c r="A124" s="14" t="s">
        <v>275</v>
      </c>
      <c r="B124" s="15"/>
      <c r="C124" s="16">
        <v>477.04</v>
      </c>
      <c r="D124" s="16">
        <v>501.37</v>
      </c>
      <c r="E124" s="16">
        <v>398.16</v>
      </c>
      <c r="F124" s="16">
        <v>447.19</v>
      </c>
      <c r="G124" s="16">
        <v>314.3</v>
      </c>
      <c r="H124" s="16">
        <v>301.93</v>
      </c>
      <c r="I124" s="16">
        <v>316.18</v>
      </c>
      <c r="J124" s="16">
        <v>309.2</v>
      </c>
      <c r="K124" s="15"/>
      <c r="L124" s="15"/>
      <c r="M124" s="15"/>
    </row>
    <row r="125" ht="15.0" customHeight="1">
      <c r="A125" s="14" t="s">
        <v>276</v>
      </c>
      <c r="B125" s="15"/>
      <c r="C125" s="16">
        <v>382.45</v>
      </c>
      <c r="D125" s="16">
        <v>389.62</v>
      </c>
      <c r="E125" s="16">
        <v>338.86</v>
      </c>
      <c r="F125" s="16">
        <v>432.58</v>
      </c>
      <c r="G125" s="16">
        <v>288.2</v>
      </c>
      <c r="H125" s="16">
        <v>300.05</v>
      </c>
      <c r="I125" s="16">
        <v>409.86</v>
      </c>
      <c r="J125" s="16">
        <v>334.22</v>
      </c>
      <c r="K125" s="15"/>
      <c r="L125" s="15"/>
      <c r="M125" s="15"/>
    </row>
    <row r="126" ht="15.0" customHeight="1">
      <c r="A126" s="14" t="s">
        <v>277</v>
      </c>
      <c r="B126" s="15"/>
      <c r="C126" s="21">
        <v>-1.03</v>
      </c>
      <c r="D126" s="15"/>
      <c r="E126" s="20">
        <v>0.94</v>
      </c>
      <c r="F126" s="15"/>
      <c r="G126" s="15"/>
      <c r="H126" s="15"/>
      <c r="I126" s="15"/>
      <c r="J126" s="15"/>
      <c r="K126" s="15"/>
      <c r="L126" s="15"/>
      <c r="M126" s="15"/>
    </row>
    <row r="127" ht="15.0" customHeight="1">
      <c r="A127" s="17" t="s">
        <v>278</v>
      </c>
      <c r="B127" s="19">
        <v>9708.89</v>
      </c>
      <c r="C127" s="19">
        <v>8759.37</v>
      </c>
      <c r="D127" s="19">
        <v>6415.1</v>
      </c>
      <c r="E127" s="18">
        <v>10360.51</v>
      </c>
      <c r="F127" s="19">
        <v>5768.7</v>
      </c>
      <c r="G127" s="19">
        <v>5931.06</v>
      </c>
      <c r="H127" s="19">
        <v>3259.32</v>
      </c>
      <c r="I127" s="19">
        <v>3745.35</v>
      </c>
      <c r="J127" s="19">
        <v>3964.56</v>
      </c>
      <c r="K127" s="19">
        <v>2495.97</v>
      </c>
      <c r="L127" s="19">
        <v>2740.95</v>
      </c>
      <c r="M127" s="19">
        <v>1979.31</v>
      </c>
    </row>
    <row r="128" ht="15.0" customHeight="1">
      <c r="A128" s="14" t="s">
        <v>279</v>
      </c>
      <c r="B128" s="20">
        <v>1.09</v>
      </c>
      <c r="C128" s="15"/>
      <c r="D128" s="20">
        <v>1.01</v>
      </c>
      <c r="E128" s="15"/>
      <c r="F128" s="20">
        <v>0.97</v>
      </c>
      <c r="G128" s="15"/>
      <c r="H128" s="15"/>
      <c r="I128" s="15"/>
      <c r="J128" s="15"/>
      <c r="K128" s="15"/>
      <c r="L128" s="15"/>
      <c r="M128" s="15"/>
    </row>
    <row r="129" ht="15.0" customHeight="1">
      <c r="A129" s="17" t="s">
        <v>280</v>
      </c>
      <c r="B129" s="18">
        <v>27208.73</v>
      </c>
      <c r="C129" s="18">
        <v>28124.58</v>
      </c>
      <c r="D129" s="18">
        <v>28318.28</v>
      </c>
      <c r="E129" s="18">
        <v>29214.05</v>
      </c>
      <c r="F129" s="18">
        <v>28822.09</v>
      </c>
      <c r="G129" s="18">
        <v>22360.51</v>
      </c>
      <c r="H129" s="18">
        <v>18113.77</v>
      </c>
      <c r="I129" s="18">
        <v>17645.49</v>
      </c>
      <c r="J129" s="18">
        <v>16501.66</v>
      </c>
      <c r="K129" s="19">
        <v>7900.44</v>
      </c>
      <c r="L129" s="19">
        <v>8452.05</v>
      </c>
      <c r="M129" s="18">
        <v>12086.71</v>
      </c>
    </row>
    <row r="130" ht="15.0" customHeight="1">
      <c r="A130" s="14" t="s">
        <v>281</v>
      </c>
      <c r="B130" s="15"/>
      <c r="C130" s="20">
        <v>1.03</v>
      </c>
      <c r="D130" s="21">
        <v>-1.01</v>
      </c>
      <c r="E130" s="21">
        <v>-0.94</v>
      </c>
      <c r="F130" s="15"/>
      <c r="G130" s="15"/>
      <c r="H130" s="15"/>
      <c r="I130" s="15"/>
      <c r="J130" s="15"/>
      <c r="K130" s="15"/>
      <c r="L130" s="15"/>
      <c r="M130" s="15"/>
    </row>
    <row r="131" ht="15.0" customHeight="1">
      <c r="A131" s="17" t="s">
        <v>282</v>
      </c>
      <c r="B131" s="18">
        <v>50097.18</v>
      </c>
      <c r="C131" s="18">
        <v>54306.07</v>
      </c>
      <c r="D131" s="18">
        <v>54485.1</v>
      </c>
      <c r="E131" s="18">
        <v>54076.63</v>
      </c>
      <c r="F131" s="18">
        <v>50691.72</v>
      </c>
      <c r="G131" s="18">
        <v>39277.61</v>
      </c>
      <c r="H131" s="18">
        <v>34394.41</v>
      </c>
      <c r="I131" s="18">
        <v>33287.55</v>
      </c>
      <c r="J131" s="18">
        <v>31025.04</v>
      </c>
      <c r="K131" s="18">
        <v>21155.09</v>
      </c>
      <c r="L131" s="18">
        <v>20888.36</v>
      </c>
      <c r="M131" s="18">
        <v>18277.67</v>
      </c>
    </row>
    <row r="132" ht="15.0" customHeight="1">
      <c r="A132" s="14" t="s">
        <v>283</v>
      </c>
      <c r="B132" s="15">
        <v>0.0</v>
      </c>
      <c r="C132" s="15">
        <v>0.0</v>
      </c>
      <c r="D132" s="15">
        <v>0.0</v>
      </c>
      <c r="E132" s="15">
        <v>0.0</v>
      </c>
      <c r="F132" s="15">
        <v>0.0</v>
      </c>
      <c r="G132" s="15">
        <v>0.0</v>
      </c>
      <c r="H132" s="15">
        <v>0.0</v>
      </c>
      <c r="I132" s="15">
        <v>0.0</v>
      </c>
      <c r="J132" s="15">
        <v>0.0</v>
      </c>
      <c r="K132" s="15">
        <v>0.0</v>
      </c>
      <c r="L132" s="15">
        <v>0.0</v>
      </c>
      <c r="M132" s="15">
        <v>0.0</v>
      </c>
    </row>
    <row r="133" ht="15.0" customHeight="1">
      <c r="A133" s="14" t="s">
        <v>284</v>
      </c>
      <c r="B133" s="16">
        <v>319.5</v>
      </c>
      <c r="C133" s="16">
        <v>319.5</v>
      </c>
      <c r="D133" s="16">
        <v>319.5</v>
      </c>
      <c r="E133" s="16">
        <v>319.5</v>
      </c>
      <c r="F133" s="16">
        <v>319.5</v>
      </c>
      <c r="G133" s="16">
        <v>295.83</v>
      </c>
      <c r="H133" s="16">
        <v>295.83</v>
      </c>
      <c r="I133" s="16">
        <v>295.83</v>
      </c>
      <c r="J133" s="16">
        <v>295.83</v>
      </c>
      <c r="K133" s="16">
        <v>295.83</v>
      </c>
      <c r="L133" s="16">
        <v>295.83</v>
      </c>
      <c r="M133" s="16">
        <v>295.83</v>
      </c>
    </row>
    <row r="134" ht="15.0" customHeight="1">
      <c r="A134" s="14" t="s">
        <v>285</v>
      </c>
      <c r="B134" s="16">
        <v>319.5</v>
      </c>
      <c r="C134" s="16">
        <v>319.5</v>
      </c>
      <c r="D134" s="16">
        <v>319.5</v>
      </c>
      <c r="E134" s="16">
        <v>319.5</v>
      </c>
      <c r="F134" s="16">
        <v>319.5</v>
      </c>
      <c r="G134" s="16">
        <v>295.83</v>
      </c>
      <c r="H134" s="16">
        <v>295.83</v>
      </c>
      <c r="I134" s="16">
        <v>295.83</v>
      </c>
      <c r="J134" s="16">
        <v>295.83</v>
      </c>
      <c r="K134" s="16">
        <v>295.83</v>
      </c>
      <c r="L134" s="16">
        <v>295.83</v>
      </c>
      <c r="M134" s="16">
        <v>295.83</v>
      </c>
    </row>
    <row r="135" ht="15.0" customHeight="1">
      <c r="A135" s="14" t="s">
        <v>286</v>
      </c>
      <c r="B135" s="15"/>
      <c r="C135" s="16">
        <v>2916.71</v>
      </c>
      <c r="D135" s="15"/>
      <c r="E135" s="15"/>
      <c r="F135" s="15"/>
      <c r="G135" s="15"/>
      <c r="H135" s="15"/>
      <c r="I135" s="15"/>
      <c r="J135" s="15"/>
      <c r="K135" s="15"/>
      <c r="L135" s="15"/>
      <c r="M135" s="15"/>
    </row>
    <row r="136" ht="15.0" customHeight="1">
      <c r="A136" s="14" t="s">
        <v>287</v>
      </c>
      <c r="B136" s="15"/>
      <c r="C136" s="16">
        <v>461.61</v>
      </c>
      <c r="D136" s="16">
        <v>384.58</v>
      </c>
      <c r="E136" s="16">
        <v>288.03</v>
      </c>
      <c r="F136" s="15"/>
      <c r="G136" s="15"/>
      <c r="H136" s="15"/>
      <c r="I136" s="15"/>
      <c r="J136" s="15"/>
      <c r="K136" s="15"/>
      <c r="L136" s="15"/>
      <c r="M136" s="15"/>
    </row>
    <row r="137" ht="15.0" customHeight="1">
      <c r="A137" s="14" t="s">
        <v>288</v>
      </c>
      <c r="B137" s="15"/>
      <c r="C137" s="16">
        <v>390.68</v>
      </c>
      <c r="D137" s="16">
        <v>330.22</v>
      </c>
      <c r="E137" s="16">
        <v>215.55</v>
      </c>
      <c r="F137" s="15"/>
      <c r="G137" s="15"/>
      <c r="H137" s="15"/>
      <c r="I137" s="15"/>
      <c r="J137" s="15"/>
      <c r="K137" s="15"/>
      <c r="L137" s="15"/>
      <c r="M137" s="15"/>
    </row>
    <row r="138" ht="15.0" customHeight="1">
      <c r="A138" s="14" t="s">
        <v>289</v>
      </c>
      <c r="B138" s="15"/>
      <c r="C138" s="16">
        <v>314.6</v>
      </c>
      <c r="D138" s="16">
        <v>282.9</v>
      </c>
      <c r="E138" s="16">
        <v>134.6</v>
      </c>
      <c r="F138" s="15"/>
      <c r="G138" s="15"/>
      <c r="H138" s="15"/>
      <c r="I138" s="15"/>
      <c r="J138" s="15"/>
      <c r="K138" s="15"/>
      <c r="L138" s="15"/>
      <c r="M138" s="15"/>
    </row>
    <row r="139" ht="15.0" customHeight="1">
      <c r="A139" s="14" t="s">
        <v>290</v>
      </c>
      <c r="B139" s="15"/>
      <c r="C139" s="16">
        <v>246.74</v>
      </c>
      <c r="D139" s="16">
        <v>221.49</v>
      </c>
      <c r="E139" s="20">
        <v>94.13</v>
      </c>
      <c r="F139" s="15"/>
      <c r="G139" s="15"/>
      <c r="H139" s="15"/>
      <c r="I139" s="15"/>
      <c r="J139" s="15"/>
      <c r="K139" s="15"/>
      <c r="L139" s="15"/>
      <c r="M139" s="15"/>
    </row>
    <row r="140" ht="15.0" customHeight="1">
      <c r="A140" s="14" t="s">
        <v>291</v>
      </c>
      <c r="B140" s="15"/>
      <c r="C140" s="16">
        <v>1503.08</v>
      </c>
      <c r="D140" s="16">
        <v>1599.75</v>
      </c>
      <c r="E140" s="16">
        <v>112.95</v>
      </c>
      <c r="F140" s="15"/>
      <c r="G140" s="15"/>
      <c r="H140" s="15"/>
      <c r="I140" s="15"/>
      <c r="J140" s="15"/>
      <c r="K140" s="15"/>
      <c r="L140" s="15"/>
      <c r="M140" s="15"/>
    </row>
    <row r="141" ht="15.0" customHeight="1">
      <c r="A141" s="14" t="s">
        <v>292</v>
      </c>
      <c r="B141" s="15"/>
      <c r="C141" s="16">
        <v>4331.37</v>
      </c>
      <c r="D141" s="16">
        <v>2170.58</v>
      </c>
      <c r="E141" s="16">
        <v>2042.55</v>
      </c>
      <c r="F141" s="15"/>
      <c r="G141" s="15"/>
      <c r="H141" s="15"/>
      <c r="I141" s="15"/>
      <c r="J141" s="15"/>
      <c r="K141" s="15"/>
      <c r="L141" s="15"/>
      <c r="M141" s="15"/>
    </row>
    <row r="142" ht="15.0" customHeight="1">
      <c r="A142" s="14" t="s">
        <v>293</v>
      </c>
      <c r="B142" s="16">
        <v>319.5</v>
      </c>
      <c r="C142" s="16">
        <v>319.5</v>
      </c>
      <c r="D142" s="16">
        <v>319.5</v>
      </c>
      <c r="E142" s="16">
        <v>319.5</v>
      </c>
      <c r="F142" s="16">
        <v>319.5</v>
      </c>
      <c r="G142" s="16">
        <v>295.83</v>
      </c>
      <c r="H142" s="16">
        <v>295.83</v>
      </c>
      <c r="I142" s="16">
        <v>295.83</v>
      </c>
      <c r="J142" s="16">
        <v>295.83</v>
      </c>
      <c r="K142" s="16">
        <v>295.83</v>
      </c>
      <c r="L142" s="16">
        <v>295.83</v>
      </c>
      <c r="M142" s="16">
        <v>295.83</v>
      </c>
    </row>
    <row r="143" ht="15.0" customHeight="1">
      <c r="A143" s="14" t="s">
        <v>294</v>
      </c>
      <c r="B143" s="15">
        <v>0.0</v>
      </c>
      <c r="C143" s="15">
        <v>0.0</v>
      </c>
      <c r="D143" s="15">
        <v>0.0</v>
      </c>
      <c r="E143" s="15">
        <v>0.0</v>
      </c>
      <c r="F143" s="15">
        <v>0.0</v>
      </c>
      <c r="G143" s="15">
        <v>0.0</v>
      </c>
      <c r="H143" s="15">
        <v>0.0</v>
      </c>
      <c r="I143" s="15">
        <v>0.0</v>
      </c>
      <c r="J143" s="15">
        <v>0.0</v>
      </c>
      <c r="K143" s="15">
        <v>0.0</v>
      </c>
      <c r="L143" s="15">
        <v>0.0</v>
      </c>
      <c r="M143" s="15">
        <v>0.0</v>
      </c>
    </row>
    <row r="144" ht="15.0" customHeight="1">
      <c r="A144" s="14" t="s">
        <v>295</v>
      </c>
      <c r="B144" s="16">
        <v>319.5</v>
      </c>
      <c r="C144" s="16">
        <v>319.5</v>
      </c>
      <c r="D144" s="16">
        <v>319.5</v>
      </c>
      <c r="E144" s="16">
        <v>319.5</v>
      </c>
      <c r="F144" s="16">
        <v>319.5</v>
      </c>
      <c r="G144" s="16">
        <v>295.83</v>
      </c>
      <c r="H144" s="16">
        <v>295.83</v>
      </c>
      <c r="I144" s="16">
        <v>295.83</v>
      </c>
      <c r="J144" s="16">
        <v>295.83</v>
      </c>
      <c r="K144" s="16">
        <v>295.83</v>
      </c>
      <c r="L144" s="16">
        <v>295.83</v>
      </c>
      <c r="M144" s="16">
        <v>295.83</v>
      </c>
    </row>
    <row r="145" ht="15.0" customHeight="1">
      <c r="A145" s="14" t="s">
        <v>296</v>
      </c>
      <c r="B145" s="20">
        <v>1.0</v>
      </c>
      <c r="C145" s="20">
        <v>1.0</v>
      </c>
      <c r="D145" s="20">
        <v>1.0</v>
      </c>
      <c r="E145" s="20">
        <v>1.0</v>
      </c>
      <c r="F145" s="20">
        <v>1.0</v>
      </c>
      <c r="G145" s="20">
        <v>1.0</v>
      </c>
      <c r="H145" s="20">
        <v>1.0</v>
      </c>
      <c r="I145" s="20">
        <v>1.0</v>
      </c>
      <c r="J145" s="20">
        <v>1.0</v>
      </c>
      <c r="K145" s="20">
        <v>1.0</v>
      </c>
      <c r="L145" s="20">
        <v>1.0</v>
      </c>
      <c r="M145" s="20">
        <v>1.0</v>
      </c>
    </row>
    <row r="146" ht="15.0" customHeight="1">
      <c r="A146" s="14" t="s">
        <v>297</v>
      </c>
      <c r="B146" s="15"/>
      <c r="C146" s="15"/>
      <c r="D146" s="15"/>
      <c r="E146" s="15"/>
      <c r="F146" s="15"/>
      <c r="G146" s="15"/>
      <c r="H146" s="15"/>
      <c r="I146" s="16">
        <v>164.92</v>
      </c>
      <c r="J146" s="16">
        <v>145.09</v>
      </c>
      <c r="K146" s="16">
        <v>143.2</v>
      </c>
      <c r="L146" s="16">
        <v>129.77</v>
      </c>
      <c r="M146" s="20">
        <v>86.27</v>
      </c>
    </row>
    <row r="147" ht="15.0" customHeight="1">
      <c r="A147" s="14" t="s">
        <v>298</v>
      </c>
      <c r="B147" s="15"/>
      <c r="C147" s="15"/>
      <c r="D147" s="15"/>
      <c r="E147" s="15"/>
      <c r="F147" s="15"/>
      <c r="G147" s="15"/>
      <c r="H147" s="15"/>
      <c r="I147" s="16">
        <v>484.03</v>
      </c>
      <c r="J147" s="16">
        <v>486.31</v>
      </c>
      <c r="K147" s="16">
        <v>266.48</v>
      </c>
      <c r="L147" s="16">
        <v>241.76</v>
      </c>
      <c r="M147" s="16">
        <v>120.77</v>
      </c>
    </row>
    <row r="148" ht="15.0" customHeight="1">
      <c r="A148" s="14" t="s">
        <v>299</v>
      </c>
      <c r="B148" s="15"/>
      <c r="C148" s="15"/>
      <c r="D148" s="15"/>
      <c r="E148" s="15"/>
      <c r="F148" s="15"/>
      <c r="G148" s="15"/>
      <c r="H148" s="15"/>
      <c r="I148" s="20">
        <v>32.2</v>
      </c>
      <c r="J148" s="20">
        <v>56.04</v>
      </c>
      <c r="K148" s="20">
        <v>26.55</v>
      </c>
      <c r="L148" s="20">
        <v>28.26</v>
      </c>
      <c r="M148" s="20">
        <v>16.29</v>
      </c>
    </row>
    <row r="149" ht="15.0" customHeight="1">
      <c r="A149" s="14" t="s">
        <v>300</v>
      </c>
      <c r="B149" s="15"/>
      <c r="C149" s="15"/>
      <c r="D149" s="15"/>
      <c r="E149" s="15"/>
      <c r="F149" s="15"/>
      <c r="G149" s="15"/>
      <c r="H149" s="15"/>
      <c r="I149" s="16">
        <v>681.15</v>
      </c>
      <c r="J149" s="16">
        <v>687.44</v>
      </c>
      <c r="K149" s="16">
        <v>436.23</v>
      </c>
      <c r="L149" s="16">
        <v>399.79</v>
      </c>
      <c r="M149" s="16">
        <v>223.33</v>
      </c>
    </row>
    <row r="150" ht="15.0" customHeight="1">
      <c r="A150" s="14" t="s">
        <v>301</v>
      </c>
      <c r="B150" s="15"/>
      <c r="C150" s="15">
        <v>19264.0</v>
      </c>
      <c r="D150" s="15">
        <v>20371.0</v>
      </c>
      <c r="E150" s="15">
        <v>26334.0</v>
      </c>
      <c r="F150" s="15">
        <v>19952.0</v>
      </c>
      <c r="G150" s="15">
        <v>11927.0</v>
      </c>
      <c r="H150" s="15">
        <v>10322.0</v>
      </c>
      <c r="I150" s="15"/>
      <c r="J150" s="15"/>
      <c r="K150" s="15"/>
      <c r="L150" s="15"/>
      <c r="M150" s="15"/>
    </row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3" width="15.71"/>
    <col customWidth="1" min="14" max="26" width="8.71"/>
  </cols>
  <sheetData>
    <row r="1" ht="15.0" customHeight="1">
      <c r="A1" s="1" t="s">
        <v>302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46092.4361723032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</row>
    <row r="12" ht="15.0" customHeight="1" outlineLevel="1">
      <c r="A12" s="8" t="s">
        <v>30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</row>
    <row r="13" ht="15.0" customHeight="1" outlineLevel="1">
      <c r="A13" s="8" t="s">
        <v>31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</row>
    <row r="14" ht="15.0" customHeight="1" outlineLevel="1">
      <c r="A14" s="8" t="s">
        <v>32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</row>
    <row r="15" ht="15.0" customHeight="1" outlineLevel="1">
      <c r="A15" s="8" t="s">
        <v>34</v>
      </c>
      <c r="B15" s="10" t="s">
        <v>303</v>
      </c>
      <c r="C15" s="10" t="s">
        <v>303</v>
      </c>
      <c r="D15" s="10" t="s">
        <v>303</v>
      </c>
      <c r="E15" s="10" t="s">
        <v>303</v>
      </c>
      <c r="F15" s="10" t="s">
        <v>303</v>
      </c>
      <c r="G15" s="10" t="s">
        <v>303</v>
      </c>
      <c r="H15" s="10" t="s">
        <v>303</v>
      </c>
      <c r="I15" s="10" t="s">
        <v>303</v>
      </c>
      <c r="J15" s="10" t="s">
        <v>303</v>
      </c>
      <c r="K15" s="10" t="s">
        <v>303</v>
      </c>
      <c r="L15" s="10" t="s">
        <v>303</v>
      </c>
      <c r="M15" s="10" t="s">
        <v>303</v>
      </c>
    </row>
    <row r="16" ht="15.0" customHeight="1" outlineLevel="1">
      <c r="A16" s="8" t="s">
        <v>36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</row>
    <row r="18">
      <c r="A18" s="12" t="s">
        <v>304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>
      <c r="A19" s="12" t="s">
        <v>38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  <c r="L19" s="13" t="s">
        <v>49</v>
      </c>
      <c r="M19" s="13" t="s">
        <v>50</v>
      </c>
    </row>
    <row r="20" ht="15.0" customHeight="1">
      <c r="A20" s="14" t="s">
        <v>94</v>
      </c>
      <c r="B20" s="16">
        <v>1800.58</v>
      </c>
      <c r="C20" s="22">
        <v>-1142.09</v>
      </c>
      <c r="D20" s="16">
        <v>2669.33</v>
      </c>
      <c r="E20" s="16">
        <v>2649.95</v>
      </c>
      <c r="F20" s="16">
        <v>2861.3</v>
      </c>
      <c r="G20" s="16">
        <v>1924.15</v>
      </c>
      <c r="H20" s="16">
        <v>2175.7</v>
      </c>
      <c r="I20" s="16">
        <v>2422.64</v>
      </c>
      <c r="J20" s="16">
        <v>1846.64</v>
      </c>
      <c r="K20" s="16">
        <v>1544.62</v>
      </c>
      <c r="L20" s="16">
        <v>1372.97</v>
      </c>
      <c r="M20" s="16">
        <v>860.71</v>
      </c>
    </row>
    <row r="21" ht="15.0" customHeight="1">
      <c r="A21" s="14" t="s">
        <v>305</v>
      </c>
      <c r="B21" s="16">
        <v>1387.5</v>
      </c>
      <c r="C21" s="16">
        <v>3569.66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</row>
    <row r="22" ht="15.0" customHeight="1">
      <c r="A22" s="14" t="s">
        <v>306</v>
      </c>
      <c r="B22" s="15"/>
      <c r="C22" s="15"/>
      <c r="D22" s="16">
        <v>1517.8</v>
      </c>
      <c r="E22" s="16">
        <v>1403.36</v>
      </c>
      <c r="F22" s="16">
        <v>922.03</v>
      </c>
      <c r="G22" s="16">
        <v>807.53</v>
      </c>
      <c r="H22" s="16">
        <v>760.29</v>
      </c>
      <c r="I22" s="16">
        <v>492.58</v>
      </c>
      <c r="J22" s="16">
        <v>310.84</v>
      </c>
      <c r="K22" s="16">
        <v>292.62</v>
      </c>
      <c r="L22" s="16">
        <v>278.23</v>
      </c>
      <c r="M22" s="16">
        <v>189.23</v>
      </c>
    </row>
    <row r="23" ht="15.0" customHeight="1">
      <c r="A23" s="14" t="s">
        <v>82</v>
      </c>
      <c r="B23" s="15"/>
      <c r="C23" s="16">
        <v>1164.46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</row>
    <row r="24" ht="15.0" customHeight="1">
      <c r="A24" s="14" t="s">
        <v>307</v>
      </c>
      <c r="B24" s="15"/>
      <c r="C24" s="15"/>
      <c r="D24" s="15"/>
      <c r="E24" s="15"/>
      <c r="F24" s="15"/>
      <c r="G24" s="15"/>
      <c r="H24" s="15"/>
      <c r="I24" s="15"/>
      <c r="J24" s="15"/>
      <c r="K24" s="15">
        <v>0.0</v>
      </c>
      <c r="L24" s="21">
        <v>-79.36</v>
      </c>
      <c r="M24" s="15">
        <v>0.0</v>
      </c>
    </row>
    <row r="25" ht="15.0" customHeight="1">
      <c r="A25" s="14" t="s">
        <v>308</v>
      </c>
      <c r="B25" s="22">
        <v>-413.07</v>
      </c>
      <c r="C25" s="21">
        <v>-57.97</v>
      </c>
      <c r="D25" s="20">
        <v>62.7</v>
      </c>
      <c r="E25" s="16">
        <v>400.01</v>
      </c>
      <c r="F25" s="22">
        <v>-204.45</v>
      </c>
      <c r="G25" s="22">
        <v>-312.16</v>
      </c>
      <c r="H25" s="21">
        <v>-26.99</v>
      </c>
      <c r="I25" s="16">
        <v>114.25</v>
      </c>
      <c r="J25" s="21">
        <v>-95.87</v>
      </c>
      <c r="K25" s="20">
        <v>66.77</v>
      </c>
      <c r="L25" s="20">
        <v>16.25</v>
      </c>
      <c r="M25" s="20">
        <v>43.17</v>
      </c>
    </row>
    <row r="26" ht="15.0" customHeight="1">
      <c r="A26" s="14" t="s">
        <v>309</v>
      </c>
      <c r="B26" s="15"/>
      <c r="C26" s="15"/>
      <c r="D26" s="15"/>
      <c r="E26" s="15"/>
      <c r="F26" s="15"/>
      <c r="G26" s="15"/>
      <c r="H26" s="15"/>
      <c r="I26" s="15">
        <v>0.0</v>
      </c>
      <c r="J26" s="22">
        <v>-160.75</v>
      </c>
      <c r="K26" s="15"/>
      <c r="L26" s="15"/>
      <c r="M26" s="15"/>
    </row>
    <row r="27" ht="15.0" customHeight="1">
      <c r="A27" s="14" t="s">
        <v>310</v>
      </c>
      <c r="B27" s="15"/>
      <c r="C27" s="15"/>
      <c r="D27" s="15"/>
      <c r="E27" s="15"/>
      <c r="F27" s="15"/>
      <c r="G27" s="15"/>
      <c r="H27" s="15"/>
      <c r="I27" s="16">
        <v>114.25</v>
      </c>
      <c r="J27" s="20">
        <v>64.88</v>
      </c>
      <c r="K27" s="15"/>
      <c r="L27" s="15"/>
      <c r="M27" s="15"/>
    </row>
    <row r="28" ht="15.0" customHeight="1">
      <c r="A28" s="14" t="s">
        <v>311</v>
      </c>
      <c r="B28" s="15"/>
      <c r="C28" s="16">
        <v>158.65</v>
      </c>
      <c r="D28" s="21">
        <v>-75.64</v>
      </c>
      <c r="E28" s="15"/>
      <c r="F28" s="15"/>
      <c r="G28" s="15"/>
      <c r="H28" s="15"/>
      <c r="I28" s="15"/>
      <c r="J28" s="15"/>
      <c r="K28" s="15"/>
      <c r="L28" s="15"/>
      <c r="M28" s="15"/>
    </row>
    <row r="29" ht="15.0" customHeight="1">
      <c r="A29" s="14" t="s">
        <v>312</v>
      </c>
      <c r="B29" s="16">
        <v>858.98</v>
      </c>
      <c r="C29" s="16">
        <v>857.33</v>
      </c>
      <c r="D29" s="16">
        <v>1817.37</v>
      </c>
      <c r="E29" s="22">
        <v>-1184.83</v>
      </c>
      <c r="F29" s="22">
        <v>-2280.02</v>
      </c>
      <c r="G29" s="22">
        <v>-496.39</v>
      </c>
      <c r="H29" s="16">
        <v>902.67</v>
      </c>
      <c r="I29" s="21">
        <v>-38.4</v>
      </c>
      <c r="J29" s="22">
        <v>-349.57</v>
      </c>
      <c r="K29" s="22">
        <v>-357.43</v>
      </c>
      <c r="L29" s="22">
        <v>-194.09</v>
      </c>
      <c r="M29" s="20">
        <v>50.52</v>
      </c>
    </row>
    <row r="30" ht="15.0" customHeight="1">
      <c r="A30" s="14" t="s">
        <v>313</v>
      </c>
      <c r="B30" s="16">
        <v>204.42</v>
      </c>
      <c r="C30" s="16">
        <v>144.41</v>
      </c>
      <c r="D30" s="16">
        <v>441.9</v>
      </c>
      <c r="E30" s="16">
        <v>219.48</v>
      </c>
      <c r="F30" s="16">
        <v>141.31</v>
      </c>
      <c r="G30" s="22">
        <v>-316.26</v>
      </c>
      <c r="H30" s="20">
        <v>75.38</v>
      </c>
      <c r="I30" s="22">
        <v>-104.88</v>
      </c>
      <c r="J30" s="22">
        <v>-146.22</v>
      </c>
      <c r="K30" s="21">
        <v>-81.5</v>
      </c>
      <c r="L30" s="21">
        <v>-44.94</v>
      </c>
      <c r="M30" s="20">
        <v>17.45</v>
      </c>
    </row>
    <row r="31" ht="15.0" customHeight="1">
      <c r="A31" s="14" t="s">
        <v>314</v>
      </c>
      <c r="B31" s="22">
        <v>-128.16</v>
      </c>
      <c r="C31" s="22">
        <v>-153.57</v>
      </c>
      <c r="D31" s="22">
        <v>-326.45</v>
      </c>
      <c r="E31" s="22">
        <v>-578.64</v>
      </c>
      <c r="F31" s="16">
        <v>601.32</v>
      </c>
      <c r="G31" s="16">
        <v>796.27</v>
      </c>
      <c r="H31" s="20">
        <v>49.32</v>
      </c>
      <c r="I31" s="21">
        <v>-74.92</v>
      </c>
      <c r="J31" s="16">
        <v>286.63</v>
      </c>
      <c r="K31" s="20">
        <v>42.22</v>
      </c>
      <c r="L31" s="16">
        <v>172.1</v>
      </c>
      <c r="M31" s="21">
        <v>-33.99</v>
      </c>
    </row>
    <row r="32" ht="15.0" customHeight="1">
      <c r="A32" s="14" t="s">
        <v>315</v>
      </c>
      <c r="B32" s="22">
        <v>-160.99</v>
      </c>
      <c r="C32" s="16">
        <v>146.45</v>
      </c>
      <c r="D32" s="22">
        <v>-302.56</v>
      </c>
      <c r="E32" s="22">
        <v>-190.03</v>
      </c>
      <c r="F32" s="16">
        <v>125.28</v>
      </c>
      <c r="G32" s="16">
        <v>159.66</v>
      </c>
      <c r="H32" s="22">
        <v>-137.73</v>
      </c>
      <c r="I32" s="20">
        <v>33.71</v>
      </c>
      <c r="J32" s="16">
        <v>116.2</v>
      </c>
      <c r="K32" s="21">
        <v>-13.75</v>
      </c>
      <c r="L32" s="20">
        <v>37.29</v>
      </c>
      <c r="M32" s="21">
        <v>-45.01</v>
      </c>
    </row>
    <row r="33" ht="15.0" customHeight="1">
      <c r="A33" s="14" t="s">
        <v>316</v>
      </c>
      <c r="B33" s="22">
        <v>-543.35</v>
      </c>
      <c r="C33" s="22">
        <v>-752.58</v>
      </c>
      <c r="D33" s="22">
        <v>-974.38</v>
      </c>
      <c r="E33" s="22">
        <v>-941.59</v>
      </c>
      <c r="F33" s="22">
        <v>-1011.23</v>
      </c>
      <c r="G33" s="22">
        <v>-454.43</v>
      </c>
      <c r="H33" s="22">
        <v>-492.28</v>
      </c>
      <c r="I33" s="22">
        <v>-293.11</v>
      </c>
      <c r="J33" s="22">
        <v>-101.68</v>
      </c>
      <c r="K33" s="22">
        <v>-105.07</v>
      </c>
      <c r="L33" s="21">
        <v>-85.09</v>
      </c>
      <c r="M33" s="22">
        <v>-218.62</v>
      </c>
    </row>
    <row r="34" ht="15.0" customHeight="1">
      <c r="A34" s="14" t="s">
        <v>317</v>
      </c>
      <c r="B34" s="20">
        <v>1.06</v>
      </c>
      <c r="C34" s="15"/>
      <c r="D34" s="20">
        <v>1.0</v>
      </c>
      <c r="E34" s="21">
        <v>-1.9</v>
      </c>
      <c r="F34" s="15"/>
      <c r="G34" s="15"/>
      <c r="H34" s="15"/>
      <c r="I34" s="15"/>
      <c r="J34" s="15"/>
      <c r="K34" s="15"/>
      <c r="L34" s="15"/>
      <c r="M34" s="15"/>
    </row>
    <row r="35" ht="15.0" customHeight="1">
      <c r="A35" s="17" t="s">
        <v>318</v>
      </c>
      <c r="B35" s="19">
        <v>3006.96</v>
      </c>
      <c r="C35" s="19">
        <v>3934.76</v>
      </c>
      <c r="D35" s="19">
        <v>4831.07</v>
      </c>
      <c r="E35" s="19">
        <v>1775.82</v>
      </c>
      <c r="F35" s="19">
        <v>1155.54</v>
      </c>
      <c r="G35" s="19">
        <v>2108.37</v>
      </c>
      <c r="H35" s="19">
        <v>3306.36</v>
      </c>
      <c r="I35" s="19">
        <v>2551.88</v>
      </c>
      <c r="J35" s="19">
        <v>1866.97</v>
      </c>
      <c r="K35" s="19">
        <v>1388.49</v>
      </c>
      <c r="L35" s="19">
        <v>1473.36</v>
      </c>
      <c r="M35" s="19">
        <v>863.47</v>
      </c>
    </row>
    <row r="36" ht="15.0" customHeight="1">
      <c r="A36" s="14" t="s">
        <v>319</v>
      </c>
      <c r="B36" s="15">
        <v>0.0</v>
      </c>
      <c r="C36" s="22">
        <v>-161.7</v>
      </c>
      <c r="D36" s="22">
        <v>-536.45</v>
      </c>
      <c r="E36" s="22">
        <v>-804.77</v>
      </c>
      <c r="F36" s="22">
        <v>-8573.88</v>
      </c>
      <c r="G36" s="15"/>
      <c r="H36" s="15">
        <v>0.0</v>
      </c>
      <c r="I36" s="22">
        <v>-460.74</v>
      </c>
      <c r="J36" s="22">
        <v>-7245.16</v>
      </c>
      <c r="K36" s="15">
        <v>0.0</v>
      </c>
      <c r="L36" s="21">
        <v>-12.43</v>
      </c>
      <c r="M36" s="22">
        <v>-2030.07</v>
      </c>
    </row>
    <row r="37" ht="15.0" customHeight="1">
      <c r="A37" s="14" t="s">
        <v>320</v>
      </c>
      <c r="B37" s="15"/>
      <c r="C37" s="22">
        <v>-385.44</v>
      </c>
      <c r="D37" s="22">
        <v>-625.03</v>
      </c>
      <c r="E37" s="22">
        <v>-563.44</v>
      </c>
      <c r="F37" s="22">
        <v>-413.91</v>
      </c>
      <c r="G37" s="22">
        <v>-251.78</v>
      </c>
      <c r="H37" s="22">
        <v>-335.94</v>
      </c>
      <c r="I37" s="22">
        <v>-395.19</v>
      </c>
      <c r="J37" s="22">
        <v>-296.31</v>
      </c>
      <c r="K37" s="22">
        <v>-220.94</v>
      </c>
      <c r="L37" s="22">
        <v>-229.47</v>
      </c>
      <c r="M37" s="22">
        <v>-175.45</v>
      </c>
    </row>
    <row r="38" ht="15.0" customHeight="1">
      <c r="A38" s="14" t="s">
        <v>321</v>
      </c>
      <c r="B38" s="20">
        <v>10.59</v>
      </c>
      <c r="C38" s="20">
        <v>3.05</v>
      </c>
      <c r="D38" s="20">
        <v>6.97</v>
      </c>
      <c r="E38" s="20">
        <v>3.8</v>
      </c>
      <c r="F38" s="20">
        <v>61.13</v>
      </c>
      <c r="G38" s="16">
        <v>549.61</v>
      </c>
      <c r="H38" s="20">
        <v>13.96</v>
      </c>
      <c r="I38" s="20">
        <v>65.55</v>
      </c>
      <c r="J38" s="16">
        <v>134.6</v>
      </c>
      <c r="K38" s="16">
        <v>130.6</v>
      </c>
      <c r="L38" s="20">
        <v>0.96</v>
      </c>
      <c r="M38" s="20">
        <v>11.02</v>
      </c>
    </row>
    <row r="39" ht="15.0" customHeight="1">
      <c r="A39" s="14" t="s">
        <v>322</v>
      </c>
      <c r="B39" s="22">
        <v>-383.42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</row>
    <row r="40" ht="15.0" customHeight="1">
      <c r="A40" s="14" t="s">
        <v>323</v>
      </c>
      <c r="B40" s="15"/>
      <c r="C40" s="15"/>
      <c r="D40" s="15"/>
      <c r="E40" s="15">
        <v>0.0</v>
      </c>
      <c r="F40" s="16">
        <v>147.32</v>
      </c>
      <c r="G40" s="15"/>
      <c r="H40" s="15">
        <v>0.0</v>
      </c>
      <c r="I40" s="22">
        <v>-218.2</v>
      </c>
      <c r="J40" s="15"/>
      <c r="K40" s="15"/>
      <c r="L40" s="15"/>
      <c r="M40" s="15"/>
    </row>
    <row r="41" ht="15.0" customHeight="1">
      <c r="A41" s="14" t="s">
        <v>324</v>
      </c>
      <c r="B41" s="15"/>
      <c r="C41" s="15"/>
      <c r="D41" s="15"/>
      <c r="E41" s="15"/>
      <c r="F41" s="15"/>
      <c r="G41" s="15"/>
      <c r="H41" s="15"/>
      <c r="I41" s="15"/>
      <c r="J41" s="15"/>
      <c r="K41" s="15">
        <v>0.0</v>
      </c>
      <c r="L41" s="16">
        <v>628.16</v>
      </c>
      <c r="M41" s="15">
        <v>0.0</v>
      </c>
    </row>
    <row r="42" ht="15.0" customHeight="1">
      <c r="A42" s="14" t="s">
        <v>325</v>
      </c>
      <c r="B42" s="20">
        <v>23.3</v>
      </c>
      <c r="C42" s="20">
        <v>17.29</v>
      </c>
      <c r="D42" s="21">
        <v>-4.98</v>
      </c>
      <c r="E42" s="20">
        <v>9.5</v>
      </c>
      <c r="F42" s="20">
        <v>1.0</v>
      </c>
      <c r="G42" s="21">
        <v>-1.02</v>
      </c>
      <c r="H42" s="21">
        <v>-1.86</v>
      </c>
      <c r="I42" s="20">
        <v>0.94</v>
      </c>
      <c r="J42" s="21">
        <v>-3.87</v>
      </c>
      <c r="K42" s="15"/>
      <c r="L42" s="15"/>
      <c r="M42" s="15"/>
    </row>
    <row r="43" ht="15.0" customHeight="1">
      <c r="A43" s="14" t="s">
        <v>326</v>
      </c>
      <c r="B43" s="21">
        <v>-1.06</v>
      </c>
      <c r="C43" s="21">
        <v>-1.02</v>
      </c>
      <c r="D43" s="15"/>
      <c r="E43" s="15"/>
      <c r="F43" s="21">
        <v>-1.0</v>
      </c>
      <c r="G43" s="21">
        <v>-1.02</v>
      </c>
      <c r="H43" s="15"/>
      <c r="I43" s="15"/>
      <c r="J43" s="15"/>
      <c r="K43" s="15"/>
      <c r="L43" s="15"/>
      <c r="M43" s="15"/>
    </row>
    <row r="44" ht="15.0" customHeight="1">
      <c r="A44" s="17" t="s">
        <v>327</v>
      </c>
      <c r="B44" s="23">
        <v>-350.58</v>
      </c>
      <c r="C44" s="23">
        <v>-527.82</v>
      </c>
      <c r="D44" s="23">
        <v>-1159.5</v>
      </c>
      <c r="E44" s="23">
        <v>-1354.91</v>
      </c>
      <c r="F44" s="23">
        <v>-8779.33</v>
      </c>
      <c r="G44" s="19">
        <v>295.79</v>
      </c>
      <c r="H44" s="23">
        <v>-323.84</v>
      </c>
      <c r="I44" s="23">
        <v>-1007.64</v>
      </c>
      <c r="J44" s="23">
        <v>-7410.75</v>
      </c>
      <c r="K44" s="25">
        <v>-90.34</v>
      </c>
      <c r="L44" s="19">
        <v>387.22</v>
      </c>
      <c r="M44" s="23">
        <v>-2194.49</v>
      </c>
    </row>
    <row r="45" ht="15.0" customHeight="1">
      <c r="A45" s="14" t="s">
        <v>328</v>
      </c>
      <c r="B45" s="22">
        <v>-5439.86</v>
      </c>
      <c r="C45" s="22">
        <v>-2090.95</v>
      </c>
      <c r="D45" s="22">
        <v>-5726.82</v>
      </c>
      <c r="E45" s="15">
        <v>0.0</v>
      </c>
      <c r="F45" s="15"/>
      <c r="G45" s="15">
        <v>0.0</v>
      </c>
      <c r="H45" s="22">
        <v>-8883.35</v>
      </c>
      <c r="I45" s="22">
        <v>-2668.0</v>
      </c>
      <c r="J45" s="22">
        <v>-221.75</v>
      </c>
      <c r="K45" s="22">
        <v>-418.31</v>
      </c>
      <c r="L45" s="22">
        <v>-9666.22</v>
      </c>
      <c r="M45" s="22">
        <v>-2662.05</v>
      </c>
    </row>
    <row r="46" ht="15.0" customHeight="1">
      <c r="A46" s="14" t="s">
        <v>329</v>
      </c>
      <c r="B46" s="16">
        <v>6095.48</v>
      </c>
      <c r="C46" s="15">
        <v>0.0</v>
      </c>
      <c r="D46" s="16">
        <v>3461.57</v>
      </c>
      <c r="E46" s="16">
        <v>950.14</v>
      </c>
      <c r="F46" s="16">
        <v>3068.76</v>
      </c>
      <c r="G46" s="16">
        <v>2046.96</v>
      </c>
      <c r="H46" s="16">
        <v>9084.36</v>
      </c>
      <c r="I46" s="16">
        <v>2980.78</v>
      </c>
      <c r="J46" s="16">
        <v>6101.55</v>
      </c>
      <c r="K46" s="20">
        <v>62.85</v>
      </c>
      <c r="L46" s="16">
        <v>4615.12</v>
      </c>
      <c r="M46" s="16">
        <v>3798.33</v>
      </c>
    </row>
    <row r="47" ht="15.0" customHeight="1">
      <c r="A47" s="14" t="s">
        <v>330</v>
      </c>
      <c r="B47" s="15"/>
      <c r="C47" s="15"/>
      <c r="D47" s="15"/>
      <c r="E47" s="15"/>
      <c r="F47" s="15"/>
      <c r="G47" s="15"/>
      <c r="H47" s="15"/>
      <c r="I47" s="15"/>
      <c r="J47" s="15">
        <v>0.0</v>
      </c>
      <c r="K47" s="21">
        <v>-72.66</v>
      </c>
      <c r="L47" s="15"/>
      <c r="M47" s="15"/>
    </row>
    <row r="48" ht="15.0" customHeight="1">
      <c r="A48" s="14" t="s">
        <v>331</v>
      </c>
      <c r="B48" s="15"/>
      <c r="C48" s="15"/>
      <c r="D48" s="15"/>
      <c r="E48" s="15">
        <v>0.0</v>
      </c>
      <c r="F48" s="16">
        <v>3333.34</v>
      </c>
      <c r="G48" s="15"/>
      <c r="H48" s="15"/>
      <c r="I48" s="15"/>
      <c r="J48" s="15"/>
      <c r="K48" s="15"/>
      <c r="L48" s="16">
        <v>4302.47</v>
      </c>
      <c r="M48" s="16">
        <v>916.74</v>
      </c>
    </row>
    <row r="49" ht="15.0" customHeight="1">
      <c r="A49" s="14" t="s">
        <v>332</v>
      </c>
      <c r="B49" s="21">
        <v>-97.44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</row>
    <row r="50" ht="15.0" customHeight="1">
      <c r="A50" s="14" t="s">
        <v>332</v>
      </c>
      <c r="B50" s="15"/>
      <c r="C50" s="16">
        <v>395.61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</row>
    <row r="51" ht="15.0" customHeight="1">
      <c r="A51" s="14" t="s">
        <v>333</v>
      </c>
      <c r="B51" s="22">
        <v>-355.88</v>
      </c>
      <c r="C51" s="22">
        <v>-357.98</v>
      </c>
      <c r="D51" s="22">
        <v>-353.32</v>
      </c>
      <c r="E51" s="22">
        <v>-325.9</v>
      </c>
      <c r="F51" s="22">
        <v>-225.5</v>
      </c>
      <c r="G51" s="22">
        <v>-175.02</v>
      </c>
      <c r="H51" s="22">
        <v>-154.48</v>
      </c>
      <c r="I51" s="15"/>
      <c r="J51" s="15"/>
      <c r="K51" s="15"/>
      <c r="L51" s="15"/>
      <c r="M51" s="15"/>
    </row>
    <row r="52" ht="15.0" customHeight="1">
      <c r="A52" s="14" t="s">
        <v>334</v>
      </c>
      <c r="B52" s="22">
        <v>-988.2</v>
      </c>
      <c r="C52" s="22">
        <v>-954.96</v>
      </c>
      <c r="D52" s="22">
        <v>-917.64</v>
      </c>
      <c r="E52" s="22">
        <v>-467.47</v>
      </c>
      <c r="F52" s="22">
        <v>-385.85</v>
      </c>
      <c r="G52" s="22">
        <v>-424.75</v>
      </c>
      <c r="H52" s="22">
        <v>-343.39</v>
      </c>
      <c r="I52" s="22">
        <v>-352.11</v>
      </c>
      <c r="J52" s="21">
        <v>-95.87</v>
      </c>
      <c r="K52" s="21">
        <v>-95.25</v>
      </c>
      <c r="L52" s="22">
        <v>-809.82</v>
      </c>
      <c r="M52" s="22">
        <v>-377.54</v>
      </c>
    </row>
    <row r="53" ht="15.0" customHeight="1">
      <c r="A53" s="14" t="s">
        <v>335</v>
      </c>
      <c r="B53" s="16">
        <v>218.19</v>
      </c>
      <c r="C53" s="20">
        <v>86.44</v>
      </c>
      <c r="D53" s="16">
        <v>159.24</v>
      </c>
      <c r="E53" s="20">
        <v>2.85</v>
      </c>
      <c r="F53" s="20">
        <v>4.01</v>
      </c>
      <c r="G53" s="20">
        <v>2.05</v>
      </c>
      <c r="H53" s="20">
        <v>7.44</v>
      </c>
      <c r="I53" s="20">
        <v>6.56</v>
      </c>
      <c r="J53" s="20">
        <v>4.84</v>
      </c>
      <c r="K53" s="20">
        <v>2.95</v>
      </c>
      <c r="L53" s="20">
        <v>13.39</v>
      </c>
      <c r="M53" s="20">
        <v>1.84</v>
      </c>
    </row>
    <row r="54" ht="15.0" customHeight="1">
      <c r="A54" s="14" t="s">
        <v>336</v>
      </c>
      <c r="B54" s="22">
        <v>-152.52</v>
      </c>
      <c r="C54" s="21">
        <v>-67.12</v>
      </c>
      <c r="D54" s="16">
        <v>122.42</v>
      </c>
      <c r="E54" s="20">
        <v>42.76</v>
      </c>
      <c r="F54" s="21">
        <v>-74.16</v>
      </c>
      <c r="G54" s="22">
        <v>-101.32</v>
      </c>
      <c r="H54" s="21">
        <v>-89.34</v>
      </c>
      <c r="I54" s="21">
        <v>-82.41</v>
      </c>
      <c r="J54" s="22">
        <v>-118.14</v>
      </c>
      <c r="K54" s="21">
        <v>-41.24</v>
      </c>
      <c r="L54" s="21">
        <v>-87.96</v>
      </c>
      <c r="M54" s="22">
        <v>-343.55</v>
      </c>
    </row>
    <row r="55" ht="15.0" customHeight="1">
      <c r="A55" s="14" t="s">
        <v>337</v>
      </c>
      <c r="B55" s="22">
        <v>-439.55</v>
      </c>
      <c r="C55" s="22">
        <v>-617.32</v>
      </c>
      <c r="D55" s="22">
        <v>-413.04</v>
      </c>
      <c r="E55" s="22">
        <v>-743.96</v>
      </c>
      <c r="F55" s="22">
        <v>-681.5</v>
      </c>
      <c r="G55" s="15">
        <v>0.0</v>
      </c>
      <c r="H55" s="22">
        <v>-591.85</v>
      </c>
      <c r="I55" s="22">
        <v>-567.5</v>
      </c>
      <c r="J55" s="22">
        <v>-529.69</v>
      </c>
      <c r="K55" s="15"/>
      <c r="L55" s="15"/>
      <c r="M55" s="15"/>
    </row>
    <row r="56" ht="15.0" customHeight="1">
      <c r="A56" s="14" t="s">
        <v>338</v>
      </c>
      <c r="B56" s="21">
        <v>-1.06</v>
      </c>
      <c r="C56" s="20">
        <v>1.02</v>
      </c>
      <c r="D56" s="15"/>
      <c r="E56" s="15"/>
      <c r="F56" s="22">
        <v>-1002.21</v>
      </c>
      <c r="G56" s="20">
        <v>1.02</v>
      </c>
      <c r="H56" s="15"/>
      <c r="I56" s="15"/>
      <c r="J56" s="21">
        <v>-0.97</v>
      </c>
      <c r="K56" s="15"/>
      <c r="L56" s="15"/>
      <c r="M56" s="15"/>
    </row>
    <row r="57" ht="15.0" customHeight="1">
      <c r="A57" s="17" t="s">
        <v>339</v>
      </c>
      <c r="B57" s="23">
        <v>-1160.84</v>
      </c>
      <c r="C57" s="23">
        <v>-3605.26</v>
      </c>
      <c r="D57" s="23">
        <v>-3667.59</v>
      </c>
      <c r="E57" s="23">
        <v>-541.58</v>
      </c>
      <c r="F57" s="19">
        <v>4036.89</v>
      </c>
      <c r="G57" s="19">
        <v>1348.95</v>
      </c>
      <c r="H57" s="23">
        <v>-970.6</v>
      </c>
      <c r="I57" s="23">
        <v>-682.69</v>
      </c>
      <c r="J57" s="19">
        <v>5139.98</v>
      </c>
      <c r="K57" s="23">
        <v>-561.68</v>
      </c>
      <c r="L57" s="23">
        <v>-1633.03</v>
      </c>
      <c r="M57" s="19">
        <v>1333.78</v>
      </c>
    </row>
    <row r="58" ht="15.0" customHeight="1">
      <c r="A58" s="14" t="s">
        <v>340</v>
      </c>
      <c r="B58" s="16">
        <v>1496.6</v>
      </c>
      <c r="C58" s="22">
        <v>-198.31</v>
      </c>
      <c r="D58" s="20">
        <v>3.98</v>
      </c>
      <c r="E58" s="22">
        <v>-120.67</v>
      </c>
      <c r="F58" s="22">
        <v>-3586.9</v>
      </c>
      <c r="G58" s="16">
        <v>3752.09</v>
      </c>
      <c r="H58" s="16">
        <v>2011.92</v>
      </c>
      <c r="I58" s="16">
        <v>861.55</v>
      </c>
      <c r="J58" s="22">
        <v>-403.8</v>
      </c>
      <c r="K58" s="16">
        <v>736.47</v>
      </c>
      <c r="L58" s="16">
        <v>227.55</v>
      </c>
      <c r="M58" s="20">
        <v>2.76</v>
      </c>
    </row>
    <row r="59" ht="15.0" customHeight="1">
      <c r="A59" s="14" t="s">
        <v>341</v>
      </c>
      <c r="B59" s="16">
        <v>4606.78</v>
      </c>
      <c r="C59" s="16">
        <v>4470.16</v>
      </c>
      <c r="D59" s="16">
        <v>4428.76</v>
      </c>
      <c r="E59" s="16">
        <v>4149.1</v>
      </c>
      <c r="F59" s="16">
        <v>7709.47</v>
      </c>
      <c r="G59" s="16">
        <v>4478.58</v>
      </c>
      <c r="H59" s="16">
        <v>1981.28</v>
      </c>
      <c r="I59" s="16">
        <v>1131.02</v>
      </c>
      <c r="J59" s="16">
        <v>1600.03</v>
      </c>
      <c r="K59" s="16">
        <v>789.95</v>
      </c>
      <c r="L59" s="16">
        <v>619.57</v>
      </c>
      <c r="M59" s="16">
        <v>516.63</v>
      </c>
    </row>
    <row r="60" ht="15.0" customHeight="1">
      <c r="A60" s="14" t="s">
        <v>342</v>
      </c>
      <c r="B60" s="22">
        <v>-810.26</v>
      </c>
      <c r="C60" s="20">
        <v>60.0</v>
      </c>
      <c r="D60" s="21">
        <v>-54.74</v>
      </c>
      <c r="E60" s="16">
        <v>111.17</v>
      </c>
      <c r="F60" s="20">
        <v>74.16</v>
      </c>
      <c r="G60" s="21">
        <v>-44.01</v>
      </c>
      <c r="H60" s="20">
        <v>13.03</v>
      </c>
      <c r="I60" s="20">
        <v>31.84</v>
      </c>
      <c r="J60" s="21">
        <v>-22.27</v>
      </c>
      <c r="K60" s="20">
        <v>15.71</v>
      </c>
      <c r="L60" s="20">
        <v>2.87</v>
      </c>
      <c r="M60" s="20">
        <v>45.93</v>
      </c>
    </row>
    <row r="61" ht="15.0" customHeight="1">
      <c r="A61" s="14" t="s">
        <v>343</v>
      </c>
      <c r="B61" s="16">
        <v>5314.25</v>
      </c>
      <c r="C61" s="16">
        <v>4331.37</v>
      </c>
      <c r="D61" s="16">
        <v>4377.41</v>
      </c>
      <c r="E61" s="16">
        <v>4140.63</v>
      </c>
      <c r="F61" s="16">
        <v>4294.62</v>
      </c>
      <c r="G61" s="16">
        <v>8262.76</v>
      </c>
      <c r="H61" s="16">
        <v>4021.64</v>
      </c>
      <c r="I61" s="16">
        <v>2061.99</v>
      </c>
      <c r="J61" s="16">
        <v>1159.75</v>
      </c>
      <c r="K61" s="16">
        <v>1516.36</v>
      </c>
      <c r="L61" s="16">
        <v>871.79</v>
      </c>
      <c r="M61" s="16">
        <v>567.43</v>
      </c>
    </row>
    <row r="62" ht="15.0" customHeight="1">
      <c r="A62" s="17" t="s">
        <v>344</v>
      </c>
      <c r="B62" s="19">
        <v>685.28</v>
      </c>
      <c r="C62" s="23">
        <v>-138.31</v>
      </c>
      <c r="D62" s="25">
        <v>-50.76</v>
      </c>
      <c r="E62" s="25">
        <v>-9.5</v>
      </c>
      <c r="F62" s="23">
        <v>-3512.74</v>
      </c>
      <c r="G62" s="19">
        <v>3709.1</v>
      </c>
      <c r="H62" s="19">
        <v>2024.95</v>
      </c>
      <c r="I62" s="19">
        <v>893.39</v>
      </c>
      <c r="J62" s="23">
        <v>-426.07</v>
      </c>
      <c r="K62" s="19">
        <v>752.18</v>
      </c>
      <c r="L62" s="19">
        <v>230.42</v>
      </c>
      <c r="M62" s="24">
        <v>48.68</v>
      </c>
    </row>
    <row r="63" ht="15.0" customHeight="1">
      <c r="A63" s="14" t="s">
        <v>345</v>
      </c>
      <c r="B63" s="16">
        <v>1530.49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346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46092.4361723958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</row>
    <row r="12" ht="15.0" customHeight="1" outlineLevel="1">
      <c r="A12" s="8" t="s">
        <v>30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</row>
    <row r="13" ht="15.0" customHeight="1" outlineLevel="1">
      <c r="A13" s="8" t="s">
        <v>31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42369.0</v>
      </c>
    </row>
    <row r="14" ht="15.0" customHeight="1" outlineLevel="1">
      <c r="A14" s="8" t="s">
        <v>32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</row>
    <row r="15" ht="15.0" customHeight="1" outlineLevel="1">
      <c r="A15" s="8" t="s">
        <v>34</v>
      </c>
      <c r="B15" s="10" t="s">
        <v>35</v>
      </c>
      <c r="C15" s="10" t="s">
        <v>35</v>
      </c>
      <c r="D15" s="10" t="s">
        <v>35</v>
      </c>
      <c r="E15" s="10" t="s">
        <v>35</v>
      </c>
      <c r="F15" s="10" t="s">
        <v>35</v>
      </c>
      <c r="G15" s="10" t="s">
        <v>35</v>
      </c>
      <c r="H15" s="10" t="s">
        <v>35</v>
      </c>
      <c r="I15" s="10" t="s">
        <v>35</v>
      </c>
      <c r="J15" s="10" t="s">
        <v>35</v>
      </c>
      <c r="K15" s="10" t="s">
        <v>35</v>
      </c>
      <c r="L15" s="10" t="s">
        <v>35</v>
      </c>
    </row>
    <row r="16" ht="15.0" customHeight="1" outlineLevel="1">
      <c r="A16" s="8" t="s">
        <v>36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</row>
    <row r="18">
      <c r="A18" s="12" t="s">
        <v>347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38</v>
      </c>
      <c r="B19" s="13" t="s">
        <v>40</v>
      </c>
      <c r="C19" s="13" t="s">
        <v>41</v>
      </c>
      <c r="D19" s="13" t="s">
        <v>42</v>
      </c>
      <c r="E19" s="13" t="s">
        <v>43</v>
      </c>
      <c r="F19" s="13" t="s">
        <v>44</v>
      </c>
      <c r="G19" s="13" t="s">
        <v>45</v>
      </c>
      <c r="H19" s="13" t="s">
        <v>46</v>
      </c>
      <c r="I19" s="13" t="s">
        <v>47</v>
      </c>
      <c r="J19" s="13" t="s">
        <v>48</v>
      </c>
      <c r="K19" s="13" t="s">
        <v>49</v>
      </c>
      <c r="L19" s="13" t="s">
        <v>50</v>
      </c>
    </row>
    <row r="20" ht="15.0" customHeight="1">
      <c r="A20" s="26" t="s">
        <v>348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</row>
    <row r="21" ht="15.0" customHeight="1">
      <c r="A21" s="28" t="s">
        <v>348</v>
      </c>
      <c r="B21" s="29">
        <v>30868.57</v>
      </c>
      <c r="C21" s="29">
        <v>43174.44</v>
      </c>
      <c r="D21" s="29">
        <v>34667.7</v>
      </c>
      <c r="E21" s="29">
        <v>49502.64</v>
      </c>
      <c r="F21" s="29">
        <v>40215.35</v>
      </c>
      <c r="G21" s="29">
        <v>34262.2</v>
      </c>
      <c r="H21" s="29">
        <v>25145.79</v>
      </c>
      <c r="I21" s="29">
        <v>34122.91</v>
      </c>
      <c r="J21" s="29">
        <v>21800.93</v>
      </c>
      <c r="K21" s="29">
        <v>20979.15</v>
      </c>
      <c r="L21" s="29"/>
    </row>
    <row r="22" ht="15.0" customHeight="1">
      <c r="A22" s="28" t="s">
        <v>349</v>
      </c>
      <c r="B22" s="29">
        <v>40931.13</v>
      </c>
      <c r="C22" s="29">
        <v>41393.71</v>
      </c>
      <c r="D22" s="29">
        <v>35478.42</v>
      </c>
      <c r="E22" s="29">
        <v>36190.8</v>
      </c>
      <c r="F22" s="29">
        <v>32978.11</v>
      </c>
      <c r="G22" s="29">
        <v>26150.2</v>
      </c>
      <c r="H22" s="29"/>
      <c r="I22" s="29"/>
      <c r="J22" s="29"/>
      <c r="K22" s="29"/>
      <c r="L22" s="29"/>
    </row>
    <row r="23" ht="15.0" customHeight="1">
      <c r="A23" s="26" t="s">
        <v>350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</row>
    <row r="24" ht="15.0" customHeight="1">
      <c r="A24" s="28" t="s">
        <v>350</v>
      </c>
      <c r="B24" s="29">
        <v>17080.78</v>
      </c>
      <c r="C24" s="29">
        <v>28988.12</v>
      </c>
      <c r="D24" s="29">
        <v>20233.4</v>
      </c>
      <c r="E24" s="29">
        <v>37027.0</v>
      </c>
      <c r="F24" s="29">
        <v>33655.68</v>
      </c>
      <c r="G24" s="29">
        <v>26163.61</v>
      </c>
      <c r="H24" s="29">
        <v>15878.05</v>
      </c>
      <c r="I24" s="29">
        <v>24732.85</v>
      </c>
      <c r="J24" s="29">
        <v>18782.43</v>
      </c>
      <c r="K24" s="29">
        <v>16811.74</v>
      </c>
      <c r="L24" s="29"/>
    </row>
    <row r="25" ht="15.0" customHeight="1">
      <c r="A25" s="28" t="s">
        <v>351</v>
      </c>
      <c r="B25" s="29">
        <v>28198.37</v>
      </c>
      <c r="C25" s="29">
        <v>29886.39</v>
      </c>
      <c r="D25" s="29">
        <v>25584.6</v>
      </c>
      <c r="E25" s="29">
        <v>27109.55</v>
      </c>
      <c r="F25" s="29">
        <v>25254.58</v>
      </c>
      <c r="G25" s="29">
        <v>19646.01</v>
      </c>
      <c r="H25" s="29"/>
      <c r="I25" s="29"/>
      <c r="J25" s="29"/>
      <c r="K25" s="29"/>
      <c r="L25" s="29"/>
    </row>
    <row r="26" ht="15.0" customHeight="1">
      <c r="A26" s="26" t="s">
        <v>352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</row>
    <row r="27" ht="15.0" customHeight="1">
      <c r="A27" s="28" t="s">
        <v>353</v>
      </c>
      <c r="B27" s="30">
        <v>53.46</v>
      </c>
      <c r="C27" s="30">
        <v>90.73</v>
      </c>
      <c r="D27" s="30">
        <v>63.33</v>
      </c>
      <c r="E27" s="31">
        <v>115.89</v>
      </c>
      <c r="F27" s="31">
        <v>113.77</v>
      </c>
      <c r="G27" s="30">
        <v>88.44</v>
      </c>
      <c r="H27" s="30">
        <v>53.67</v>
      </c>
      <c r="I27" s="30">
        <v>83.6</v>
      </c>
      <c r="J27" s="30">
        <v>63.49</v>
      </c>
      <c r="K27" s="30">
        <v>56.83</v>
      </c>
      <c r="L27" s="29"/>
    </row>
    <row r="28" ht="15.0" customHeight="1">
      <c r="A28" s="28" t="s">
        <v>354</v>
      </c>
      <c r="B28" s="30">
        <v>89.92</v>
      </c>
      <c r="C28" s="30">
        <v>96.57</v>
      </c>
      <c r="D28" s="30">
        <v>83.68</v>
      </c>
      <c r="E28" s="30">
        <v>89.78</v>
      </c>
      <c r="F28" s="30">
        <v>85.37</v>
      </c>
      <c r="G28" s="30">
        <v>66.41</v>
      </c>
      <c r="H28" s="29"/>
      <c r="I28" s="29"/>
      <c r="J28" s="29"/>
      <c r="K28" s="29"/>
      <c r="L28" s="29"/>
    </row>
    <row r="29" ht="15.0" customHeight="1">
      <c r="A29" s="26" t="s">
        <v>355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</row>
    <row r="30" ht="15.0" customHeight="1">
      <c r="A30" s="28" t="s">
        <v>356</v>
      </c>
      <c r="B30" s="32">
        <v>15.87</v>
      </c>
      <c r="C30" s="32">
        <v>12.03</v>
      </c>
      <c r="D30" s="32">
        <v>3.66</v>
      </c>
      <c r="E30" s="32">
        <v>0.97</v>
      </c>
      <c r="F30" s="32">
        <v>4.35</v>
      </c>
      <c r="G30" s="32">
        <v>10.15</v>
      </c>
      <c r="H30" s="32">
        <v>11.89</v>
      </c>
      <c r="I30" s="32">
        <v>6.18</v>
      </c>
      <c r="J30" s="32">
        <v>5.53</v>
      </c>
      <c r="K30" s="32">
        <v>2.91</v>
      </c>
      <c r="L30" s="32"/>
    </row>
    <row r="31" ht="15.0" customHeight="1">
      <c r="A31" s="28" t="s">
        <v>357</v>
      </c>
      <c r="B31" s="32">
        <v>6.28</v>
      </c>
      <c r="C31" s="32">
        <v>6.0</v>
      </c>
      <c r="D31" s="32">
        <v>5.5</v>
      </c>
      <c r="E31" s="32">
        <v>5.9</v>
      </c>
      <c r="F31" s="32">
        <v>7.27</v>
      </c>
      <c r="G31" s="32">
        <v>7.5</v>
      </c>
      <c r="H31" s="32"/>
      <c r="I31" s="32"/>
      <c r="J31" s="32"/>
      <c r="K31" s="32"/>
      <c r="L31" s="32"/>
    </row>
    <row r="32" ht="15.0" customHeight="1">
      <c r="A32" s="26" t="s">
        <v>358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</row>
    <row r="33" ht="15.0" customHeight="1">
      <c r="A33" s="28" t="s">
        <v>359</v>
      </c>
      <c r="B33" s="32">
        <v>2.56</v>
      </c>
      <c r="C33" s="32">
        <v>1.01</v>
      </c>
      <c r="D33" s="32">
        <v>2.55</v>
      </c>
      <c r="E33" s="32">
        <v>1.35</v>
      </c>
      <c r="F33" s="32">
        <v>0.0</v>
      </c>
      <c r="G33" s="32">
        <v>1.6</v>
      </c>
      <c r="H33" s="32">
        <v>2.61</v>
      </c>
      <c r="I33" s="32">
        <v>1.55</v>
      </c>
      <c r="J33" s="32">
        <v>0.0</v>
      </c>
      <c r="K33" s="32">
        <v>0.0</v>
      </c>
      <c r="L33" s="32"/>
    </row>
    <row r="34" ht="15.0" customHeight="1">
      <c r="A34" s="28" t="s">
        <v>360</v>
      </c>
      <c r="B34" s="32">
        <v>1.27</v>
      </c>
      <c r="C34" s="32">
        <v>1.2</v>
      </c>
      <c r="D34" s="32">
        <v>1.41</v>
      </c>
      <c r="E34" s="32">
        <v>1.27</v>
      </c>
      <c r="F34" s="32">
        <v>1.04</v>
      </c>
      <c r="G34" s="32">
        <v>1.2</v>
      </c>
      <c r="H34" s="32"/>
      <c r="I34" s="32"/>
      <c r="J34" s="32"/>
      <c r="K34" s="32"/>
      <c r="L34" s="32"/>
    </row>
    <row r="35" ht="15.0" customHeight="1">
      <c r="A35" s="28" t="s">
        <v>361</v>
      </c>
      <c r="B35" s="32">
        <v>3.65</v>
      </c>
      <c r="C35" s="32">
        <v>1.44</v>
      </c>
      <c r="D35" s="32">
        <v>3.64</v>
      </c>
      <c r="E35" s="32">
        <v>1.93</v>
      </c>
      <c r="F35" s="32">
        <v>0.0</v>
      </c>
      <c r="G35" s="32">
        <v>2.28</v>
      </c>
      <c r="H35" s="32">
        <v>3.73</v>
      </c>
      <c r="I35" s="32">
        <v>2.21</v>
      </c>
      <c r="J35" s="32">
        <v>0.0</v>
      </c>
      <c r="K35" s="32">
        <v>0.0</v>
      </c>
      <c r="L35" s="32"/>
    </row>
    <row r="36" ht="15.0" customHeight="1">
      <c r="A36" s="28" t="s">
        <v>362</v>
      </c>
      <c r="B36" s="32">
        <v>1.82</v>
      </c>
      <c r="C36" s="32">
        <v>1.71</v>
      </c>
      <c r="D36" s="32">
        <v>2.01</v>
      </c>
      <c r="E36" s="32">
        <v>1.81</v>
      </c>
      <c r="F36" s="32">
        <v>1.48</v>
      </c>
      <c r="G36" s="32">
        <v>1.71</v>
      </c>
      <c r="H36" s="32"/>
      <c r="I36" s="32"/>
      <c r="J36" s="32"/>
      <c r="K36" s="32"/>
      <c r="L36" s="32"/>
    </row>
    <row r="37" ht="15.0" customHeight="1">
      <c r="A37" s="26" t="s">
        <v>363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</row>
    <row r="38" ht="15.0" customHeight="1">
      <c r="A38" s="28" t="s">
        <v>364</v>
      </c>
      <c r="B38" s="30">
        <v>0.65</v>
      </c>
      <c r="C38" s="30">
        <v>1.11</v>
      </c>
      <c r="D38" s="30">
        <v>0.81</v>
      </c>
      <c r="E38" s="30">
        <v>1.69</v>
      </c>
      <c r="F38" s="30">
        <v>1.99</v>
      </c>
      <c r="G38" s="30">
        <v>1.61</v>
      </c>
      <c r="H38" s="30">
        <v>1.02</v>
      </c>
      <c r="I38" s="30">
        <v>1.7</v>
      </c>
      <c r="J38" s="30">
        <v>1.42</v>
      </c>
      <c r="K38" s="30">
        <v>1.35</v>
      </c>
      <c r="L38" s="29"/>
    </row>
    <row r="39" ht="15.0" customHeight="1">
      <c r="A39" s="28" t="s">
        <v>365</v>
      </c>
      <c r="B39" s="30">
        <v>1.19</v>
      </c>
      <c r="C39" s="30">
        <v>1.38</v>
      </c>
      <c r="D39" s="30">
        <v>1.39</v>
      </c>
      <c r="E39" s="30">
        <v>1.61</v>
      </c>
      <c r="F39" s="30">
        <v>1.55</v>
      </c>
      <c r="G39" s="30">
        <v>1.42</v>
      </c>
      <c r="H39" s="29"/>
      <c r="I39" s="29"/>
      <c r="J39" s="29"/>
      <c r="K39" s="29"/>
      <c r="L39" s="29"/>
    </row>
    <row r="40" ht="15.0" customHeight="1">
      <c r="A40" s="26" t="s">
        <v>366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</row>
    <row r="41" ht="15.0" customHeight="1">
      <c r="A41" s="28" t="s">
        <v>367</v>
      </c>
      <c r="B41" s="29"/>
      <c r="C41" s="29"/>
      <c r="D41" s="29"/>
      <c r="E41" s="29"/>
      <c r="F41" s="29"/>
      <c r="G41" s="29"/>
      <c r="H41" s="29"/>
      <c r="I41" s="29"/>
      <c r="J41" s="30">
        <v>83.92</v>
      </c>
      <c r="K41" s="29"/>
      <c r="L41" s="29"/>
    </row>
    <row r="42" ht="15.0" customHeight="1">
      <c r="A42" s="26" t="s">
        <v>368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</row>
    <row r="43" ht="15.0" customHeight="1">
      <c r="A43" s="28" t="s">
        <v>369</v>
      </c>
      <c r="B43" s="30">
        <v>0.67</v>
      </c>
      <c r="C43" s="30">
        <v>1.04</v>
      </c>
      <c r="D43" s="30">
        <v>0.72</v>
      </c>
      <c r="E43" s="30">
        <v>1.71</v>
      </c>
      <c r="F43" s="30">
        <v>1.99</v>
      </c>
      <c r="G43" s="30">
        <v>1.51</v>
      </c>
      <c r="H43" s="30">
        <v>0.89</v>
      </c>
      <c r="I43" s="30">
        <v>1.76</v>
      </c>
      <c r="J43" s="30">
        <v>1.6</v>
      </c>
      <c r="K43" s="30">
        <v>1.4</v>
      </c>
      <c r="L43" s="29"/>
    </row>
    <row r="44" ht="15.0" customHeight="1">
      <c r="A44" s="28" t="s">
        <v>370</v>
      </c>
      <c r="B44" s="30">
        <v>1.15</v>
      </c>
      <c r="C44" s="30">
        <v>1.31</v>
      </c>
      <c r="D44" s="30">
        <v>1.3</v>
      </c>
      <c r="E44" s="30">
        <v>1.56</v>
      </c>
      <c r="F44" s="30">
        <v>1.52</v>
      </c>
      <c r="G44" s="30">
        <v>1.4</v>
      </c>
      <c r="H44" s="29"/>
      <c r="I44" s="29"/>
      <c r="J44" s="29"/>
      <c r="K44" s="29"/>
      <c r="L44" s="29"/>
    </row>
    <row r="45" ht="15.0" customHeight="1">
      <c r="A45" s="26" t="s">
        <v>371</v>
      </c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</row>
    <row r="46" ht="15.0" customHeight="1">
      <c r="A46" s="28" t="s">
        <v>372</v>
      </c>
      <c r="B46" s="30">
        <v>6.3</v>
      </c>
      <c r="C46" s="30">
        <v>8.31</v>
      </c>
      <c r="D46" s="30">
        <v>27.31</v>
      </c>
      <c r="E46" s="31">
        <v>102.6</v>
      </c>
      <c r="F46" s="30">
        <v>23.01</v>
      </c>
      <c r="G46" s="30">
        <v>9.86</v>
      </c>
      <c r="H46" s="30">
        <v>8.41</v>
      </c>
      <c r="I46" s="30">
        <v>16.18</v>
      </c>
      <c r="J46" s="30">
        <v>18.09</v>
      </c>
      <c r="K46" s="30">
        <v>34.32</v>
      </c>
      <c r="L46" s="29"/>
    </row>
    <row r="47" ht="15.0" customHeight="1">
      <c r="A47" s="28" t="s">
        <v>373</v>
      </c>
      <c r="B47" s="30">
        <v>15.93</v>
      </c>
      <c r="C47" s="30">
        <v>16.67</v>
      </c>
      <c r="D47" s="30">
        <v>18.17</v>
      </c>
      <c r="E47" s="30">
        <v>16.96</v>
      </c>
      <c r="F47" s="30">
        <v>13.76</v>
      </c>
      <c r="G47" s="30">
        <v>13.34</v>
      </c>
      <c r="H47" s="29"/>
      <c r="I47" s="29"/>
      <c r="J47" s="29"/>
      <c r="K47" s="29"/>
      <c r="L47" s="29"/>
    </row>
    <row r="48" ht="15.0" customHeight="1">
      <c r="A48" s="26" t="s">
        <v>374</v>
      </c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</row>
    <row r="49" ht="15.0" customHeight="1">
      <c r="A49" s="28" t="s">
        <v>375</v>
      </c>
      <c r="B49" s="29"/>
      <c r="C49" s="30">
        <v>10.08</v>
      </c>
      <c r="D49" s="30">
        <v>6.69</v>
      </c>
      <c r="E49" s="30">
        <v>13.92</v>
      </c>
      <c r="F49" s="30">
        <v>25.99</v>
      </c>
      <c r="G49" s="30">
        <v>13.03</v>
      </c>
      <c r="H49" s="30">
        <v>7.74</v>
      </c>
      <c r="I49" s="30">
        <v>15.55</v>
      </c>
      <c r="J49" s="30">
        <v>11.93</v>
      </c>
      <c r="K49" s="30">
        <v>12.14</v>
      </c>
      <c r="L49" s="29"/>
    </row>
    <row r="50" ht="15.0" customHeight="1">
      <c r="A50" s="28" t="s">
        <v>376</v>
      </c>
      <c r="B50" s="30">
        <v>14.95</v>
      </c>
      <c r="C50" s="30">
        <v>12.3</v>
      </c>
      <c r="D50" s="30">
        <v>11.97</v>
      </c>
      <c r="E50" s="30">
        <v>14.19</v>
      </c>
      <c r="F50" s="30">
        <v>13.84</v>
      </c>
      <c r="G50" s="30">
        <v>11.88</v>
      </c>
      <c r="H50" s="29"/>
      <c r="I50" s="29"/>
      <c r="J50" s="29"/>
      <c r="K50" s="29"/>
      <c r="L50" s="29"/>
    </row>
    <row r="51" ht="15.0" customHeight="1">
      <c r="A51" s="26" t="s">
        <v>377</v>
      </c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</row>
    <row r="52" ht="15.0" customHeight="1">
      <c r="A52" s="28" t="s">
        <v>378</v>
      </c>
      <c r="B52" s="29"/>
      <c r="C52" s="30">
        <v>21.62</v>
      </c>
      <c r="D52" s="30">
        <v>12.05</v>
      </c>
      <c r="E52" s="30">
        <v>21.34</v>
      </c>
      <c r="F52" s="30">
        <v>71.47</v>
      </c>
      <c r="G52" s="30">
        <v>21.06</v>
      </c>
      <c r="H52" s="30">
        <v>10.32</v>
      </c>
      <c r="I52" s="30">
        <v>19.49</v>
      </c>
      <c r="J52" s="30">
        <v>14.54</v>
      </c>
      <c r="K52" s="30">
        <v>15.57</v>
      </c>
      <c r="L52" s="29"/>
    </row>
    <row r="53" ht="15.0" customHeight="1">
      <c r="A53" s="28" t="s">
        <v>379</v>
      </c>
      <c r="B53" s="30">
        <v>45.33</v>
      </c>
      <c r="C53" s="30">
        <v>22.49</v>
      </c>
      <c r="D53" s="30">
        <v>19.77</v>
      </c>
      <c r="E53" s="30">
        <v>21.74</v>
      </c>
      <c r="F53" s="30">
        <v>20.22</v>
      </c>
      <c r="G53" s="30">
        <v>15.96</v>
      </c>
      <c r="H53" s="29"/>
      <c r="I53" s="29"/>
      <c r="J53" s="29"/>
      <c r="K53" s="29"/>
      <c r="L53" s="29"/>
    </row>
    <row r="54" ht="15.0" customHeight="1">
      <c r="A54" s="26" t="s">
        <v>380</v>
      </c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</row>
    <row r="55" ht="15.0" customHeight="1">
      <c r="A55" s="28" t="s">
        <v>381</v>
      </c>
      <c r="B55" s="30">
        <v>17.23</v>
      </c>
      <c r="C55" s="30">
        <v>19.2</v>
      </c>
      <c r="D55" s="30">
        <v>9.22</v>
      </c>
      <c r="E55" s="30">
        <v>19.93</v>
      </c>
      <c r="F55" s="30">
        <v>62.71</v>
      </c>
      <c r="G55" s="30">
        <v>19.32</v>
      </c>
      <c r="H55" s="30">
        <v>9.75</v>
      </c>
      <c r="I55" s="30">
        <v>20.21</v>
      </c>
      <c r="J55" s="30">
        <v>14.05</v>
      </c>
      <c r="K55" s="30">
        <v>15.87</v>
      </c>
      <c r="L55" s="29"/>
    </row>
    <row r="56" ht="15.0" customHeight="1">
      <c r="A56" s="28" t="s">
        <v>382</v>
      </c>
      <c r="B56" s="30">
        <v>1.19</v>
      </c>
      <c r="C56" s="30">
        <v>1.38</v>
      </c>
      <c r="D56" s="30">
        <v>1.39</v>
      </c>
      <c r="E56" s="30">
        <v>1.61</v>
      </c>
      <c r="F56" s="30">
        <v>1.55</v>
      </c>
      <c r="G56" s="30">
        <v>1.42</v>
      </c>
      <c r="H56" s="29"/>
      <c r="I56" s="29"/>
      <c r="J56" s="29"/>
      <c r="K56" s="29"/>
      <c r="L56" s="29"/>
    </row>
    <row r="57" ht="15.0" customHeight="1">
      <c r="A57" s="26" t="s">
        <v>383</v>
      </c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</row>
    <row r="58" ht="15.0" customHeight="1">
      <c r="A58" s="28" t="s">
        <v>384</v>
      </c>
      <c r="B58" s="29"/>
      <c r="C58" s="33">
        <v>-0.85</v>
      </c>
      <c r="D58" s="30">
        <v>70.11</v>
      </c>
      <c r="E58" s="30">
        <v>0.08</v>
      </c>
      <c r="F58" s="33">
        <v>-1.08</v>
      </c>
      <c r="G58" s="33">
        <v>-1.32</v>
      </c>
      <c r="H58" s="30">
        <v>0.43</v>
      </c>
      <c r="I58" s="33">
        <v>-2.82</v>
      </c>
      <c r="J58" s="30">
        <v>0.45</v>
      </c>
      <c r="K58" s="30">
        <v>0.07</v>
      </c>
      <c r="L58" s="29"/>
    </row>
    <row r="59" ht="15.0" customHeight="1">
      <c r="A59" s="28" t="s">
        <v>385</v>
      </c>
      <c r="B59" s="29"/>
      <c r="C59" s="33">
        <v>-4.7</v>
      </c>
      <c r="D59" s="30">
        <v>3.64</v>
      </c>
      <c r="E59" s="30">
        <v>5.58</v>
      </c>
      <c r="F59" s="33">
        <v>-1.32</v>
      </c>
      <c r="G59" s="29"/>
      <c r="H59" s="29"/>
      <c r="I59" s="29"/>
      <c r="J59" s="29"/>
      <c r="K59" s="29"/>
      <c r="L59" s="29"/>
    </row>
    <row r="60" ht="15.0" customHeight="1">
      <c r="A60" s="26" t="s">
        <v>386</v>
      </c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</row>
    <row r="61" ht="15.0" customHeight="1">
      <c r="A61" s="28" t="s">
        <v>387</v>
      </c>
      <c r="B61" s="30">
        <v>1.22</v>
      </c>
      <c r="C61" s="30">
        <v>1.54</v>
      </c>
      <c r="D61" s="30">
        <v>1.24</v>
      </c>
      <c r="E61" s="30">
        <v>2.36</v>
      </c>
      <c r="F61" s="30">
        <v>2.38</v>
      </c>
      <c r="G61" s="30">
        <v>1.97</v>
      </c>
      <c r="H61" s="30">
        <v>1.41</v>
      </c>
      <c r="I61" s="30">
        <v>2.43</v>
      </c>
      <c r="J61" s="30">
        <v>1.86</v>
      </c>
      <c r="K61" s="30">
        <v>1.75</v>
      </c>
      <c r="L61" s="29"/>
    </row>
    <row r="62" ht="15.0" customHeight="1">
      <c r="A62" s="28" t="s">
        <v>388</v>
      </c>
      <c r="B62" s="30">
        <v>1.66</v>
      </c>
      <c r="C62" s="30">
        <v>1.81</v>
      </c>
      <c r="D62" s="30">
        <v>1.81</v>
      </c>
      <c r="E62" s="30">
        <v>2.1</v>
      </c>
      <c r="F62" s="30">
        <v>1.99</v>
      </c>
      <c r="G62" s="30">
        <v>1.87</v>
      </c>
      <c r="H62" s="29"/>
      <c r="I62" s="29"/>
      <c r="J62" s="29"/>
      <c r="K62" s="29"/>
      <c r="L62" s="29"/>
    </row>
    <row r="63" ht="15.0" customHeight="1">
      <c r="A63" s="26" t="s">
        <v>389</v>
      </c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</row>
    <row r="64" ht="15.0" customHeight="1">
      <c r="A64" s="28" t="s">
        <v>390</v>
      </c>
      <c r="B64" s="30">
        <v>8.31</v>
      </c>
      <c r="C64" s="30">
        <v>9.64</v>
      </c>
      <c r="D64" s="30">
        <v>7.93</v>
      </c>
      <c r="E64" s="30">
        <v>13.43</v>
      </c>
      <c r="F64" s="30">
        <v>14.02</v>
      </c>
      <c r="G64" s="30">
        <v>11.4</v>
      </c>
      <c r="H64" s="30">
        <v>8.22</v>
      </c>
      <c r="I64" s="30">
        <v>15.29</v>
      </c>
      <c r="J64" s="30">
        <v>11.98</v>
      </c>
      <c r="K64" s="30">
        <v>11.73</v>
      </c>
      <c r="L64" s="29"/>
    </row>
    <row r="65" ht="15.0" customHeight="1">
      <c r="A65" s="28" t="s">
        <v>391</v>
      </c>
      <c r="B65" s="30">
        <v>10.35</v>
      </c>
      <c r="C65" s="30">
        <v>10.92</v>
      </c>
      <c r="D65" s="30">
        <v>10.76</v>
      </c>
      <c r="E65" s="30">
        <v>12.3</v>
      </c>
      <c r="F65" s="30">
        <v>11.93</v>
      </c>
      <c r="G65" s="30">
        <v>11.43</v>
      </c>
      <c r="H65" s="29"/>
      <c r="I65" s="29"/>
      <c r="J65" s="29"/>
      <c r="K65" s="29"/>
      <c r="L65" s="29"/>
    </row>
    <row r="66" ht="15.0" customHeight="1">
      <c r="A66" s="26" t="s">
        <v>392</v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</row>
    <row r="67" ht="15.0" customHeight="1">
      <c r="A67" s="28" t="s">
        <v>393</v>
      </c>
      <c r="B67" s="30">
        <v>9.96</v>
      </c>
      <c r="C67" s="30">
        <v>10.48</v>
      </c>
      <c r="D67" s="30">
        <v>26.69</v>
      </c>
      <c r="E67" s="30">
        <v>65.82</v>
      </c>
      <c r="F67" s="30">
        <v>23.38</v>
      </c>
      <c r="G67" s="30">
        <v>11.45</v>
      </c>
      <c r="H67" s="30">
        <v>10.94</v>
      </c>
      <c r="I67" s="30">
        <v>18.59</v>
      </c>
      <c r="J67" s="30">
        <v>17.42</v>
      </c>
      <c r="K67" s="30">
        <v>28.31</v>
      </c>
      <c r="L67" s="29"/>
    </row>
    <row r="68" ht="15.0" customHeight="1">
      <c r="A68" s="28" t="s">
        <v>394</v>
      </c>
      <c r="B68" s="30">
        <v>18.25</v>
      </c>
      <c r="C68" s="30">
        <v>18.55</v>
      </c>
      <c r="D68" s="30">
        <v>20.16</v>
      </c>
      <c r="E68" s="30">
        <v>18.95</v>
      </c>
      <c r="F68" s="30">
        <v>15.26</v>
      </c>
      <c r="G68" s="30">
        <v>14.82</v>
      </c>
      <c r="H68" s="29"/>
      <c r="I68" s="29"/>
      <c r="J68" s="29"/>
      <c r="K68" s="29"/>
      <c r="L68" s="29"/>
    </row>
    <row r="69" ht="15.0" customHeight="1">
      <c r="A69" s="26" t="s">
        <v>395</v>
      </c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</row>
    <row r="70" ht="15.0" customHeight="1">
      <c r="A70" s="28" t="s">
        <v>396</v>
      </c>
      <c r="B70" s="30">
        <v>11.39</v>
      </c>
      <c r="C70" s="30">
        <v>12.38</v>
      </c>
      <c r="D70" s="30">
        <v>46.8</v>
      </c>
      <c r="E70" s="31">
        <v>141.53</v>
      </c>
      <c r="F70" s="30">
        <v>27.49</v>
      </c>
      <c r="G70" s="30">
        <v>12.91</v>
      </c>
      <c r="H70" s="30">
        <v>13.32</v>
      </c>
      <c r="I70" s="30">
        <v>22.32</v>
      </c>
      <c r="J70" s="30">
        <v>20.99</v>
      </c>
      <c r="K70" s="30">
        <v>42.83</v>
      </c>
      <c r="L70" s="29"/>
    </row>
    <row r="71" ht="15.0" customHeight="1">
      <c r="A71" s="28" t="s">
        <v>397</v>
      </c>
      <c r="B71" s="30">
        <v>23.02</v>
      </c>
      <c r="C71" s="30">
        <v>23.25</v>
      </c>
      <c r="D71" s="30">
        <v>25.77</v>
      </c>
      <c r="E71" s="30">
        <v>23.06</v>
      </c>
      <c r="F71" s="30">
        <v>17.97</v>
      </c>
      <c r="G71" s="30">
        <v>17.75</v>
      </c>
      <c r="H71" s="29"/>
      <c r="I71" s="29"/>
      <c r="J71" s="29"/>
      <c r="K71" s="29"/>
      <c r="L71" s="29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