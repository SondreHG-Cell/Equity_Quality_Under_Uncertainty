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Valuation" sheetId="3" r:id="rId6"/>
    <sheet state="visible" name="Cash Flow" sheetId="4" r:id="rId7"/>
  </sheets>
  <definedNames/>
  <calcPr/>
  <extLst>
    <ext uri="GoogleSheetsCustomDataVersion2">
      <go:sheetsCustomData xmlns:go="http://customooxmlschemas.google.com/" r:id="rId8" roundtripDataChecksum="4fjVlgyfbhK6qao3w5ji0oLuGH+dhd6e9Ocy/hbJ8y0="/>
    </ext>
  </extLst>
</workbook>
</file>

<file path=xl/sharedStrings.xml><?xml version="1.0" encoding="utf-8"?>
<sst xmlns="http://schemas.openxmlformats.org/spreadsheetml/2006/main" count="626" uniqueCount="397">
  <si>
    <t>Company Fundamentals - Income Statement</t>
  </si>
  <si>
    <t>Company Name</t>
  </si>
  <si>
    <t>Aker Biomarine ASA (AKBM.OL)</t>
  </si>
  <si>
    <t>Country of Exchange</t>
  </si>
  <si>
    <t>Norway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</si>
  <si>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</si>
  <si>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</si>
  <si>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</si>
  <si>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</si>
  <si>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</si>
  <si>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</si>
  <si>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</si>
  <si>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</si>
  <si>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</si>
  <si>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</si>
  <si>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</si>
  <si>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</si>
  <si>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</si>
  <si>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</si>
  <si>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</si>
  <si>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</si>
  <si>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</si>
  <si>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</si>
  <si>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</si>
  <si>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</si>
  <si>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</si>
  <si>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</si>
  <si>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</si>
  <si>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</si>
  <si>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</si>
  <si>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</si>
  <si>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</si>
  <si>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</si>
  <si>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</si>
  <si>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</si>
  <si>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</si>
  <si>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</si>
  <si>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</si>
  <si>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</si>
  <si>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</si>
  <si>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</si>
  <si>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</si>
  <si>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</si>
  <si>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</si>
  <si>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</si>
  <si>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</si>
  <si>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</si>
  <si>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</si>
  <si>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</si>
  <si>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</si>
  <si>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Net sales</t>
  </si>
  <si>
    <t>Total Revenue</t>
  </si>
  <si>
    <t>Cost of goods sold</t>
  </si>
  <si>
    <t>Cost of Revenues - Total</t>
  </si>
  <si>
    <t>Gross profit</t>
  </si>
  <si>
    <t>Other Operating Income</t>
  </si>
  <si>
    <t>Operating Income - Total (Non-revenue) - Other</t>
  </si>
  <si>
    <t>Selling, General &amp; Administrative Expenses</t>
  </si>
  <si>
    <t>Research &amp; Development Expense</t>
  </si>
  <si>
    <t>Selling, General &amp; Administrative Expenses - Balancing value</t>
  </si>
  <si>
    <t>Production &amp; Other Operating Expense</t>
  </si>
  <si>
    <t>Fuel</t>
  </si>
  <si>
    <t>Maintenance and Services</t>
  </si>
  <si>
    <t>Sales, Marketing, Freight and Other Selling Costs</t>
  </si>
  <si>
    <t>Travel Expenses</t>
  </si>
  <si>
    <t>Insurance</t>
  </si>
  <si>
    <t>Office Rent and Administration</t>
  </si>
  <si>
    <t>Extraction, Encapsulation and Other Production Costs</t>
  </si>
  <si>
    <t>Other Production &amp; Other Operating Expense</t>
  </si>
  <si>
    <t>Production &amp; Other Operating Expense - Balancing value</t>
  </si>
  <si>
    <t>Other operating cost</t>
  </si>
  <si>
    <t>Salaries and Payroll Expense</t>
  </si>
  <si>
    <t>Other operating income</t>
  </si>
  <si>
    <t>Legal Provisions &amp; Litigation Expenses</t>
  </si>
  <si>
    <t>Net Changes in Inventory</t>
  </si>
  <si>
    <t>Other Operating Income/Expense - Balancing value</t>
  </si>
  <si>
    <t>Fair value changes fuel derivatives</t>
  </si>
  <si>
    <t>Other Operating Income - Balancing value</t>
  </si>
  <si>
    <t>Sale of Tangible &amp; Intangible Fixed Assets - Gain/Loss</t>
  </si>
  <si>
    <t>Depreciation &amp; Amortization with Impairment</t>
  </si>
  <si>
    <t>Depreciation</t>
  </si>
  <si>
    <t>Impairment - Fixed Assets</t>
  </si>
  <si>
    <t>Depreciation of Financial Lease Right-of-Use Assets</t>
  </si>
  <si>
    <t>Amortization excluding Goodwill in Research &amp; Development Expenses</t>
  </si>
  <si>
    <t>Amortization of Licenses, Copyrights, Property Rights &amp; Designs</t>
  </si>
  <si>
    <t>Amortization of Customer Relations</t>
  </si>
  <si>
    <t>Amortization of Brands, Patents, Trademarks, Marketing &amp; Artistic Intangibles</t>
  </si>
  <si>
    <t>Depreciation &amp; Amortization with Impairment - Balancing value</t>
  </si>
  <si>
    <t>Depreciation &amp; Amortization</t>
  </si>
  <si>
    <t>Depreciation &amp; Amortization - Balancing value</t>
  </si>
  <si>
    <t>Impairment - Intangibles excluding Goodwill</t>
  </si>
  <si>
    <t>Operating (Income)/Expense - Net</t>
  </si>
  <si>
    <t>Balancing Item - Income from Operations, net</t>
  </si>
  <si>
    <t>Operating profit (loss)</t>
  </si>
  <si>
    <t>Net financial items</t>
  </si>
  <si>
    <t>Financial income</t>
  </si>
  <si>
    <t>Interest Income - Non-Bank</t>
  </si>
  <si>
    <t>Equity Earnings - before Tax</t>
  </si>
  <si>
    <t>Foreign Exchange Gain</t>
  </si>
  <si>
    <t>Other Non-Operating Income</t>
  </si>
  <si>
    <t>Financial income - Balancing value</t>
  </si>
  <si>
    <t>Financial Income - Total - Balancing value</t>
  </si>
  <si>
    <t>Financial expenses</t>
  </si>
  <si>
    <t>Interest Expense</t>
  </si>
  <si>
    <t>Interest Expense on Financial Lease Liabilities</t>
  </si>
  <si>
    <t>Interest Expense - Other</t>
  </si>
  <si>
    <t>Foreign Exchange Loss</t>
  </si>
  <si>
    <t>Other Non-Operating Expense</t>
  </si>
  <si>
    <t>Financial Expense - Total - Balancing value</t>
  </si>
  <si>
    <t>Net Financing Income/Expense - Balancing value</t>
  </si>
  <si>
    <t>Net foreign exchange gain/loss</t>
  </si>
  <si>
    <t>Share of Loss from Equity Accounted Investees</t>
  </si>
  <si>
    <t>Balancing Item - Pretax Income</t>
  </si>
  <si>
    <t>Profit (loss) before tax</t>
  </si>
  <si>
    <t>Tax Expense</t>
  </si>
  <si>
    <t>Income Taxes - Total</t>
  </si>
  <si>
    <t>Net Income after Tax</t>
  </si>
  <si>
    <t>Balancing Item - Net Income Including After Tax Adjustment</t>
  </si>
  <si>
    <t>Net Income - including After-Tax Adjustments</t>
  </si>
  <si>
    <t>Balancing Item - Net Income After Extraordinary Items applicable to Common</t>
  </si>
  <si>
    <t>Net profit (loss) from discontinued operations</t>
  </si>
  <si>
    <t>Extraordinary Items (after Tax)</t>
  </si>
  <si>
    <t>Net Income after Extraordinary Items</t>
  </si>
  <si>
    <t>Net Income - including Extraordinary Items</t>
  </si>
  <si>
    <t>Net Income - excluding  Extraordinary Items applicable to Common</t>
  </si>
  <si>
    <t>Net profit (loss)</t>
  </si>
  <si>
    <t>Other Comprehensive Income - Starting Line</t>
  </si>
  <si>
    <t>Other Comprehensive Income - Pension Liabilities - Net of Tax</t>
  </si>
  <si>
    <t>Other Comprehensive Income - Foreign Currency - Net of Tax</t>
  </si>
  <si>
    <t>Change in fair value cash flow hedges</t>
  </si>
  <si>
    <t>Total other comprehensive income (loss)</t>
  </si>
  <si>
    <t>Total comprehensive income (loss)</t>
  </si>
  <si>
    <t>Net Income - Diluted - including Extraordinary Items Applicable to Common</t>
  </si>
  <si>
    <t>Shares used to calculate Basic EPS - Total</t>
  </si>
  <si>
    <t>Shares used to calculate Diluted EPS - Total</t>
  </si>
  <si>
    <t>Diluted</t>
  </si>
  <si>
    <t>EPS - Basic - including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</si>
  <si>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</si>
  <si>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</si>
  <si>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</si>
  <si>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Labor &amp; Related Expenses - Supplemental</t>
  </si>
  <si>
    <t>Short-Term Lease Cost</t>
  </si>
  <si>
    <t>Variable Financial Lease Expenses</t>
  </si>
  <si>
    <t>Auditor Fees</t>
  </si>
  <si>
    <t>Auditor Fees - Other</t>
  </si>
  <si>
    <t>Tax Fees</t>
  </si>
  <si>
    <t>Auditor Fees - Total</t>
  </si>
  <si>
    <t>Amortization of Intangible Assets excluding Goodwill - Total</t>
  </si>
  <si>
    <t>Depreciation - Total</t>
  </si>
  <si>
    <t>Depreciation &amp; Amortization - Total</t>
  </si>
  <si>
    <t>Interest Expense on Financial Lease Liabilities - Supplemental</t>
  </si>
  <si>
    <t>Product launch</t>
  </si>
  <si>
    <t>Other Special items</t>
  </si>
  <si>
    <t>Restructuring costs</t>
  </si>
  <si>
    <t>Impairment and other inventory adjustments</t>
  </si>
  <si>
    <t>Costs Associated with IPOs &amp; Mergers</t>
  </si>
  <si>
    <t>Non-Recurring Income/Expense - Other</t>
  </si>
  <si>
    <t>COVID-19 Non-Recurring Income/Expense - Other</t>
  </si>
  <si>
    <t>La Manche operating costs and gain</t>
  </si>
  <si>
    <t>Juvel operating cost</t>
  </si>
  <si>
    <t>Non-GAAP Adjusted EBITDA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</si>
  <si>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</si>
  <si>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</si>
  <si>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</si>
  <si>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</si>
  <si>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Diluted Earnings Allocation Factor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</si>
  <si>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</si>
  <si>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</si>
  <si>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Earnings Allocation Factor - Issue Specific</t>
  </si>
  <si>
    <t>EPS - Basic - excluding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</si>
  <si>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</si>
  <si>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</si>
  <si>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</si>
  <si>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</si>
  <si>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</si>
  <si>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</si>
  <si>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</si>
  <si>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Unrestricted Cash &amp; Cash Equivalents</t>
  </si>
  <si>
    <t>Restricted Accounts - Short-Term</t>
  </si>
  <si>
    <t>Cash and cash equivalents - Balancing value</t>
  </si>
  <si>
    <t>Current Interest-Bearing Receivables</t>
  </si>
  <si>
    <t>Trade receivable and other current assets</t>
  </si>
  <si>
    <t>Accounts Receivables</t>
  </si>
  <si>
    <t>Prepaid Expenses</t>
  </si>
  <si>
    <t>Other Current Receivables</t>
  </si>
  <si>
    <t>Accounts Receivable and Prepaid Expenses - Balancing value</t>
  </si>
  <si>
    <t>Inventories</t>
  </si>
  <si>
    <t>Inventories - Raw Materials - Net</t>
  </si>
  <si>
    <t>Inventories - Finished Goods</t>
  </si>
  <si>
    <t>Inventories - Other</t>
  </si>
  <si>
    <t>Inventories - Total - Balancing value</t>
  </si>
  <si>
    <t>Derivative Assets</t>
  </si>
  <si>
    <t>Assets Held for Sale/Discontinued Operations - Short-Term</t>
  </si>
  <si>
    <t>Current interest-bearing receivables</t>
  </si>
  <si>
    <t>Balancing Item - Current Assets</t>
  </si>
  <si>
    <t>Total Current Assets</t>
  </si>
  <si>
    <t>Investments in equity-accounted investees</t>
  </si>
  <si>
    <t>Other non-current receivables</t>
  </si>
  <si>
    <t>Other interest-bearing non-current receivables</t>
  </si>
  <si>
    <t>Intangible assets and goodwill</t>
  </si>
  <si>
    <t>Goodwill - Gross</t>
  </si>
  <si>
    <t>Goodwill - Accumulated Amortization &amp; Impairment</t>
  </si>
  <si>
    <t>Development - Net</t>
  </si>
  <si>
    <t>Development - Gross</t>
  </si>
  <si>
    <t>Development - Accumulated</t>
  </si>
  <si>
    <t>Development - Net - Balancing value</t>
  </si>
  <si>
    <t>License agreements - Gross</t>
  </si>
  <si>
    <t>License agreements - Accumulated</t>
  </si>
  <si>
    <t>Licenses, Franchises, Copyrights, Property Rights, Prototypes, Contract Based, Models &amp; Designs - Net - Balancing value</t>
  </si>
  <si>
    <t>Fishing Licences - Gross</t>
  </si>
  <si>
    <t>Fishing Licences - Accumulated Amortization</t>
  </si>
  <si>
    <t>Assets under development - Accumulated</t>
  </si>
  <si>
    <t>Assets under development - Gross</t>
  </si>
  <si>
    <t>Assets under development - Net - Balancing value</t>
  </si>
  <si>
    <t>Customer relation - Gross</t>
  </si>
  <si>
    <t>Customer relation - Accumulated</t>
  </si>
  <si>
    <t>Trademark - Gross</t>
  </si>
  <si>
    <t>Trademark - Net</t>
  </si>
  <si>
    <t>Patents - Accumulated Amortization &amp; Impairment</t>
  </si>
  <si>
    <t>Patents - Gross</t>
  </si>
  <si>
    <t>Intangible Assets - Net - Total - Balancing value</t>
  </si>
  <si>
    <t>Property, Plant &amp; Equipment - Net - Total</t>
  </si>
  <si>
    <t>Transportation Equipment - Gross</t>
  </si>
  <si>
    <t>Transportation Equipment - Accumulated Depreciation &amp; Impairment</t>
  </si>
  <si>
    <t>Plant Machinery &amp; Equipment - Gross</t>
  </si>
  <si>
    <t>Machinery - Accumulated</t>
  </si>
  <si>
    <t>Asset under construction - Net</t>
  </si>
  <si>
    <t>Asset under construction - Gross</t>
  </si>
  <si>
    <t>Asset under construction - Accumulated Depreciation &amp; Impairment</t>
  </si>
  <si>
    <t>Buildings and Land - Net</t>
  </si>
  <si>
    <t>Land &amp; Buildings - Gross</t>
  </si>
  <si>
    <t>Buildings and Land - Accumulated</t>
  </si>
  <si>
    <t>Property Plant and Experience - B/I</t>
  </si>
  <si>
    <t>Right to use assets</t>
  </si>
  <si>
    <t>Contract Cost</t>
  </si>
  <si>
    <t>Deferred tax asset</t>
  </si>
  <si>
    <t>Derivative assets, non-current</t>
  </si>
  <si>
    <t>Balancing Item - Noncurrent Assets</t>
  </si>
  <si>
    <t>Total Non-Current Assets</t>
  </si>
  <si>
    <t>Assets held for sale</t>
  </si>
  <si>
    <t>Balancing Item - Assets</t>
  </si>
  <si>
    <t>Total Assets</t>
  </si>
  <si>
    <t>Accounts Payable and Other Payables</t>
  </si>
  <si>
    <t>Accounts Payable</t>
  </si>
  <si>
    <t>Accrued Expenses</t>
  </si>
  <si>
    <t>Other Current Liabilities</t>
  </si>
  <si>
    <t>Accounts Payable and Other Payables - Balancing value</t>
  </si>
  <si>
    <t>Interest-Bearing Current Liabilities</t>
  </si>
  <si>
    <t>Current Portion of Long-Term Debt excluding Capitalized Leases</t>
  </si>
  <si>
    <t>Overdraft facilities</t>
  </si>
  <si>
    <t>Capitalized Leases - Current Portion</t>
  </si>
  <si>
    <t>Interest-Bearing Current Liabilities - Balancing value</t>
  </si>
  <si>
    <t>Derivative Liabilities</t>
  </si>
  <si>
    <t>Liabilities Held for Sale/Discontinued Operations - Short-Term</t>
  </si>
  <si>
    <t>Balancing Item - Current Liabilities</t>
  </si>
  <si>
    <t>Total Current Liabilities</t>
  </si>
  <si>
    <t>Other non-interest-bearing non-current liabilities</t>
  </si>
  <si>
    <t>Other Non-Interest-Bearing Non-Current Liabilities - Total - Balancing value</t>
  </si>
  <si>
    <t>Pension Liabilites</t>
  </si>
  <si>
    <t>Deferred tax liability</t>
  </si>
  <si>
    <t>Interest-Bearing Debt</t>
  </si>
  <si>
    <t>Capitalized Lease Obligations - Long-Term</t>
  </si>
  <si>
    <t>Long-Term Debt excluding Capitalized Leases</t>
  </si>
  <si>
    <t>Interest-Bearing Debt - Balancing value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</si>
  <si>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</si>
  <si>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</si>
  <si>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</si>
  <si>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</si>
  <si>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</si>
  <si>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Paid-in Equity</t>
  </si>
  <si>
    <t>Share Premium</t>
  </si>
  <si>
    <t>Other Paid-in Capital</t>
  </si>
  <si>
    <t>Other Paid-in Equity - Balancing value</t>
  </si>
  <si>
    <t>Translation Differences and Other Reserves</t>
  </si>
  <si>
    <t>Retained Earnings</t>
  </si>
  <si>
    <t>Total Equity</t>
  </si>
  <si>
    <t>Balancing Item - Shareholders Equity</t>
  </si>
  <si>
    <t>Total equity</t>
  </si>
  <si>
    <t>Balancing Item - Total Equity</t>
  </si>
  <si>
    <t>Balancing Item - Total Liability and Equity</t>
  </si>
  <si>
    <t>Total equity and liabilities</t>
  </si>
  <si>
    <t>Common Shares - Issued - Total</t>
  </si>
  <si>
    <t>Common Shares - Outstanding - Total</t>
  </si>
  <si>
    <t>Common Shares - Treasury - Total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</si>
  <si>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</si>
  <si>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</si>
  <si>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</si>
  <si>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</si>
  <si>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</si>
  <si>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Common Shares - Outstanding - Issue Specific</t>
  </si>
  <si>
    <t>Common Shares - Treasury - Issue Specific</t>
  </si>
  <si>
    <t>Asset Allocation Factor - Issue Specific</t>
  </si>
  <si>
    <t>Common Shares - Issued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</si>
  <si>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</si>
  <si>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</si>
  <si>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</si>
  <si>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</si>
  <si>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</si>
  <si>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</si>
  <si>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</si>
  <si>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</si>
  <si>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</si>
  <si>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</si>
  <si>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</si>
  <si>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</si>
  <si>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</si>
  <si>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</si>
  <si>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</si>
  <si>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</si>
  <si>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</si>
  <si>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</si>
  <si>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</si>
  <si>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</si>
  <si>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</si>
  <si>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</si>
  <si>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</si>
  <si>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</si>
  <si>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</si>
  <si>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</si>
  <si>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</si>
  <si>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</si>
  <si>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</si>
  <si>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</si>
  <si>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</si>
  <si>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</si>
  <si>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</si>
  <si>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</si>
  <si>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</si>
  <si>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</si>
  <si>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</si>
  <si>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</si>
  <si>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</si>
  <si>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</si>
  <si>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</si>
  <si>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</si>
  <si>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</si>
  <si>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</si>
  <si>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</si>
  <si>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</si>
  <si>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</si>
  <si>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</si>
  <si>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</si>
  <si>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</si>
  <si>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Company Fundamentals - Cash Flow</t>
  </si>
  <si>
    <t>Industrial - Indirect</t>
  </si>
  <si>
    <t>Cash Flow - Company Specific (Currency: Norwegian Krone)</t>
  </si>
  <si>
    <t>Net profit (loss) after tax</t>
  </si>
  <si>
    <t>Tax expenses</t>
  </si>
  <si>
    <t>Net interest and guarantee expenses</t>
  </si>
  <si>
    <t>Interest and Guarantee Premiums Paid</t>
  </si>
  <si>
    <t>Interest Paid</t>
  </si>
  <si>
    <t>Interest Received</t>
  </si>
  <si>
    <t>Taxes paid</t>
  </si>
  <si>
    <t>Other P&amp;L Items with no  Cash Flow Effect</t>
  </si>
  <si>
    <t>Impairment Charges</t>
  </si>
  <si>
    <t>Gain sale of subsidiaries</t>
  </si>
  <si>
    <t>Depreciation and amortization</t>
  </si>
  <si>
    <t>Depreciation, Amortization and Impairment</t>
  </si>
  <si>
    <t>Share of Gain (Loss) from Equity Accounted Investees</t>
  </si>
  <si>
    <t>Fuel hedge and new market tax credit</t>
  </si>
  <si>
    <t>Foreign Exchange Loss (Gain)</t>
  </si>
  <si>
    <t>Working Capital - Increase/Decrease</t>
  </si>
  <si>
    <t>Change in non-current interest free asset and liabilities</t>
  </si>
  <si>
    <t>Change in inventory</t>
  </si>
  <si>
    <t>Change in accounts receivable, other current receivables, accounts payable and other current liabilities</t>
  </si>
  <si>
    <t>Balancing Item - Operating (Indirect)</t>
  </si>
  <si>
    <t>Net Cash Flow from Operating Activities</t>
  </si>
  <si>
    <t>Property, Plant &amp; Equipment Purchased</t>
  </si>
  <si>
    <t>Payments for intangibles</t>
  </si>
  <si>
    <t>Property, Plant &amp; Equipment Sold</t>
  </si>
  <si>
    <t>Earn Out payment</t>
  </si>
  <si>
    <t>New long-term receivable interest-bearing</t>
  </si>
  <si>
    <t>Investments in Subsidiary and Associated Companies</t>
  </si>
  <si>
    <t>New long-term receivable interest bearing</t>
  </si>
  <si>
    <t>New short-term receivable interest-bearing</t>
  </si>
  <si>
    <t>Business - Sold - Cash Flow</t>
  </si>
  <si>
    <t>Acquisition of Business - Cash Flow</t>
  </si>
  <si>
    <t>Instalment short/long-term receivable, interest bearing</t>
  </si>
  <si>
    <t>Balancing Item - Investing</t>
  </si>
  <si>
    <t>Net Cash Flow from Investing Activities</t>
  </si>
  <si>
    <t>Change in overdraft facility and other short term debt</t>
  </si>
  <si>
    <t>Proceeds from Issue of Debt and Change in Overdraft Facility - negative</t>
  </si>
  <si>
    <t>Change in overdraft facility</t>
  </si>
  <si>
    <t>Proceeds from issue of external debt</t>
  </si>
  <si>
    <t>Proceeds from issue of external interest-bearing debt</t>
  </si>
  <si>
    <t>Installments interest-bearing debt</t>
  </si>
  <si>
    <t>Dividends  Paid</t>
  </si>
  <si>
    <t>Net funds from issue of shares</t>
  </si>
  <si>
    <t>Repayment of Debt</t>
  </si>
  <si>
    <t>Loan from Owners</t>
  </si>
  <si>
    <t>Repayments to owners</t>
  </si>
  <si>
    <t>Balancing Item - Financing</t>
  </si>
  <si>
    <t>Net Cash Flow from Financing Activities</t>
  </si>
  <si>
    <t>Cash and cash equivalents beginning of the period</t>
  </si>
  <si>
    <t>Cash and cash equivalents end of period</t>
  </si>
  <si>
    <t>Net change in cash and cash equivalents</t>
  </si>
  <si>
    <t>Balancing Item - Change in 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</si>
</sst>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46090.4385879282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43465.0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35</v>
      </c>
      <c r="K15" s="10" t="s">
        <v>35</v>
      </c>
      <c r="L15" s="10" t="s">
        <v>35</v>
      </c>
    </row>
    <row r="16" ht="15.0" customHeight="1" outlineLevel="1">
      <c r="A16" s="8" t="s">
        <v>36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50</v>
      </c>
      <c r="B20" s="15">
        <v>2262.25</v>
      </c>
      <c r="C20" s="15">
        <v>2138.01</v>
      </c>
      <c r="D20" s="15">
        <v>3537.87</v>
      </c>
      <c r="E20" s="15">
        <v>2663.18</v>
      </c>
      <c r="F20" s="15">
        <v>2252.34</v>
      </c>
      <c r="G20" s="15">
        <v>2715.86</v>
      </c>
      <c r="H20" s="15">
        <v>2165.82</v>
      </c>
      <c r="I20" s="15">
        <v>1255.13</v>
      </c>
      <c r="J20" s="15">
        <v>1026.22</v>
      </c>
      <c r="K20" s="15">
        <v>967.14</v>
      </c>
      <c r="L20" s="15">
        <v>831.93</v>
      </c>
    </row>
    <row r="21" ht="15.0" customHeight="1">
      <c r="A21" s="16" t="s">
        <v>51</v>
      </c>
      <c r="B21" s="17">
        <v>2262.25</v>
      </c>
      <c r="C21" s="17">
        <v>2138.01</v>
      </c>
      <c r="D21" s="17">
        <v>3537.87</v>
      </c>
      <c r="E21" s="17">
        <v>2663.18</v>
      </c>
      <c r="F21" s="17">
        <v>2252.34</v>
      </c>
      <c r="G21" s="17">
        <v>2715.86</v>
      </c>
      <c r="H21" s="17">
        <v>2165.82</v>
      </c>
      <c r="I21" s="17">
        <v>1255.13</v>
      </c>
      <c r="J21" s="17">
        <v>1026.22</v>
      </c>
      <c r="K21" s="17">
        <v>967.14</v>
      </c>
      <c r="L21" s="17">
        <v>831.93</v>
      </c>
    </row>
    <row r="22" ht="15.0" customHeight="1">
      <c r="A22" s="14" t="s">
        <v>52</v>
      </c>
      <c r="B22" s="15">
        <v>1247.82</v>
      </c>
      <c r="C22" s="15">
        <v>1395.62</v>
      </c>
      <c r="D22" s="15">
        <v>2346.62</v>
      </c>
      <c r="E22" s="15">
        <v>1560.25</v>
      </c>
      <c r="F22" s="15">
        <v>1495.49</v>
      </c>
      <c r="G22" s="15">
        <v>1684.64</v>
      </c>
      <c r="H22" s="15">
        <v>1283.65</v>
      </c>
      <c r="I22" s="15">
        <v>723.12</v>
      </c>
      <c r="J22" s="18"/>
      <c r="K22" s="18"/>
      <c r="L22" s="18"/>
    </row>
    <row r="23" ht="15.0" customHeight="1">
      <c r="A23" s="16" t="s">
        <v>53</v>
      </c>
      <c r="B23" s="17">
        <v>1247.82</v>
      </c>
      <c r="C23" s="17">
        <v>1395.62</v>
      </c>
      <c r="D23" s="17">
        <v>2346.62</v>
      </c>
      <c r="E23" s="17">
        <v>1560.25</v>
      </c>
      <c r="F23" s="17">
        <v>1495.49</v>
      </c>
      <c r="G23" s="17">
        <v>1684.64</v>
      </c>
      <c r="H23" s="17">
        <v>1283.65</v>
      </c>
      <c r="I23" s="17">
        <v>723.12</v>
      </c>
      <c r="J23" s="19"/>
      <c r="K23" s="19"/>
      <c r="L23" s="19"/>
    </row>
    <row r="24" ht="15.0" customHeight="1">
      <c r="A24" s="16" t="s">
        <v>54</v>
      </c>
      <c r="B24" s="17">
        <v>1014.43</v>
      </c>
      <c r="C24" s="17">
        <v>742.4</v>
      </c>
      <c r="D24" s="17">
        <v>1191.25</v>
      </c>
      <c r="E24" s="17">
        <v>1102.93</v>
      </c>
      <c r="F24" s="17">
        <v>756.85</v>
      </c>
      <c r="G24" s="17">
        <v>1031.22</v>
      </c>
      <c r="H24" s="17">
        <v>882.17</v>
      </c>
      <c r="I24" s="17">
        <v>532.01</v>
      </c>
      <c r="J24" s="19"/>
      <c r="K24" s="19"/>
      <c r="L24" s="19"/>
    </row>
    <row r="25" ht="15.0" customHeight="1">
      <c r="A25" s="14" t="s">
        <v>55</v>
      </c>
      <c r="B25" s="18"/>
      <c r="C25" s="20">
        <v>21.49</v>
      </c>
      <c r="D25" s="18"/>
      <c r="E25" s="18"/>
      <c r="F25" s="18"/>
      <c r="G25" s="18"/>
      <c r="H25" s="18"/>
      <c r="I25" s="18"/>
      <c r="J25" s="20">
        <v>11.46</v>
      </c>
      <c r="K25" s="20">
        <v>13.01</v>
      </c>
      <c r="L25" s="20">
        <v>15.65</v>
      </c>
    </row>
    <row r="26" ht="15.0" customHeight="1">
      <c r="A26" s="16" t="s">
        <v>56</v>
      </c>
      <c r="B26" s="19"/>
      <c r="C26" s="19"/>
      <c r="D26" s="19"/>
      <c r="E26" s="19"/>
      <c r="F26" s="19"/>
      <c r="G26" s="19"/>
      <c r="H26" s="19"/>
      <c r="I26" s="19"/>
      <c r="J26" s="21">
        <v>11.46</v>
      </c>
      <c r="K26" s="21">
        <v>13.01</v>
      </c>
      <c r="L26" s="21">
        <v>15.65</v>
      </c>
    </row>
    <row r="27" ht="15.0" customHeight="1">
      <c r="A27" s="14" t="s">
        <v>55</v>
      </c>
      <c r="B27" s="22">
        <v>-20.75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ht="15.0" customHeight="1">
      <c r="A28" s="14" t="s">
        <v>57</v>
      </c>
      <c r="B28" s="15">
        <v>716.74</v>
      </c>
      <c r="C28" s="15">
        <v>655.37</v>
      </c>
      <c r="D28" s="15">
        <v>954.9</v>
      </c>
      <c r="E28" s="15">
        <v>831.04</v>
      </c>
      <c r="F28" s="15">
        <v>736.61</v>
      </c>
      <c r="G28" s="15">
        <v>817.3</v>
      </c>
      <c r="H28" s="15">
        <v>672.74</v>
      </c>
      <c r="I28" s="15">
        <v>363.77</v>
      </c>
      <c r="J28" s="18"/>
      <c r="K28" s="18"/>
      <c r="L28" s="18"/>
    </row>
    <row r="29" ht="15.0" customHeight="1">
      <c r="A29" s="14" t="s">
        <v>58</v>
      </c>
      <c r="B29" s="18"/>
      <c r="C29" s="20">
        <v>10.74</v>
      </c>
      <c r="D29" s="20">
        <v>4.22</v>
      </c>
      <c r="E29" s="20">
        <v>38.43</v>
      </c>
      <c r="F29" s="20">
        <v>25.4</v>
      </c>
      <c r="G29" s="20">
        <v>36.75</v>
      </c>
      <c r="H29" s="20">
        <v>47.54</v>
      </c>
      <c r="I29" s="20">
        <v>73.83</v>
      </c>
      <c r="J29" s="18"/>
      <c r="K29" s="18"/>
      <c r="L29" s="18"/>
    </row>
    <row r="30" ht="15.0" customHeight="1">
      <c r="A30" s="14" t="s">
        <v>59</v>
      </c>
      <c r="B30" s="18"/>
      <c r="C30" s="15">
        <v>644.63</v>
      </c>
      <c r="D30" s="15">
        <v>950.68</v>
      </c>
      <c r="E30" s="15">
        <v>792.61</v>
      </c>
      <c r="F30" s="15">
        <v>711.21</v>
      </c>
      <c r="G30" s="15">
        <v>780.55</v>
      </c>
      <c r="H30" s="15">
        <v>625.19</v>
      </c>
      <c r="I30" s="15">
        <v>289.93</v>
      </c>
      <c r="J30" s="18"/>
      <c r="K30" s="18"/>
      <c r="L30" s="18"/>
    </row>
    <row r="31" ht="15.0" customHeight="1">
      <c r="A31" s="14" t="s">
        <v>60</v>
      </c>
      <c r="B31" s="18"/>
      <c r="C31" s="18"/>
      <c r="D31" s="18"/>
      <c r="E31" s="18"/>
      <c r="F31" s="18"/>
      <c r="G31" s="18"/>
      <c r="H31" s="18"/>
      <c r="I31" s="18"/>
      <c r="J31" s="15">
        <v>549.42</v>
      </c>
      <c r="K31" s="15">
        <v>455.99</v>
      </c>
      <c r="L31" s="15">
        <v>515.65</v>
      </c>
    </row>
    <row r="32" ht="15.0" customHeight="1">
      <c r="A32" s="14" t="s">
        <v>61</v>
      </c>
      <c r="B32" s="18"/>
      <c r="C32" s="18"/>
      <c r="D32" s="18"/>
      <c r="E32" s="18"/>
      <c r="F32" s="18"/>
      <c r="G32" s="18"/>
      <c r="H32" s="18"/>
      <c r="I32" s="18"/>
      <c r="J32" s="20">
        <v>94.81</v>
      </c>
      <c r="K32" s="20">
        <v>88.67</v>
      </c>
      <c r="L32" s="15">
        <v>134.55</v>
      </c>
    </row>
    <row r="33" ht="15.0" customHeight="1">
      <c r="A33" s="14" t="s">
        <v>62</v>
      </c>
      <c r="B33" s="18"/>
      <c r="C33" s="18"/>
      <c r="D33" s="18"/>
      <c r="E33" s="18"/>
      <c r="F33" s="18"/>
      <c r="G33" s="18"/>
      <c r="H33" s="18"/>
      <c r="I33" s="18"/>
      <c r="J33" s="15">
        <v>107.98</v>
      </c>
      <c r="K33" s="20">
        <v>81.31</v>
      </c>
      <c r="L33" s="20">
        <v>60.74</v>
      </c>
    </row>
    <row r="34" ht="15.0" customHeight="1">
      <c r="A34" s="14" t="s">
        <v>63</v>
      </c>
      <c r="B34" s="18"/>
      <c r="C34" s="18"/>
      <c r="D34" s="18"/>
      <c r="E34" s="18"/>
      <c r="F34" s="18"/>
      <c r="G34" s="18"/>
      <c r="H34" s="18"/>
      <c r="I34" s="18"/>
      <c r="J34" s="20">
        <v>80.43</v>
      </c>
      <c r="K34" s="20">
        <v>57.68</v>
      </c>
      <c r="L34" s="20">
        <v>63.66</v>
      </c>
    </row>
    <row r="35" ht="15.0" customHeight="1">
      <c r="A35" s="14" t="s">
        <v>64</v>
      </c>
      <c r="B35" s="18"/>
      <c r="C35" s="18"/>
      <c r="D35" s="18"/>
      <c r="E35" s="18"/>
      <c r="F35" s="18"/>
      <c r="G35" s="18"/>
      <c r="H35" s="18"/>
      <c r="I35" s="18"/>
      <c r="J35" s="20">
        <v>29.43</v>
      </c>
      <c r="K35" s="20">
        <v>26.52</v>
      </c>
      <c r="L35" s="20">
        <v>24.66</v>
      </c>
    </row>
    <row r="36" ht="15.0" customHeight="1">
      <c r="A36" s="14" t="s">
        <v>65</v>
      </c>
      <c r="B36" s="18"/>
      <c r="C36" s="18"/>
      <c r="D36" s="18"/>
      <c r="E36" s="18"/>
      <c r="F36" s="18"/>
      <c r="G36" s="18"/>
      <c r="H36" s="18"/>
      <c r="I36" s="18"/>
      <c r="J36" s="20">
        <v>18.5</v>
      </c>
      <c r="K36" s="20">
        <v>18.98</v>
      </c>
      <c r="L36" s="20">
        <v>15.97</v>
      </c>
    </row>
    <row r="37" ht="15.0" customHeight="1">
      <c r="A37" s="14" t="s">
        <v>66</v>
      </c>
      <c r="B37" s="18"/>
      <c r="C37" s="18"/>
      <c r="D37" s="18"/>
      <c r="E37" s="18"/>
      <c r="F37" s="18"/>
      <c r="G37" s="18"/>
      <c r="H37" s="18"/>
      <c r="I37" s="18"/>
      <c r="J37" s="20">
        <v>33.33</v>
      </c>
      <c r="K37" s="20">
        <v>28.81</v>
      </c>
      <c r="L37" s="20">
        <v>17.11</v>
      </c>
    </row>
    <row r="38" ht="15.0" customHeight="1">
      <c r="A38" s="14" t="s">
        <v>67</v>
      </c>
      <c r="B38" s="18"/>
      <c r="C38" s="18"/>
      <c r="D38" s="18"/>
      <c r="E38" s="18"/>
      <c r="F38" s="18"/>
      <c r="G38" s="18"/>
      <c r="H38" s="18"/>
      <c r="I38" s="18"/>
      <c r="J38" s="15">
        <v>127.3</v>
      </c>
      <c r="K38" s="20">
        <v>86.95</v>
      </c>
      <c r="L38" s="15">
        <v>142.92</v>
      </c>
    </row>
    <row r="39" ht="15.0" customHeight="1">
      <c r="A39" s="14" t="s">
        <v>68</v>
      </c>
      <c r="B39" s="18"/>
      <c r="C39" s="18"/>
      <c r="D39" s="18"/>
      <c r="E39" s="18"/>
      <c r="F39" s="18"/>
      <c r="G39" s="18"/>
      <c r="H39" s="18"/>
      <c r="I39" s="18"/>
      <c r="J39" s="20">
        <v>57.65</v>
      </c>
      <c r="K39" s="20">
        <v>67.06</v>
      </c>
      <c r="L39" s="20">
        <v>56.05</v>
      </c>
    </row>
    <row r="40" ht="15.0" customHeight="1">
      <c r="A40" s="14" t="s">
        <v>69</v>
      </c>
      <c r="B40" s="18"/>
      <c r="C40" s="18"/>
      <c r="D40" s="18"/>
      <c r="E40" s="18"/>
      <c r="F40" s="18"/>
      <c r="G40" s="18"/>
      <c r="H40" s="18"/>
      <c r="I40" s="18"/>
      <c r="J40" s="18"/>
      <c r="K40" s="20">
        <v>0.01</v>
      </c>
      <c r="L40" s="22">
        <v>-0.01</v>
      </c>
    </row>
    <row r="41" ht="15.0" customHeight="1">
      <c r="A41" s="14" t="s">
        <v>70</v>
      </c>
      <c r="B41" s="18"/>
      <c r="C41" s="18"/>
      <c r="D41" s="18"/>
      <c r="E41" s="18"/>
      <c r="F41" s="18">
        <v>0.0</v>
      </c>
      <c r="G41" s="20">
        <v>8.98</v>
      </c>
      <c r="H41" s="18"/>
      <c r="I41" s="18"/>
      <c r="J41" s="18"/>
      <c r="K41" s="18"/>
      <c r="L41" s="18"/>
    </row>
    <row r="42" ht="15.0" customHeight="1">
      <c r="A42" s="14" t="s">
        <v>71</v>
      </c>
      <c r="B42" s="18"/>
      <c r="C42" s="18"/>
      <c r="D42" s="18"/>
      <c r="E42" s="18"/>
      <c r="F42" s="18"/>
      <c r="G42" s="20">
        <v>8.98</v>
      </c>
      <c r="H42" s="18"/>
      <c r="I42" s="18"/>
      <c r="J42" s="15">
        <v>279.11</v>
      </c>
      <c r="K42" s="15">
        <v>252.12</v>
      </c>
      <c r="L42" s="15">
        <v>182.62</v>
      </c>
    </row>
    <row r="43" ht="15.0" customHeight="1">
      <c r="A43" s="14" t="s">
        <v>72</v>
      </c>
      <c r="B43" s="18"/>
      <c r="C43" s="18"/>
      <c r="D43" s="18"/>
      <c r="E43" s="18"/>
      <c r="F43" s="18"/>
      <c r="G43" s="18"/>
      <c r="H43" s="20">
        <v>28.34</v>
      </c>
      <c r="I43" s="20">
        <v>39.64</v>
      </c>
      <c r="J43" s="18"/>
      <c r="K43" s="20">
        <v>59.95</v>
      </c>
      <c r="L43" s="20">
        <v>7.99</v>
      </c>
    </row>
    <row r="44" ht="15.0" customHeight="1">
      <c r="A44" s="14" t="s">
        <v>73</v>
      </c>
      <c r="B44" s="18"/>
      <c r="C44" s="18"/>
      <c r="D44" s="18"/>
      <c r="E44" s="18"/>
      <c r="F44" s="18"/>
      <c r="G44" s="18"/>
      <c r="H44" s="18"/>
      <c r="I44" s="18"/>
      <c r="J44" s="18"/>
      <c r="K44" s="20">
        <v>61.75</v>
      </c>
      <c r="L44" s="20">
        <v>7.99</v>
      </c>
    </row>
    <row r="45" ht="15.0" customHeight="1">
      <c r="A45" s="14" t="s">
        <v>74</v>
      </c>
      <c r="B45" s="18"/>
      <c r="C45" s="18"/>
      <c r="D45" s="18"/>
      <c r="E45" s="18"/>
      <c r="F45" s="18"/>
      <c r="G45" s="18"/>
      <c r="H45" s="20">
        <v>43.9</v>
      </c>
      <c r="I45" s="20">
        <v>8.94</v>
      </c>
      <c r="J45" s="20">
        <v>66.87</v>
      </c>
      <c r="K45" s="22">
        <v>-26.41</v>
      </c>
      <c r="L45" s="22">
        <v>-58.07</v>
      </c>
    </row>
    <row r="46" ht="15.0" customHeight="1">
      <c r="A46" s="14" t="s">
        <v>75</v>
      </c>
      <c r="B46" s="18"/>
      <c r="C46" s="18"/>
      <c r="D46" s="18"/>
      <c r="E46" s="18"/>
      <c r="F46" s="18"/>
      <c r="G46" s="18"/>
      <c r="H46" s="22">
        <v>-15.56</v>
      </c>
      <c r="I46" s="20">
        <v>30.7</v>
      </c>
      <c r="J46" s="18"/>
      <c r="K46" s="18"/>
      <c r="L46" s="18"/>
    </row>
    <row r="47" ht="15.0" customHeight="1">
      <c r="A47" s="14" t="s">
        <v>55</v>
      </c>
      <c r="B47" s="18"/>
      <c r="C47" s="18"/>
      <c r="D47" s="22">
        <v>-42.21</v>
      </c>
      <c r="E47" s="22">
        <v>-98.0</v>
      </c>
      <c r="F47" s="22">
        <v>-27.06</v>
      </c>
      <c r="G47" s="22">
        <v>-22.1</v>
      </c>
      <c r="H47" s="18"/>
      <c r="I47" s="18"/>
      <c r="J47" s="18"/>
      <c r="K47" s="18"/>
      <c r="L47" s="18"/>
    </row>
    <row r="48" ht="15.0" customHeight="1">
      <c r="A48" s="14" t="s">
        <v>76</v>
      </c>
      <c r="B48" s="18"/>
      <c r="C48" s="18"/>
      <c r="D48" s="22">
        <v>-41.15</v>
      </c>
      <c r="E48" s="18"/>
      <c r="F48" s="18"/>
      <c r="G48" s="18"/>
      <c r="H48" s="18"/>
      <c r="I48" s="18"/>
      <c r="J48" s="18"/>
      <c r="K48" s="18"/>
      <c r="L48" s="18"/>
    </row>
    <row r="49" ht="15.0" customHeight="1">
      <c r="A49" s="14" t="s">
        <v>77</v>
      </c>
      <c r="B49" s="18"/>
      <c r="C49" s="18"/>
      <c r="D49" s="22">
        <v>-1.06</v>
      </c>
      <c r="E49" s="18"/>
      <c r="F49" s="18"/>
      <c r="G49" s="18"/>
      <c r="H49" s="18"/>
      <c r="I49" s="18"/>
      <c r="J49" s="18"/>
      <c r="K49" s="18"/>
      <c r="L49" s="18"/>
    </row>
    <row r="50" ht="15.0" customHeight="1">
      <c r="A50" s="14" t="s">
        <v>78</v>
      </c>
      <c r="B50" s="18"/>
      <c r="C50" s="18"/>
      <c r="D50" s="18"/>
      <c r="E50" s="18">
        <v>0.0</v>
      </c>
      <c r="F50" s="22">
        <v>-3.69</v>
      </c>
      <c r="G50" s="22">
        <v>-12.3</v>
      </c>
      <c r="H50" s="18"/>
      <c r="I50" s="18"/>
      <c r="J50" s="18"/>
      <c r="K50" s="22">
        <v>-1.81</v>
      </c>
      <c r="L50" s="18"/>
    </row>
    <row r="51" ht="15.0" customHeight="1">
      <c r="A51" s="14" t="s">
        <v>77</v>
      </c>
      <c r="B51" s="18"/>
      <c r="C51" s="18"/>
      <c r="D51" s="18"/>
      <c r="E51" s="22">
        <v>-98.0</v>
      </c>
      <c r="F51" s="22">
        <v>-23.38</v>
      </c>
      <c r="G51" s="22">
        <v>-9.8</v>
      </c>
      <c r="H51" s="18"/>
      <c r="I51" s="18"/>
      <c r="J51" s="18"/>
      <c r="K51" s="18"/>
      <c r="L51" s="18"/>
    </row>
    <row r="52" ht="15.0" customHeight="1">
      <c r="A52" s="14" t="s">
        <v>79</v>
      </c>
      <c r="B52" s="15">
        <v>186.71</v>
      </c>
      <c r="C52" s="15">
        <v>178.35</v>
      </c>
      <c r="D52" s="15">
        <v>222.63</v>
      </c>
      <c r="E52" s="15">
        <v>157.56</v>
      </c>
      <c r="F52" s="15">
        <v>164.76</v>
      </c>
      <c r="G52" s="15">
        <v>161.16</v>
      </c>
      <c r="H52" s="15">
        <v>156.8</v>
      </c>
      <c r="I52" s="20">
        <v>45.09</v>
      </c>
      <c r="J52" s="18"/>
      <c r="K52" s="18"/>
      <c r="L52" s="18"/>
    </row>
    <row r="53" ht="15.0" customHeight="1">
      <c r="A53" s="14" t="s">
        <v>80</v>
      </c>
      <c r="B53" s="18"/>
      <c r="C53" s="20">
        <v>58.02</v>
      </c>
      <c r="D53" s="15">
        <v>362.97</v>
      </c>
      <c r="E53" s="15">
        <v>334.34</v>
      </c>
      <c r="F53" s="15">
        <v>303.42</v>
      </c>
      <c r="G53" s="15">
        <v>290.56</v>
      </c>
      <c r="H53" s="15">
        <v>222.1</v>
      </c>
      <c r="I53" s="15">
        <v>133.82</v>
      </c>
      <c r="J53" s="15">
        <v>123.65</v>
      </c>
      <c r="K53" s="15">
        <v>127.25</v>
      </c>
      <c r="L53" s="15">
        <v>114.7</v>
      </c>
    </row>
    <row r="54" ht="15.0" customHeight="1">
      <c r="A54" s="14" t="s">
        <v>81</v>
      </c>
      <c r="B54" s="18"/>
      <c r="C54" s="20">
        <v>12.89</v>
      </c>
      <c r="D54" s="18"/>
      <c r="E54" s="18">
        <v>0.0</v>
      </c>
      <c r="F54" s="20">
        <v>17.9</v>
      </c>
      <c r="G54" s="20">
        <v>13.14</v>
      </c>
      <c r="H54" s="20">
        <v>54.15</v>
      </c>
      <c r="I54" s="18"/>
      <c r="J54" s="18"/>
      <c r="K54" s="18"/>
      <c r="L54" s="18"/>
    </row>
    <row r="55" ht="15.0" customHeight="1">
      <c r="A55" s="14" t="s">
        <v>82</v>
      </c>
      <c r="B55" s="18"/>
      <c r="C55" s="20">
        <v>18.26</v>
      </c>
      <c r="D55" s="20">
        <v>49.59</v>
      </c>
      <c r="E55" s="20">
        <v>42.27</v>
      </c>
      <c r="F55" s="20">
        <v>47.81</v>
      </c>
      <c r="G55" s="20">
        <v>60.05</v>
      </c>
      <c r="H55" s="20">
        <v>24.92</v>
      </c>
      <c r="I55" s="18"/>
      <c r="J55" s="18"/>
      <c r="K55" s="18"/>
      <c r="L55" s="18"/>
    </row>
    <row r="56" ht="15.0" customHeight="1">
      <c r="A56" s="14" t="s">
        <v>83</v>
      </c>
      <c r="B56" s="18"/>
      <c r="C56" s="20">
        <v>32.23</v>
      </c>
      <c r="D56" s="20">
        <v>15.83</v>
      </c>
      <c r="E56" s="20">
        <v>1.92</v>
      </c>
      <c r="F56" s="20">
        <v>0.38</v>
      </c>
      <c r="G56" s="18">
        <v>0.0</v>
      </c>
      <c r="H56" s="20">
        <v>0.73</v>
      </c>
      <c r="I56" s="20">
        <v>0.68</v>
      </c>
      <c r="J56" s="20">
        <v>2.85</v>
      </c>
      <c r="K56" s="20">
        <v>3.63</v>
      </c>
      <c r="L56" s="20">
        <v>3.1</v>
      </c>
    </row>
    <row r="57" ht="15.0" customHeight="1">
      <c r="A57" s="14" t="s">
        <v>84</v>
      </c>
      <c r="B57" s="18"/>
      <c r="C57" s="18"/>
      <c r="D57" s="20">
        <v>2.11</v>
      </c>
      <c r="E57" s="20">
        <v>4.8</v>
      </c>
      <c r="F57" s="20">
        <v>4.57</v>
      </c>
      <c r="G57" s="20">
        <v>5.01</v>
      </c>
      <c r="H57" s="20">
        <v>3.32</v>
      </c>
      <c r="I57" s="20">
        <v>8.83</v>
      </c>
      <c r="J57" s="20">
        <v>7.79</v>
      </c>
      <c r="K57" s="20">
        <v>10.71</v>
      </c>
      <c r="L57" s="20">
        <v>10.29</v>
      </c>
    </row>
    <row r="58" ht="15.0" customHeight="1">
      <c r="A58" s="14" t="s">
        <v>85</v>
      </c>
      <c r="B58" s="18"/>
      <c r="C58" s="20">
        <v>93.47</v>
      </c>
      <c r="D58" s="15">
        <v>100.24</v>
      </c>
      <c r="E58" s="20">
        <v>91.27</v>
      </c>
      <c r="F58" s="20">
        <v>89.91</v>
      </c>
      <c r="G58" s="20">
        <v>90.58</v>
      </c>
      <c r="H58" s="20">
        <v>72.49</v>
      </c>
      <c r="I58" s="20">
        <v>35.44</v>
      </c>
      <c r="J58" s="20">
        <v>7.24</v>
      </c>
      <c r="K58" s="18"/>
      <c r="L58" s="18"/>
    </row>
    <row r="59" ht="15.0" customHeight="1">
      <c r="A59" s="14" t="s">
        <v>86</v>
      </c>
      <c r="B59" s="18"/>
      <c r="C59" s="20">
        <v>4.3</v>
      </c>
      <c r="D59" s="18"/>
      <c r="E59" s="18"/>
      <c r="F59" s="18"/>
      <c r="G59" s="18"/>
      <c r="H59" s="18"/>
      <c r="I59" s="18"/>
      <c r="J59" s="18"/>
      <c r="K59" s="18"/>
      <c r="L59" s="18"/>
    </row>
    <row r="60" ht="15.0" customHeight="1">
      <c r="A60" s="14" t="s">
        <v>87</v>
      </c>
      <c r="B60" s="18"/>
      <c r="C60" s="22">
        <v>-40.83</v>
      </c>
      <c r="D60" s="23">
        <v>-308.1</v>
      </c>
      <c r="E60" s="23">
        <v>-317.05</v>
      </c>
      <c r="F60" s="23">
        <v>-299.23</v>
      </c>
      <c r="G60" s="23">
        <v>-298.17</v>
      </c>
      <c r="H60" s="23">
        <v>-220.91</v>
      </c>
      <c r="I60" s="23">
        <v>-133.68</v>
      </c>
      <c r="J60" s="18"/>
      <c r="K60" s="18"/>
      <c r="L60" s="18"/>
    </row>
    <row r="61" ht="15.0" customHeight="1">
      <c r="A61" s="14" t="s">
        <v>88</v>
      </c>
      <c r="B61" s="18"/>
      <c r="C61" s="18"/>
      <c r="D61" s="18"/>
      <c r="E61" s="18"/>
      <c r="F61" s="18"/>
      <c r="G61" s="18"/>
      <c r="H61" s="18"/>
      <c r="I61" s="18"/>
      <c r="J61" s="15">
        <v>153.34</v>
      </c>
      <c r="K61" s="15">
        <v>162.49</v>
      </c>
      <c r="L61" s="15">
        <v>128.29</v>
      </c>
    </row>
    <row r="62" ht="15.0" customHeight="1">
      <c r="A62" s="14" t="s">
        <v>89</v>
      </c>
      <c r="B62" s="18"/>
      <c r="C62" s="18"/>
      <c r="D62" s="18"/>
      <c r="E62" s="18"/>
      <c r="F62" s="18"/>
      <c r="G62" s="18"/>
      <c r="H62" s="18"/>
      <c r="I62" s="18"/>
      <c r="J62" s="20">
        <v>11.8</v>
      </c>
      <c r="K62" s="20">
        <v>20.9</v>
      </c>
      <c r="L62" s="20">
        <v>0.2</v>
      </c>
    </row>
    <row r="63" ht="15.0" customHeight="1">
      <c r="A63" s="14" t="s">
        <v>90</v>
      </c>
      <c r="B63" s="18"/>
      <c r="C63" s="18"/>
      <c r="D63" s="18"/>
      <c r="E63" s="18"/>
      <c r="F63" s="18"/>
      <c r="G63" s="18"/>
      <c r="H63" s="18"/>
      <c r="I63" s="18"/>
      <c r="J63" s="20">
        <v>2.85</v>
      </c>
      <c r="K63" s="20">
        <v>5.0</v>
      </c>
      <c r="L63" s="20">
        <v>7.3</v>
      </c>
    </row>
    <row r="64" ht="15.0" customHeight="1">
      <c r="A64" s="16" t="s">
        <v>91</v>
      </c>
      <c r="B64" s="17">
        <v>882.7</v>
      </c>
      <c r="C64" s="17">
        <v>833.72</v>
      </c>
      <c r="D64" s="17">
        <v>1135.33</v>
      </c>
      <c r="E64" s="17">
        <v>890.61</v>
      </c>
      <c r="F64" s="17">
        <v>874.3</v>
      </c>
      <c r="G64" s="17">
        <v>965.35</v>
      </c>
      <c r="H64" s="17">
        <v>857.87</v>
      </c>
      <c r="I64" s="17">
        <v>448.5</v>
      </c>
      <c r="J64" s="17">
        <v>1051.59</v>
      </c>
      <c r="K64" s="17">
        <v>909.14</v>
      </c>
      <c r="L64" s="17">
        <v>783.77</v>
      </c>
    </row>
    <row r="65" ht="15.0" customHeight="1">
      <c r="A65" s="14" t="s">
        <v>92</v>
      </c>
      <c r="B65" s="20">
        <v>1.04</v>
      </c>
      <c r="C65" s="18"/>
      <c r="D65" s="18"/>
      <c r="E65" s="18"/>
      <c r="F65" s="18"/>
      <c r="G65" s="18"/>
      <c r="H65" s="18"/>
      <c r="I65" s="18"/>
      <c r="J65" s="18"/>
      <c r="K65" s="20">
        <v>0.01</v>
      </c>
      <c r="L65" s="22">
        <v>-0.01</v>
      </c>
    </row>
    <row r="66" ht="15.0" customHeight="1">
      <c r="A66" s="16" t="s">
        <v>93</v>
      </c>
      <c r="B66" s="17">
        <v>132.77</v>
      </c>
      <c r="C66" s="24">
        <v>-69.83</v>
      </c>
      <c r="D66" s="21">
        <v>55.92</v>
      </c>
      <c r="E66" s="17">
        <v>212.32</v>
      </c>
      <c r="F66" s="25">
        <v>-117.45</v>
      </c>
      <c r="G66" s="21">
        <v>65.88</v>
      </c>
      <c r="H66" s="21">
        <v>24.3</v>
      </c>
      <c r="I66" s="21">
        <v>83.51</v>
      </c>
      <c r="J66" s="24">
        <v>-13.9</v>
      </c>
      <c r="K66" s="21">
        <v>71.02</v>
      </c>
      <c r="L66" s="21">
        <v>63.8</v>
      </c>
    </row>
    <row r="67" ht="15.0" customHeight="1">
      <c r="A67" s="14" t="s">
        <v>94</v>
      </c>
      <c r="B67" s="23">
        <v>-162.85</v>
      </c>
      <c r="C67" s="18"/>
      <c r="D67" s="18"/>
      <c r="E67" s="18"/>
      <c r="F67" s="18"/>
      <c r="G67" s="18"/>
      <c r="H67" s="23">
        <v>-229.6</v>
      </c>
      <c r="I67" s="22">
        <v>-93.94</v>
      </c>
      <c r="J67" s="23">
        <v>-124.58</v>
      </c>
      <c r="K67" s="22">
        <v>-83.47</v>
      </c>
      <c r="L67" s="22">
        <v>-24.32</v>
      </c>
    </row>
    <row r="68" ht="15.0" customHeight="1">
      <c r="A68" s="14" t="s">
        <v>95</v>
      </c>
      <c r="B68" s="18"/>
      <c r="C68" s="20">
        <v>42.98</v>
      </c>
      <c r="D68" s="20">
        <v>37.98</v>
      </c>
      <c r="E68" s="20">
        <v>38.43</v>
      </c>
      <c r="F68" s="15">
        <v>182.85</v>
      </c>
      <c r="G68" s="15">
        <v>158.05</v>
      </c>
      <c r="H68" s="20">
        <v>58.67</v>
      </c>
      <c r="I68" s="20">
        <v>63.73</v>
      </c>
      <c r="J68" s="20">
        <v>9.75</v>
      </c>
      <c r="K68" s="20">
        <v>15.46</v>
      </c>
      <c r="L68" s="20">
        <v>74.56</v>
      </c>
    </row>
    <row r="69" ht="15.0" customHeight="1">
      <c r="A69" s="14" t="s">
        <v>96</v>
      </c>
      <c r="B69" s="18"/>
      <c r="C69" s="20">
        <v>38.68</v>
      </c>
      <c r="D69" s="20">
        <v>25.32</v>
      </c>
      <c r="E69" s="20">
        <v>5.76</v>
      </c>
      <c r="F69" s="20">
        <v>0.18</v>
      </c>
      <c r="G69" s="20">
        <v>8.24</v>
      </c>
      <c r="H69" s="20">
        <v>9.56</v>
      </c>
      <c r="I69" s="20">
        <v>0.26</v>
      </c>
      <c r="J69" s="20">
        <v>0.23</v>
      </c>
      <c r="K69" s="20">
        <v>0.79</v>
      </c>
      <c r="L69" s="20">
        <v>1.39</v>
      </c>
    </row>
    <row r="70" ht="15.0" customHeight="1">
      <c r="A70" s="14" t="s">
        <v>97</v>
      </c>
      <c r="B70" s="18"/>
      <c r="C70" s="18"/>
      <c r="D70" s="18"/>
      <c r="E70" s="20">
        <v>32.67</v>
      </c>
      <c r="F70" s="18"/>
      <c r="G70" s="18"/>
      <c r="H70" s="18"/>
      <c r="I70" s="18"/>
      <c r="J70" s="18"/>
      <c r="K70" s="18"/>
      <c r="L70" s="18"/>
    </row>
    <row r="71" ht="15.0" customHeight="1">
      <c r="A71" s="14" t="s">
        <v>98</v>
      </c>
      <c r="B71" s="18"/>
      <c r="C71" s="22">
        <v>-10.74</v>
      </c>
      <c r="D71" s="18"/>
      <c r="E71" s="18"/>
      <c r="F71" s="18"/>
      <c r="G71" s="18"/>
      <c r="H71" s="20">
        <v>44.56</v>
      </c>
      <c r="I71" s="20">
        <v>61.64</v>
      </c>
      <c r="J71" s="20">
        <v>9.52</v>
      </c>
      <c r="K71" s="20">
        <v>14.67</v>
      </c>
      <c r="L71" s="20">
        <v>73.15</v>
      </c>
    </row>
    <row r="72" ht="15.0" customHeight="1">
      <c r="A72" s="14" t="s">
        <v>99</v>
      </c>
      <c r="B72" s="18"/>
      <c r="C72" s="20">
        <v>4.3</v>
      </c>
      <c r="D72" s="20">
        <v>12.66</v>
      </c>
      <c r="E72" s="18"/>
      <c r="F72" s="15">
        <v>182.68</v>
      </c>
      <c r="G72" s="15">
        <v>149.8</v>
      </c>
      <c r="H72" s="20">
        <v>4.56</v>
      </c>
      <c r="I72" s="20">
        <v>1.83</v>
      </c>
      <c r="J72" s="18">
        <v>0.0</v>
      </c>
      <c r="K72" s="18"/>
      <c r="L72" s="20">
        <v>0.01</v>
      </c>
    </row>
    <row r="73" ht="15.0" customHeight="1">
      <c r="A73" s="14" t="s">
        <v>100</v>
      </c>
      <c r="B73" s="18"/>
      <c r="C73" s="18"/>
      <c r="D73" s="18"/>
      <c r="E73" s="18"/>
      <c r="F73" s="22">
        <v>-0.01</v>
      </c>
      <c r="G73" s="18"/>
      <c r="H73" s="18"/>
      <c r="I73" s="18"/>
      <c r="J73" s="18"/>
      <c r="K73" s="18"/>
      <c r="L73" s="18"/>
    </row>
    <row r="74" ht="15.0" customHeight="1">
      <c r="A74" s="14" t="s">
        <v>101</v>
      </c>
      <c r="B74" s="18"/>
      <c r="C74" s="18"/>
      <c r="D74" s="18"/>
      <c r="E74" s="18"/>
      <c r="F74" s="18"/>
      <c r="G74" s="18"/>
      <c r="H74" s="22">
        <v>-0.01</v>
      </c>
      <c r="I74" s="18"/>
      <c r="J74" s="22">
        <v>-0.01</v>
      </c>
      <c r="K74" s="18"/>
      <c r="L74" s="20">
        <v>0.01</v>
      </c>
    </row>
    <row r="75" ht="15.0" customHeight="1">
      <c r="A75" s="14" t="s">
        <v>102</v>
      </c>
      <c r="B75" s="18"/>
      <c r="C75" s="23">
        <v>-117.11</v>
      </c>
      <c r="D75" s="23">
        <v>-392.51</v>
      </c>
      <c r="E75" s="23">
        <v>-211.36</v>
      </c>
      <c r="F75" s="23">
        <v>-134.59</v>
      </c>
      <c r="G75" s="23">
        <v>-214.82</v>
      </c>
      <c r="H75" s="23">
        <v>-288.28</v>
      </c>
      <c r="I75" s="23">
        <v>-157.67</v>
      </c>
      <c r="J75" s="23">
        <v>-134.33</v>
      </c>
      <c r="K75" s="22">
        <v>-98.91</v>
      </c>
      <c r="L75" s="22">
        <v>-98.87</v>
      </c>
    </row>
    <row r="76" ht="15.0" customHeight="1">
      <c r="A76" s="14" t="s">
        <v>103</v>
      </c>
      <c r="B76" s="18"/>
      <c r="C76" s="22">
        <v>-26.86</v>
      </c>
      <c r="D76" s="23">
        <v>-352.42</v>
      </c>
      <c r="E76" s="23">
        <v>-195.03</v>
      </c>
      <c r="F76" s="23">
        <v>-117.56</v>
      </c>
      <c r="G76" s="23">
        <v>-176.33</v>
      </c>
      <c r="H76" s="23">
        <v>-200.46</v>
      </c>
      <c r="I76" s="22">
        <v>-99.83</v>
      </c>
      <c r="J76" s="22">
        <v>-88.82</v>
      </c>
      <c r="K76" s="22">
        <v>-62.95</v>
      </c>
      <c r="L76" s="22">
        <v>-58.25</v>
      </c>
    </row>
    <row r="77" ht="15.0" customHeight="1">
      <c r="A77" s="14" t="s">
        <v>104</v>
      </c>
      <c r="B77" s="18"/>
      <c r="C77" s="22">
        <v>-2.15</v>
      </c>
      <c r="D77" s="22">
        <v>-7.39</v>
      </c>
      <c r="E77" s="22">
        <v>-19.21</v>
      </c>
      <c r="F77" s="22">
        <v>-7.4</v>
      </c>
      <c r="G77" s="22">
        <v>-10.06</v>
      </c>
      <c r="H77" s="22">
        <v>-6.41</v>
      </c>
      <c r="I77" s="18"/>
      <c r="J77" s="18"/>
      <c r="K77" s="18"/>
      <c r="L77" s="18"/>
    </row>
    <row r="78" ht="15.0" customHeight="1">
      <c r="A78" s="14" t="s">
        <v>105</v>
      </c>
      <c r="B78" s="18"/>
      <c r="C78" s="22">
        <v>-24.71</v>
      </c>
      <c r="D78" s="23">
        <v>-345.03</v>
      </c>
      <c r="E78" s="23">
        <v>-175.82</v>
      </c>
      <c r="F78" s="23">
        <v>-110.16</v>
      </c>
      <c r="G78" s="23">
        <v>-166.27</v>
      </c>
      <c r="H78" s="23">
        <v>-194.05</v>
      </c>
      <c r="I78" s="18"/>
      <c r="J78" s="18"/>
      <c r="K78" s="18"/>
      <c r="L78" s="18"/>
    </row>
    <row r="79" ht="15.0" customHeight="1">
      <c r="A79" s="14" t="s">
        <v>106</v>
      </c>
      <c r="B79" s="18"/>
      <c r="C79" s="18"/>
      <c r="D79" s="18"/>
      <c r="E79" s="18"/>
      <c r="F79" s="18"/>
      <c r="G79" s="18"/>
      <c r="H79" s="22">
        <v>-54.02</v>
      </c>
      <c r="I79" s="22">
        <v>-40.51</v>
      </c>
      <c r="J79" s="22">
        <v>-24.52</v>
      </c>
      <c r="K79" s="22">
        <v>-15.19</v>
      </c>
      <c r="L79" s="22">
        <v>-22.18</v>
      </c>
    </row>
    <row r="80" ht="15.0" customHeight="1">
      <c r="A80" s="14" t="s">
        <v>107</v>
      </c>
      <c r="B80" s="18"/>
      <c r="C80" s="22">
        <v>-90.25</v>
      </c>
      <c r="D80" s="22">
        <v>-40.1</v>
      </c>
      <c r="E80" s="22">
        <v>-16.33</v>
      </c>
      <c r="F80" s="22">
        <v>-17.03</v>
      </c>
      <c r="G80" s="22">
        <v>-38.5</v>
      </c>
      <c r="H80" s="22">
        <v>-33.79</v>
      </c>
      <c r="I80" s="22">
        <v>-17.34</v>
      </c>
      <c r="J80" s="22">
        <v>-21.0</v>
      </c>
      <c r="K80" s="22">
        <v>-20.77</v>
      </c>
      <c r="L80" s="22">
        <v>-18.45</v>
      </c>
    </row>
    <row r="81" ht="15.0" customHeight="1">
      <c r="A81" s="14" t="s">
        <v>108</v>
      </c>
      <c r="B81" s="18"/>
      <c r="C81" s="18"/>
      <c r="D81" s="18"/>
      <c r="E81" s="18"/>
      <c r="F81" s="18"/>
      <c r="G81" s="20">
        <v>0.01</v>
      </c>
      <c r="H81" s="18"/>
      <c r="I81" s="18"/>
      <c r="J81" s="18"/>
      <c r="K81" s="18"/>
      <c r="L81" s="18"/>
    </row>
    <row r="82" ht="15.0" customHeight="1">
      <c r="A82" s="14" t="s">
        <v>108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0">
        <v>0.01</v>
      </c>
    </row>
    <row r="83" ht="15.0" customHeight="1">
      <c r="A83" s="14" t="s">
        <v>109</v>
      </c>
      <c r="B83" s="18"/>
      <c r="C83" s="18"/>
      <c r="D83" s="18"/>
      <c r="E83" s="18"/>
      <c r="F83" s="18"/>
      <c r="G83" s="18"/>
      <c r="H83" s="18"/>
      <c r="I83" s="18"/>
      <c r="J83" s="18"/>
      <c r="K83" s="22">
        <v>-0.02</v>
      </c>
      <c r="L83" s="22">
        <v>-0.01</v>
      </c>
    </row>
    <row r="84" ht="15.0" customHeight="1">
      <c r="A84" s="14" t="s">
        <v>110</v>
      </c>
      <c r="B84" s="18"/>
      <c r="C84" s="18"/>
      <c r="D84" s="22">
        <v>-27.43</v>
      </c>
      <c r="E84" s="20">
        <v>77.82</v>
      </c>
      <c r="F84" s="20">
        <v>5.56</v>
      </c>
      <c r="G84" s="22">
        <v>-2.63</v>
      </c>
      <c r="H84" s="18"/>
      <c r="I84" s="18"/>
      <c r="J84" s="18"/>
      <c r="K84" s="18"/>
      <c r="L84" s="18"/>
    </row>
    <row r="85" ht="15.0" customHeight="1">
      <c r="A85" s="14" t="s">
        <v>111</v>
      </c>
      <c r="B85" s="18"/>
      <c r="C85" s="18">
        <v>0.0</v>
      </c>
      <c r="D85" s="22">
        <v>-31.65</v>
      </c>
      <c r="E85" s="18"/>
      <c r="F85" s="18"/>
      <c r="G85" s="18"/>
      <c r="H85" s="18"/>
      <c r="I85" s="18"/>
      <c r="J85" s="18"/>
      <c r="K85" s="18">
        <v>0.0</v>
      </c>
      <c r="L85" s="22">
        <v>-32.33</v>
      </c>
    </row>
    <row r="86" ht="15.0" customHeight="1">
      <c r="A86" s="16" t="s">
        <v>94</v>
      </c>
      <c r="B86" s="25">
        <v>-162.85</v>
      </c>
      <c r="C86" s="24">
        <v>-84.88</v>
      </c>
      <c r="D86" s="25">
        <v>-413.61</v>
      </c>
      <c r="E86" s="24">
        <v>-95.11</v>
      </c>
      <c r="F86" s="21">
        <v>53.82</v>
      </c>
      <c r="G86" s="24">
        <v>-59.4</v>
      </c>
      <c r="H86" s="25">
        <v>-229.6</v>
      </c>
      <c r="I86" s="24">
        <v>-93.94</v>
      </c>
      <c r="J86" s="25">
        <v>-124.58</v>
      </c>
      <c r="K86" s="24">
        <v>-83.47</v>
      </c>
      <c r="L86" s="24">
        <v>-56.65</v>
      </c>
    </row>
    <row r="87" ht="15.0" customHeight="1">
      <c r="A87" s="14" t="s">
        <v>112</v>
      </c>
      <c r="B87" s="18"/>
      <c r="C87" s="22">
        <v>-1.07</v>
      </c>
      <c r="D87" s="18"/>
      <c r="E87" s="18"/>
      <c r="F87" s="18"/>
      <c r="G87" s="18"/>
      <c r="H87" s="18"/>
      <c r="I87" s="18"/>
      <c r="J87" s="18"/>
      <c r="K87" s="20">
        <v>0.01</v>
      </c>
      <c r="L87" s="18"/>
    </row>
    <row r="88" ht="15.0" customHeight="1">
      <c r="A88" s="16" t="s">
        <v>113</v>
      </c>
      <c r="B88" s="24">
        <v>-30.08</v>
      </c>
      <c r="C88" s="25">
        <v>-155.78</v>
      </c>
      <c r="D88" s="25">
        <v>-357.69</v>
      </c>
      <c r="E88" s="17">
        <v>117.21</v>
      </c>
      <c r="F88" s="24">
        <v>-63.64</v>
      </c>
      <c r="G88" s="21">
        <v>6.47</v>
      </c>
      <c r="H88" s="25">
        <v>-205.3</v>
      </c>
      <c r="I88" s="24">
        <v>-10.43</v>
      </c>
      <c r="J88" s="25">
        <v>-138.48</v>
      </c>
      <c r="K88" s="24">
        <v>-12.44</v>
      </c>
      <c r="L88" s="21">
        <v>7.15</v>
      </c>
    </row>
    <row r="89" ht="15.0" customHeight="1">
      <c r="A89" s="14" t="s">
        <v>114</v>
      </c>
      <c r="B89" s="18">
        <v>0.0</v>
      </c>
      <c r="C89" s="22">
        <v>-1.07</v>
      </c>
      <c r="D89" s="23">
        <v>-263.78</v>
      </c>
      <c r="E89" s="20">
        <v>21.14</v>
      </c>
      <c r="F89" s="20">
        <v>5.19</v>
      </c>
      <c r="G89" s="20">
        <v>57.89</v>
      </c>
      <c r="H89" s="20">
        <v>3.65</v>
      </c>
      <c r="I89" s="22">
        <v>-2.11</v>
      </c>
      <c r="J89" s="20">
        <v>8.36</v>
      </c>
      <c r="K89" s="20">
        <v>4.81</v>
      </c>
      <c r="L89" s="20">
        <v>0.66</v>
      </c>
    </row>
    <row r="90" ht="15.0" customHeight="1">
      <c r="A90" s="16" t="s">
        <v>115</v>
      </c>
      <c r="B90" s="19">
        <v>0.0</v>
      </c>
      <c r="C90" s="24">
        <v>-1.07</v>
      </c>
      <c r="D90" s="25">
        <v>-263.78</v>
      </c>
      <c r="E90" s="21">
        <v>21.14</v>
      </c>
      <c r="F90" s="21">
        <v>5.19</v>
      </c>
      <c r="G90" s="21">
        <v>57.89</v>
      </c>
      <c r="H90" s="21">
        <v>3.65</v>
      </c>
      <c r="I90" s="24">
        <v>-2.11</v>
      </c>
      <c r="J90" s="21">
        <v>8.36</v>
      </c>
      <c r="K90" s="21">
        <v>4.81</v>
      </c>
      <c r="L90" s="21">
        <v>0.66</v>
      </c>
    </row>
    <row r="91" ht="15.0" customHeight="1">
      <c r="A91" s="16" t="s">
        <v>116</v>
      </c>
      <c r="B91" s="24">
        <v>-30.08</v>
      </c>
      <c r="C91" s="25">
        <v>-154.71</v>
      </c>
      <c r="D91" s="24">
        <v>-93.91</v>
      </c>
      <c r="E91" s="19"/>
      <c r="F91" s="19"/>
      <c r="G91" s="19"/>
      <c r="H91" s="19"/>
      <c r="I91" s="19"/>
      <c r="J91" s="19"/>
      <c r="K91" s="19"/>
      <c r="L91" s="19"/>
    </row>
    <row r="92" ht="15.0" customHeight="1">
      <c r="A92" s="14" t="s">
        <v>117</v>
      </c>
      <c r="B92" s="20">
        <v>1.04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ht="15.0" customHeight="1">
      <c r="A93" s="16" t="s">
        <v>118</v>
      </c>
      <c r="B93" s="24">
        <v>-29.04</v>
      </c>
      <c r="C93" s="25">
        <v>-154.71</v>
      </c>
      <c r="D93" s="24">
        <v>-93.91</v>
      </c>
      <c r="E93" s="21">
        <v>96.07</v>
      </c>
      <c r="F93" s="24">
        <v>-68.83</v>
      </c>
      <c r="G93" s="24">
        <v>-51.41</v>
      </c>
      <c r="H93" s="25">
        <v>-208.95</v>
      </c>
      <c r="I93" s="24">
        <v>-8.32</v>
      </c>
      <c r="J93" s="25">
        <v>-146.84</v>
      </c>
      <c r="K93" s="24">
        <v>-17.25</v>
      </c>
      <c r="L93" s="21">
        <v>6.49</v>
      </c>
    </row>
    <row r="94" ht="15.0" customHeight="1">
      <c r="A94" s="14" t="s">
        <v>119</v>
      </c>
      <c r="B94" s="18"/>
      <c r="C94" s="20">
        <v>1.07</v>
      </c>
      <c r="D94" s="22">
        <v>-1.06</v>
      </c>
      <c r="E94" s="18"/>
      <c r="F94" s="18"/>
      <c r="G94" s="18"/>
      <c r="H94" s="22">
        <v>-0.01</v>
      </c>
      <c r="I94" s="18"/>
      <c r="J94" s="18"/>
      <c r="K94" s="18"/>
      <c r="L94" s="18"/>
    </row>
    <row r="95" ht="15.0" customHeight="1">
      <c r="A95" s="14" t="s">
        <v>120</v>
      </c>
      <c r="B95" s="23">
        <v>-207.45</v>
      </c>
      <c r="C95" s="15">
        <v>2090.74</v>
      </c>
      <c r="D95" s="18"/>
      <c r="E95" s="18"/>
      <c r="F95" s="18"/>
      <c r="G95" s="18"/>
      <c r="H95" s="18"/>
      <c r="I95" s="18"/>
      <c r="J95" s="18"/>
      <c r="K95" s="18"/>
      <c r="L95" s="18"/>
    </row>
    <row r="96" ht="15.0" customHeight="1">
      <c r="A96" s="16" t="s">
        <v>121</v>
      </c>
      <c r="B96" s="25">
        <v>-207.45</v>
      </c>
      <c r="C96" s="17">
        <v>2090.74</v>
      </c>
      <c r="D96" s="19"/>
      <c r="E96" s="19"/>
      <c r="F96" s="19"/>
      <c r="G96" s="19"/>
      <c r="H96" s="19"/>
      <c r="I96" s="19"/>
      <c r="J96" s="19"/>
      <c r="K96" s="19"/>
      <c r="L96" s="19"/>
    </row>
    <row r="97" ht="15.0" customHeight="1">
      <c r="A97" s="16" t="s">
        <v>122</v>
      </c>
      <c r="B97" s="25">
        <v>-236.49</v>
      </c>
      <c r="C97" s="17">
        <v>1936.03</v>
      </c>
      <c r="D97" s="24">
        <v>-93.91</v>
      </c>
      <c r="E97" s="19"/>
      <c r="F97" s="19"/>
      <c r="G97" s="19"/>
      <c r="H97" s="19"/>
      <c r="I97" s="19"/>
      <c r="J97" s="19"/>
      <c r="K97" s="19"/>
      <c r="L97" s="19"/>
    </row>
    <row r="98" ht="15.0" customHeight="1">
      <c r="A98" s="16" t="s">
        <v>123</v>
      </c>
      <c r="B98" s="25">
        <v>-236.49</v>
      </c>
      <c r="C98" s="17">
        <v>1936.03</v>
      </c>
      <c r="D98" s="24">
        <v>-93.91</v>
      </c>
      <c r="E98" s="19"/>
      <c r="F98" s="19"/>
      <c r="G98" s="19"/>
      <c r="H98" s="19"/>
      <c r="I98" s="19"/>
      <c r="J98" s="19"/>
      <c r="K98" s="19"/>
      <c r="L98" s="19"/>
    </row>
    <row r="99" ht="15.0" customHeight="1">
      <c r="A99" s="16" t="s">
        <v>124</v>
      </c>
      <c r="B99" s="24">
        <v>-29.04</v>
      </c>
      <c r="C99" s="25">
        <v>-154.71</v>
      </c>
      <c r="D99" s="24">
        <v>-93.91</v>
      </c>
      <c r="E99" s="21">
        <v>96.07</v>
      </c>
      <c r="F99" s="24">
        <v>-68.83</v>
      </c>
      <c r="G99" s="24">
        <v>-51.41</v>
      </c>
      <c r="H99" s="19"/>
      <c r="I99" s="19"/>
      <c r="J99" s="19"/>
      <c r="K99" s="19"/>
      <c r="L99" s="19"/>
    </row>
    <row r="100" ht="15.0" customHeight="1">
      <c r="A100" s="16" t="s">
        <v>125</v>
      </c>
      <c r="B100" s="25">
        <v>-236.49</v>
      </c>
      <c r="C100" s="17">
        <v>1937.11</v>
      </c>
      <c r="D100" s="24">
        <v>-94.96</v>
      </c>
      <c r="E100" s="21">
        <v>96.07</v>
      </c>
      <c r="F100" s="24">
        <v>-68.83</v>
      </c>
      <c r="G100" s="24">
        <v>-51.41</v>
      </c>
      <c r="H100" s="25">
        <v>-208.96</v>
      </c>
      <c r="I100" s="24">
        <v>-8.32</v>
      </c>
      <c r="J100" s="25">
        <v>-146.84</v>
      </c>
      <c r="K100" s="24">
        <v>-17.25</v>
      </c>
      <c r="L100" s="21">
        <v>6.49</v>
      </c>
    </row>
    <row r="101" ht="15.0" customHeight="1">
      <c r="A101" s="14" t="s">
        <v>126</v>
      </c>
      <c r="B101" s="18"/>
      <c r="C101" s="15">
        <v>1937.11</v>
      </c>
      <c r="D101" s="22">
        <v>-94.96</v>
      </c>
      <c r="E101" s="20">
        <v>96.07</v>
      </c>
      <c r="F101" s="22">
        <v>-68.83</v>
      </c>
      <c r="G101" s="22">
        <v>-51.41</v>
      </c>
      <c r="H101" s="23">
        <v>-208.96</v>
      </c>
      <c r="I101" s="22">
        <v>-8.32</v>
      </c>
      <c r="J101" s="23">
        <v>-146.84</v>
      </c>
      <c r="K101" s="22">
        <v>-17.25</v>
      </c>
      <c r="L101" s="20">
        <v>6.49</v>
      </c>
    </row>
    <row r="102" ht="15.0" customHeight="1">
      <c r="A102" s="14" t="s">
        <v>127</v>
      </c>
      <c r="B102" s="18"/>
      <c r="C102" s="18">
        <v>0.0</v>
      </c>
      <c r="D102" s="22">
        <v>-1.06</v>
      </c>
      <c r="E102" s="18"/>
      <c r="F102" s="22">
        <v>-0.18</v>
      </c>
      <c r="G102" s="22">
        <v>-0.74</v>
      </c>
      <c r="H102" s="22">
        <v>-0.98</v>
      </c>
      <c r="I102" s="20">
        <v>0.97</v>
      </c>
      <c r="J102" s="22">
        <v>-0.98</v>
      </c>
      <c r="K102" s="22">
        <v>-0.65</v>
      </c>
      <c r="L102" s="20">
        <v>1.03</v>
      </c>
    </row>
    <row r="103" ht="15.0" customHeight="1">
      <c r="A103" s="14" t="s">
        <v>128</v>
      </c>
      <c r="B103" s="18"/>
      <c r="C103" s="18"/>
      <c r="D103" s="18"/>
      <c r="E103" s="18"/>
      <c r="F103" s="18">
        <v>0.0</v>
      </c>
      <c r="G103" s="22">
        <v>-0.1</v>
      </c>
      <c r="H103" s="18">
        <v>0.0</v>
      </c>
      <c r="I103" s="22">
        <v>-0.11</v>
      </c>
      <c r="J103" s="18">
        <v>0.0</v>
      </c>
      <c r="K103" s="18"/>
      <c r="L103" s="18"/>
    </row>
    <row r="104" ht="15.0" customHeight="1">
      <c r="A104" s="14" t="s">
        <v>129</v>
      </c>
      <c r="B104" s="18"/>
      <c r="C104" s="18">
        <v>0.0</v>
      </c>
      <c r="D104" s="20">
        <v>49.59</v>
      </c>
      <c r="E104" s="22">
        <v>-18.25</v>
      </c>
      <c r="F104" s="20">
        <v>44.95</v>
      </c>
      <c r="G104" s="18">
        <v>0.0</v>
      </c>
      <c r="H104" s="18">
        <v>0.0</v>
      </c>
      <c r="I104" s="22">
        <v>-37.65</v>
      </c>
      <c r="J104" s="20">
        <v>26.06</v>
      </c>
      <c r="K104" s="18"/>
      <c r="L104" s="18"/>
    </row>
    <row r="105" ht="15.0" customHeight="1">
      <c r="A105" s="16" t="s">
        <v>130</v>
      </c>
      <c r="B105" s="19"/>
      <c r="C105" s="19">
        <v>0.0</v>
      </c>
      <c r="D105" s="21">
        <v>48.54</v>
      </c>
      <c r="E105" s="24">
        <v>-18.25</v>
      </c>
      <c r="F105" s="21">
        <v>44.77</v>
      </c>
      <c r="G105" s="24">
        <v>-0.85</v>
      </c>
      <c r="H105" s="24">
        <v>-0.98</v>
      </c>
      <c r="I105" s="24">
        <v>-36.8</v>
      </c>
      <c r="J105" s="21">
        <v>25.09</v>
      </c>
      <c r="K105" s="24">
        <v>-0.65</v>
      </c>
      <c r="L105" s="21">
        <v>1.03</v>
      </c>
    </row>
    <row r="106" ht="15.0" customHeight="1">
      <c r="A106" s="16" t="s">
        <v>131</v>
      </c>
      <c r="B106" s="19"/>
      <c r="C106" s="17">
        <v>1937.11</v>
      </c>
      <c r="D106" s="24">
        <v>-46.43</v>
      </c>
      <c r="E106" s="21">
        <v>77.82</v>
      </c>
      <c r="F106" s="24">
        <v>-24.06</v>
      </c>
      <c r="G106" s="24">
        <v>-52.26</v>
      </c>
      <c r="H106" s="25">
        <v>-209.94</v>
      </c>
      <c r="I106" s="24">
        <v>-45.12</v>
      </c>
      <c r="J106" s="25">
        <v>-121.75</v>
      </c>
      <c r="K106" s="24">
        <v>-17.9</v>
      </c>
      <c r="L106" s="21">
        <v>7.52</v>
      </c>
    </row>
    <row r="107" ht="15.0" customHeight="1">
      <c r="A107" s="14" t="s">
        <v>132</v>
      </c>
      <c r="B107" s="23">
        <v>-236.49</v>
      </c>
      <c r="C107" s="15">
        <v>1937.11</v>
      </c>
      <c r="D107" s="22">
        <v>-94.96</v>
      </c>
      <c r="E107" s="20">
        <v>96.07</v>
      </c>
      <c r="F107" s="22">
        <v>-68.83</v>
      </c>
      <c r="G107" s="22">
        <v>-51.41</v>
      </c>
      <c r="H107" s="23">
        <v>-208.96</v>
      </c>
      <c r="I107" s="22">
        <v>-8.32</v>
      </c>
      <c r="J107" s="23">
        <v>-146.84</v>
      </c>
      <c r="K107" s="22">
        <v>-17.25</v>
      </c>
      <c r="L107" s="20">
        <v>6.49</v>
      </c>
    </row>
    <row r="108" ht="15.0" customHeight="1">
      <c r="A108" s="14" t="s">
        <v>133</v>
      </c>
      <c r="B108" s="20">
        <v>87.7</v>
      </c>
      <c r="C108" s="20">
        <v>87.68</v>
      </c>
      <c r="D108" s="20">
        <v>87.66</v>
      </c>
      <c r="E108" s="20">
        <v>87.63</v>
      </c>
      <c r="F108" s="20">
        <v>87.59</v>
      </c>
      <c r="G108" s="20">
        <v>78.06</v>
      </c>
      <c r="H108" s="20">
        <v>87.59</v>
      </c>
      <c r="I108" s="20">
        <v>87.59</v>
      </c>
      <c r="J108" s="20">
        <v>87.59</v>
      </c>
      <c r="K108" s="20">
        <v>87.59</v>
      </c>
      <c r="L108" s="20">
        <v>87.59</v>
      </c>
    </row>
    <row r="109" ht="15.0" customHeight="1">
      <c r="A109" s="14" t="s">
        <v>134</v>
      </c>
      <c r="B109" s="20">
        <v>87.7</v>
      </c>
      <c r="C109" s="20">
        <v>87.68</v>
      </c>
      <c r="D109" s="20">
        <v>87.66</v>
      </c>
      <c r="E109" s="20">
        <v>87.63</v>
      </c>
      <c r="F109" s="20">
        <v>87.59</v>
      </c>
      <c r="G109" s="20">
        <v>78.06</v>
      </c>
      <c r="H109" s="20">
        <v>87.59</v>
      </c>
      <c r="I109" s="20">
        <v>87.59</v>
      </c>
      <c r="J109" s="20">
        <v>87.59</v>
      </c>
      <c r="K109" s="20">
        <v>87.59</v>
      </c>
      <c r="L109" s="20">
        <v>87.59</v>
      </c>
    </row>
    <row r="110" ht="15.0" customHeight="1">
      <c r="A110" s="14" t="s">
        <v>135</v>
      </c>
      <c r="B110" s="22">
        <v>-2.7</v>
      </c>
      <c r="C110" s="20">
        <v>22.09</v>
      </c>
      <c r="D110" s="22">
        <v>-1.06</v>
      </c>
      <c r="E110" s="20">
        <v>1.06</v>
      </c>
      <c r="F110" s="22">
        <v>-0.77</v>
      </c>
      <c r="G110" s="22">
        <v>-0.66</v>
      </c>
      <c r="H110" s="22">
        <v>-2.39</v>
      </c>
      <c r="I110" s="22">
        <v>-0.1</v>
      </c>
      <c r="J110" s="22">
        <v>-1.68</v>
      </c>
      <c r="K110" s="22">
        <v>-0.2</v>
      </c>
      <c r="L110" s="20">
        <v>0.07</v>
      </c>
    </row>
    <row r="111" ht="15.0" customHeight="1">
      <c r="A111" s="14" t="s">
        <v>136</v>
      </c>
      <c r="B111" s="22">
        <v>-2.7</v>
      </c>
      <c r="C111" s="20">
        <v>22.09</v>
      </c>
      <c r="D111" s="22">
        <v>-1.06</v>
      </c>
      <c r="E111" s="20">
        <v>1.06</v>
      </c>
      <c r="F111" s="22">
        <v>-0.77</v>
      </c>
      <c r="G111" s="22">
        <v>-0.66</v>
      </c>
      <c r="H111" s="22">
        <v>-2.39</v>
      </c>
      <c r="I111" s="22">
        <v>-0.1</v>
      </c>
      <c r="J111" s="22">
        <v>-1.68</v>
      </c>
      <c r="K111" s="22">
        <v>-0.2</v>
      </c>
      <c r="L111" s="20">
        <v>0.07</v>
      </c>
    </row>
    <row r="112" ht="15.0" customHeight="1">
      <c r="A112" s="14" t="s">
        <v>137</v>
      </c>
      <c r="B112" s="22">
        <v>-29.04</v>
      </c>
      <c r="C112" s="23">
        <v>-154.71</v>
      </c>
      <c r="D112" s="22">
        <v>-93.91</v>
      </c>
      <c r="E112" s="20">
        <v>96.07</v>
      </c>
      <c r="F112" s="22">
        <v>-68.83</v>
      </c>
      <c r="G112" s="22">
        <v>-51.41</v>
      </c>
      <c r="H112" s="18"/>
      <c r="I112" s="18"/>
      <c r="J112" s="18"/>
      <c r="K112" s="18"/>
      <c r="L112" s="18"/>
    </row>
    <row r="113" ht="15.0" customHeight="1">
      <c r="A113" s="14" t="s">
        <v>138</v>
      </c>
      <c r="B113" s="22">
        <v>-0.33</v>
      </c>
      <c r="C113" s="22">
        <v>-1.76</v>
      </c>
      <c r="D113" s="22">
        <v>-1.07</v>
      </c>
      <c r="E113" s="20">
        <v>1.06</v>
      </c>
      <c r="F113" s="22">
        <v>-0.77</v>
      </c>
      <c r="G113" s="22">
        <v>-0.66</v>
      </c>
      <c r="H113" s="18"/>
      <c r="I113" s="18"/>
      <c r="J113" s="18"/>
      <c r="K113" s="18"/>
      <c r="L113" s="18"/>
    </row>
    <row r="114" ht="15.0" customHeight="1">
      <c r="A114" s="14" t="s">
        <v>139</v>
      </c>
      <c r="B114" s="22">
        <v>-0.33</v>
      </c>
      <c r="C114" s="22">
        <v>-1.76</v>
      </c>
      <c r="D114" s="22">
        <v>-1.07</v>
      </c>
      <c r="E114" s="20">
        <v>1.06</v>
      </c>
      <c r="F114" s="22">
        <v>-0.77</v>
      </c>
      <c r="G114" s="22">
        <v>-0.66</v>
      </c>
      <c r="H114" s="18"/>
      <c r="I114" s="18"/>
      <c r="J114" s="18"/>
      <c r="K114" s="18"/>
      <c r="L114" s="18"/>
    </row>
    <row r="115" ht="15.0" customHeight="1">
      <c r="A115" s="14" t="s">
        <v>140</v>
      </c>
      <c r="B115" s="18"/>
      <c r="C115" s="15">
        <v>458.76</v>
      </c>
      <c r="D115" s="15">
        <v>697.44</v>
      </c>
      <c r="E115" s="15">
        <v>656.19</v>
      </c>
      <c r="F115" s="18"/>
      <c r="G115" s="18"/>
      <c r="H115" s="18"/>
      <c r="I115" s="18"/>
      <c r="J115" s="18"/>
      <c r="K115" s="18"/>
      <c r="L115" s="18"/>
    </row>
    <row r="116" ht="15.0" customHeight="1">
      <c r="A116" s="14" t="s">
        <v>141</v>
      </c>
      <c r="B116" s="18"/>
      <c r="C116" s="20">
        <v>6.45</v>
      </c>
      <c r="D116" s="20">
        <v>12.66</v>
      </c>
      <c r="E116" s="20">
        <v>37.47</v>
      </c>
      <c r="F116" s="20">
        <v>15.35</v>
      </c>
      <c r="G116" s="20">
        <v>15.17</v>
      </c>
      <c r="H116" s="20">
        <v>8.13</v>
      </c>
      <c r="I116" s="18"/>
      <c r="J116" s="18"/>
      <c r="K116" s="18"/>
      <c r="L116" s="18"/>
    </row>
    <row r="117" ht="15.0" customHeight="1">
      <c r="A117" s="14" t="s">
        <v>142</v>
      </c>
      <c r="B117" s="18"/>
      <c r="C117" s="20">
        <v>2.15</v>
      </c>
      <c r="D117" s="20">
        <v>28.49</v>
      </c>
      <c r="E117" s="20">
        <v>19.21</v>
      </c>
      <c r="F117" s="20">
        <v>0.95</v>
      </c>
      <c r="G117" s="20">
        <v>2.86</v>
      </c>
      <c r="H117" s="20">
        <v>2.45</v>
      </c>
      <c r="I117" s="18"/>
      <c r="J117" s="18"/>
      <c r="K117" s="18"/>
      <c r="L117" s="18"/>
    </row>
    <row r="118" ht="15.0" customHeight="1">
      <c r="A118" s="14" t="s">
        <v>143</v>
      </c>
      <c r="B118" s="18"/>
      <c r="C118" s="20">
        <v>4.3</v>
      </c>
      <c r="D118" s="20">
        <v>4.22</v>
      </c>
      <c r="E118" s="20">
        <v>2.88</v>
      </c>
      <c r="F118" s="20">
        <v>2.27</v>
      </c>
      <c r="G118" s="20">
        <v>3.13</v>
      </c>
      <c r="H118" s="20">
        <v>2.95</v>
      </c>
      <c r="I118" s="20">
        <v>1.49</v>
      </c>
      <c r="J118" s="20">
        <v>1.31</v>
      </c>
      <c r="K118" s="20">
        <v>1.3</v>
      </c>
      <c r="L118" s="20">
        <v>1.39</v>
      </c>
    </row>
    <row r="119" ht="15.0" customHeight="1">
      <c r="A119" s="14" t="s">
        <v>144</v>
      </c>
      <c r="B119" s="18"/>
      <c r="C119" s="20">
        <v>1.07</v>
      </c>
      <c r="D119" s="20">
        <v>1.06</v>
      </c>
      <c r="E119" s="20">
        <v>0.96</v>
      </c>
      <c r="F119" s="20">
        <v>1.13</v>
      </c>
      <c r="G119" s="20">
        <v>0.7</v>
      </c>
      <c r="H119" s="20">
        <v>0.25</v>
      </c>
      <c r="I119" s="20">
        <v>0.53</v>
      </c>
      <c r="J119" s="20">
        <v>0.46</v>
      </c>
      <c r="K119" s="20">
        <v>0.08</v>
      </c>
      <c r="L119" s="20">
        <v>0.38</v>
      </c>
    </row>
    <row r="120" ht="15.0" customHeight="1">
      <c r="A120" s="14" t="s">
        <v>145</v>
      </c>
      <c r="B120" s="18"/>
      <c r="C120" s="18">
        <v>0.0</v>
      </c>
      <c r="D120" s="18">
        <v>0.0</v>
      </c>
      <c r="E120" s="20">
        <v>0.96</v>
      </c>
      <c r="F120" s="18"/>
      <c r="G120" s="18"/>
      <c r="H120" s="18"/>
      <c r="I120" s="18"/>
      <c r="J120" s="18"/>
      <c r="K120" s="18"/>
      <c r="L120" s="18"/>
    </row>
    <row r="121" ht="15.0" customHeight="1">
      <c r="A121" s="14" t="s">
        <v>146</v>
      </c>
      <c r="B121" s="18"/>
      <c r="C121" s="20">
        <v>5.37</v>
      </c>
      <c r="D121" s="20">
        <v>5.28</v>
      </c>
      <c r="E121" s="20">
        <v>4.8</v>
      </c>
      <c r="F121" s="20">
        <v>3.4</v>
      </c>
      <c r="G121" s="20">
        <v>3.83</v>
      </c>
      <c r="H121" s="20">
        <v>3.19</v>
      </c>
      <c r="I121" s="20">
        <v>2.01</v>
      </c>
      <c r="J121" s="20">
        <v>1.77</v>
      </c>
      <c r="K121" s="20">
        <v>1.39</v>
      </c>
      <c r="L121" s="20">
        <v>1.77</v>
      </c>
    </row>
    <row r="122" ht="15.0" customHeight="1">
      <c r="A122" s="14" t="s">
        <v>147</v>
      </c>
      <c r="B122" s="18"/>
      <c r="C122" s="15">
        <v>130.0</v>
      </c>
      <c r="D122" s="15">
        <v>118.18</v>
      </c>
      <c r="E122" s="20">
        <v>98.0</v>
      </c>
      <c r="F122" s="20">
        <v>94.86</v>
      </c>
      <c r="G122" s="20">
        <v>95.59</v>
      </c>
      <c r="H122" s="20">
        <v>76.53</v>
      </c>
      <c r="I122" s="20">
        <v>44.94</v>
      </c>
      <c r="J122" s="20">
        <v>17.89</v>
      </c>
      <c r="K122" s="20">
        <v>14.34</v>
      </c>
      <c r="L122" s="20">
        <v>13.38</v>
      </c>
    </row>
    <row r="123" ht="15.0" customHeight="1">
      <c r="A123" s="14" t="s">
        <v>148</v>
      </c>
      <c r="B123" s="18"/>
      <c r="C123" s="20">
        <v>76.28</v>
      </c>
      <c r="D123" s="15">
        <v>412.56</v>
      </c>
      <c r="E123" s="15">
        <v>376.61</v>
      </c>
      <c r="F123" s="15">
        <v>351.23</v>
      </c>
      <c r="G123" s="15">
        <v>350.61</v>
      </c>
      <c r="H123" s="15">
        <v>247.02</v>
      </c>
      <c r="I123" s="15">
        <v>133.82</v>
      </c>
      <c r="J123" s="15">
        <v>123.65</v>
      </c>
      <c r="K123" s="15">
        <v>127.25</v>
      </c>
      <c r="L123" s="15">
        <v>114.7</v>
      </c>
    </row>
    <row r="124" ht="15.0" customHeight="1">
      <c r="A124" s="14" t="s">
        <v>149</v>
      </c>
      <c r="B124" s="15">
        <v>186.71</v>
      </c>
      <c r="C124" s="15">
        <v>206.28</v>
      </c>
      <c r="D124" s="15">
        <v>530.73</v>
      </c>
      <c r="E124" s="15">
        <v>474.61</v>
      </c>
      <c r="F124" s="15">
        <v>446.09</v>
      </c>
      <c r="G124" s="15">
        <v>446.2</v>
      </c>
      <c r="H124" s="15">
        <v>325.06</v>
      </c>
      <c r="I124" s="15">
        <v>186.1</v>
      </c>
      <c r="J124" s="15">
        <v>153.34</v>
      </c>
      <c r="K124" s="15">
        <v>162.49</v>
      </c>
      <c r="L124" s="15">
        <v>128.29</v>
      </c>
    </row>
    <row r="125" ht="15.0" customHeight="1">
      <c r="A125" s="14" t="s">
        <v>150</v>
      </c>
      <c r="B125" s="18"/>
      <c r="C125" s="20">
        <v>2.15</v>
      </c>
      <c r="D125" s="20">
        <v>7.39</v>
      </c>
      <c r="E125" s="20">
        <v>19.21</v>
      </c>
      <c r="F125" s="20">
        <v>7.4</v>
      </c>
      <c r="G125" s="20">
        <v>10.06</v>
      </c>
      <c r="H125" s="18"/>
      <c r="I125" s="18"/>
      <c r="J125" s="18"/>
      <c r="K125" s="18"/>
      <c r="L125" s="18"/>
    </row>
    <row r="126" ht="15.0" customHeight="1">
      <c r="A126" s="14" t="s">
        <v>151</v>
      </c>
      <c r="B126" s="18"/>
      <c r="C126" s="18"/>
      <c r="D126" s="18"/>
      <c r="E126" s="18"/>
      <c r="F126" s="18">
        <v>0.0</v>
      </c>
      <c r="G126" s="23">
        <v>-160.13</v>
      </c>
      <c r="H126" s="22">
        <v>-30.16</v>
      </c>
      <c r="I126" s="18">
        <v>0.0</v>
      </c>
      <c r="J126" s="18"/>
      <c r="K126" s="18"/>
      <c r="L126" s="18"/>
    </row>
    <row r="127" ht="15.0" customHeight="1">
      <c r="A127" s="14" t="s">
        <v>152</v>
      </c>
      <c r="B127" s="20">
        <v>1.04</v>
      </c>
      <c r="C127" s="22">
        <v>-45.12</v>
      </c>
      <c r="D127" s="22">
        <v>-4.22</v>
      </c>
      <c r="E127" s="18"/>
      <c r="F127" s="18"/>
      <c r="G127" s="18">
        <v>0.0</v>
      </c>
      <c r="H127" s="22">
        <v>-11.42</v>
      </c>
      <c r="I127" s="22">
        <v>-11.45</v>
      </c>
      <c r="J127" s="18"/>
      <c r="K127" s="18"/>
      <c r="L127" s="18"/>
    </row>
    <row r="128" ht="15.0" customHeight="1">
      <c r="A128" s="14" t="s">
        <v>153</v>
      </c>
      <c r="B128" s="23">
        <v>-101.65</v>
      </c>
      <c r="C128" s="22">
        <v>-95.62</v>
      </c>
      <c r="D128" s="23">
        <v>-122.4</v>
      </c>
      <c r="E128" s="20">
        <v>12.49</v>
      </c>
      <c r="F128" s="22">
        <v>-23.04</v>
      </c>
      <c r="G128" s="18"/>
      <c r="H128" s="18"/>
      <c r="I128" s="18"/>
      <c r="J128" s="18"/>
      <c r="K128" s="18"/>
      <c r="L128" s="18"/>
    </row>
    <row r="129" ht="15.0" customHeight="1">
      <c r="A129" s="14" t="s">
        <v>154</v>
      </c>
      <c r="B129" s="22">
        <v>-2.07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 ht="15.0" customHeight="1">
      <c r="A130" s="14" t="s">
        <v>73</v>
      </c>
      <c r="B130" s="18"/>
      <c r="C130" s="18"/>
      <c r="D130" s="18"/>
      <c r="E130" s="18"/>
      <c r="F130" s="22">
        <v>-11.68</v>
      </c>
      <c r="G130" s="18"/>
      <c r="H130" s="22">
        <v>-7.36</v>
      </c>
      <c r="I130" s="22">
        <v>-2.37</v>
      </c>
      <c r="J130" s="18"/>
      <c r="K130" s="18"/>
      <c r="L130" s="18"/>
    </row>
    <row r="131" ht="15.0" customHeight="1">
      <c r="A131" s="14" t="s">
        <v>155</v>
      </c>
      <c r="B131" s="18"/>
      <c r="C131" s="18"/>
      <c r="D131" s="18"/>
      <c r="E131" s="22">
        <v>-55.72</v>
      </c>
      <c r="F131" s="22">
        <v>-9.52</v>
      </c>
      <c r="G131" s="22">
        <v>-20.28</v>
      </c>
      <c r="H131" s="18"/>
      <c r="I131" s="18"/>
      <c r="J131" s="18"/>
      <c r="K131" s="18"/>
      <c r="L131" s="18"/>
    </row>
    <row r="132" ht="15.0" customHeight="1">
      <c r="A132" s="14" t="s">
        <v>156</v>
      </c>
      <c r="B132" s="18"/>
      <c r="C132" s="18"/>
      <c r="D132" s="18"/>
      <c r="E132" s="18"/>
      <c r="F132" s="18">
        <v>0.0</v>
      </c>
      <c r="G132" s="22">
        <v>-28.05</v>
      </c>
      <c r="H132" s="18"/>
      <c r="I132" s="18"/>
      <c r="J132" s="18"/>
      <c r="K132" s="18"/>
      <c r="L132" s="18"/>
    </row>
    <row r="133" ht="15.0" customHeight="1">
      <c r="A133" s="14" t="s">
        <v>157</v>
      </c>
      <c r="B133" s="18"/>
      <c r="C133" s="18"/>
      <c r="D133" s="18"/>
      <c r="E133" s="18"/>
      <c r="F133" s="18"/>
      <c r="G133" s="22">
        <v>-49.88</v>
      </c>
      <c r="H133" s="18"/>
      <c r="I133" s="18"/>
      <c r="J133" s="18"/>
      <c r="K133" s="18"/>
      <c r="L133" s="18"/>
    </row>
    <row r="134" ht="15.0" customHeight="1">
      <c r="A134" s="14" t="s">
        <v>158</v>
      </c>
      <c r="B134" s="18"/>
      <c r="C134" s="18"/>
      <c r="D134" s="18"/>
      <c r="E134" s="18"/>
      <c r="F134" s="20">
        <v>3.68</v>
      </c>
      <c r="G134" s="18"/>
      <c r="H134" s="18"/>
      <c r="I134" s="18"/>
      <c r="J134" s="18"/>
      <c r="K134" s="18"/>
      <c r="L134" s="18"/>
    </row>
    <row r="135" ht="15.0" customHeight="1">
      <c r="A135" s="14" t="s">
        <v>159</v>
      </c>
      <c r="B135" s="18"/>
      <c r="C135" s="18"/>
      <c r="D135" s="18"/>
      <c r="E135" s="18"/>
      <c r="F135" s="18">
        <v>0.0</v>
      </c>
      <c r="G135" s="20">
        <v>6.49</v>
      </c>
      <c r="H135" s="22">
        <v>-15.7</v>
      </c>
      <c r="I135" s="22">
        <v>-34.22</v>
      </c>
      <c r="J135" s="18"/>
      <c r="K135" s="18"/>
      <c r="L135" s="18"/>
    </row>
    <row r="136" ht="15.0" customHeight="1">
      <c r="A136" s="14" t="s">
        <v>160</v>
      </c>
      <c r="B136" s="15">
        <v>475.06</v>
      </c>
      <c r="C136" s="15">
        <v>311.57</v>
      </c>
      <c r="D136" s="15">
        <v>738.6</v>
      </c>
      <c r="E136" s="15">
        <v>662.91</v>
      </c>
      <c r="F136" s="15">
        <v>412.06</v>
      </c>
      <c r="G136" s="15">
        <v>735.04</v>
      </c>
      <c r="H136" s="15">
        <v>466.64</v>
      </c>
      <c r="I136" s="15">
        <v>317.65</v>
      </c>
      <c r="J136" s="18"/>
      <c r="K136" s="18"/>
      <c r="L136" s="18"/>
    </row>
    <row r="137" ht="15.0" customHeight="1">
      <c r="A137" s="14" t="s">
        <v>161</v>
      </c>
      <c r="B137" s="20">
        <v>87.7</v>
      </c>
      <c r="C137" s="20">
        <v>87.68</v>
      </c>
      <c r="D137" s="20">
        <v>87.66</v>
      </c>
      <c r="E137" s="20">
        <v>87.63</v>
      </c>
      <c r="F137" s="20">
        <v>87.59</v>
      </c>
      <c r="G137" s="20">
        <v>78.06</v>
      </c>
      <c r="H137" s="20">
        <v>87.59</v>
      </c>
      <c r="I137" s="20">
        <v>87.59</v>
      </c>
      <c r="J137" s="20">
        <v>87.59</v>
      </c>
      <c r="K137" s="20">
        <v>87.59</v>
      </c>
      <c r="L137" s="20">
        <v>87.59</v>
      </c>
    </row>
    <row r="138" ht="15.0" customHeight="1">
      <c r="A138" s="14" t="s">
        <v>162</v>
      </c>
      <c r="B138" s="20">
        <v>87.7</v>
      </c>
      <c r="C138" s="20">
        <v>87.68</v>
      </c>
      <c r="D138" s="20">
        <v>87.66</v>
      </c>
      <c r="E138" s="20">
        <v>87.63</v>
      </c>
      <c r="F138" s="20">
        <v>87.59</v>
      </c>
      <c r="G138" s="20">
        <v>78.06</v>
      </c>
      <c r="H138" s="20">
        <v>87.59</v>
      </c>
      <c r="I138" s="20">
        <v>87.59</v>
      </c>
      <c r="J138" s="20">
        <v>87.59</v>
      </c>
      <c r="K138" s="20">
        <v>87.59</v>
      </c>
      <c r="L138" s="20">
        <v>87.59</v>
      </c>
    </row>
    <row r="139" ht="15.0" customHeight="1">
      <c r="A139" s="14" t="s">
        <v>163</v>
      </c>
      <c r="B139" s="22">
        <v>-2.7</v>
      </c>
      <c r="C139" s="20">
        <v>22.09</v>
      </c>
      <c r="D139" s="22">
        <v>-1.06</v>
      </c>
      <c r="E139" s="20">
        <v>1.06</v>
      </c>
      <c r="F139" s="22">
        <v>-0.77</v>
      </c>
      <c r="G139" s="22">
        <v>-0.66</v>
      </c>
      <c r="H139" s="22">
        <v>-2.39</v>
      </c>
      <c r="I139" s="22">
        <v>-0.1</v>
      </c>
      <c r="J139" s="22">
        <v>-1.68</v>
      </c>
      <c r="K139" s="22">
        <v>-0.2</v>
      </c>
      <c r="L139" s="20">
        <v>0.07</v>
      </c>
    </row>
    <row r="140" ht="15.0" customHeight="1">
      <c r="A140" s="14" t="s">
        <v>164</v>
      </c>
      <c r="B140" s="22">
        <v>-2.7</v>
      </c>
      <c r="C140" s="20">
        <v>22.09</v>
      </c>
      <c r="D140" s="22">
        <v>-1.06</v>
      </c>
      <c r="E140" s="20">
        <v>1.06</v>
      </c>
      <c r="F140" s="22">
        <v>-0.77</v>
      </c>
      <c r="G140" s="22">
        <v>-0.66</v>
      </c>
      <c r="H140" s="22">
        <v>-2.39</v>
      </c>
      <c r="I140" s="22">
        <v>-0.1</v>
      </c>
      <c r="J140" s="22">
        <v>-1.68</v>
      </c>
      <c r="K140" s="22">
        <v>-0.2</v>
      </c>
      <c r="L140" s="20">
        <v>0.07</v>
      </c>
    </row>
    <row r="141" ht="15.0" customHeight="1">
      <c r="A141" s="14" t="s">
        <v>165</v>
      </c>
      <c r="B141" s="20">
        <v>1.0</v>
      </c>
      <c r="C141" s="20">
        <v>1.0</v>
      </c>
      <c r="D141" s="20">
        <v>1.0</v>
      </c>
      <c r="E141" s="20">
        <v>1.0</v>
      </c>
      <c r="F141" s="20">
        <v>1.0</v>
      </c>
      <c r="G141" s="20">
        <v>1.0</v>
      </c>
      <c r="H141" s="20">
        <v>1.0</v>
      </c>
      <c r="I141" s="20">
        <v>1.0</v>
      </c>
      <c r="J141" s="20">
        <v>1.0</v>
      </c>
      <c r="K141" s="20">
        <v>1.0</v>
      </c>
      <c r="L141" s="20">
        <v>1.0</v>
      </c>
    </row>
    <row r="142" ht="15.0" customHeight="1">
      <c r="A142" s="14" t="s">
        <v>166</v>
      </c>
      <c r="B142" s="23">
        <v>-236.49</v>
      </c>
      <c r="C142" s="15">
        <v>1937.11</v>
      </c>
      <c r="D142" s="22">
        <v>-94.96</v>
      </c>
      <c r="E142" s="20">
        <v>96.07</v>
      </c>
      <c r="F142" s="22">
        <v>-68.83</v>
      </c>
      <c r="G142" s="22">
        <v>-51.41</v>
      </c>
      <c r="H142" s="23">
        <v>-208.96</v>
      </c>
      <c r="I142" s="22">
        <v>-8.32</v>
      </c>
      <c r="J142" s="23">
        <v>-146.84</v>
      </c>
      <c r="K142" s="22">
        <v>-17.25</v>
      </c>
      <c r="L142" s="20">
        <v>6.49</v>
      </c>
    </row>
    <row r="143" ht="15.0" customHeight="1">
      <c r="A143" s="14" t="s">
        <v>167</v>
      </c>
      <c r="B143" s="23">
        <v>-236.49</v>
      </c>
      <c r="C143" s="15">
        <v>1937.11</v>
      </c>
      <c r="D143" s="22">
        <v>-94.96</v>
      </c>
      <c r="E143" s="20">
        <v>96.07</v>
      </c>
      <c r="F143" s="22">
        <v>-68.83</v>
      </c>
      <c r="G143" s="22">
        <v>-51.41</v>
      </c>
      <c r="H143" s="23">
        <v>-208.96</v>
      </c>
      <c r="I143" s="22">
        <v>-8.32</v>
      </c>
      <c r="J143" s="23">
        <v>-146.84</v>
      </c>
      <c r="K143" s="22">
        <v>-17.25</v>
      </c>
      <c r="L143" s="20">
        <v>6.49</v>
      </c>
    </row>
    <row r="144" ht="15.0" customHeight="1">
      <c r="A144" s="14" t="s">
        <v>168</v>
      </c>
      <c r="B144" s="20">
        <v>1.0</v>
      </c>
      <c r="C144" s="20">
        <v>1.0</v>
      </c>
      <c r="D144" s="20">
        <v>1.0</v>
      </c>
      <c r="E144" s="20">
        <v>1.0</v>
      </c>
      <c r="F144" s="20">
        <v>1.0</v>
      </c>
      <c r="G144" s="20">
        <v>1.0</v>
      </c>
      <c r="H144" s="20">
        <v>1.0</v>
      </c>
      <c r="I144" s="20">
        <v>1.0</v>
      </c>
      <c r="J144" s="20">
        <v>1.0</v>
      </c>
      <c r="K144" s="20">
        <v>1.0</v>
      </c>
      <c r="L144" s="20">
        <v>1.0</v>
      </c>
    </row>
    <row r="145" ht="15.0" customHeight="1">
      <c r="A145" s="14" t="s">
        <v>169</v>
      </c>
      <c r="B145" s="22">
        <v>-0.33</v>
      </c>
      <c r="C145" s="22">
        <v>-1.76</v>
      </c>
      <c r="D145" s="22">
        <v>-1.07</v>
      </c>
      <c r="E145" s="20">
        <v>1.06</v>
      </c>
      <c r="F145" s="22">
        <v>-0.77</v>
      </c>
      <c r="G145" s="22">
        <v>-0.66</v>
      </c>
      <c r="H145" s="18"/>
      <c r="I145" s="18"/>
      <c r="J145" s="18"/>
      <c r="K145" s="18"/>
      <c r="L145" s="18"/>
    </row>
    <row r="146" ht="15.0" customHeight="1">
      <c r="A146" s="14" t="s">
        <v>170</v>
      </c>
      <c r="B146" s="22">
        <v>-0.33</v>
      </c>
      <c r="C146" s="22">
        <v>-1.76</v>
      </c>
      <c r="D146" s="22">
        <v>-1.07</v>
      </c>
      <c r="E146" s="20">
        <v>1.06</v>
      </c>
      <c r="F146" s="22">
        <v>-0.77</v>
      </c>
      <c r="G146" s="22">
        <v>-0.66</v>
      </c>
      <c r="H146" s="18"/>
      <c r="I146" s="18"/>
      <c r="J146" s="18"/>
      <c r="K146" s="18"/>
      <c r="L146" s="18"/>
    </row>
    <row r="147" ht="15.0" customHeight="1">
      <c r="A147" s="14" t="s">
        <v>171</v>
      </c>
      <c r="B147" s="22">
        <v>-29.04</v>
      </c>
      <c r="C147" s="23">
        <v>-154.71</v>
      </c>
      <c r="D147" s="22">
        <v>-93.91</v>
      </c>
      <c r="E147" s="20">
        <v>96.07</v>
      </c>
      <c r="F147" s="22">
        <v>-68.83</v>
      </c>
      <c r="G147" s="22">
        <v>-51.41</v>
      </c>
      <c r="H147" s="18"/>
      <c r="I147" s="18"/>
      <c r="J147" s="18"/>
      <c r="K147" s="18"/>
      <c r="L147" s="18"/>
    </row>
    <row r="148" ht="15.0" customHeight="1">
      <c r="A148" s="14" t="s">
        <v>172</v>
      </c>
      <c r="B148" s="22">
        <v>-29.04</v>
      </c>
      <c r="C148" s="23">
        <v>-154.71</v>
      </c>
      <c r="D148" s="22">
        <v>-93.91</v>
      </c>
      <c r="E148" s="20">
        <v>96.07</v>
      </c>
      <c r="F148" s="22">
        <v>-68.83</v>
      </c>
      <c r="G148" s="22">
        <v>-51.41</v>
      </c>
      <c r="H148" s="18"/>
      <c r="I148" s="18"/>
      <c r="J148" s="18"/>
      <c r="K148" s="18"/>
      <c r="L148" s="18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46090.4385881597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45107.0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174</v>
      </c>
      <c r="C15" s="10" t="s">
        <v>174</v>
      </c>
      <c r="D15" s="10" t="s">
        <v>174</v>
      </c>
      <c r="E15" s="10" t="s">
        <v>174</v>
      </c>
      <c r="F15" s="10" t="s">
        <v>174</v>
      </c>
      <c r="G15" s="10" t="s">
        <v>174</v>
      </c>
      <c r="H15" s="10" t="s">
        <v>174</v>
      </c>
      <c r="I15" s="10" t="s">
        <v>174</v>
      </c>
      <c r="J15" s="10" t="s">
        <v>174</v>
      </c>
      <c r="K15" s="10" t="s">
        <v>174</v>
      </c>
      <c r="L15" s="10" t="s">
        <v>174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176</v>
      </c>
      <c r="B20" s="15">
        <v>169.99</v>
      </c>
      <c r="C20" s="15">
        <v>170.49</v>
      </c>
      <c r="D20" s="15">
        <v>278.72</v>
      </c>
      <c r="E20" s="15">
        <v>218.46</v>
      </c>
      <c r="F20" s="20">
        <v>98.04</v>
      </c>
      <c r="G20" s="20">
        <v>91.59</v>
      </c>
      <c r="H20" s="15">
        <v>119.47</v>
      </c>
      <c r="I20" s="20">
        <v>21.73</v>
      </c>
      <c r="J20" s="20">
        <v>22.28</v>
      </c>
      <c r="K20" s="20">
        <v>30.28</v>
      </c>
      <c r="L20" s="20">
        <v>24.33</v>
      </c>
    </row>
    <row r="21" ht="15.0" customHeight="1">
      <c r="A21" s="14" t="s">
        <v>177</v>
      </c>
      <c r="B21" s="18"/>
      <c r="C21" s="15">
        <v>163.67</v>
      </c>
      <c r="D21" s="15">
        <v>257.43</v>
      </c>
      <c r="E21" s="18"/>
      <c r="F21" s="20">
        <v>80.55</v>
      </c>
      <c r="G21" s="20">
        <v>78.01</v>
      </c>
      <c r="H21" s="15">
        <v>109.07</v>
      </c>
      <c r="I21" s="20">
        <v>13.18</v>
      </c>
      <c r="J21" s="20">
        <v>15.01</v>
      </c>
      <c r="K21" s="20">
        <v>24.13</v>
      </c>
      <c r="L21" s="20">
        <v>16.32</v>
      </c>
    </row>
    <row r="22" ht="15.0" customHeight="1">
      <c r="A22" s="14" t="s">
        <v>178</v>
      </c>
      <c r="B22" s="18"/>
      <c r="C22" s="20">
        <v>6.82</v>
      </c>
      <c r="D22" s="20">
        <v>22.3</v>
      </c>
      <c r="E22" s="18"/>
      <c r="F22" s="20">
        <v>17.48</v>
      </c>
      <c r="G22" s="20">
        <v>13.59</v>
      </c>
      <c r="H22" s="20">
        <v>10.4</v>
      </c>
      <c r="I22" s="20">
        <v>8.54</v>
      </c>
      <c r="J22" s="20">
        <v>7.27</v>
      </c>
      <c r="K22" s="20">
        <v>6.15</v>
      </c>
      <c r="L22" s="20">
        <v>8.01</v>
      </c>
    </row>
    <row r="23" ht="15.0" customHeight="1">
      <c r="A23" s="14" t="s">
        <v>179</v>
      </c>
      <c r="B23" s="18"/>
      <c r="C23" s="18"/>
      <c r="D23" s="22">
        <v>-1.01</v>
      </c>
      <c r="E23" s="18"/>
      <c r="F23" s="18"/>
      <c r="G23" s="18"/>
      <c r="H23" s="18"/>
      <c r="I23" s="18"/>
      <c r="J23" s="18"/>
      <c r="K23" s="18"/>
      <c r="L23" s="18"/>
    </row>
    <row r="24" ht="15.0" customHeight="1">
      <c r="A24" s="14" t="s">
        <v>180</v>
      </c>
      <c r="B24" s="18"/>
      <c r="C24" s="18"/>
      <c r="D24" s="18"/>
      <c r="E24" s="18"/>
      <c r="F24" s="18"/>
      <c r="G24" s="18"/>
      <c r="H24" s="18"/>
      <c r="I24" s="18"/>
      <c r="J24" s="18"/>
      <c r="K24" s="18">
        <v>0.0</v>
      </c>
      <c r="L24" s="20">
        <v>92.02</v>
      </c>
    </row>
    <row r="25" ht="15.0" customHeight="1">
      <c r="A25" s="14" t="s">
        <v>181</v>
      </c>
      <c r="B25" s="15">
        <v>475.78</v>
      </c>
      <c r="C25" s="15">
        <v>616.02</v>
      </c>
      <c r="D25" s="15">
        <v>724.66</v>
      </c>
      <c r="E25" s="15">
        <v>810.17</v>
      </c>
      <c r="F25" s="15">
        <v>684.27</v>
      </c>
      <c r="G25" s="15">
        <v>839.65</v>
      </c>
      <c r="H25" s="15">
        <v>651.92</v>
      </c>
      <c r="I25" s="15">
        <v>304.28</v>
      </c>
      <c r="J25" s="15">
        <v>252.92</v>
      </c>
      <c r="K25" s="15">
        <v>222.22</v>
      </c>
      <c r="L25" s="15">
        <v>171.38</v>
      </c>
    </row>
    <row r="26" ht="15.0" customHeight="1">
      <c r="A26" s="14" t="s">
        <v>182</v>
      </c>
      <c r="B26" s="18"/>
      <c r="C26" s="15">
        <v>537.6</v>
      </c>
      <c r="D26" s="15">
        <v>583.78</v>
      </c>
      <c r="E26" s="18"/>
      <c r="F26" s="15">
        <v>443.07</v>
      </c>
      <c r="G26" s="15">
        <v>460.83</v>
      </c>
      <c r="H26" s="15">
        <v>328.25</v>
      </c>
      <c r="I26" s="15">
        <v>176.56</v>
      </c>
      <c r="J26" s="15">
        <v>158.4</v>
      </c>
      <c r="K26" s="15">
        <v>145.74</v>
      </c>
      <c r="L26" s="15">
        <v>117.64</v>
      </c>
    </row>
    <row r="27" ht="15.0" customHeight="1">
      <c r="A27" s="14" t="s">
        <v>183</v>
      </c>
      <c r="B27" s="18"/>
      <c r="C27" s="20">
        <v>57.97</v>
      </c>
      <c r="D27" s="20">
        <v>56.76</v>
      </c>
      <c r="E27" s="18"/>
      <c r="F27" s="15">
        <v>152.32</v>
      </c>
      <c r="G27" s="15">
        <v>289.72</v>
      </c>
      <c r="H27" s="15">
        <v>212.52</v>
      </c>
      <c r="I27" s="15">
        <v>127.72</v>
      </c>
      <c r="J27" s="20">
        <v>94.51</v>
      </c>
      <c r="K27" s="20">
        <v>76.47</v>
      </c>
      <c r="L27" s="20">
        <v>53.74</v>
      </c>
    </row>
    <row r="28" ht="15.0" customHeight="1">
      <c r="A28" s="14" t="s">
        <v>184</v>
      </c>
      <c r="B28" s="18"/>
      <c r="C28" s="20">
        <v>20.46</v>
      </c>
      <c r="D28" s="20">
        <v>84.12</v>
      </c>
      <c r="E28" s="18"/>
      <c r="F28" s="20">
        <v>88.88</v>
      </c>
      <c r="G28" s="20">
        <v>89.1</v>
      </c>
      <c r="H28" s="15">
        <v>111.15</v>
      </c>
      <c r="I28" s="18"/>
      <c r="J28" s="18"/>
      <c r="K28" s="18"/>
      <c r="L28" s="18"/>
    </row>
    <row r="29" ht="15.0" customHeight="1">
      <c r="A29" s="14" t="s">
        <v>185</v>
      </c>
      <c r="B29" s="18"/>
      <c r="C29" s="18"/>
      <c r="D29" s="18"/>
      <c r="E29" s="18"/>
      <c r="F29" s="18"/>
      <c r="G29" s="18"/>
      <c r="H29" s="18"/>
      <c r="I29" s="18"/>
      <c r="J29" s="18"/>
      <c r="K29" s="20">
        <v>0.01</v>
      </c>
      <c r="L29" s="18"/>
    </row>
    <row r="30" ht="15.0" customHeight="1">
      <c r="A30" s="14" t="s">
        <v>186</v>
      </c>
      <c r="B30" s="15">
        <v>1078.3</v>
      </c>
      <c r="C30" s="15">
        <v>1094.52</v>
      </c>
      <c r="D30" s="15">
        <v>1861.82</v>
      </c>
      <c r="E30" s="15">
        <v>1789.82</v>
      </c>
      <c r="F30" s="15">
        <v>1217.31</v>
      </c>
      <c r="G30" s="15">
        <v>982.68</v>
      </c>
      <c r="H30" s="15">
        <v>831.53</v>
      </c>
      <c r="I30" s="15">
        <v>377.55</v>
      </c>
      <c r="J30" s="15">
        <v>297.08</v>
      </c>
      <c r="K30" s="15">
        <v>337.15</v>
      </c>
      <c r="L30" s="15">
        <v>317.25</v>
      </c>
    </row>
    <row r="31" ht="15.0" customHeight="1">
      <c r="A31" s="14" t="s">
        <v>187</v>
      </c>
      <c r="B31" s="18"/>
      <c r="C31" s="15">
        <v>207.99</v>
      </c>
      <c r="D31" s="15">
        <v>288.85</v>
      </c>
      <c r="E31" s="15">
        <v>231.2</v>
      </c>
      <c r="F31" s="15">
        <v>214.89</v>
      </c>
      <c r="G31" s="15">
        <v>207.54</v>
      </c>
      <c r="H31" s="15">
        <v>187.02</v>
      </c>
      <c r="I31" s="20">
        <v>60.13</v>
      </c>
      <c r="J31" s="18"/>
      <c r="K31" s="15">
        <v>120.62</v>
      </c>
      <c r="L31" s="15">
        <v>117.44</v>
      </c>
    </row>
    <row r="32" ht="15.0" customHeight="1">
      <c r="A32" s="14" t="s">
        <v>188</v>
      </c>
      <c r="B32" s="18"/>
      <c r="C32" s="15">
        <v>879.71</v>
      </c>
      <c r="D32" s="15">
        <v>1384.45</v>
      </c>
      <c r="E32" s="15">
        <v>1557.64</v>
      </c>
      <c r="F32" s="15">
        <v>1002.42</v>
      </c>
      <c r="G32" s="15">
        <v>775.13</v>
      </c>
      <c r="H32" s="15">
        <v>644.52</v>
      </c>
      <c r="I32" s="15">
        <v>317.42</v>
      </c>
      <c r="J32" s="18"/>
      <c r="K32" s="15">
        <v>216.53</v>
      </c>
      <c r="L32" s="15">
        <v>199.81</v>
      </c>
    </row>
    <row r="33" ht="15.0" customHeight="1">
      <c r="A33" s="14" t="s">
        <v>189</v>
      </c>
      <c r="B33" s="18"/>
      <c r="C33" s="20">
        <v>6.82</v>
      </c>
      <c r="D33" s="15">
        <v>188.51</v>
      </c>
      <c r="E33" s="18"/>
      <c r="F33" s="18"/>
      <c r="G33" s="18"/>
      <c r="H33" s="18"/>
      <c r="I33" s="18"/>
      <c r="J33" s="18"/>
      <c r="K33" s="18"/>
      <c r="L33" s="18"/>
    </row>
    <row r="34" ht="15.0" customHeight="1">
      <c r="A34" s="14" t="s">
        <v>190</v>
      </c>
      <c r="B34" s="18"/>
      <c r="C34" s="18"/>
      <c r="D34" s="18"/>
      <c r="E34" s="20">
        <v>0.98</v>
      </c>
      <c r="F34" s="22">
        <v>-0.01</v>
      </c>
      <c r="G34" s="18"/>
      <c r="H34" s="18"/>
      <c r="I34" s="18"/>
      <c r="J34" s="18"/>
      <c r="K34" s="18"/>
      <c r="L34" s="18"/>
    </row>
    <row r="35" ht="15.0" customHeight="1">
      <c r="A35" s="14" t="s">
        <v>191</v>
      </c>
      <c r="B35" s="18"/>
      <c r="C35" s="18"/>
      <c r="D35" s="18">
        <v>0.0</v>
      </c>
      <c r="E35" s="15">
        <v>107.76</v>
      </c>
      <c r="F35" s="15">
        <v>109.96</v>
      </c>
      <c r="G35" s="18"/>
      <c r="H35" s="18"/>
      <c r="I35" s="18">
        <v>0.0</v>
      </c>
      <c r="J35" s="20">
        <v>25.88</v>
      </c>
      <c r="K35" s="18"/>
      <c r="L35" s="18"/>
    </row>
    <row r="36" ht="15.0" customHeight="1">
      <c r="A36" s="14" t="s">
        <v>192</v>
      </c>
      <c r="B36" s="15">
        <v>174.02</v>
      </c>
      <c r="C36" s="15">
        <v>401.21</v>
      </c>
      <c r="D36" s="18"/>
      <c r="E36" s="18"/>
      <c r="F36" s="18"/>
      <c r="G36" s="18"/>
      <c r="H36" s="18"/>
      <c r="I36" s="18"/>
      <c r="J36" s="18"/>
      <c r="K36" s="18"/>
      <c r="L36" s="18"/>
    </row>
    <row r="37" ht="15.0" customHeight="1">
      <c r="A37" s="14" t="s">
        <v>193</v>
      </c>
      <c r="B37" s="20">
        <v>14.08</v>
      </c>
      <c r="C37" s="20">
        <v>10.23</v>
      </c>
      <c r="D37" s="20">
        <v>3.04</v>
      </c>
      <c r="E37" s="18"/>
      <c r="F37" s="18"/>
      <c r="G37" s="18"/>
      <c r="H37" s="18"/>
      <c r="I37" s="18"/>
      <c r="J37" s="18"/>
      <c r="K37" s="18"/>
      <c r="L37" s="18"/>
    </row>
    <row r="38" ht="15.0" customHeight="1">
      <c r="A38" s="14" t="s">
        <v>194</v>
      </c>
      <c r="B38" s="18"/>
      <c r="C38" s="20">
        <v>1.14</v>
      </c>
      <c r="D38" s="20">
        <v>1.01</v>
      </c>
      <c r="E38" s="18"/>
      <c r="F38" s="22">
        <v>-0.01</v>
      </c>
      <c r="G38" s="22">
        <v>-0.01</v>
      </c>
      <c r="H38" s="18"/>
      <c r="I38" s="18"/>
      <c r="J38" s="18"/>
      <c r="K38" s="18"/>
      <c r="L38" s="18"/>
    </row>
    <row r="39" ht="15.0" customHeight="1">
      <c r="A39" s="16" t="s">
        <v>195</v>
      </c>
      <c r="B39" s="17">
        <v>1912.18</v>
      </c>
      <c r="C39" s="17">
        <v>2293.6</v>
      </c>
      <c r="D39" s="17">
        <v>2869.25</v>
      </c>
      <c r="E39" s="17">
        <v>2926.21</v>
      </c>
      <c r="F39" s="17">
        <v>2109.57</v>
      </c>
      <c r="G39" s="17">
        <v>1913.91</v>
      </c>
      <c r="H39" s="17">
        <v>1602.93</v>
      </c>
      <c r="I39" s="17">
        <v>703.55</v>
      </c>
      <c r="J39" s="17">
        <v>598.15</v>
      </c>
      <c r="K39" s="17">
        <v>589.65</v>
      </c>
      <c r="L39" s="17">
        <v>604.98</v>
      </c>
    </row>
    <row r="40" ht="15.0" customHeight="1">
      <c r="A40" s="14" t="s">
        <v>196</v>
      </c>
      <c r="B40" s="20">
        <v>22.13</v>
      </c>
      <c r="C40" s="20">
        <v>4.55</v>
      </c>
      <c r="D40" s="20">
        <v>1.01</v>
      </c>
      <c r="E40" s="20">
        <v>99.92</v>
      </c>
      <c r="F40" s="20">
        <v>0.93</v>
      </c>
      <c r="G40" s="20">
        <v>1.12</v>
      </c>
      <c r="H40" s="20">
        <v>2.28</v>
      </c>
      <c r="I40" s="20">
        <v>2.06</v>
      </c>
      <c r="J40" s="20">
        <v>1.68</v>
      </c>
      <c r="K40" s="20">
        <v>0.92</v>
      </c>
      <c r="L40" s="20">
        <v>3.49</v>
      </c>
    </row>
    <row r="41" ht="15.0" customHeight="1">
      <c r="A41" s="14" t="s">
        <v>197</v>
      </c>
      <c r="B41" s="20">
        <v>36.21</v>
      </c>
      <c r="C41" s="18"/>
      <c r="D41" s="18"/>
      <c r="E41" s="18"/>
      <c r="F41" s="18"/>
      <c r="G41" s="18"/>
      <c r="H41" s="18"/>
      <c r="I41" s="18"/>
      <c r="J41" s="18"/>
      <c r="K41" s="18">
        <v>0.0</v>
      </c>
      <c r="L41" s="20">
        <v>42.72</v>
      </c>
    </row>
    <row r="42" ht="15.0" customHeight="1">
      <c r="A42" s="14" t="s">
        <v>198</v>
      </c>
      <c r="B42" s="20">
        <v>41.24</v>
      </c>
      <c r="C42" s="20">
        <v>37.51</v>
      </c>
      <c r="D42" s="20">
        <v>27.36</v>
      </c>
      <c r="E42" s="20">
        <v>24.49</v>
      </c>
      <c r="F42" s="20">
        <v>0.09</v>
      </c>
      <c r="G42" s="20">
        <v>0.15</v>
      </c>
      <c r="H42" s="20">
        <v>1.27</v>
      </c>
      <c r="I42" s="20">
        <v>17.5</v>
      </c>
      <c r="J42" s="20">
        <v>17.23</v>
      </c>
      <c r="K42" s="20">
        <v>18.01</v>
      </c>
      <c r="L42" s="20">
        <v>14.01</v>
      </c>
    </row>
    <row r="43" ht="15.0" customHeight="1">
      <c r="A43" s="14" t="s">
        <v>199</v>
      </c>
      <c r="B43" s="15">
        <v>1175.87</v>
      </c>
      <c r="C43" s="15">
        <v>1402.53</v>
      </c>
      <c r="D43" s="15">
        <v>1574.99</v>
      </c>
      <c r="E43" s="15">
        <v>1593.89</v>
      </c>
      <c r="F43" s="15">
        <v>1510.67</v>
      </c>
      <c r="G43" s="15">
        <v>1548.76</v>
      </c>
      <c r="H43" s="15">
        <v>1670.5</v>
      </c>
      <c r="I43" s="15">
        <v>986.18</v>
      </c>
      <c r="J43" s="15">
        <v>783.12</v>
      </c>
      <c r="K43" s="15">
        <v>584.68</v>
      </c>
      <c r="L43" s="15">
        <v>617.78</v>
      </c>
    </row>
    <row r="44" ht="15.0" customHeight="1">
      <c r="A44" s="14" t="s">
        <v>200</v>
      </c>
      <c r="B44" s="18"/>
      <c r="C44" s="15">
        <v>711.49</v>
      </c>
      <c r="D44" s="15">
        <v>958.78</v>
      </c>
      <c r="E44" s="15">
        <v>926.75</v>
      </c>
      <c r="F44" s="15">
        <v>833.22</v>
      </c>
      <c r="G44" s="15">
        <v>811.57</v>
      </c>
      <c r="H44" s="15">
        <v>830.06</v>
      </c>
      <c r="I44" s="15">
        <v>573.62</v>
      </c>
      <c r="J44" s="15">
        <v>534.71</v>
      </c>
      <c r="K44" s="15">
        <v>562.73</v>
      </c>
      <c r="L44" s="15">
        <v>575.94</v>
      </c>
    </row>
    <row r="45" ht="15.0" customHeight="1">
      <c r="A45" s="14" t="s">
        <v>201</v>
      </c>
      <c r="B45" s="18"/>
      <c r="C45" s="18">
        <v>0.0</v>
      </c>
      <c r="D45" s="18">
        <v>0.0</v>
      </c>
      <c r="E45" s="18">
        <v>0.0</v>
      </c>
      <c r="F45" s="18">
        <v>0.0</v>
      </c>
      <c r="G45" s="18">
        <v>0.0</v>
      </c>
      <c r="H45" s="18">
        <v>0.0</v>
      </c>
      <c r="I45" s="18">
        <v>0.0</v>
      </c>
      <c r="J45" s="18">
        <v>0.0</v>
      </c>
      <c r="K45" s="18">
        <v>0.0</v>
      </c>
      <c r="L45" s="18">
        <v>0.0</v>
      </c>
    </row>
    <row r="46" ht="15.0" customHeight="1">
      <c r="A46" s="14" t="s">
        <v>202</v>
      </c>
      <c r="B46" s="18"/>
      <c r="C46" s="15">
        <v>105.7</v>
      </c>
      <c r="D46" s="20">
        <v>43.58</v>
      </c>
      <c r="E46" s="20">
        <v>39.19</v>
      </c>
      <c r="F46" s="20">
        <v>25.97</v>
      </c>
      <c r="G46" s="20">
        <v>0.63</v>
      </c>
      <c r="H46" s="20">
        <v>0.64</v>
      </c>
      <c r="I46" s="20">
        <v>1.35</v>
      </c>
      <c r="J46" s="20">
        <v>1.96</v>
      </c>
      <c r="K46" s="20">
        <v>5.98</v>
      </c>
      <c r="L46" s="20">
        <v>8.95</v>
      </c>
    </row>
    <row r="47" ht="15.0" customHeight="1">
      <c r="A47" s="14" t="s">
        <v>203</v>
      </c>
      <c r="B47" s="18"/>
      <c r="C47" s="15">
        <v>105.7</v>
      </c>
      <c r="D47" s="15">
        <v>112.5</v>
      </c>
      <c r="E47" s="20">
        <v>92.09</v>
      </c>
      <c r="F47" s="20">
        <v>72.56</v>
      </c>
      <c r="G47" s="20">
        <v>45.62</v>
      </c>
      <c r="H47" s="20">
        <v>46.68</v>
      </c>
      <c r="I47" s="20">
        <v>45.94</v>
      </c>
      <c r="J47" s="20">
        <v>44.56</v>
      </c>
      <c r="K47" s="20">
        <v>49.52</v>
      </c>
      <c r="L47" s="20">
        <v>52.52</v>
      </c>
    </row>
    <row r="48" ht="15.0" customHeight="1">
      <c r="A48" s="14" t="s">
        <v>204</v>
      </c>
      <c r="B48" s="18"/>
      <c r="C48" s="18">
        <v>0.0</v>
      </c>
      <c r="D48" s="22">
        <v>-69.93</v>
      </c>
      <c r="E48" s="22">
        <v>-52.9</v>
      </c>
      <c r="F48" s="22">
        <v>-46.58</v>
      </c>
      <c r="G48" s="22">
        <v>-44.99</v>
      </c>
      <c r="H48" s="22">
        <v>-46.04</v>
      </c>
      <c r="I48" s="22">
        <v>-44.59</v>
      </c>
      <c r="J48" s="22">
        <v>-42.6</v>
      </c>
      <c r="K48" s="22">
        <v>-43.55</v>
      </c>
      <c r="L48" s="22">
        <v>-43.57</v>
      </c>
    </row>
    <row r="49" ht="15.0" customHeight="1">
      <c r="A49" s="14" t="s">
        <v>205</v>
      </c>
      <c r="B49" s="18"/>
      <c r="C49" s="18"/>
      <c r="D49" s="20">
        <v>1.01</v>
      </c>
      <c r="E49" s="18"/>
      <c r="F49" s="22">
        <v>-0.01</v>
      </c>
      <c r="G49" s="18"/>
      <c r="H49" s="18"/>
      <c r="I49" s="18"/>
      <c r="J49" s="18"/>
      <c r="K49" s="18"/>
      <c r="L49" s="18"/>
    </row>
    <row r="50" ht="15.0" customHeight="1">
      <c r="A50" s="14" t="s">
        <v>206</v>
      </c>
      <c r="B50" s="18"/>
      <c r="C50" s="18"/>
      <c r="D50" s="20">
        <v>24.32</v>
      </c>
      <c r="E50" s="20">
        <v>23.51</v>
      </c>
      <c r="F50" s="20">
        <v>21.1</v>
      </c>
      <c r="G50" s="20">
        <v>20.55</v>
      </c>
      <c r="H50" s="20">
        <v>21.03</v>
      </c>
      <c r="I50" s="15">
        <v>220.41</v>
      </c>
      <c r="J50" s="15">
        <v>189.73</v>
      </c>
      <c r="K50" s="15">
        <v>199.67</v>
      </c>
      <c r="L50" s="15">
        <v>204.36</v>
      </c>
    </row>
    <row r="51" ht="15.0" customHeight="1">
      <c r="A51" s="14" t="s">
        <v>207</v>
      </c>
      <c r="B51" s="18"/>
      <c r="C51" s="18"/>
      <c r="D51" s="22">
        <v>-24.32</v>
      </c>
      <c r="E51" s="22">
        <v>-21.55</v>
      </c>
      <c r="F51" s="22">
        <v>-13.13</v>
      </c>
      <c r="G51" s="22">
        <v>-8.23</v>
      </c>
      <c r="H51" s="22">
        <v>-5.07</v>
      </c>
      <c r="I51" s="23">
        <v>-202.74</v>
      </c>
      <c r="J51" s="23">
        <v>-183.71</v>
      </c>
      <c r="K51" s="23">
        <v>-183.7</v>
      </c>
      <c r="L51" s="23">
        <v>-171.47</v>
      </c>
    </row>
    <row r="52" ht="15.0" customHeight="1">
      <c r="A52" s="14" t="s">
        <v>208</v>
      </c>
      <c r="B52" s="18"/>
      <c r="C52" s="18"/>
      <c r="D52" s="18"/>
      <c r="E52" s="18"/>
      <c r="F52" s="20">
        <v>0.01</v>
      </c>
      <c r="G52" s="18"/>
      <c r="H52" s="18"/>
      <c r="I52" s="18"/>
      <c r="J52" s="18"/>
      <c r="K52" s="18"/>
      <c r="L52" s="18"/>
    </row>
    <row r="53" ht="15.0" customHeight="1">
      <c r="A53" s="14" t="s">
        <v>209</v>
      </c>
      <c r="B53" s="18"/>
      <c r="C53" s="18">
        <v>0.0</v>
      </c>
      <c r="D53" s="15">
        <v>106.42</v>
      </c>
      <c r="E53" s="15">
        <v>102.86</v>
      </c>
      <c r="F53" s="20">
        <v>92.47</v>
      </c>
      <c r="G53" s="20">
        <v>90.07</v>
      </c>
      <c r="H53" s="20">
        <v>92.17</v>
      </c>
      <c r="I53" s="18"/>
      <c r="J53" s="18"/>
      <c r="K53" s="18"/>
      <c r="L53" s="18"/>
    </row>
    <row r="54" ht="15.0" customHeight="1">
      <c r="A54" s="14" t="s">
        <v>210</v>
      </c>
      <c r="B54" s="18"/>
      <c r="C54" s="18">
        <v>0.0</v>
      </c>
      <c r="D54" s="18">
        <v>0.0</v>
      </c>
      <c r="E54" s="18">
        <v>0.0</v>
      </c>
      <c r="F54" s="18">
        <v>0.0</v>
      </c>
      <c r="G54" s="18">
        <v>0.0</v>
      </c>
      <c r="H54" s="18">
        <v>0.0</v>
      </c>
      <c r="I54" s="18"/>
      <c r="J54" s="18"/>
      <c r="K54" s="18"/>
      <c r="L54" s="18"/>
    </row>
    <row r="55" ht="15.0" customHeight="1">
      <c r="A55" s="14" t="s">
        <v>211</v>
      </c>
      <c r="B55" s="18"/>
      <c r="C55" s="23">
        <v>-112.52</v>
      </c>
      <c r="D55" s="18"/>
      <c r="E55" s="18"/>
      <c r="F55" s="18"/>
      <c r="G55" s="18"/>
      <c r="H55" s="18"/>
      <c r="I55" s="18"/>
      <c r="J55" s="18"/>
      <c r="K55" s="18"/>
      <c r="L55" s="18"/>
    </row>
    <row r="56" ht="15.0" customHeight="1">
      <c r="A56" s="14" t="s">
        <v>212</v>
      </c>
      <c r="B56" s="18"/>
      <c r="C56" s="15">
        <v>278.46</v>
      </c>
      <c r="D56" s="18"/>
      <c r="E56" s="18"/>
      <c r="F56" s="18"/>
      <c r="G56" s="18"/>
      <c r="H56" s="18"/>
      <c r="I56" s="18"/>
      <c r="J56" s="18"/>
      <c r="K56" s="18"/>
      <c r="L56" s="18"/>
    </row>
    <row r="57" ht="15.0" customHeight="1">
      <c r="A57" s="14" t="s">
        <v>213</v>
      </c>
      <c r="B57" s="18"/>
      <c r="C57" s="20">
        <v>1.14</v>
      </c>
      <c r="D57" s="18"/>
      <c r="E57" s="18"/>
      <c r="F57" s="18"/>
      <c r="G57" s="18"/>
      <c r="H57" s="18"/>
      <c r="I57" s="18"/>
      <c r="J57" s="18"/>
      <c r="K57" s="18"/>
      <c r="L57" s="18"/>
    </row>
    <row r="58" ht="15.0" customHeight="1">
      <c r="A58" s="14" t="s">
        <v>214</v>
      </c>
      <c r="B58" s="18"/>
      <c r="C58" s="15">
        <v>1034.28</v>
      </c>
      <c r="D58" s="15">
        <v>922.29</v>
      </c>
      <c r="E58" s="15">
        <v>900.3</v>
      </c>
      <c r="F58" s="15">
        <v>807.13</v>
      </c>
      <c r="G58" s="15">
        <v>786.16</v>
      </c>
      <c r="H58" s="15">
        <v>801.41</v>
      </c>
      <c r="I58" s="15">
        <v>389.69</v>
      </c>
      <c r="J58" s="15">
        <v>215.66</v>
      </c>
      <c r="K58" s="18"/>
      <c r="L58" s="18"/>
    </row>
    <row r="59" ht="15.0" customHeight="1">
      <c r="A59" s="14" t="s">
        <v>215</v>
      </c>
      <c r="B59" s="18"/>
      <c r="C59" s="23">
        <v>-694.44</v>
      </c>
      <c r="D59" s="23">
        <v>-531.08</v>
      </c>
      <c r="E59" s="23">
        <v>-424.19</v>
      </c>
      <c r="F59" s="23">
        <v>-298.15</v>
      </c>
      <c r="G59" s="23">
        <v>-200.68</v>
      </c>
      <c r="H59" s="23">
        <v>-119.55</v>
      </c>
      <c r="I59" s="22">
        <v>-45.17</v>
      </c>
      <c r="J59" s="22">
        <v>-7.19</v>
      </c>
      <c r="K59" s="18"/>
      <c r="L59" s="18"/>
    </row>
    <row r="60" ht="15.0" customHeight="1">
      <c r="A60" s="14" t="s">
        <v>216</v>
      </c>
      <c r="B60" s="18"/>
      <c r="C60" s="20">
        <v>64.78</v>
      </c>
      <c r="D60" s="20">
        <v>57.77</v>
      </c>
      <c r="E60" s="20">
        <v>55.84</v>
      </c>
      <c r="F60" s="20">
        <v>49.98</v>
      </c>
      <c r="G60" s="20">
        <v>48.68</v>
      </c>
      <c r="H60" s="20">
        <v>49.82</v>
      </c>
      <c r="I60" s="20">
        <v>49.02</v>
      </c>
      <c r="J60" s="20">
        <v>31.96</v>
      </c>
      <c r="K60" s="18"/>
      <c r="L60" s="18"/>
    </row>
    <row r="61" ht="15.0" customHeight="1">
      <c r="A61" s="14" t="s">
        <v>217</v>
      </c>
      <c r="B61" s="18"/>
      <c r="C61" s="22">
        <v>-10.23</v>
      </c>
      <c r="D61" s="22">
        <v>-9.12</v>
      </c>
      <c r="E61" s="22">
        <v>-8.82</v>
      </c>
      <c r="F61" s="22">
        <v>-7.93</v>
      </c>
      <c r="G61" s="18">
        <v>0.0</v>
      </c>
      <c r="H61" s="18">
        <v>0.0</v>
      </c>
      <c r="I61" s="18">
        <v>0.0</v>
      </c>
      <c r="J61" s="18">
        <v>0.0</v>
      </c>
      <c r="K61" s="18"/>
      <c r="L61" s="18"/>
    </row>
    <row r="62" ht="15.0" customHeight="1">
      <c r="A62" s="14" t="s">
        <v>218</v>
      </c>
      <c r="B62" s="18"/>
      <c r="C62" s="22">
        <v>-4.55</v>
      </c>
      <c r="D62" s="18">
        <v>0.0</v>
      </c>
      <c r="E62" s="18"/>
      <c r="F62" s="18"/>
      <c r="G62" s="18"/>
      <c r="H62" s="18"/>
      <c r="I62" s="18"/>
      <c r="J62" s="18"/>
      <c r="K62" s="18"/>
      <c r="L62" s="18"/>
    </row>
    <row r="63" ht="15.0" customHeight="1">
      <c r="A63" s="14" t="s">
        <v>219</v>
      </c>
      <c r="B63" s="18"/>
      <c r="C63" s="20">
        <v>29.55</v>
      </c>
      <c r="D63" s="20">
        <v>26.35</v>
      </c>
      <c r="E63" s="18"/>
      <c r="F63" s="18"/>
      <c r="G63" s="18"/>
      <c r="H63" s="18"/>
      <c r="I63" s="18"/>
      <c r="J63" s="18"/>
      <c r="K63" s="18"/>
      <c r="L63" s="18"/>
    </row>
    <row r="64" ht="15.0" customHeight="1">
      <c r="A64" s="14" t="s">
        <v>220</v>
      </c>
      <c r="B64" s="18"/>
      <c r="C64" s="22">
        <v>-1.14</v>
      </c>
      <c r="D64" s="18"/>
      <c r="E64" s="18"/>
      <c r="F64" s="22">
        <v>-0.01</v>
      </c>
      <c r="G64" s="18"/>
      <c r="H64" s="18"/>
      <c r="I64" s="18"/>
      <c r="J64" s="18"/>
      <c r="K64" s="20">
        <v>0.01</v>
      </c>
      <c r="L64" s="18"/>
    </row>
    <row r="65" ht="15.0" customHeight="1">
      <c r="A65" s="14" t="s">
        <v>221</v>
      </c>
      <c r="B65" s="15">
        <v>540.16</v>
      </c>
      <c r="C65" s="15">
        <v>556.92</v>
      </c>
      <c r="D65" s="15">
        <v>3461.14</v>
      </c>
      <c r="E65" s="15">
        <v>3264.19</v>
      </c>
      <c r="F65" s="15">
        <v>2887.29</v>
      </c>
      <c r="G65" s="15">
        <v>2286.49</v>
      </c>
      <c r="H65" s="15">
        <v>2799.62</v>
      </c>
      <c r="I65" s="15">
        <v>2007.49</v>
      </c>
      <c r="J65" s="15">
        <v>1697.24</v>
      </c>
      <c r="K65" s="15">
        <v>1219.41</v>
      </c>
      <c r="L65" s="15">
        <v>1001.43</v>
      </c>
    </row>
    <row r="66" ht="15.0" customHeight="1">
      <c r="A66" s="14" t="s">
        <v>222</v>
      </c>
      <c r="B66" s="18"/>
      <c r="C66" s="18">
        <v>0.0</v>
      </c>
      <c r="D66" s="15">
        <v>3019.25</v>
      </c>
      <c r="E66" s="15">
        <v>2779.27</v>
      </c>
      <c r="F66" s="15">
        <v>2513.86</v>
      </c>
      <c r="G66" s="15">
        <v>1772.25</v>
      </c>
      <c r="H66" s="15">
        <v>1890.02</v>
      </c>
      <c r="I66" s="15">
        <v>909.22</v>
      </c>
      <c r="J66" s="15">
        <v>859.9</v>
      </c>
      <c r="K66" s="15">
        <v>895.66</v>
      </c>
      <c r="L66" s="15">
        <v>929.98</v>
      </c>
    </row>
    <row r="67" ht="15.0" customHeight="1">
      <c r="A67" s="14" t="s">
        <v>223</v>
      </c>
      <c r="B67" s="18"/>
      <c r="C67" s="18">
        <v>0.0</v>
      </c>
      <c r="D67" s="23">
        <v>-1111.82</v>
      </c>
      <c r="E67" s="23">
        <v>-941.44</v>
      </c>
      <c r="F67" s="23">
        <v>-790.74</v>
      </c>
      <c r="G67" s="23">
        <v>-597.87</v>
      </c>
      <c r="H67" s="23">
        <v>-521.47</v>
      </c>
      <c r="I67" s="23">
        <v>-399.78</v>
      </c>
      <c r="J67" s="23">
        <v>-342.83</v>
      </c>
      <c r="K67" s="23">
        <v>-337.08</v>
      </c>
      <c r="L67" s="23">
        <v>-309.75</v>
      </c>
    </row>
    <row r="68" ht="15.0" customHeight="1">
      <c r="A68" s="14" t="s">
        <v>224</v>
      </c>
      <c r="B68" s="18"/>
      <c r="C68" s="15">
        <v>708.08</v>
      </c>
      <c r="D68" s="15">
        <v>1742.22</v>
      </c>
      <c r="E68" s="15">
        <v>1459.68</v>
      </c>
      <c r="F68" s="15">
        <v>1437.25</v>
      </c>
      <c r="G68" s="15">
        <v>1349.62</v>
      </c>
      <c r="H68" s="15">
        <v>1176.38</v>
      </c>
      <c r="I68" s="15">
        <v>827.93</v>
      </c>
      <c r="J68" s="15">
        <v>770.42</v>
      </c>
      <c r="K68" s="15">
        <v>778.69</v>
      </c>
      <c r="L68" s="15">
        <v>488.81</v>
      </c>
    </row>
    <row r="69" ht="15.0" customHeight="1">
      <c r="A69" s="14" t="s">
        <v>225</v>
      </c>
      <c r="B69" s="18"/>
      <c r="C69" s="23">
        <v>-435.31</v>
      </c>
      <c r="D69" s="23">
        <v>-786.48</v>
      </c>
      <c r="E69" s="23">
        <v>-608.36</v>
      </c>
      <c r="F69" s="23">
        <v>-604.86</v>
      </c>
      <c r="G69" s="23">
        <v>-453.63</v>
      </c>
      <c r="H69" s="23">
        <v>-318.76</v>
      </c>
      <c r="I69" s="23">
        <v>-285.31</v>
      </c>
      <c r="J69" s="23">
        <v>-227.02</v>
      </c>
      <c r="K69" s="23">
        <v>-211.27</v>
      </c>
      <c r="L69" s="23">
        <v>-245.61</v>
      </c>
    </row>
    <row r="70" ht="15.0" customHeight="1">
      <c r="A70" s="14" t="s">
        <v>226</v>
      </c>
      <c r="B70" s="18"/>
      <c r="C70" s="20">
        <v>86.38</v>
      </c>
      <c r="D70" s="15">
        <v>443.92</v>
      </c>
      <c r="E70" s="15">
        <v>429.09</v>
      </c>
      <c r="F70" s="15">
        <v>202.14</v>
      </c>
      <c r="G70" s="20">
        <v>84.29</v>
      </c>
      <c r="H70" s="15">
        <v>286.76</v>
      </c>
      <c r="I70" s="15">
        <v>886.48</v>
      </c>
      <c r="J70" s="15">
        <v>574.88</v>
      </c>
      <c r="K70" s="20">
        <v>28.67</v>
      </c>
      <c r="L70" s="15">
        <v>137.99</v>
      </c>
    </row>
    <row r="71" ht="15.0" customHeight="1">
      <c r="A71" s="14" t="s">
        <v>227</v>
      </c>
      <c r="B71" s="18"/>
      <c r="C71" s="15">
        <v>100.02</v>
      </c>
      <c r="D71" s="15">
        <v>471.28</v>
      </c>
      <c r="E71" s="15">
        <v>455.54</v>
      </c>
      <c r="F71" s="15">
        <v>225.52</v>
      </c>
      <c r="G71" s="15">
        <v>107.06</v>
      </c>
      <c r="H71" s="15">
        <v>361.86</v>
      </c>
      <c r="I71" s="15">
        <v>909.4</v>
      </c>
      <c r="J71" s="15">
        <v>596.66</v>
      </c>
      <c r="K71" s="20">
        <v>51.59</v>
      </c>
      <c r="L71" s="15">
        <v>137.99</v>
      </c>
    </row>
    <row r="72" ht="15.0" customHeight="1">
      <c r="A72" s="14" t="s">
        <v>228</v>
      </c>
      <c r="B72" s="18"/>
      <c r="C72" s="22">
        <v>-13.64</v>
      </c>
      <c r="D72" s="22">
        <v>-27.36</v>
      </c>
      <c r="E72" s="22">
        <v>-26.45</v>
      </c>
      <c r="F72" s="22">
        <v>-23.38</v>
      </c>
      <c r="G72" s="22">
        <v>-22.77</v>
      </c>
      <c r="H72" s="22">
        <v>-75.1</v>
      </c>
      <c r="I72" s="22">
        <v>-22.93</v>
      </c>
      <c r="J72" s="22">
        <v>-21.78</v>
      </c>
      <c r="K72" s="22">
        <v>-22.92</v>
      </c>
      <c r="L72" s="18">
        <v>0.0</v>
      </c>
    </row>
    <row r="73" ht="15.0" customHeight="1">
      <c r="A73" s="14" t="s">
        <v>229</v>
      </c>
      <c r="B73" s="18"/>
      <c r="C73" s="15">
        <v>197.76</v>
      </c>
      <c r="D73" s="15">
        <v>154.05</v>
      </c>
      <c r="E73" s="15">
        <v>145.97</v>
      </c>
      <c r="F73" s="15">
        <v>129.63</v>
      </c>
      <c r="G73" s="15">
        <v>131.83</v>
      </c>
      <c r="H73" s="15">
        <v>141.38</v>
      </c>
      <c r="I73" s="20">
        <v>68.94</v>
      </c>
      <c r="J73" s="20">
        <v>61.88</v>
      </c>
      <c r="K73" s="20">
        <v>64.75</v>
      </c>
      <c r="L73" s="18"/>
    </row>
    <row r="74" ht="15.0" customHeight="1">
      <c r="A74" s="14" t="s">
        <v>230</v>
      </c>
      <c r="B74" s="18"/>
      <c r="C74" s="15">
        <v>268.23</v>
      </c>
      <c r="D74" s="15">
        <v>208.78</v>
      </c>
      <c r="E74" s="15">
        <v>192.01</v>
      </c>
      <c r="F74" s="15">
        <v>165.59</v>
      </c>
      <c r="G74" s="15">
        <v>159.75</v>
      </c>
      <c r="H74" s="15">
        <v>162.92</v>
      </c>
      <c r="I74" s="20">
        <v>75.23</v>
      </c>
      <c r="J74" s="20">
        <v>66.37</v>
      </c>
      <c r="K74" s="20">
        <v>67.92</v>
      </c>
      <c r="L74" s="18"/>
    </row>
    <row r="75" ht="15.0" customHeight="1">
      <c r="A75" s="14" t="s">
        <v>231</v>
      </c>
      <c r="B75" s="18"/>
      <c r="C75" s="22">
        <v>-70.47</v>
      </c>
      <c r="D75" s="22">
        <v>-54.73</v>
      </c>
      <c r="E75" s="22">
        <v>-46.04</v>
      </c>
      <c r="F75" s="22">
        <v>-35.96</v>
      </c>
      <c r="G75" s="22">
        <v>-27.91</v>
      </c>
      <c r="H75" s="22">
        <v>-21.54</v>
      </c>
      <c r="I75" s="22">
        <v>-6.29</v>
      </c>
      <c r="J75" s="22">
        <v>-4.49</v>
      </c>
      <c r="K75" s="22">
        <v>-3.17</v>
      </c>
      <c r="L75" s="18"/>
    </row>
    <row r="76" ht="15.0" customHeight="1">
      <c r="A76" s="14" t="s">
        <v>232</v>
      </c>
      <c r="B76" s="18"/>
      <c r="C76" s="18"/>
      <c r="D76" s="18"/>
      <c r="E76" s="18"/>
      <c r="F76" s="20">
        <v>0.01</v>
      </c>
      <c r="G76" s="18"/>
      <c r="H76" s="15">
        <v>145.32</v>
      </c>
      <c r="I76" s="18"/>
      <c r="J76" s="18"/>
      <c r="K76" s="18"/>
      <c r="L76" s="18"/>
    </row>
    <row r="77" ht="15.0" customHeight="1">
      <c r="A77" s="14" t="s">
        <v>233</v>
      </c>
      <c r="B77" s="20">
        <v>26.15</v>
      </c>
      <c r="C77" s="20">
        <v>29.55</v>
      </c>
      <c r="D77" s="20">
        <v>92.23</v>
      </c>
      <c r="E77" s="20">
        <v>96.99</v>
      </c>
      <c r="F77" s="20">
        <v>99.18</v>
      </c>
      <c r="G77" s="15">
        <v>112.76</v>
      </c>
      <c r="H77" s="18"/>
      <c r="I77" s="18"/>
      <c r="J77" s="18"/>
      <c r="K77" s="18"/>
      <c r="L77" s="18"/>
    </row>
    <row r="78" ht="15.0" customHeight="1">
      <c r="A78" s="14" t="s">
        <v>234</v>
      </c>
      <c r="B78" s="20">
        <v>23.14</v>
      </c>
      <c r="C78" s="20">
        <v>13.64</v>
      </c>
      <c r="D78" s="20">
        <v>32.43</v>
      </c>
      <c r="E78" s="20">
        <v>50.94</v>
      </c>
      <c r="F78" s="20">
        <v>63.22</v>
      </c>
      <c r="G78" s="20">
        <v>78.63</v>
      </c>
      <c r="H78" s="18"/>
      <c r="I78" s="18"/>
      <c r="J78" s="18"/>
      <c r="K78" s="18"/>
      <c r="L78" s="18"/>
    </row>
    <row r="79" ht="15.0" customHeight="1">
      <c r="A79" s="14" t="s">
        <v>235</v>
      </c>
      <c r="B79" s="20">
        <v>23.14</v>
      </c>
      <c r="C79" s="20">
        <v>64.78</v>
      </c>
      <c r="D79" s="15">
        <v>253.38</v>
      </c>
      <c r="E79" s="20">
        <v>20.57</v>
      </c>
      <c r="F79" s="18"/>
      <c r="G79" s="18"/>
      <c r="H79" s="18"/>
      <c r="I79" s="18"/>
      <c r="J79" s="18"/>
      <c r="K79" s="18"/>
      <c r="L79" s="18"/>
    </row>
    <row r="80" ht="15.0" customHeight="1">
      <c r="A80" s="14" t="s">
        <v>236</v>
      </c>
      <c r="B80" s="20">
        <v>82.48</v>
      </c>
      <c r="C80" s="18"/>
      <c r="D80" s="18"/>
      <c r="E80" s="18"/>
      <c r="F80" s="18">
        <v>0.0</v>
      </c>
      <c r="G80" s="20">
        <v>66.42</v>
      </c>
      <c r="H80" s="18"/>
      <c r="I80" s="18"/>
      <c r="J80" s="18"/>
      <c r="K80" s="18"/>
      <c r="L80" s="18"/>
    </row>
    <row r="81" ht="15.0" customHeight="1">
      <c r="A81" s="14" t="s">
        <v>237</v>
      </c>
      <c r="B81" s="20">
        <v>1.01</v>
      </c>
      <c r="C81" s="20">
        <v>1.14</v>
      </c>
      <c r="D81" s="18"/>
      <c r="E81" s="18"/>
      <c r="F81" s="18"/>
      <c r="G81" s="18"/>
      <c r="H81" s="20">
        <v>0.01</v>
      </c>
      <c r="I81" s="18"/>
      <c r="J81" s="18"/>
      <c r="K81" s="22">
        <v>-0.01</v>
      </c>
      <c r="L81" s="22">
        <v>-0.01</v>
      </c>
    </row>
    <row r="82" ht="15.0" customHeight="1">
      <c r="A82" s="16" t="s">
        <v>238</v>
      </c>
      <c r="B82" s="17">
        <v>1971.52</v>
      </c>
      <c r="C82" s="17">
        <v>2110.61</v>
      </c>
      <c r="D82" s="17">
        <v>5442.55</v>
      </c>
      <c r="E82" s="17">
        <v>5151.0</v>
      </c>
      <c r="F82" s="17">
        <v>4561.39</v>
      </c>
      <c r="G82" s="17">
        <v>4094.33</v>
      </c>
      <c r="H82" s="17">
        <v>4473.68</v>
      </c>
      <c r="I82" s="17">
        <v>3013.23</v>
      </c>
      <c r="J82" s="17">
        <v>2499.27</v>
      </c>
      <c r="K82" s="17">
        <v>1823.01</v>
      </c>
      <c r="L82" s="17">
        <v>1679.42</v>
      </c>
    </row>
    <row r="83" ht="15.0" customHeight="1">
      <c r="A83" s="14" t="s">
        <v>239</v>
      </c>
      <c r="B83" s="18"/>
      <c r="C83" s="18"/>
      <c r="D83" s="20">
        <v>71.96</v>
      </c>
      <c r="E83" s="18"/>
      <c r="F83" s="18"/>
      <c r="G83" s="18"/>
      <c r="H83" s="18"/>
      <c r="I83" s="18"/>
      <c r="J83" s="18"/>
      <c r="K83" s="18"/>
      <c r="L83" s="18"/>
    </row>
    <row r="84" ht="15.0" customHeight="1">
      <c r="A84" s="14" t="s">
        <v>240</v>
      </c>
      <c r="B84" s="22">
        <v>-12.07</v>
      </c>
      <c r="C84" s="22">
        <v>-1.14</v>
      </c>
      <c r="D84" s="22">
        <v>-1.01</v>
      </c>
      <c r="E84" s="18"/>
      <c r="F84" s="18"/>
      <c r="G84" s="18"/>
      <c r="H84" s="18"/>
      <c r="I84" s="18"/>
      <c r="J84" s="18"/>
      <c r="K84" s="20">
        <v>0.01</v>
      </c>
      <c r="L84" s="18"/>
    </row>
    <row r="85" ht="15.0" customHeight="1">
      <c r="A85" s="16" t="s">
        <v>241</v>
      </c>
      <c r="B85" s="17">
        <v>3871.63</v>
      </c>
      <c r="C85" s="17">
        <v>4403.07</v>
      </c>
      <c r="D85" s="17">
        <v>8382.74</v>
      </c>
      <c r="E85" s="17">
        <v>8077.21</v>
      </c>
      <c r="F85" s="17">
        <v>6670.95</v>
      </c>
      <c r="G85" s="17">
        <v>6008.24</v>
      </c>
      <c r="H85" s="17">
        <v>6076.61</v>
      </c>
      <c r="I85" s="17">
        <v>3716.78</v>
      </c>
      <c r="J85" s="17">
        <v>3097.42</v>
      </c>
      <c r="K85" s="17">
        <v>2412.67</v>
      </c>
      <c r="L85" s="17">
        <v>2284.4</v>
      </c>
    </row>
    <row r="86" ht="15.0" customHeight="1">
      <c r="A86" s="14" t="s">
        <v>242</v>
      </c>
      <c r="B86" s="15">
        <v>511.99</v>
      </c>
      <c r="C86" s="15">
        <v>484.18</v>
      </c>
      <c r="D86" s="15">
        <v>647.63</v>
      </c>
      <c r="E86" s="15">
        <v>559.38</v>
      </c>
      <c r="F86" s="15">
        <v>410.28</v>
      </c>
      <c r="G86" s="15">
        <v>332.14</v>
      </c>
      <c r="H86" s="15">
        <v>456.42</v>
      </c>
      <c r="I86" s="15">
        <v>232.7</v>
      </c>
      <c r="J86" s="15">
        <v>255.32</v>
      </c>
      <c r="K86" s="15">
        <v>229.96</v>
      </c>
      <c r="L86" s="15">
        <v>158.34</v>
      </c>
    </row>
    <row r="87" ht="15.0" customHeight="1">
      <c r="A87" s="14" t="s">
        <v>243</v>
      </c>
      <c r="B87" s="18"/>
      <c r="C87" s="15">
        <v>185.26</v>
      </c>
      <c r="D87" s="15">
        <v>305.07</v>
      </c>
      <c r="E87" s="18"/>
      <c r="F87" s="15">
        <v>222.35</v>
      </c>
      <c r="G87" s="15">
        <v>173.75</v>
      </c>
      <c r="H87" s="15">
        <v>204.89</v>
      </c>
      <c r="I87" s="20">
        <v>99.08</v>
      </c>
      <c r="J87" s="20">
        <v>93.82</v>
      </c>
      <c r="K87" s="20">
        <v>57.46</v>
      </c>
      <c r="L87" s="20">
        <v>41.8</v>
      </c>
    </row>
    <row r="88" ht="15.0" customHeight="1">
      <c r="A88" s="14" t="s">
        <v>244</v>
      </c>
      <c r="B88" s="18"/>
      <c r="C88" s="15">
        <v>261.41</v>
      </c>
      <c r="D88" s="15">
        <v>318.24</v>
      </c>
      <c r="E88" s="18"/>
      <c r="F88" s="15">
        <v>155.0</v>
      </c>
      <c r="G88" s="15">
        <v>130.58</v>
      </c>
      <c r="H88" s="15">
        <v>230.97</v>
      </c>
      <c r="I88" s="20">
        <v>97.89</v>
      </c>
      <c r="J88" s="15">
        <v>107.85</v>
      </c>
      <c r="K88" s="20">
        <v>98.67</v>
      </c>
      <c r="L88" s="20">
        <v>75.06</v>
      </c>
    </row>
    <row r="89" ht="15.0" customHeight="1">
      <c r="A89" s="14" t="s">
        <v>245</v>
      </c>
      <c r="B89" s="18"/>
      <c r="C89" s="20">
        <v>37.51</v>
      </c>
      <c r="D89" s="20">
        <v>24.32</v>
      </c>
      <c r="E89" s="18"/>
      <c r="F89" s="20">
        <v>32.93</v>
      </c>
      <c r="G89" s="20">
        <v>27.83</v>
      </c>
      <c r="H89" s="20">
        <v>20.56</v>
      </c>
      <c r="I89" s="20">
        <v>35.73</v>
      </c>
      <c r="J89" s="20">
        <v>53.65</v>
      </c>
      <c r="K89" s="20">
        <v>73.83</v>
      </c>
      <c r="L89" s="20">
        <v>41.48</v>
      </c>
    </row>
    <row r="90" ht="15.0" customHeight="1">
      <c r="A90" s="14" t="s">
        <v>246</v>
      </c>
      <c r="B90" s="18"/>
      <c r="C90" s="18"/>
      <c r="D90" s="18"/>
      <c r="E90" s="18"/>
      <c r="F90" s="18"/>
      <c r="G90" s="22">
        <v>-0.01</v>
      </c>
      <c r="H90" s="20">
        <v>0.01</v>
      </c>
      <c r="I90" s="18"/>
      <c r="J90" s="18"/>
      <c r="K90" s="18"/>
      <c r="L90" s="18"/>
    </row>
    <row r="91" ht="15.0" customHeight="1">
      <c r="A91" s="14" t="s">
        <v>247</v>
      </c>
      <c r="B91" s="15">
        <v>230.35</v>
      </c>
      <c r="C91" s="20">
        <f>81.83-C94</f>
        <v>65.92</v>
      </c>
      <c r="D91" s="15">
        <f>496.62-D94</f>
        <v>446.96</v>
      </c>
      <c r="E91" s="15">
        <v>466.31</v>
      </c>
      <c r="F91" s="15">
        <f>270.64-F94</f>
        <v>231.47</v>
      </c>
      <c r="G91" s="15">
        <f>276.4-G94</f>
        <v>211.73</v>
      </c>
      <c r="H91" s="15">
        <f>417.77-H94</f>
        <v>359.43</v>
      </c>
      <c r="I91" s="15">
        <v>224.12</v>
      </c>
      <c r="J91" s="15">
        <v>137.98</v>
      </c>
      <c r="K91" s="15">
        <v>140.39</v>
      </c>
      <c r="L91" s="20">
        <v>98.2</v>
      </c>
    </row>
    <row r="92" ht="15.0" customHeight="1">
      <c r="A92" s="14" t="s">
        <v>248</v>
      </c>
      <c r="B92" s="18"/>
      <c r="C92" s="18"/>
      <c r="D92" s="15">
        <v>297.97</v>
      </c>
      <c r="E92" s="18"/>
      <c r="F92" s="20">
        <v>82.95</v>
      </c>
      <c r="G92" s="15">
        <v>103.02</v>
      </c>
      <c r="H92" s="15">
        <v>103.68</v>
      </c>
      <c r="I92" s="15">
        <v>106.75</v>
      </c>
      <c r="J92" s="18"/>
      <c r="K92" s="18"/>
      <c r="L92" s="18"/>
    </row>
    <row r="93" ht="15.0" customHeight="1">
      <c r="A93" s="14" t="s">
        <v>249</v>
      </c>
      <c r="B93" s="18"/>
      <c r="C93" s="20">
        <v>64.78</v>
      </c>
      <c r="D93" s="15">
        <v>148.99</v>
      </c>
      <c r="E93" s="18"/>
      <c r="F93" s="15">
        <v>148.52</v>
      </c>
      <c r="G93" s="15">
        <v>108.71</v>
      </c>
      <c r="H93" s="15">
        <v>255.76</v>
      </c>
      <c r="I93" s="15">
        <v>117.37</v>
      </c>
      <c r="J93" s="18"/>
      <c r="K93" s="18"/>
      <c r="L93" s="18"/>
    </row>
    <row r="94" ht="15.0" customHeight="1">
      <c r="A94" s="14" t="s">
        <v>250</v>
      </c>
      <c r="B94" s="18"/>
      <c r="C94" s="20">
        <v>15.91</v>
      </c>
      <c r="D94" s="20">
        <v>49.66</v>
      </c>
      <c r="E94" s="18"/>
      <c r="F94" s="20">
        <v>39.17</v>
      </c>
      <c r="G94" s="20">
        <v>64.67</v>
      </c>
      <c r="H94" s="20">
        <v>58.34</v>
      </c>
      <c r="I94" s="18"/>
      <c r="J94" s="18"/>
      <c r="K94" s="18"/>
      <c r="L94" s="18"/>
    </row>
    <row r="95" ht="15.0" customHeight="1">
      <c r="A95" s="14" t="s">
        <v>251</v>
      </c>
      <c r="B95" s="18"/>
      <c r="C95" s="20">
        <v>1.14</v>
      </c>
      <c r="D95" s="18"/>
      <c r="E95" s="18"/>
      <c r="F95" s="18"/>
      <c r="G95" s="18"/>
      <c r="H95" s="22">
        <v>-0.01</v>
      </c>
      <c r="I95" s="18"/>
      <c r="J95" s="18"/>
      <c r="K95" s="18"/>
      <c r="L95" s="18"/>
    </row>
    <row r="96" ht="15.0" customHeight="1">
      <c r="A96" s="14" t="s">
        <v>252</v>
      </c>
      <c r="B96" s="18"/>
      <c r="C96" s="18"/>
      <c r="D96" s="18"/>
      <c r="E96" s="18"/>
      <c r="F96" s="18"/>
      <c r="G96" s="18">
        <v>0.0</v>
      </c>
      <c r="H96" s="18">
        <v>0.0</v>
      </c>
      <c r="I96" s="20">
        <v>12.72</v>
      </c>
      <c r="J96" s="18">
        <v>0.0</v>
      </c>
      <c r="K96" s="18"/>
      <c r="L96" s="18"/>
    </row>
    <row r="97" ht="15.0" customHeight="1">
      <c r="A97" s="14" t="s">
        <v>253</v>
      </c>
      <c r="B97" s="20">
        <v>34.2</v>
      </c>
      <c r="C97" s="20">
        <v>38.64</v>
      </c>
      <c r="D97" s="18"/>
      <c r="E97" s="18"/>
      <c r="F97" s="18"/>
      <c r="G97" s="18"/>
      <c r="H97" s="18"/>
      <c r="I97" s="18"/>
      <c r="J97" s="18"/>
      <c r="K97" s="18"/>
      <c r="L97" s="18"/>
    </row>
    <row r="98" ht="15.0" customHeight="1">
      <c r="A98" s="14" t="s">
        <v>254</v>
      </c>
      <c r="B98" s="22">
        <v>-2.01</v>
      </c>
      <c r="C98" s="18"/>
      <c r="D98" s="18"/>
      <c r="E98" s="18"/>
      <c r="F98" s="18"/>
      <c r="G98" s="18"/>
      <c r="H98" s="18"/>
      <c r="I98" s="18"/>
      <c r="J98" s="18"/>
      <c r="K98" s="20">
        <v>0.01</v>
      </c>
      <c r="L98" s="18"/>
    </row>
    <row r="99" ht="15.0" customHeight="1">
      <c r="A99" s="16" t="s">
        <v>255</v>
      </c>
      <c r="B99" s="17">
        <v>774.53</v>
      </c>
      <c r="C99" s="17">
        <v>604.66</v>
      </c>
      <c r="D99" s="17">
        <v>1144.25</v>
      </c>
      <c r="E99" s="17">
        <v>1025.69</v>
      </c>
      <c r="F99" s="17">
        <v>680.92</v>
      </c>
      <c r="G99" s="17">
        <v>608.54</v>
      </c>
      <c r="H99" s="17">
        <v>874.2</v>
      </c>
      <c r="I99" s="17">
        <v>469.54</v>
      </c>
      <c r="J99" s="17">
        <v>393.3</v>
      </c>
      <c r="K99" s="17">
        <v>370.36</v>
      </c>
      <c r="L99" s="17">
        <v>256.54</v>
      </c>
    </row>
    <row r="100" ht="15.0" customHeight="1">
      <c r="A100" s="14" t="s">
        <v>256</v>
      </c>
      <c r="B100" s="18"/>
      <c r="C100" s="18"/>
      <c r="D100" s="18">
        <v>0.0</v>
      </c>
      <c r="E100" s="20">
        <v>0.98</v>
      </c>
      <c r="F100" s="20">
        <v>95.17</v>
      </c>
      <c r="G100" s="15">
        <v>273.88</v>
      </c>
      <c r="H100" s="15">
        <v>576.02</v>
      </c>
      <c r="I100" s="15">
        <v>152.53</v>
      </c>
      <c r="J100" s="20">
        <v>97.43</v>
      </c>
      <c r="K100" s="20">
        <v>57.81</v>
      </c>
      <c r="L100" s="20">
        <v>53.45</v>
      </c>
    </row>
    <row r="101" ht="15.0" customHeight="1">
      <c r="A101" s="14" t="s">
        <v>257</v>
      </c>
      <c r="B101" s="18"/>
      <c r="C101" s="18"/>
      <c r="D101" s="18"/>
      <c r="E101" s="18"/>
      <c r="F101" s="20">
        <v>93.69</v>
      </c>
      <c r="G101" s="15">
        <v>272.31</v>
      </c>
      <c r="H101" s="15">
        <v>575.09</v>
      </c>
      <c r="I101" s="15">
        <v>151.95</v>
      </c>
      <c r="J101" s="20">
        <v>95.48</v>
      </c>
      <c r="K101" s="20">
        <v>56.18</v>
      </c>
      <c r="L101" s="20">
        <v>51.7</v>
      </c>
    </row>
    <row r="102" ht="15.0" customHeight="1">
      <c r="A102" s="14" t="s">
        <v>258</v>
      </c>
      <c r="B102" s="18"/>
      <c r="C102" s="18"/>
      <c r="D102" s="18">
        <v>0.0</v>
      </c>
      <c r="E102" s="18"/>
      <c r="F102" s="20">
        <v>1.48</v>
      </c>
      <c r="G102" s="20">
        <v>1.57</v>
      </c>
      <c r="H102" s="20">
        <v>0.93</v>
      </c>
      <c r="I102" s="20">
        <v>0.58</v>
      </c>
      <c r="J102" s="20">
        <v>1.95</v>
      </c>
      <c r="K102" s="20">
        <v>1.62</v>
      </c>
      <c r="L102" s="20">
        <v>1.74</v>
      </c>
    </row>
    <row r="103" ht="15.0" customHeight="1">
      <c r="A103" s="14" t="s">
        <v>252</v>
      </c>
      <c r="B103" s="18"/>
      <c r="C103" s="15">
        <v>134.12</v>
      </c>
      <c r="D103" s="18"/>
      <c r="E103" s="18"/>
      <c r="F103" s="18">
        <v>0.0</v>
      </c>
      <c r="G103" s="20">
        <v>77.17</v>
      </c>
      <c r="H103" s="18"/>
      <c r="I103" s="18"/>
      <c r="J103" s="18"/>
      <c r="K103" s="18"/>
      <c r="L103" s="18"/>
    </row>
    <row r="104" ht="15.0" customHeight="1">
      <c r="A104" s="14" t="s">
        <v>259</v>
      </c>
      <c r="B104" s="20">
        <v>45.26</v>
      </c>
      <c r="C104" s="20">
        <v>94.34</v>
      </c>
      <c r="D104" s="20">
        <v>37.5</v>
      </c>
      <c r="E104" s="20">
        <v>73.47</v>
      </c>
      <c r="F104" s="20">
        <v>42.97</v>
      </c>
      <c r="G104" s="20">
        <v>41.32</v>
      </c>
      <c r="H104" s="18"/>
      <c r="I104" s="18"/>
      <c r="J104" s="18"/>
      <c r="K104" s="18"/>
      <c r="L104" s="18"/>
    </row>
    <row r="105" ht="15.0" customHeight="1">
      <c r="A105" s="14" t="s">
        <v>260</v>
      </c>
      <c r="B105" s="15">
        <v>1602.37</v>
      </c>
      <c r="C105" s="15">
        <v>1594.61</v>
      </c>
      <c r="D105" s="15">
        <v>3486.47</v>
      </c>
      <c r="E105" s="15">
        <v>3268.11</v>
      </c>
      <c r="F105" s="15">
        <v>2590.15</v>
      </c>
      <c r="G105" s="15">
        <v>1806.32</v>
      </c>
      <c r="H105" s="15">
        <v>3269.72</v>
      </c>
      <c r="I105" s="15">
        <v>1549.99</v>
      </c>
      <c r="J105" s="15">
        <v>2120.05</v>
      </c>
      <c r="K105" s="15">
        <v>1345.14</v>
      </c>
      <c r="L105" s="15">
        <v>1301.19</v>
      </c>
    </row>
    <row r="106" ht="15.0" customHeight="1">
      <c r="A106" s="14" t="s">
        <v>261</v>
      </c>
      <c r="B106" s="18"/>
      <c r="C106" s="20">
        <v>18.19</v>
      </c>
      <c r="D106" s="20">
        <v>48.65</v>
      </c>
      <c r="E106" s="18"/>
      <c r="F106" s="20">
        <v>65.67</v>
      </c>
      <c r="G106" s="20">
        <v>53.47</v>
      </c>
      <c r="H106" s="20">
        <v>88.09</v>
      </c>
      <c r="I106" s="18"/>
      <c r="J106" s="18"/>
      <c r="K106" s="18"/>
      <c r="L106" s="18"/>
    </row>
    <row r="107" ht="15.0" customHeight="1">
      <c r="A107" s="14" t="s">
        <v>262</v>
      </c>
      <c r="B107" s="18"/>
      <c r="C107" s="15">
        <v>1576.42</v>
      </c>
      <c r="D107" s="15">
        <v>3436.81</v>
      </c>
      <c r="E107" s="18"/>
      <c r="F107" s="15">
        <v>2524.48</v>
      </c>
      <c r="G107" s="15">
        <v>1752.84</v>
      </c>
      <c r="H107" s="15">
        <v>3181.63</v>
      </c>
      <c r="I107" s="15">
        <v>1549.99</v>
      </c>
      <c r="J107" s="18"/>
      <c r="K107" s="18"/>
      <c r="L107" s="18"/>
    </row>
    <row r="108" ht="15.0" customHeight="1">
      <c r="A108" s="14" t="s">
        <v>263</v>
      </c>
      <c r="B108" s="18"/>
      <c r="C108" s="18"/>
      <c r="D108" s="20">
        <v>1.01</v>
      </c>
      <c r="E108" s="18"/>
      <c r="F108" s="18"/>
      <c r="G108" s="18"/>
      <c r="H108" s="18"/>
      <c r="I108" s="18"/>
      <c r="J108" s="18"/>
      <c r="K108" s="18"/>
      <c r="L108" s="18"/>
    </row>
    <row r="109" ht="15.0" customHeight="1">
      <c r="A109" s="14" t="s">
        <v>264</v>
      </c>
      <c r="B109" s="18"/>
      <c r="C109" s="22">
        <v>-1.14</v>
      </c>
      <c r="D109" s="18"/>
      <c r="E109" s="22">
        <v>-0.98</v>
      </c>
      <c r="F109" s="18"/>
      <c r="G109" s="22">
        <v>-0.01</v>
      </c>
      <c r="H109" s="18"/>
      <c r="I109" s="18"/>
      <c r="J109" s="18"/>
      <c r="K109" s="18"/>
      <c r="L109" s="18"/>
    </row>
    <row r="110" ht="15.0" customHeight="1">
      <c r="A110" s="16" t="s">
        <v>265</v>
      </c>
      <c r="B110" s="17">
        <v>1647.63</v>
      </c>
      <c r="C110" s="17">
        <v>1821.92</v>
      </c>
      <c r="D110" s="17">
        <v>3523.97</v>
      </c>
      <c r="E110" s="17">
        <v>3341.59</v>
      </c>
      <c r="F110" s="17">
        <v>2728.29</v>
      </c>
      <c r="G110" s="17">
        <v>2198.68</v>
      </c>
      <c r="H110" s="17">
        <v>3845.74</v>
      </c>
      <c r="I110" s="17">
        <v>1702.52</v>
      </c>
      <c r="J110" s="17">
        <v>2217.47</v>
      </c>
      <c r="K110" s="17">
        <v>1402.95</v>
      </c>
      <c r="L110" s="17">
        <v>1354.64</v>
      </c>
    </row>
    <row r="111" ht="15.0" customHeight="1">
      <c r="A111" s="14" t="s">
        <v>266</v>
      </c>
      <c r="B111" s="20">
        <v>2.01</v>
      </c>
      <c r="C111" s="20">
        <v>1.14</v>
      </c>
      <c r="D111" s="18"/>
      <c r="E111" s="18"/>
      <c r="F111" s="18"/>
      <c r="G111" s="18"/>
      <c r="H111" s="18"/>
      <c r="I111" s="18"/>
      <c r="J111" s="18"/>
      <c r="K111" s="22">
        <v>-0.01</v>
      </c>
      <c r="L111" s="18"/>
    </row>
    <row r="112" ht="15.0" customHeight="1">
      <c r="A112" s="16" t="s">
        <v>267</v>
      </c>
      <c r="B112" s="17">
        <v>2424.17</v>
      </c>
      <c r="C112" s="17">
        <v>2427.71</v>
      </c>
      <c r="D112" s="17">
        <v>4668.23</v>
      </c>
      <c r="E112" s="17">
        <v>4367.28</v>
      </c>
      <c r="F112" s="17">
        <v>3409.21</v>
      </c>
      <c r="G112" s="17">
        <v>2807.22</v>
      </c>
      <c r="H112" s="17">
        <v>4719.93</v>
      </c>
      <c r="I112" s="17">
        <v>2172.06</v>
      </c>
      <c r="J112" s="17">
        <v>2610.77</v>
      </c>
      <c r="K112" s="17">
        <v>1773.31</v>
      </c>
      <c r="L112" s="17">
        <v>1611.18</v>
      </c>
    </row>
    <row r="113" ht="15.0" customHeight="1">
      <c r="A113" s="14" t="s">
        <v>268</v>
      </c>
      <c r="B113" s="18"/>
      <c r="C113" s="15">
        <v>862.66</v>
      </c>
      <c r="D113" s="15">
        <v>769.25</v>
      </c>
      <c r="E113" s="15">
        <v>743.55</v>
      </c>
      <c r="F113" s="15">
        <v>668.01</v>
      </c>
      <c r="G113" s="15">
        <v>650.66</v>
      </c>
      <c r="H113" s="15">
        <v>596.96</v>
      </c>
      <c r="I113" s="15">
        <v>587.46</v>
      </c>
      <c r="J113" s="15">
        <v>522.65</v>
      </c>
      <c r="K113" s="15">
        <v>550.04</v>
      </c>
      <c r="L113" s="15">
        <v>562.95</v>
      </c>
    </row>
    <row r="114" ht="15.0" customHeight="1">
      <c r="A114" s="14" t="s">
        <v>269</v>
      </c>
      <c r="B114" s="18"/>
      <c r="C114" s="15">
        <v>5614.66</v>
      </c>
      <c r="D114" s="15">
        <v>5004.71</v>
      </c>
      <c r="E114" s="15">
        <v>4836.53</v>
      </c>
      <c r="F114" s="15">
        <v>4346.59</v>
      </c>
      <c r="G114" s="15">
        <v>4233.67</v>
      </c>
      <c r="H114" s="15">
        <v>2433.61</v>
      </c>
      <c r="I114" s="15">
        <v>2394.88</v>
      </c>
      <c r="J114" s="15">
        <v>1284.28</v>
      </c>
      <c r="K114" s="15">
        <v>1351.57</v>
      </c>
      <c r="L114" s="15">
        <v>1383.3</v>
      </c>
    </row>
    <row r="115" ht="15.0" customHeight="1">
      <c r="A115" s="14" t="s">
        <v>270</v>
      </c>
      <c r="B115" s="18"/>
      <c r="C115" s="15">
        <v>6027.23</v>
      </c>
      <c r="D115" s="15">
        <v>5373.63</v>
      </c>
      <c r="E115" s="15">
        <v>5193.12</v>
      </c>
      <c r="F115" s="15">
        <v>4666.64</v>
      </c>
      <c r="G115" s="15">
        <v>4545.39</v>
      </c>
      <c r="H115" s="15">
        <v>2746.27</v>
      </c>
      <c r="I115" s="15">
        <v>2702.57</v>
      </c>
      <c r="J115" s="15">
        <v>1576.58</v>
      </c>
      <c r="K115" s="15">
        <v>1659.18</v>
      </c>
      <c r="L115" s="15">
        <v>1698.14</v>
      </c>
    </row>
    <row r="116" ht="15.0" customHeight="1">
      <c r="A116" s="14" t="s">
        <v>271</v>
      </c>
      <c r="B116" s="18"/>
      <c r="C116" s="23">
        <v>-412.57</v>
      </c>
      <c r="D116" s="23">
        <v>-367.9</v>
      </c>
      <c r="E116" s="23">
        <v>-355.61</v>
      </c>
      <c r="F116" s="23">
        <v>-320.04</v>
      </c>
      <c r="G116" s="23">
        <v>-311.73</v>
      </c>
      <c r="H116" s="23">
        <v>-312.66</v>
      </c>
      <c r="I116" s="23">
        <v>-307.68</v>
      </c>
      <c r="J116" s="23">
        <v>-292.31</v>
      </c>
      <c r="K116" s="23">
        <v>-307.62</v>
      </c>
      <c r="L116" s="23">
        <v>-314.84</v>
      </c>
    </row>
    <row r="117" ht="15.0" customHeight="1">
      <c r="A117" s="14" t="s">
        <v>272</v>
      </c>
      <c r="B117" s="18"/>
      <c r="C117" s="18"/>
      <c r="D117" s="22">
        <v>-1.01</v>
      </c>
      <c r="E117" s="22">
        <v>-0.98</v>
      </c>
      <c r="F117" s="18"/>
      <c r="G117" s="18"/>
      <c r="H117" s="18"/>
      <c r="I117" s="18"/>
      <c r="J117" s="20">
        <v>0.01</v>
      </c>
      <c r="K117" s="18"/>
      <c r="L117" s="18"/>
    </row>
    <row r="118" ht="15.0" customHeight="1">
      <c r="A118" s="14" t="s">
        <v>273</v>
      </c>
      <c r="B118" s="18"/>
      <c r="C118" s="22">
        <v>-1.14</v>
      </c>
      <c r="D118" s="20">
        <v>1.01</v>
      </c>
      <c r="E118" s="20">
        <v>34.29</v>
      </c>
      <c r="F118" s="20">
        <v>47.13</v>
      </c>
      <c r="G118" s="20">
        <v>1.23</v>
      </c>
      <c r="H118" s="20">
        <v>1.35</v>
      </c>
      <c r="I118" s="20">
        <v>1.33</v>
      </c>
      <c r="J118" s="20">
        <v>1.26</v>
      </c>
      <c r="K118" s="20">
        <v>1.33</v>
      </c>
      <c r="L118" s="20">
        <v>1.36</v>
      </c>
    </row>
    <row r="119" ht="15.0" customHeight="1">
      <c r="A119" s="14" t="s">
        <v>274</v>
      </c>
      <c r="B119" s="18"/>
      <c r="C119" s="23">
        <v>-4504.23</v>
      </c>
      <c r="D119" s="23">
        <v>-2060.47</v>
      </c>
      <c r="E119" s="23">
        <v>-1904.44</v>
      </c>
      <c r="F119" s="23">
        <v>-1799.99</v>
      </c>
      <c r="G119" s="23">
        <v>-1684.53</v>
      </c>
      <c r="H119" s="23">
        <v>-1675.25</v>
      </c>
      <c r="I119" s="23">
        <v>-1438.95</v>
      </c>
      <c r="J119" s="23">
        <v>-1321.56</v>
      </c>
      <c r="K119" s="23">
        <v>-1263.58</v>
      </c>
      <c r="L119" s="23">
        <v>-1274.4</v>
      </c>
    </row>
    <row r="120" ht="15.0" customHeight="1">
      <c r="A120" s="14" t="s">
        <v>275</v>
      </c>
      <c r="B120" s="15">
        <v>1447.46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</row>
    <row r="121" ht="15.0" customHeight="1">
      <c r="A121" s="14" t="s">
        <v>276</v>
      </c>
      <c r="B121" s="18"/>
      <c r="C121" s="18"/>
      <c r="D121" s="18"/>
      <c r="E121" s="18"/>
      <c r="F121" s="18"/>
      <c r="G121" s="22">
        <v>-0.01</v>
      </c>
      <c r="H121" s="20">
        <v>0.01</v>
      </c>
      <c r="I121" s="18"/>
      <c r="J121" s="18"/>
      <c r="K121" s="18"/>
      <c r="L121" s="18"/>
    </row>
    <row r="122" ht="15.0" customHeight="1">
      <c r="A122" s="16" t="s">
        <v>277</v>
      </c>
      <c r="B122" s="17">
        <v>1447.46</v>
      </c>
      <c r="C122" s="17">
        <v>1971.95</v>
      </c>
      <c r="D122" s="17">
        <v>3714.51</v>
      </c>
      <c r="E122" s="17">
        <v>3709.93</v>
      </c>
      <c r="F122" s="17">
        <v>3261.75</v>
      </c>
      <c r="G122" s="17">
        <v>3201.01</v>
      </c>
      <c r="H122" s="17">
        <v>1356.68</v>
      </c>
      <c r="I122" s="17">
        <v>1544.72</v>
      </c>
      <c r="J122" s="17">
        <v>486.64</v>
      </c>
      <c r="K122" s="17">
        <v>639.35</v>
      </c>
      <c r="L122" s="17">
        <v>673.22</v>
      </c>
    </row>
    <row r="123" ht="15.0" customHeight="1">
      <c r="A123" s="14" t="s">
        <v>278</v>
      </c>
      <c r="B123" s="18"/>
      <c r="C123" s="20">
        <v>4.55</v>
      </c>
      <c r="D123" s="18"/>
      <c r="E123" s="18"/>
      <c r="F123" s="18"/>
      <c r="G123" s="18"/>
      <c r="H123" s="18"/>
      <c r="I123" s="18"/>
      <c r="J123" s="18"/>
      <c r="K123" s="18"/>
      <c r="L123" s="18"/>
    </row>
    <row r="124" ht="15.0" customHeight="1">
      <c r="A124" s="16" t="s">
        <v>275</v>
      </c>
      <c r="B124" s="17">
        <v>1447.46</v>
      </c>
      <c r="C124" s="17">
        <v>1976.5</v>
      </c>
      <c r="D124" s="17">
        <v>3714.51</v>
      </c>
      <c r="E124" s="17">
        <v>3709.93</v>
      </c>
      <c r="F124" s="17">
        <v>3261.75</v>
      </c>
      <c r="G124" s="17">
        <v>3201.01</v>
      </c>
      <c r="H124" s="17">
        <v>1356.68</v>
      </c>
      <c r="I124" s="17">
        <v>1544.72</v>
      </c>
      <c r="J124" s="17">
        <v>486.64</v>
      </c>
      <c r="K124" s="17">
        <v>639.35</v>
      </c>
      <c r="L124" s="17">
        <v>673.22</v>
      </c>
    </row>
    <row r="125" ht="15.0" customHeight="1">
      <c r="A125" s="14" t="s">
        <v>279</v>
      </c>
      <c r="B125" s="18"/>
      <c r="C125" s="22">
        <v>-1.14</v>
      </c>
      <c r="D125" s="18"/>
      <c r="E125" s="18"/>
      <c r="F125" s="18"/>
      <c r="G125" s="18"/>
      <c r="H125" s="18"/>
      <c r="I125" s="18"/>
      <c r="J125" s="20">
        <v>0.01</v>
      </c>
      <c r="K125" s="20">
        <v>0.01</v>
      </c>
      <c r="L125" s="18"/>
    </row>
    <row r="126" ht="15.0" customHeight="1">
      <c r="A126" s="16" t="s">
        <v>280</v>
      </c>
      <c r="B126" s="17">
        <v>3871.63</v>
      </c>
      <c r="C126" s="17">
        <v>4403.07</v>
      </c>
      <c r="D126" s="17">
        <v>8382.74</v>
      </c>
      <c r="E126" s="17">
        <v>8077.21</v>
      </c>
      <c r="F126" s="17">
        <v>6670.95</v>
      </c>
      <c r="G126" s="17">
        <v>6008.24</v>
      </c>
      <c r="H126" s="17">
        <v>6076.61</v>
      </c>
      <c r="I126" s="17">
        <v>3716.78</v>
      </c>
      <c r="J126" s="17">
        <v>3097.42</v>
      </c>
      <c r="K126" s="17">
        <v>2412.67</v>
      </c>
      <c r="L126" s="17">
        <v>2284.4</v>
      </c>
    </row>
    <row r="127" ht="15.0" customHeight="1">
      <c r="A127" s="14" t="s">
        <v>281</v>
      </c>
      <c r="B127" s="20">
        <v>87.7</v>
      </c>
      <c r="C127" s="20">
        <v>87.67</v>
      </c>
      <c r="D127" s="20">
        <v>87.67</v>
      </c>
      <c r="E127" s="20">
        <v>87.64</v>
      </c>
      <c r="F127" s="20">
        <v>87.59</v>
      </c>
      <c r="G127" s="20">
        <v>87.59</v>
      </c>
      <c r="H127" s="20">
        <v>87.59</v>
      </c>
      <c r="I127" s="20">
        <v>87.59</v>
      </c>
      <c r="J127" s="20">
        <v>87.59</v>
      </c>
      <c r="K127" s="20">
        <v>87.59</v>
      </c>
      <c r="L127" s="20">
        <v>87.59</v>
      </c>
    </row>
    <row r="128" ht="15.0" customHeight="1">
      <c r="A128" s="14" t="s">
        <v>282</v>
      </c>
      <c r="B128" s="20">
        <v>87.7</v>
      </c>
      <c r="C128" s="20">
        <v>87.67</v>
      </c>
      <c r="D128" s="20">
        <v>87.67</v>
      </c>
      <c r="E128" s="20">
        <v>87.64</v>
      </c>
      <c r="F128" s="20">
        <v>87.59</v>
      </c>
      <c r="G128" s="20">
        <v>87.59</v>
      </c>
      <c r="H128" s="20">
        <v>87.59</v>
      </c>
      <c r="I128" s="20">
        <v>87.59</v>
      </c>
      <c r="J128" s="20">
        <v>87.59</v>
      </c>
      <c r="K128" s="20">
        <v>87.59</v>
      </c>
      <c r="L128" s="20">
        <v>87.59</v>
      </c>
    </row>
    <row r="129" ht="15.0" customHeight="1">
      <c r="A129" s="14" t="s">
        <v>283</v>
      </c>
      <c r="B129" s="18">
        <v>0.0</v>
      </c>
      <c r="C129" s="18">
        <v>0.0</v>
      </c>
      <c r="D129" s="18">
        <v>0.0</v>
      </c>
      <c r="E129" s="18">
        <v>0.0</v>
      </c>
      <c r="F129" s="18">
        <v>0.0</v>
      </c>
      <c r="G129" s="18">
        <v>0.0</v>
      </c>
      <c r="H129" s="18">
        <v>0.0</v>
      </c>
      <c r="I129" s="18">
        <v>0.0</v>
      </c>
      <c r="J129" s="18">
        <v>0.0</v>
      </c>
      <c r="K129" s="18">
        <v>0.0</v>
      </c>
      <c r="L129" s="18">
        <v>0.0</v>
      </c>
    </row>
    <row r="130" ht="15.0" customHeight="1">
      <c r="A130" s="14" t="s">
        <v>284</v>
      </c>
      <c r="B130" s="18"/>
      <c r="C130" s="20">
        <v>34.1</v>
      </c>
      <c r="D130" s="15">
        <v>102.36</v>
      </c>
      <c r="E130" s="18"/>
      <c r="F130" s="15">
        <v>104.83</v>
      </c>
      <c r="G130" s="15">
        <v>118.13</v>
      </c>
      <c r="H130" s="15">
        <v>172.56</v>
      </c>
      <c r="I130" s="18"/>
      <c r="J130" s="18"/>
      <c r="K130" s="18"/>
      <c r="L130" s="18"/>
    </row>
    <row r="131" ht="15.0" customHeight="1">
      <c r="A131" s="14" t="s">
        <v>285</v>
      </c>
      <c r="B131" s="18"/>
      <c r="C131" s="20">
        <v>13.64</v>
      </c>
      <c r="D131" s="20">
        <v>50.68</v>
      </c>
      <c r="E131" s="18"/>
      <c r="F131" s="20">
        <v>36.64</v>
      </c>
      <c r="G131" s="20">
        <v>41.44</v>
      </c>
      <c r="H131" s="20">
        <v>58.63</v>
      </c>
      <c r="I131" s="18"/>
      <c r="J131" s="18"/>
      <c r="K131" s="18"/>
      <c r="L131" s="18"/>
    </row>
    <row r="132" ht="15.0" customHeight="1">
      <c r="A132" s="14" t="s">
        <v>286</v>
      </c>
      <c r="B132" s="18"/>
      <c r="C132" s="20">
        <v>5.68</v>
      </c>
      <c r="D132" s="20">
        <v>33.45</v>
      </c>
      <c r="E132" s="18"/>
      <c r="F132" s="20">
        <v>30.44</v>
      </c>
      <c r="G132" s="20">
        <v>26.73</v>
      </c>
      <c r="H132" s="20">
        <v>31.85</v>
      </c>
      <c r="I132" s="18"/>
      <c r="J132" s="18"/>
      <c r="K132" s="18"/>
      <c r="L132" s="18"/>
    </row>
    <row r="133" ht="15.0" customHeight="1">
      <c r="A133" s="14" t="s">
        <v>287</v>
      </c>
      <c r="B133" s="18"/>
      <c r="C133" s="20">
        <v>10.23</v>
      </c>
      <c r="D133" s="20">
        <v>8.11</v>
      </c>
      <c r="E133" s="18"/>
      <c r="F133" s="20">
        <v>35.0</v>
      </c>
      <c r="G133" s="20">
        <v>49.97</v>
      </c>
      <c r="H133" s="20">
        <v>72.87</v>
      </c>
      <c r="I133" s="18"/>
      <c r="J133" s="18"/>
      <c r="K133" s="18"/>
      <c r="L133" s="18"/>
    </row>
    <row r="134" ht="15.0" customHeight="1">
      <c r="A134" s="14" t="s">
        <v>288</v>
      </c>
      <c r="B134" s="18"/>
      <c r="C134" s="20">
        <v>4.55</v>
      </c>
      <c r="D134" s="20">
        <v>10.14</v>
      </c>
      <c r="E134" s="18"/>
      <c r="F134" s="20">
        <v>2.76</v>
      </c>
      <c r="G134" s="18">
        <v>0.0</v>
      </c>
      <c r="H134" s="20">
        <v>9.21</v>
      </c>
      <c r="I134" s="18"/>
      <c r="J134" s="18"/>
      <c r="K134" s="18"/>
      <c r="L134" s="18"/>
    </row>
    <row r="135" ht="15.0" customHeight="1">
      <c r="A135" s="14" t="s">
        <v>289</v>
      </c>
      <c r="B135" s="20">
        <v>87.7</v>
      </c>
      <c r="C135" s="20">
        <v>87.67</v>
      </c>
      <c r="D135" s="20">
        <v>87.67</v>
      </c>
      <c r="E135" s="20">
        <v>87.64</v>
      </c>
      <c r="F135" s="20">
        <v>87.59</v>
      </c>
      <c r="G135" s="20">
        <v>87.59</v>
      </c>
      <c r="H135" s="20">
        <v>87.59</v>
      </c>
      <c r="I135" s="20">
        <v>87.59</v>
      </c>
      <c r="J135" s="20">
        <v>87.59</v>
      </c>
      <c r="K135" s="20">
        <v>87.59</v>
      </c>
      <c r="L135" s="20">
        <v>87.59</v>
      </c>
    </row>
    <row r="136" ht="15.0" customHeight="1">
      <c r="A136" s="14" t="s">
        <v>290</v>
      </c>
      <c r="B136" s="18">
        <v>0.0</v>
      </c>
      <c r="C136" s="18">
        <v>0.0</v>
      </c>
      <c r="D136" s="18">
        <v>0.0</v>
      </c>
      <c r="E136" s="18">
        <v>0.0</v>
      </c>
      <c r="F136" s="18">
        <v>0.0</v>
      </c>
      <c r="G136" s="18">
        <v>0.0</v>
      </c>
      <c r="H136" s="18">
        <v>0.0</v>
      </c>
      <c r="I136" s="18">
        <v>0.0</v>
      </c>
      <c r="J136" s="18">
        <v>0.0</v>
      </c>
      <c r="K136" s="18">
        <v>0.0</v>
      </c>
      <c r="L136" s="18">
        <v>0.0</v>
      </c>
    </row>
    <row r="137" ht="15.0" customHeight="1">
      <c r="A137" s="14" t="s">
        <v>291</v>
      </c>
      <c r="B137" s="20">
        <v>1.0</v>
      </c>
      <c r="C137" s="20">
        <v>1.0</v>
      </c>
      <c r="D137" s="20">
        <v>1.0</v>
      </c>
      <c r="E137" s="20">
        <v>1.0</v>
      </c>
      <c r="F137" s="20">
        <v>1.0</v>
      </c>
      <c r="G137" s="20">
        <v>1.0</v>
      </c>
      <c r="H137" s="20">
        <v>1.0</v>
      </c>
      <c r="I137" s="20">
        <v>1.0</v>
      </c>
      <c r="J137" s="20">
        <v>1.0</v>
      </c>
      <c r="K137" s="20">
        <v>1.0</v>
      </c>
      <c r="L137" s="20">
        <v>1.0</v>
      </c>
    </row>
    <row r="138" ht="15.0" customHeight="1">
      <c r="A138" s="14" t="s">
        <v>292</v>
      </c>
      <c r="B138" s="20">
        <v>87.7</v>
      </c>
      <c r="C138" s="20">
        <v>87.67</v>
      </c>
      <c r="D138" s="20">
        <v>87.67</v>
      </c>
      <c r="E138" s="20">
        <v>87.64</v>
      </c>
      <c r="F138" s="20">
        <v>87.59</v>
      </c>
      <c r="G138" s="20">
        <v>87.59</v>
      </c>
      <c r="H138" s="20">
        <v>87.59</v>
      </c>
      <c r="I138" s="20">
        <v>87.59</v>
      </c>
      <c r="J138" s="20">
        <v>87.59</v>
      </c>
      <c r="K138" s="20">
        <v>87.59</v>
      </c>
      <c r="L138" s="20">
        <v>87.59</v>
      </c>
    </row>
    <row r="139" ht="15.0" customHeight="1">
      <c r="A139" s="14" t="s">
        <v>293</v>
      </c>
      <c r="B139" s="18"/>
      <c r="C139" s="15">
        <v>249.0</v>
      </c>
      <c r="D139" s="15">
        <v>373.0</v>
      </c>
      <c r="E139" s="15">
        <v>325.0</v>
      </c>
      <c r="F139" s="15">
        <v>568.0</v>
      </c>
      <c r="G139" s="15">
        <v>549.0</v>
      </c>
      <c r="H139" s="15">
        <v>496.0</v>
      </c>
      <c r="I139" s="15">
        <v>364.0</v>
      </c>
      <c r="J139" s="15">
        <v>341.0</v>
      </c>
      <c r="K139" s="15">
        <v>282.0</v>
      </c>
      <c r="L139" s="18"/>
    </row>
    <row r="140" ht="15.0" customHeight="1">
      <c r="A140" s="14" t="s">
        <v>294</v>
      </c>
      <c r="B140" s="18"/>
      <c r="C140" s="18"/>
      <c r="D140" s="18"/>
      <c r="E140" s="18"/>
      <c r="F140" s="18"/>
      <c r="G140" s="18"/>
      <c r="H140" s="18"/>
      <c r="I140" s="20">
        <v>11.7</v>
      </c>
      <c r="J140" s="20">
        <v>12.48</v>
      </c>
      <c r="K140" s="20">
        <v>13.28</v>
      </c>
      <c r="L140" s="20">
        <v>11.97</v>
      </c>
    </row>
    <row r="141" ht="15.0" customHeight="1">
      <c r="A141" s="14" t="s">
        <v>295</v>
      </c>
      <c r="B141" s="18"/>
      <c r="C141" s="18"/>
      <c r="D141" s="18"/>
      <c r="E141" s="18"/>
      <c r="F141" s="18"/>
      <c r="G141" s="18"/>
      <c r="H141" s="18"/>
      <c r="I141" s="20">
        <v>38.57</v>
      </c>
      <c r="J141" s="20">
        <v>38.14</v>
      </c>
      <c r="K141" s="20">
        <v>39.54</v>
      </c>
      <c r="L141" s="20">
        <v>46.18</v>
      </c>
    </row>
    <row r="142" ht="15.0" customHeight="1">
      <c r="A142" s="14" t="s">
        <v>296</v>
      </c>
      <c r="B142" s="18"/>
      <c r="C142" s="18"/>
      <c r="D142" s="18"/>
      <c r="E142" s="18"/>
      <c r="F142" s="18"/>
      <c r="G142" s="18"/>
      <c r="H142" s="18"/>
      <c r="I142" s="20">
        <v>5.41</v>
      </c>
      <c r="J142" s="20">
        <v>12.78</v>
      </c>
      <c r="K142" s="20">
        <v>31.02</v>
      </c>
      <c r="L142" s="20">
        <v>27.16</v>
      </c>
    </row>
    <row r="143" ht="15.0" customHeight="1">
      <c r="A143" s="14" t="s">
        <v>297</v>
      </c>
      <c r="B143" s="18"/>
      <c r="C143" s="18"/>
      <c r="D143" s="18"/>
      <c r="E143" s="18"/>
      <c r="F143" s="18"/>
      <c r="G143" s="18"/>
      <c r="H143" s="18"/>
      <c r="I143" s="20">
        <v>55.68</v>
      </c>
      <c r="J143" s="20">
        <v>63.4</v>
      </c>
      <c r="K143" s="20">
        <v>83.85</v>
      </c>
      <c r="L143" s="20">
        <v>85.31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46090.4385884838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43465.0</v>
      </c>
      <c r="J13" s="9">
        <v>42735.0</v>
      </c>
      <c r="K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35</v>
      </c>
      <c r="J15" s="10" t="s">
        <v>35</v>
      </c>
      <c r="K15" s="10" t="s">
        <v>35</v>
      </c>
    </row>
    <row r="16" ht="15.0" customHeight="1" outlineLevel="1">
      <c r="A16" s="8" t="s">
        <v>36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</row>
    <row r="18">
      <c r="A18" s="12" t="s">
        <v>299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</row>
    <row r="20" ht="15.0" customHeight="1">
      <c r="A20" s="26" t="s">
        <v>300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ht="15.0" customHeight="1">
      <c r="A21" s="28" t="s">
        <v>300</v>
      </c>
      <c r="B21" s="29">
        <v>7396.44</v>
      </c>
      <c r="C21" s="29">
        <v>7759.62</v>
      </c>
      <c r="D21" s="29">
        <v>6850.58</v>
      </c>
      <c r="E21" s="29">
        <v>7536.16</v>
      </c>
      <c r="F21" s="30">
        <v>12296.07</v>
      </c>
      <c r="G21" s="30"/>
      <c r="H21" s="30"/>
      <c r="I21" s="30"/>
      <c r="J21" s="30"/>
      <c r="K21" s="30"/>
    </row>
    <row r="22" ht="15.0" customHeight="1">
      <c r="A22" s="28" t="s">
        <v>301</v>
      </c>
      <c r="B22" s="30">
        <v>10012.87</v>
      </c>
      <c r="C22" s="30"/>
      <c r="D22" s="30"/>
      <c r="E22" s="30"/>
      <c r="F22" s="30"/>
      <c r="G22" s="30"/>
      <c r="H22" s="30"/>
      <c r="I22" s="30"/>
      <c r="J22" s="30"/>
      <c r="K22" s="30"/>
    </row>
    <row r="23" ht="15.0" customHeight="1">
      <c r="A23" s="26" t="s">
        <v>302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ht="15.0" customHeight="1">
      <c r="A24" s="28" t="s">
        <v>302</v>
      </c>
      <c r="B24" s="29">
        <v>5883.66</v>
      </c>
      <c r="C24" s="29">
        <v>4032.95</v>
      </c>
      <c r="D24" s="29">
        <v>3334.62</v>
      </c>
      <c r="E24" s="29">
        <v>4755.92</v>
      </c>
      <c r="F24" s="30">
        <v>10291.37</v>
      </c>
      <c r="G24" s="30"/>
      <c r="H24" s="30"/>
      <c r="I24" s="30"/>
      <c r="J24" s="30"/>
      <c r="K24" s="30"/>
    </row>
    <row r="25" ht="15.0" customHeight="1">
      <c r="A25" s="28" t="s">
        <v>303</v>
      </c>
      <c r="B25" s="29">
        <v>6809.79</v>
      </c>
      <c r="C25" s="30"/>
      <c r="D25" s="30"/>
      <c r="E25" s="30"/>
      <c r="F25" s="30"/>
      <c r="G25" s="30"/>
      <c r="H25" s="30"/>
      <c r="I25" s="30"/>
      <c r="J25" s="30"/>
      <c r="K25" s="30"/>
    </row>
    <row r="26" ht="15.0" customHeight="1">
      <c r="A26" s="26" t="s">
        <v>304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ht="15.0" customHeight="1">
      <c r="A27" s="28" t="s">
        <v>305</v>
      </c>
      <c r="B27" s="31">
        <v>67.1</v>
      </c>
      <c r="C27" s="31">
        <v>46.0</v>
      </c>
      <c r="D27" s="31">
        <v>38.05</v>
      </c>
      <c r="E27" s="31">
        <v>54.3</v>
      </c>
      <c r="F27" s="29">
        <v>117.5</v>
      </c>
      <c r="G27" s="30"/>
      <c r="H27" s="30"/>
      <c r="I27" s="30"/>
      <c r="J27" s="30"/>
      <c r="K27" s="30"/>
    </row>
    <row r="28" ht="15.0" customHeight="1">
      <c r="A28" s="28" t="s">
        <v>306</v>
      </c>
      <c r="B28" s="31">
        <v>77.72</v>
      </c>
      <c r="C28" s="30"/>
      <c r="D28" s="30"/>
      <c r="E28" s="30"/>
      <c r="F28" s="30"/>
      <c r="G28" s="30"/>
      <c r="H28" s="30"/>
      <c r="I28" s="30"/>
      <c r="J28" s="30"/>
      <c r="K28" s="30"/>
    </row>
    <row r="29" ht="15.0" customHeight="1">
      <c r="A29" s="26" t="s">
        <v>307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ht="15.0" customHeight="1">
      <c r="A30" s="28" t="s">
        <v>308</v>
      </c>
      <c r="B30" s="32">
        <v>-2.11</v>
      </c>
      <c r="C30" s="32">
        <v>-0.48</v>
      </c>
      <c r="D30" s="32">
        <v>-9.11</v>
      </c>
      <c r="E30" s="32">
        <v>-14.88</v>
      </c>
      <c r="F30" s="32">
        <v>-6.99</v>
      </c>
      <c r="G30" s="33"/>
      <c r="H30" s="33"/>
      <c r="I30" s="33"/>
      <c r="J30" s="33"/>
      <c r="K30" s="33"/>
    </row>
    <row r="31" ht="15.0" customHeight="1">
      <c r="A31" s="28" t="s">
        <v>309</v>
      </c>
      <c r="B31" s="32">
        <v>-6.95</v>
      </c>
      <c r="C31" s="33"/>
      <c r="D31" s="33"/>
      <c r="E31" s="33"/>
      <c r="F31" s="33"/>
      <c r="G31" s="33"/>
      <c r="H31" s="33"/>
      <c r="I31" s="33"/>
      <c r="J31" s="33"/>
      <c r="K31" s="33"/>
    </row>
    <row r="32" ht="15.0" customHeight="1">
      <c r="A32" s="26" t="s">
        <v>310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ht="15.0" customHeight="1">
      <c r="A33" s="28" t="s">
        <v>311</v>
      </c>
      <c r="B33" s="33">
        <v>70.96</v>
      </c>
      <c r="C33" s="33">
        <v>0.0</v>
      </c>
      <c r="D33" s="33">
        <v>0.0</v>
      </c>
      <c r="E33" s="33">
        <v>0.0</v>
      </c>
      <c r="F33" s="33">
        <v>0.0</v>
      </c>
      <c r="G33" s="33"/>
      <c r="H33" s="33"/>
      <c r="I33" s="33"/>
      <c r="J33" s="33"/>
      <c r="K33" s="33"/>
    </row>
    <row r="34" ht="15.0" customHeight="1">
      <c r="A34" s="28" t="s">
        <v>312</v>
      </c>
      <c r="B34" s="33">
        <v>12.25</v>
      </c>
      <c r="C34" s="33"/>
      <c r="D34" s="33"/>
      <c r="E34" s="33"/>
      <c r="F34" s="33"/>
      <c r="G34" s="33"/>
      <c r="H34" s="33"/>
      <c r="I34" s="33"/>
      <c r="J34" s="33"/>
      <c r="K34" s="33"/>
    </row>
    <row r="35" ht="15.0" customHeight="1">
      <c r="A35" s="28" t="s">
        <v>313</v>
      </c>
      <c r="B35" s="33">
        <v>70.96</v>
      </c>
      <c r="C35" s="33">
        <v>0.0</v>
      </c>
      <c r="D35" s="33">
        <v>0.0</v>
      </c>
      <c r="E35" s="33">
        <v>0.0</v>
      </c>
      <c r="F35" s="33">
        <v>0.0</v>
      </c>
      <c r="G35" s="33"/>
      <c r="H35" s="33"/>
      <c r="I35" s="33"/>
      <c r="J35" s="33"/>
      <c r="K35" s="33"/>
    </row>
    <row r="36" ht="15.0" customHeight="1">
      <c r="A36" s="28" t="s">
        <v>314</v>
      </c>
      <c r="B36" s="33">
        <v>12.25</v>
      </c>
      <c r="C36" s="33"/>
      <c r="D36" s="33"/>
      <c r="E36" s="33"/>
      <c r="F36" s="33"/>
      <c r="G36" s="33"/>
      <c r="H36" s="33"/>
      <c r="I36" s="33"/>
      <c r="J36" s="33"/>
      <c r="K36" s="33"/>
    </row>
    <row r="37" ht="15.0" customHeight="1">
      <c r="A37" s="26" t="s">
        <v>315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ht="15.0" customHeight="1">
      <c r="A38" s="28" t="s">
        <v>316</v>
      </c>
      <c r="B38" s="31">
        <v>2.98</v>
      </c>
      <c r="C38" s="31">
        <v>1.09</v>
      </c>
      <c r="D38" s="31">
        <v>0.9</v>
      </c>
      <c r="E38" s="31">
        <v>1.46</v>
      </c>
      <c r="F38" s="31">
        <v>3.22</v>
      </c>
      <c r="G38" s="30"/>
      <c r="H38" s="30"/>
      <c r="I38" s="30"/>
      <c r="J38" s="30"/>
      <c r="K38" s="30"/>
    </row>
    <row r="39" ht="15.0" customHeight="1">
      <c r="A39" s="28" t="s">
        <v>317</v>
      </c>
      <c r="B39" s="31">
        <v>1.8</v>
      </c>
      <c r="C39" s="30"/>
      <c r="D39" s="30"/>
      <c r="E39" s="30"/>
      <c r="F39" s="30"/>
      <c r="G39" s="30"/>
      <c r="H39" s="30"/>
      <c r="I39" s="30"/>
      <c r="J39" s="30"/>
      <c r="K39" s="30"/>
    </row>
    <row r="40" ht="15.0" customHeight="1">
      <c r="A40" s="26" t="s">
        <v>318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ht="15.0" customHeight="1">
      <c r="A41" s="28" t="s">
        <v>319</v>
      </c>
      <c r="B41" s="31">
        <v>10.25</v>
      </c>
      <c r="C41" s="31">
        <v>1.88</v>
      </c>
      <c r="D41" s="31">
        <v>1.58</v>
      </c>
      <c r="E41" s="31">
        <v>2.72</v>
      </c>
      <c r="F41" s="31">
        <v>6.23</v>
      </c>
      <c r="G41" s="30"/>
      <c r="H41" s="30"/>
      <c r="I41" s="30"/>
      <c r="J41" s="30"/>
      <c r="K41" s="30"/>
    </row>
    <row r="42" ht="15.0" customHeight="1">
      <c r="A42" s="28" t="s">
        <v>320</v>
      </c>
      <c r="B42" s="31">
        <v>3.45</v>
      </c>
      <c r="C42" s="30"/>
      <c r="D42" s="30"/>
      <c r="E42" s="30"/>
      <c r="F42" s="30"/>
      <c r="G42" s="30"/>
      <c r="H42" s="30"/>
      <c r="I42" s="30"/>
      <c r="J42" s="30"/>
      <c r="K42" s="30"/>
    </row>
    <row r="43" ht="15.0" customHeight="1">
      <c r="A43" s="26" t="s">
        <v>321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ht="15.0" customHeight="1">
      <c r="A44" s="28" t="s">
        <v>322</v>
      </c>
      <c r="B44" s="31">
        <v>2.6</v>
      </c>
      <c r="C44" s="31">
        <v>1.19</v>
      </c>
      <c r="D44" s="31">
        <v>1.23</v>
      </c>
      <c r="E44" s="31">
        <v>2.06</v>
      </c>
      <c r="F44" s="31">
        <v>3.71</v>
      </c>
      <c r="G44" s="30"/>
      <c r="H44" s="30"/>
      <c r="I44" s="30"/>
      <c r="J44" s="30"/>
      <c r="K44" s="30"/>
    </row>
    <row r="45" ht="15.0" customHeight="1">
      <c r="A45" s="28" t="s">
        <v>323</v>
      </c>
      <c r="B45" s="31">
        <v>2.14</v>
      </c>
      <c r="C45" s="30"/>
      <c r="D45" s="30"/>
      <c r="E45" s="30"/>
      <c r="F45" s="30"/>
      <c r="G45" s="30"/>
      <c r="H45" s="30"/>
      <c r="I45" s="30"/>
      <c r="J45" s="30"/>
      <c r="K45" s="30"/>
    </row>
    <row r="46" ht="15.0" customHeight="1">
      <c r="A46" s="26" t="s">
        <v>324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ht="15.0" customHeight="1">
      <c r="A47" s="28" t="s">
        <v>325</v>
      </c>
      <c r="B47" s="29">
        <v>107.84</v>
      </c>
      <c r="C47" s="31">
        <v>9.61</v>
      </c>
      <c r="D47" s="31">
        <v>5.73</v>
      </c>
      <c r="E47" s="31">
        <v>12.3</v>
      </c>
      <c r="F47" s="31">
        <v>25.49</v>
      </c>
      <c r="G47" s="30"/>
      <c r="H47" s="30"/>
      <c r="I47" s="30"/>
      <c r="J47" s="30"/>
      <c r="K47" s="30"/>
    </row>
    <row r="48" ht="15.0" customHeight="1">
      <c r="A48" s="28" t="s">
        <v>326</v>
      </c>
      <c r="B48" s="31">
        <v>15.24</v>
      </c>
      <c r="C48" s="30"/>
      <c r="D48" s="30"/>
      <c r="E48" s="30"/>
      <c r="F48" s="30"/>
      <c r="G48" s="30"/>
      <c r="H48" s="30"/>
      <c r="I48" s="30"/>
      <c r="J48" s="30"/>
      <c r="K48" s="30"/>
    </row>
    <row r="49" ht="15.0" customHeight="1">
      <c r="A49" s="26" t="s">
        <v>327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</row>
    <row r="50" ht="15.0" customHeight="1">
      <c r="A50" s="28" t="s">
        <v>328</v>
      </c>
      <c r="B50" s="30"/>
      <c r="C50" s="30"/>
      <c r="D50" s="31">
        <v>34.03</v>
      </c>
      <c r="E50" s="30"/>
      <c r="F50" s="30"/>
      <c r="G50" s="30"/>
      <c r="H50" s="30"/>
      <c r="I50" s="30"/>
      <c r="J50" s="30"/>
      <c r="K50" s="30"/>
    </row>
    <row r="51" ht="15.0" customHeight="1">
      <c r="A51" s="26" t="s">
        <v>329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2" ht="15.0" customHeight="1">
      <c r="A52" s="28" t="s">
        <v>330</v>
      </c>
      <c r="B52" s="30"/>
      <c r="C52" s="30"/>
      <c r="D52" s="31">
        <v>23.47</v>
      </c>
      <c r="E52" s="30"/>
      <c r="F52" s="31">
        <v>47.12</v>
      </c>
      <c r="G52" s="30"/>
      <c r="H52" s="30"/>
      <c r="I52" s="30"/>
      <c r="J52" s="30"/>
      <c r="K52" s="30"/>
    </row>
    <row r="53" ht="15.0" customHeight="1">
      <c r="A53" s="28" t="s">
        <v>331</v>
      </c>
      <c r="B53" s="31">
        <v>1.8</v>
      </c>
      <c r="C53" s="30"/>
      <c r="D53" s="30"/>
      <c r="E53" s="30"/>
      <c r="F53" s="30"/>
      <c r="G53" s="30"/>
      <c r="H53" s="30"/>
      <c r="I53" s="30"/>
      <c r="J53" s="30"/>
      <c r="K53" s="30"/>
    </row>
    <row r="54" ht="15.0" customHeight="1">
      <c r="A54" s="26" t="s">
        <v>332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</row>
    <row r="55" ht="15.0" customHeight="1">
      <c r="A55" s="28" t="s">
        <v>333</v>
      </c>
      <c r="B55" s="30"/>
      <c r="C55" s="30"/>
      <c r="D55" s="31">
        <v>0.15</v>
      </c>
      <c r="E55" s="30"/>
      <c r="F55" s="30"/>
      <c r="G55" s="30"/>
      <c r="H55" s="30"/>
      <c r="I55" s="30"/>
      <c r="J55" s="30"/>
      <c r="K55" s="30"/>
    </row>
    <row r="56" ht="15.0" customHeight="1">
      <c r="A56" s="26" t="s">
        <v>334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 ht="15.0" customHeight="1">
      <c r="A57" s="28" t="s">
        <v>335</v>
      </c>
      <c r="B57" s="31">
        <v>3.27</v>
      </c>
      <c r="C57" s="31">
        <v>2.28</v>
      </c>
      <c r="D57" s="31">
        <v>2.52</v>
      </c>
      <c r="E57" s="31">
        <v>3.27</v>
      </c>
      <c r="F57" s="31">
        <v>4.97</v>
      </c>
      <c r="G57" s="30"/>
      <c r="H57" s="30"/>
      <c r="I57" s="30"/>
      <c r="J57" s="30"/>
      <c r="K57" s="30"/>
    </row>
    <row r="58" ht="15.0" customHeight="1">
      <c r="A58" s="28" t="s">
        <v>336</v>
      </c>
      <c r="B58" s="31">
        <v>3.23</v>
      </c>
      <c r="C58" s="30"/>
      <c r="D58" s="30"/>
      <c r="E58" s="30"/>
      <c r="F58" s="30"/>
      <c r="G58" s="30"/>
      <c r="H58" s="30"/>
      <c r="I58" s="30"/>
      <c r="J58" s="30"/>
      <c r="K58" s="30"/>
    </row>
    <row r="59" ht="15.0" customHeight="1">
      <c r="A59" s="26" t="s">
        <v>337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</row>
    <row r="60" ht="15.0" customHeight="1">
      <c r="A60" s="28" t="s">
        <v>338</v>
      </c>
      <c r="B60" s="31">
        <v>46.82</v>
      </c>
      <c r="C60" s="31">
        <v>14.81</v>
      </c>
      <c r="D60" s="31">
        <v>9.78</v>
      </c>
      <c r="E60" s="31">
        <v>21.68</v>
      </c>
      <c r="F60" s="31">
        <v>24.25</v>
      </c>
      <c r="G60" s="30"/>
      <c r="H60" s="30"/>
      <c r="I60" s="30"/>
      <c r="J60" s="30"/>
      <c r="K60" s="30"/>
    </row>
    <row r="61" ht="15.0" customHeight="1">
      <c r="A61" s="28" t="s">
        <v>339</v>
      </c>
      <c r="B61" s="31">
        <v>18.69</v>
      </c>
      <c r="C61" s="30"/>
      <c r="D61" s="30"/>
      <c r="E61" s="30"/>
      <c r="F61" s="30"/>
      <c r="G61" s="30"/>
      <c r="H61" s="30"/>
      <c r="I61" s="30"/>
      <c r="J61" s="30"/>
      <c r="K61" s="30"/>
    </row>
    <row r="62" ht="15.0" customHeight="1">
      <c r="A62" s="26" t="s">
        <v>340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</row>
    <row r="63" ht="15.0" customHeight="1">
      <c r="A63" s="28" t="s">
        <v>341</v>
      </c>
      <c r="B63" s="31">
        <v>53.34</v>
      </c>
      <c r="C63" s="31">
        <v>16.15</v>
      </c>
      <c r="D63" s="31">
        <v>46.31</v>
      </c>
      <c r="E63" s="29">
        <v>1173.84</v>
      </c>
      <c r="F63" s="30"/>
      <c r="G63" s="30"/>
      <c r="H63" s="30"/>
      <c r="I63" s="30"/>
      <c r="J63" s="30"/>
      <c r="K63" s="30"/>
    </row>
    <row r="64" ht="15.0" customHeight="1">
      <c r="A64" s="28" t="s">
        <v>342</v>
      </c>
      <c r="B64" s="29">
        <v>180.63</v>
      </c>
      <c r="C64" s="30"/>
      <c r="D64" s="30"/>
      <c r="E64" s="30"/>
      <c r="F64" s="30"/>
      <c r="G64" s="30"/>
      <c r="H64" s="30"/>
      <c r="I64" s="30"/>
      <c r="J64" s="30"/>
      <c r="K64" s="30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46090.4385885301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344</v>
      </c>
      <c r="C15" s="10" t="s">
        <v>344</v>
      </c>
      <c r="D15" s="10" t="s">
        <v>344</v>
      </c>
      <c r="E15" s="10" t="s">
        <v>344</v>
      </c>
      <c r="F15" s="10" t="s">
        <v>344</v>
      </c>
      <c r="G15" s="10" t="s">
        <v>344</v>
      </c>
      <c r="H15" s="10" t="s">
        <v>344</v>
      </c>
      <c r="I15" s="10" t="s">
        <v>344</v>
      </c>
      <c r="J15" s="10" t="s">
        <v>344</v>
      </c>
      <c r="K15" s="10" t="s">
        <v>344</v>
      </c>
      <c r="L15" s="10" t="s">
        <v>344</v>
      </c>
    </row>
    <row r="16" ht="15.0" customHeight="1" outlineLevel="1">
      <c r="A16" s="8" t="s">
        <v>36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</row>
    <row r="18">
      <c r="A18" s="12" t="s">
        <v>345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346</v>
      </c>
      <c r="B20" s="23">
        <v>-236.49</v>
      </c>
      <c r="C20" s="15">
        <v>1937.11</v>
      </c>
      <c r="D20" s="22">
        <v>-94.96</v>
      </c>
      <c r="E20" s="20">
        <v>96.07</v>
      </c>
      <c r="F20" s="22">
        <v>-68.83</v>
      </c>
      <c r="G20" s="22">
        <v>-51.41</v>
      </c>
      <c r="H20" s="23">
        <v>-208.96</v>
      </c>
      <c r="I20" s="22">
        <v>-8.32</v>
      </c>
      <c r="J20" s="23">
        <v>-146.84</v>
      </c>
      <c r="K20" s="22">
        <v>-17.25</v>
      </c>
      <c r="L20" s="20">
        <v>6.49</v>
      </c>
    </row>
    <row r="21" ht="15.0" customHeight="1">
      <c r="A21" s="14" t="s">
        <v>347</v>
      </c>
      <c r="B21" s="18"/>
      <c r="C21" s="22">
        <v>-1.07</v>
      </c>
      <c r="D21" s="23">
        <v>-263.78</v>
      </c>
      <c r="E21" s="20">
        <v>21.14</v>
      </c>
      <c r="F21" s="20">
        <v>5.19</v>
      </c>
      <c r="G21" s="20">
        <v>57.89</v>
      </c>
      <c r="H21" s="20">
        <v>3.65</v>
      </c>
      <c r="I21" s="22">
        <v>-2.11</v>
      </c>
      <c r="J21" s="20">
        <v>8.36</v>
      </c>
      <c r="K21" s="20">
        <v>4.81</v>
      </c>
      <c r="L21" s="20">
        <v>0.66</v>
      </c>
    </row>
    <row r="22" ht="15.0" customHeight="1">
      <c r="A22" s="14" t="s">
        <v>348</v>
      </c>
      <c r="B22" s="15">
        <v>158.7</v>
      </c>
      <c r="C22" s="15">
        <v>267.52</v>
      </c>
      <c r="D22" s="15">
        <v>327.09</v>
      </c>
      <c r="E22" s="15">
        <v>189.27</v>
      </c>
      <c r="F22" s="15">
        <v>117.39</v>
      </c>
      <c r="G22" s="15">
        <v>168.09</v>
      </c>
      <c r="H22" s="15">
        <v>190.91</v>
      </c>
      <c r="I22" s="20">
        <v>98.51</v>
      </c>
      <c r="J22" s="20">
        <v>88.58</v>
      </c>
      <c r="K22" s="20">
        <v>64.41</v>
      </c>
      <c r="L22" s="20">
        <v>56.85</v>
      </c>
    </row>
    <row r="23" ht="15.0" customHeight="1">
      <c r="A23" s="14" t="s">
        <v>349</v>
      </c>
      <c r="B23" s="18"/>
      <c r="C23" s="18"/>
      <c r="D23" s="18"/>
      <c r="E23" s="18"/>
      <c r="F23" s="18"/>
      <c r="G23" s="18"/>
      <c r="H23" s="18"/>
      <c r="I23" s="22">
        <v>-85.66</v>
      </c>
      <c r="J23" s="22">
        <v>-71.35</v>
      </c>
      <c r="K23" s="22">
        <v>-48.4</v>
      </c>
      <c r="L23" s="22">
        <v>-48.84</v>
      </c>
    </row>
    <row r="24" ht="15.0" customHeight="1">
      <c r="A24" s="14" t="s">
        <v>350</v>
      </c>
      <c r="B24" s="23">
        <v>-163.89</v>
      </c>
      <c r="C24" s="23">
        <v>-261.07</v>
      </c>
      <c r="D24" s="23">
        <v>-313.38</v>
      </c>
      <c r="E24" s="23">
        <v>-169.09</v>
      </c>
      <c r="F24" s="23">
        <v>-110.0</v>
      </c>
      <c r="G24" s="23">
        <v>-289.37</v>
      </c>
      <c r="H24" s="23">
        <v>-145.34</v>
      </c>
      <c r="I24" s="18"/>
      <c r="J24" s="18"/>
      <c r="K24" s="18"/>
      <c r="L24" s="18"/>
    </row>
    <row r="25" ht="15.0" customHeight="1">
      <c r="A25" s="14" t="s">
        <v>351</v>
      </c>
      <c r="B25" s="20">
        <v>6.22</v>
      </c>
      <c r="C25" s="20">
        <v>47.27</v>
      </c>
      <c r="D25" s="20">
        <v>23.21</v>
      </c>
      <c r="E25" s="20">
        <v>2.88</v>
      </c>
      <c r="F25" s="20">
        <v>0.16</v>
      </c>
      <c r="G25" s="20">
        <v>8.2</v>
      </c>
      <c r="H25" s="20">
        <v>9.54</v>
      </c>
      <c r="I25" s="20">
        <v>1.31</v>
      </c>
      <c r="J25" s="20">
        <v>6.8</v>
      </c>
      <c r="K25" s="20">
        <v>3.13</v>
      </c>
      <c r="L25" s="20">
        <v>0.8</v>
      </c>
    </row>
    <row r="26" ht="15.0" customHeight="1">
      <c r="A26" s="14" t="s">
        <v>352</v>
      </c>
      <c r="B26" s="18"/>
      <c r="C26" s="18">
        <v>0.0</v>
      </c>
      <c r="D26" s="22">
        <v>-7.39</v>
      </c>
      <c r="E26" s="22">
        <v>-26.9</v>
      </c>
      <c r="F26" s="20">
        <v>28.51</v>
      </c>
      <c r="G26" s="22">
        <v>-21.95</v>
      </c>
      <c r="H26" s="20">
        <v>8.09</v>
      </c>
      <c r="I26" s="20">
        <v>0.71</v>
      </c>
      <c r="J26" s="22">
        <v>-6.99</v>
      </c>
      <c r="K26" s="18"/>
      <c r="L26" s="18"/>
    </row>
    <row r="27" ht="15.0" customHeight="1">
      <c r="A27" s="14" t="s">
        <v>353</v>
      </c>
      <c r="B27" s="22">
        <v>-79.87</v>
      </c>
      <c r="C27" s="15">
        <v>126.78</v>
      </c>
      <c r="D27" s="22">
        <v>-1.06</v>
      </c>
      <c r="E27" s="23">
        <v>-102.8</v>
      </c>
      <c r="F27" s="18"/>
      <c r="G27" s="18"/>
      <c r="H27" s="18"/>
      <c r="I27" s="18"/>
      <c r="J27" s="18"/>
      <c r="K27" s="18"/>
      <c r="L27" s="18"/>
    </row>
    <row r="28" ht="15.0" customHeight="1">
      <c r="A28" s="14" t="s">
        <v>354</v>
      </c>
      <c r="B28" s="18"/>
      <c r="C28" s="18"/>
      <c r="D28" s="20">
        <v>5.28</v>
      </c>
      <c r="E28" s="18">
        <v>0.0</v>
      </c>
      <c r="F28" s="20">
        <v>49.91</v>
      </c>
      <c r="G28" s="20">
        <v>0.4</v>
      </c>
      <c r="H28" s="20">
        <v>54.15</v>
      </c>
      <c r="I28" s="18">
        <v>0.0</v>
      </c>
      <c r="J28" s="20">
        <v>2.85</v>
      </c>
      <c r="K28" s="20">
        <v>5.0</v>
      </c>
      <c r="L28" s="20">
        <v>7.3</v>
      </c>
    </row>
    <row r="29" ht="15.0" customHeight="1">
      <c r="A29" s="14" t="s">
        <v>355</v>
      </c>
      <c r="B29" s="18"/>
      <c r="C29" s="23">
        <v>-2245.45</v>
      </c>
      <c r="D29" s="18"/>
      <c r="E29" s="18"/>
      <c r="F29" s="18"/>
      <c r="G29" s="18"/>
      <c r="H29" s="18"/>
      <c r="I29" s="18"/>
      <c r="J29" s="18"/>
      <c r="K29" s="18"/>
      <c r="L29" s="18"/>
    </row>
    <row r="30" ht="15.0" customHeight="1">
      <c r="A30" s="14" t="s">
        <v>356</v>
      </c>
      <c r="B30" s="18"/>
      <c r="C30" s="18"/>
      <c r="D30" s="15">
        <v>551.84</v>
      </c>
      <c r="E30" s="15">
        <v>493.82</v>
      </c>
      <c r="F30" s="15">
        <v>439.03</v>
      </c>
      <c r="G30" s="15">
        <v>454.05</v>
      </c>
      <c r="H30" s="15">
        <v>325.06</v>
      </c>
      <c r="I30" s="15">
        <v>186.1</v>
      </c>
      <c r="J30" s="15">
        <v>153.34</v>
      </c>
      <c r="K30" s="15">
        <v>141.3</v>
      </c>
      <c r="L30" s="15">
        <v>128.29</v>
      </c>
    </row>
    <row r="31" ht="15.0" customHeight="1">
      <c r="A31" s="14" t="s">
        <v>357</v>
      </c>
      <c r="B31" s="15">
        <v>422.16</v>
      </c>
      <c r="C31" s="15">
        <v>513.55</v>
      </c>
      <c r="D31" s="18"/>
      <c r="E31" s="18"/>
      <c r="F31" s="18"/>
      <c r="G31" s="18"/>
      <c r="H31" s="18"/>
      <c r="I31" s="18"/>
      <c r="J31" s="18"/>
      <c r="K31" s="18"/>
      <c r="L31" s="18"/>
    </row>
    <row r="32" ht="15.0" customHeight="1">
      <c r="A32" s="14" t="s">
        <v>358</v>
      </c>
      <c r="B32" s="18"/>
      <c r="C32" s="18">
        <v>0.0</v>
      </c>
      <c r="D32" s="20">
        <v>31.65</v>
      </c>
      <c r="E32" s="18"/>
      <c r="F32" s="18"/>
      <c r="G32" s="18"/>
      <c r="H32" s="18"/>
      <c r="I32" s="18"/>
      <c r="J32" s="18"/>
      <c r="K32" s="18">
        <v>0.0</v>
      </c>
      <c r="L32" s="20">
        <v>32.33</v>
      </c>
    </row>
    <row r="33" ht="15.0" customHeight="1">
      <c r="A33" s="14" t="s">
        <v>359</v>
      </c>
      <c r="B33" s="18"/>
      <c r="C33" s="18"/>
      <c r="D33" s="18"/>
      <c r="E33" s="18"/>
      <c r="F33" s="18">
        <v>0.0</v>
      </c>
      <c r="G33" s="22">
        <v>-61.61</v>
      </c>
      <c r="H33" s="18"/>
      <c r="I33" s="18"/>
      <c r="J33" s="18"/>
      <c r="K33" s="18"/>
      <c r="L33" s="18"/>
    </row>
    <row r="34" ht="15.0" customHeight="1">
      <c r="A34" s="14" t="s">
        <v>360</v>
      </c>
      <c r="B34" s="18"/>
      <c r="C34" s="22">
        <v>-76.28</v>
      </c>
      <c r="D34" s="18">
        <v>0.0</v>
      </c>
      <c r="E34" s="20">
        <v>5.76</v>
      </c>
      <c r="F34" s="22">
        <v>-2.23</v>
      </c>
      <c r="G34" s="20">
        <v>2.96</v>
      </c>
      <c r="H34" s="20">
        <v>6.95</v>
      </c>
      <c r="I34" s="22">
        <v>-19.55</v>
      </c>
      <c r="J34" s="20">
        <v>9.22</v>
      </c>
      <c r="K34" s="20">
        <v>40.76</v>
      </c>
      <c r="L34" s="22">
        <v>-46.78</v>
      </c>
    </row>
    <row r="35" ht="15.0" customHeight="1">
      <c r="A35" s="14" t="s">
        <v>361</v>
      </c>
      <c r="B35" s="22">
        <v>-60.16</v>
      </c>
      <c r="C35" s="23">
        <v>-176.2</v>
      </c>
      <c r="D35" s="15">
        <v>242.68</v>
      </c>
      <c r="E35" s="23">
        <v>-365.08</v>
      </c>
      <c r="F35" s="18"/>
      <c r="G35" s="18"/>
      <c r="H35" s="23">
        <v>-135.77</v>
      </c>
      <c r="I35" s="23">
        <v>-106.73</v>
      </c>
      <c r="J35" s="20">
        <v>31.86</v>
      </c>
      <c r="K35" s="22">
        <v>-18.45</v>
      </c>
      <c r="L35" s="20">
        <v>10.21</v>
      </c>
    </row>
    <row r="36" ht="15.0" customHeight="1">
      <c r="A36" s="14" t="s">
        <v>362</v>
      </c>
      <c r="B36" s="18"/>
      <c r="C36" s="18"/>
      <c r="D36" s="18"/>
      <c r="E36" s="18"/>
      <c r="F36" s="23">
        <v>-192.3</v>
      </c>
      <c r="G36" s="23">
        <v>-277.23</v>
      </c>
      <c r="H36" s="18"/>
      <c r="I36" s="18"/>
      <c r="J36" s="18"/>
      <c r="K36" s="18"/>
      <c r="L36" s="18"/>
    </row>
    <row r="37" ht="15.0" customHeight="1">
      <c r="A37" s="14" t="s">
        <v>363</v>
      </c>
      <c r="B37" s="18"/>
      <c r="C37" s="18"/>
      <c r="D37" s="18"/>
      <c r="E37" s="18"/>
      <c r="F37" s="23">
        <v>-203.41</v>
      </c>
      <c r="G37" s="23">
        <v>-193.35</v>
      </c>
      <c r="H37" s="18"/>
      <c r="I37" s="18"/>
      <c r="J37" s="18"/>
      <c r="K37" s="18"/>
      <c r="L37" s="18"/>
    </row>
    <row r="38" ht="15.0" customHeight="1">
      <c r="A38" s="14" t="s">
        <v>364</v>
      </c>
      <c r="B38" s="18"/>
      <c r="C38" s="18"/>
      <c r="D38" s="18"/>
      <c r="E38" s="18"/>
      <c r="F38" s="22">
        <v>-57.15</v>
      </c>
      <c r="G38" s="23">
        <v>-277.01</v>
      </c>
      <c r="H38" s="18"/>
      <c r="I38" s="18"/>
      <c r="J38" s="18"/>
      <c r="K38" s="18"/>
      <c r="L38" s="18"/>
    </row>
    <row r="39" ht="15.0" customHeight="1">
      <c r="A39" s="14" t="s">
        <v>365</v>
      </c>
      <c r="B39" s="22">
        <v>-1.04</v>
      </c>
      <c r="C39" s="22">
        <v>-1.07</v>
      </c>
      <c r="D39" s="22">
        <v>-1.06</v>
      </c>
      <c r="E39" s="18"/>
      <c r="F39" s="22">
        <v>-0.01</v>
      </c>
      <c r="G39" s="18"/>
      <c r="H39" s="18"/>
      <c r="I39" s="18"/>
      <c r="J39" s="18"/>
      <c r="K39" s="18"/>
      <c r="L39" s="22">
        <v>-0.01</v>
      </c>
    </row>
    <row r="40" ht="15.0" customHeight="1">
      <c r="A40" s="16" t="s">
        <v>366</v>
      </c>
      <c r="B40" s="21">
        <v>45.64</v>
      </c>
      <c r="C40" s="17">
        <v>131.07</v>
      </c>
      <c r="D40" s="17">
        <v>500.13</v>
      </c>
      <c r="E40" s="17">
        <v>145.07</v>
      </c>
      <c r="F40" s="21">
        <v>6.27</v>
      </c>
      <c r="G40" s="25">
        <v>-480.36</v>
      </c>
      <c r="H40" s="17">
        <v>108.28</v>
      </c>
      <c r="I40" s="21">
        <v>64.26</v>
      </c>
      <c r="J40" s="21">
        <v>75.84</v>
      </c>
      <c r="K40" s="17">
        <v>175.31</v>
      </c>
      <c r="L40" s="17">
        <v>147.3</v>
      </c>
    </row>
    <row r="41" ht="15.0" customHeight="1">
      <c r="A41" s="14" t="s">
        <v>367</v>
      </c>
      <c r="B41" s="22">
        <v>-63.27</v>
      </c>
      <c r="C41" s="23">
        <v>-186.94</v>
      </c>
      <c r="D41" s="23">
        <v>-484.31</v>
      </c>
      <c r="E41" s="23">
        <v>-389.1</v>
      </c>
      <c r="F41" s="23">
        <v>-676.28</v>
      </c>
      <c r="G41" s="23">
        <v>-203.78</v>
      </c>
      <c r="H41" s="23">
        <v>-1116.53</v>
      </c>
      <c r="I41" s="23">
        <v>-327.69</v>
      </c>
      <c r="J41" s="23">
        <v>-669.19</v>
      </c>
      <c r="K41" s="22">
        <v>-90.58</v>
      </c>
      <c r="L41" s="23">
        <v>-140.47</v>
      </c>
    </row>
    <row r="42" ht="15.0" customHeight="1">
      <c r="A42" s="14" t="s">
        <v>368</v>
      </c>
      <c r="B42" s="22">
        <v>-29.04</v>
      </c>
      <c r="C42" s="22">
        <v>-61.24</v>
      </c>
      <c r="D42" s="22">
        <v>-35.87</v>
      </c>
      <c r="E42" s="22">
        <v>-53.8</v>
      </c>
      <c r="F42" s="22">
        <v>-20.81</v>
      </c>
      <c r="G42" s="22">
        <v>-19.34</v>
      </c>
      <c r="H42" s="22">
        <v>-0.09</v>
      </c>
      <c r="I42" s="23">
        <v>-197.47</v>
      </c>
      <c r="J42" s="23">
        <v>-249.94</v>
      </c>
      <c r="K42" s="22">
        <v>-0.92</v>
      </c>
      <c r="L42" s="22">
        <v>-0.77</v>
      </c>
    </row>
    <row r="43" ht="15.0" customHeight="1">
      <c r="A43" s="14" t="s">
        <v>369</v>
      </c>
      <c r="B43" s="18"/>
      <c r="C43" s="18"/>
      <c r="D43" s="20">
        <v>6.33</v>
      </c>
      <c r="E43" s="18"/>
      <c r="F43" s="20">
        <v>16.38</v>
      </c>
      <c r="G43" s="15">
        <v>207.15</v>
      </c>
      <c r="H43" s="20">
        <v>2.24</v>
      </c>
      <c r="I43" s="20">
        <v>0.05</v>
      </c>
      <c r="J43" s="18">
        <v>0.0</v>
      </c>
      <c r="K43" s="18">
        <v>0.0</v>
      </c>
      <c r="L43" s="20">
        <v>1.2</v>
      </c>
    </row>
    <row r="44" ht="15.0" customHeight="1">
      <c r="A44" s="14" t="s">
        <v>370</v>
      </c>
      <c r="B44" s="18"/>
      <c r="C44" s="18"/>
      <c r="D44" s="18">
        <v>0.0</v>
      </c>
      <c r="E44" s="23">
        <v>-106.64</v>
      </c>
      <c r="F44" s="18"/>
      <c r="G44" s="18"/>
      <c r="H44" s="18"/>
      <c r="I44" s="18"/>
      <c r="J44" s="18"/>
      <c r="K44" s="18"/>
      <c r="L44" s="18"/>
    </row>
    <row r="45" ht="15.0" customHeight="1">
      <c r="A45" s="14" t="s">
        <v>371</v>
      </c>
      <c r="B45" s="18"/>
      <c r="C45" s="18"/>
      <c r="D45" s="18"/>
      <c r="E45" s="18"/>
      <c r="F45" s="18"/>
      <c r="G45" s="18"/>
      <c r="H45" s="18"/>
      <c r="I45" s="18"/>
      <c r="J45" s="18"/>
      <c r="K45" s="18">
        <v>0.0</v>
      </c>
      <c r="L45" s="22">
        <v>-36.9</v>
      </c>
    </row>
    <row r="46" ht="15.0" customHeight="1">
      <c r="A46" s="14" t="s">
        <v>372</v>
      </c>
      <c r="B46" s="18"/>
      <c r="C46" s="22">
        <v>-7.52</v>
      </c>
      <c r="D46" s="18"/>
      <c r="E46" s="18"/>
      <c r="F46" s="22">
        <v>-0.09</v>
      </c>
      <c r="G46" s="22">
        <v>-3.35</v>
      </c>
      <c r="H46" s="23">
        <v>-433.6</v>
      </c>
      <c r="I46" s="22">
        <v>-0.29</v>
      </c>
      <c r="J46" s="22">
        <v>-0.82</v>
      </c>
      <c r="K46" s="18"/>
      <c r="L46" s="18"/>
    </row>
    <row r="47" ht="15.0" customHeight="1">
      <c r="A47" s="14" t="s">
        <v>373</v>
      </c>
      <c r="B47" s="22">
        <v>-6.22</v>
      </c>
      <c r="C47" s="22">
        <v>-4.3</v>
      </c>
      <c r="D47" s="18">
        <v>0.0</v>
      </c>
      <c r="E47" s="22">
        <v>-19.21</v>
      </c>
      <c r="F47" s="18"/>
      <c r="G47" s="18"/>
      <c r="H47" s="18"/>
      <c r="I47" s="18"/>
      <c r="J47" s="18"/>
      <c r="K47" s="18"/>
      <c r="L47" s="18"/>
    </row>
    <row r="48" ht="15.0" customHeight="1">
      <c r="A48" s="14" t="s">
        <v>374</v>
      </c>
      <c r="B48" s="18"/>
      <c r="C48" s="22">
        <v>-6.45</v>
      </c>
      <c r="D48" s="22">
        <v>-3.17</v>
      </c>
      <c r="E48" s="18"/>
      <c r="F48" s="18"/>
      <c r="G48" s="18"/>
      <c r="H48" s="18"/>
      <c r="I48" s="18"/>
      <c r="J48" s="18"/>
      <c r="K48" s="18"/>
      <c r="L48" s="18"/>
    </row>
    <row r="49" ht="15.0" customHeight="1">
      <c r="A49" s="14" t="s">
        <v>375</v>
      </c>
      <c r="B49" s="18"/>
      <c r="C49" s="15">
        <v>4341.56</v>
      </c>
      <c r="D49" s="18"/>
      <c r="E49" s="18"/>
      <c r="F49" s="18"/>
      <c r="G49" s="18"/>
      <c r="H49" s="18"/>
      <c r="I49" s="18"/>
      <c r="J49" s="18"/>
      <c r="K49" s="18"/>
      <c r="L49" s="18"/>
    </row>
    <row r="50" ht="15.0" customHeight="1">
      <c r="A50" s="14" t="s">
        <v>376</v>
      </c>
      <c r="B50" s="22">
        <v>-75.72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ht="15.0" customHeight="1">
      <c r="A51" s="14" t="s">
        <v>377</v>
      </c>
      <c r="B51" s="18"/>
      <c r="C51" s="18"/>
      <c r="D51" s="18">
        <v>0.0</v>
      </c>
      <c r="E51" s="20">
        <v>26.9</v>
      </c>
      <c r="F51" s="18"/>
      <c r="G51" s="18"/>
      <c r="H51" s="18"/>
      <c r="I51" s="18"/>
      <c r="J51" s="18"/>
      <c r="K51" s="18"/>
      <c r="L51" s="18"/>
    </row>
    <row r="52" ht="15.0" customHeight="1">
      <c r="A52" s="14" t="s">
        <v>378</v>
      </c>
      <c r="B52" s="18"/>
      <c r="C52" s="20">
        <v>1.07</v>
      </c>
      <c r="D52" s="20">
        <v>1.06</v>
      </c>
      <c r="E52" s="18"/>
      <c r="F52" s="20">
        <v>0.01</v>
      </c>
      <c r="G52" s="18"/>
      <c r="H52" s="22">
        <v>-0.01</v>
      </c>
      <c r="I52" s="18"/>
      <c r="J52" s="18"/>
      <c r="K52" s="18"/>
      <c r="L52" s="18"/>
    </row>
    <row r="53" ht="15.0" customHeight="1">
      <c r="A53" s="16" t="s">
        <v>379</v>
      </c>
      <c r="B53" s="25">
        <v>-174.26</v>
      </c>
      <c r="C53" s="17">
        <v>4076.19</v>
      </c>
      <c r="D53" s="25">
        <v>-515.96</v>
      </c>
      <c r="E53" s="25">
        <v>-541.86</v>
      </c>
      <c r="F53" s="25">
        <v>-680.78</v>
      </c>
      <c r="G53" s="24">
        <v>-19.32</v>
      </c>
      <c r="H53" s="25">
        <v>-1547.99</v>
      </c>
      <c r="I53" s="25">
        <v>-525.41</v>
      </c>
      <c r="J53" s="25">
        <v>-919.94</v>
      </c>
      <c r="K53" s="24">
        <v>-91.49</v>
      </c>
      <c r="L53" s="25">
        <v>-176.94</v>
      </c>
    </row>
    <row r="54" ht="15.0" customHeight="1">
      <c r="A54" s="14" t="s">
        <v>380</v>
      </c>
      <c r="B54" s="18"/>
      <c r="C54" s="18"/>
      <c r="D54" s="18"/>
      <c r="E54" s="15">
        <v>158.52</v>
      </c>
      <c r="F54" s="20">
        <v>36.03</v>
      </c>
      <c r="G54" s="18"/>
      <c r="H54" s="18"/>
      <c r="I54" s="18"/>
      <c r="J54" s="20">
        <v>34.94</v>
      </c>
      <c r="K54" s="20">
        <v>9.63</v>
      </c>
      <c r="L54" s="18"/>
    </row>
    <row r="55" ht="15.0" customHeight="1">
      <c r="A55" s="14" t="s">
        <v>381</v>
      </c>
      <c r="B55" s="18"/>
      <c r="C55" s="18"/>
      <c r="D55" s="18"/>
      <c r="E55" s="18"/>
      <c r="F55" s="18"/>
      <c r="G55" s="18"/>
      <c r="H55" s="22">
        <v>-38.3</v>
      </c>
      <c r="I55" s="22">
        <v>-7.05</v>
      </c>
      <c r="J55" s="18"/>
      <c r="K55" s="18"/>
      <c r="L55" s="22">
        <v>-23.81</v>
      </c>
    </row>
    <row r="56" ht="15.0" customHeight="1">
      <c r="A56" s="14" t="s">
        <v>382</v>
      </c>
      <c r="B56" s="15">
        <v>175.3</v>
      </c>
      <c r="C56" s="20">
        <v>37.6</v>
      </c>
      <c r="D56" s="23">
        <v>-197.31</v>
      </c>
      <c r="E56" s="18"/>
      <c r="F56" s="18"/>
      <c r="G56" s="23">
        <v>-154.92</v>
      </c>
      <c r="H56" s="18"/>
      <c r="I56" s="18"/>
      <c r="J56" s="18"/>
      <c r="K56" s="18"/>
      <c r="L56" s="18"/>
    </row>
    <row r="57" ht="15.0" customHeight="1">
      <c r="A57" s="14" t="s">
        <v>383</v>
      </c>
      <c r="B57" s="18"/>
      <c r="C57" s="18"/>
      <c r="D57" s="18"/>
      <c r="E57" s="18"/>
      <c r="F57" s="15">
        <v>2879.22</v>
      </c>
      <c r="G57" s="20">
        <v>94.11</v>
      </c>
      <c r="H57" s="18"/>
      <c r="I57" s="18"/>
      <c r="J57" s="18"/>
      <c r="K57" s="18"/>
      <c r="L57" s="18"/>
    </row>
    <row r="58" ht="15.0" customHeight="1">
      <c r="A58" s="14" t="s">
        <v>384</v>
      </c>
      <c r="B58" s="18"/>
      <c r="C58" s="15">
        <v>1619.09</v>
      </c>
      <c r="D58" s="15">
        <v>422.05</v>
      </c>
      <c r="E58" s="15">
        <v>480.37</v>
      </c>
      <c r="F58" s="18"/>
      <c r="G58" s="18"/>
      <c r="H58" s="15">
        <v>1254.49</v>
      </c>
      <c r="I58" s="18"/>
      <c r="J58" s="18"/>
      <c r="K58" s="18"/>
      <c r="L58" s="18"/>
    </row>
    <row r="59" ht="15.0" customHeight="1">
      <c r="A59" s="14" t="s">
        <v>385</v>
      </c>
      <c r="B59" s="22">
        <v>-26.97</v>
      </c>
      <c r="C59" s="23">
        <v>-1987.6</v>
      </c>
      <c r="D59" s="23">
        <v>-154.05</v>
      </c>
      <c r="E59" s="23">
        <v>-136.43</v>
      </c>
      <c r="F59" s="23">
        <v>-2237.0</v>
      </c>
      <c r="G59" s="23">
        <v>-882.33</v>
      </c>
      <c r="H59" s="18"/>
      <c r="I59" s="18"/>
      <c r="J59" s="18"/>
      <c r="K59" s="18"/>
      <c r="L59" s="18"/>
    </row>
    <row r="60" ht="15.0" customHeight="1">
      <c r="A60" s="14" t="s">
        <v>386</v>
      </c>
      <c r="B60" s="18"/>
      <c r="C60" s="23">
        <v>-4009.58</v>
      </c>
      <c r="D60" s="18"/>
      <c r="E60" s="18"/>
      <c r="F60" s="18"/>
      <c r="G60" s="18"/>
      <c r="H60" s="18"/>
      <c r="I60" s="18"/>
      <c r="J60" s="18"/>
      <c r="K60" s="18"/>
      <c r="L60" s="18"/>
    </row>
    <row r="61" ht="15.0" customHeight="1">
      <c r="A61" s="14" t="s">
        <v>387</v>
      </c>
      <c r="B61" s="18"/>
      <c r="C61" s="18"/>
      <c r="D61" s="18">
        <v>0.0</v>
      </c>
      <c r="E61" s="20">
        <v>1.92</v>
      </c>
      <c r="F61" s="20">
        <v>0.16</v>
      </c>
      <c r="G61" s="15">
        <v>2109.7</v>
      </c>
      <c r="H61" s="18"/>
      <c r="I61" s="18"/>
      <c r="J61" s="18"/>
      <c r="K61" s="18"/>
      <c r="L61" s="18"/>
    </row>
    <row r="62" ht="15.0" customHeight="1">
      <c r="A62" s="14" t="s">
        <v>388</v>
      </c>
      <c r="B62" s="18"/>
      <c r="C62" s="18"/>
      <c r="D62" s="18"/>
      <c r="E62" s="18"/>
      <c r="F62" s="18"/>
      <c r="G62" s="18"/>
      <c r="H62" s="18"/>
      <c r="I62" s="22">
        <v>-38.15</v>
      </c>
      <c r="J62" s="22">
        <v>-26.88</v>
      </c>
      <c r="K62" s="22">
        <v>-87.12</v>
      </c>
      <c r="L62" s="22">
        <v>-16.3</v>
      </c>
    </row>
    <row r="63" ht="15.0" customHeight="1">
      <c r="A63" s="14" t="s">
        <v>389</v>
      </c>
      <c r="B63" s="18"/>
      <c r="C63" s="18"/>
      <c r="D63" s="18"/>
      <c r="E63" s="18"/>
      <c r="F63" s="18">
        <v>0.0</v>
      </c>
      <c r="G63" s="15">
        <v>216.45</v>
      </c>
      <c r="H63" s="15">
        <v>321.13</v>
      </c>
      <c r="I63" s="15">
        <v>504.72</v>
      </c>
      <c r="J63" s="15">
        <v>829.52</v>
      </c>
      <c r="K63" s="18">
        <v>0.0</v>
      </c>
      <c r="L63" s="20">
        <v>72.53</v>
      </c>
    </row>
    <row r="64" ht="15.0" customHeight="1">
      <c r="A64" s="14" t="s">
        <v>390</v>
      </c>
      <c r="B64" s="18"/>
      <c r="C64" s="18"/>
      <c r="D64" s="18"/>
      <c r="E64" s="18"/>
      <c r="F64" s="18">
        <v>0.0</v>
      </c>
      <c r="G64" s="23">
        <v>-910.92</v>
      </c>
      <c r="H64" s="18"/>
      <c r="I64" s="18"/>
      <c r="J64" s="18"/>
      <c r="K64" s="18"/>
      <c r="L64" s="18"/>
    </row>
    <row r="65" ht="15.0" customHeight="1">
      <c r="A65" s="14" t="s">
        <v>391</v>
      </c>
      <c r="B65" s="18"/>
      <c r="C65" s="18"/>
      <c r="D65" s="18"/>
      <c r="E65" s="18"/>
      <c r="F65" s="20">
        <v>0.01</v>
      </c>
      <c r="G65" s="22">
        <v>-0.01</v>
      </c>
      <c r="H65" s="20">
        <v>0.01</v>
      </c>
      <c r="I65" s="18"/>
      <c r="J65" s="18"/>
      <c r="K65" s="18"/>
      <c r="L65" s="18"/>
    </row>
    <row r="66" ht="15.0" customHeight="1">
      <c r="A66" s="16" t="s">
        <v>392</v>
      </c>
      <c r="B66" s="17">
        <v>148.33</v>
      </c>
      <c r="C66" s="25">
        <v>-4340.49</v>
      </c>
      <c r="D66" s="21">
        <v>70.69</v>
      </c>
      <c r="E66" s="17">
        <v>504.39</v>
      </c>
      <c r="F66" s="17">
        <v>678.42</v>
      </c>
      <c r="G66" s="17">
        <v>472.08</v>
      </c>
      <c r="H66" s="17">
        <v>1537.33</v>
      </c>
      <c r="I66" s="17">
        <v>459.51</v>
      </c>
      <c r="J66" s="17">
        <v>837.58</v>
      </c>
      <c r="K66" s="24">
        <v>-77.49</v>
      </c>
      <c r="L66" s="21">
        <v>32.41</v>
      </c>
    </row>
    <row r="67" ht="15.0" customHeight="1">
      <c r="A67" s="14" t="s">
        <v>393</v>
      </c>
      <c r="B67" s="15">
        <v>150.88</v>
      </c>
      <c r="C67" s="15">
        <v>312.56</v>
      </c>
      <c r="D67" s="15">
        <v>226.01</v>
      </c>
      <c r="E67" s="15">
        <v>108.74</v>
      </c>
      <c r="F67" s="20">
        <v>94.04</v>
      </c>
      <c r="G67" s="15">
        <v>116.75</v>
      </c>
      <c r="H67" s="20">
        <v>22.08</v>
      </c>
      <c r="I67" s="20">
        <v>23.45</v>
      </c>
      <c r="J67" s="20">
        <v>28.77</v>
      </c>
      <c r="K67" s="20">
        <v>23.77</v>
      </c>
      <c r="L67" s="20">
        <v>21.29</v>
      </c>
    </row>
    <row r="68" ht="15.0" customHeight="1">
      <c r="A68" s="14" t="s">
        <v>394</v>
      </c>
      <c r="B68" s="15">
        <v>169.99</v>
      </c>
      <c r="C68" s="15">
        <v>170.49</v>
      </c>
      <c r="D68" s="15">
        <v>278.72</v>
      </c>
      <c r="E68" s="15">
        <v>218.46</v>
      </c>
      <c r="F68" s="20">
        <v>98.04</v>
      </c>
      <c r="G68" s="20">
        <v>91.59</v>
      </c>
      <c r="H68" s="15">
        <v>119.47</v>
      </c>
      <c r="I68" s="20">
        <v>21.73</v>
      </c>
      <c r="J68" s="20">
        <v>22.28</v>
      </c>
      <c r="K68" s="20">
        <v>30.28</v>
      </c>
      <c r="L68" s="20">
        <v>24.33</v>
      </c>
    </row>
    <row r="69" ht="15.0" customHeight="1">
      <c r="A69" s="14" t="s">
        <v>395</v>
      </c>
      <c r="B69" s="20">
        <v>19.71</v>
      </c>
      <c r="C69" s="23">
        <v>-134.3</v>
      </c>
      <c r="D69" s="20">
        <v>54.87</v>
      </c>
      <c r="E69" s="18"/>
      <c r="F69" s="18"/>
      <c r="G69" s="18"/>
      <c r="H69" s="18"/>
      <c r="I69" s="18"/>
      <c r="J69" s="18"/>
      <c r="K69" s="18"/>
      <c r="L69" s="18"/>
    </row>
    <row r="70" ht="15.0" customHeight="1">
      <c r="A70" s="14" t="s">
        <v>396</v>
      </c>
      <c r="B70" s="18"/>
      <c r="C70" s="18"/>
      <c r="D70" s="18"/>
      <c r="E70" s="18"/>
      <c r="F70" s="18"/>
      <c r="G70" s="18"/>
      <c r="H70" s="18"/>
      <c r="I70" s="20">
        <v>0.01</v>
      </c>
      <c r="J70" s="22">
        <v>-0.01</v>
      </c>
      <c r="K70" s="18"/>
      <c r="L70" s="20">
        <v>0.01</v>
      </c>
    </row>
    <row r="71" ht="15.0" customHeight="1">
      <c r="A71" s="16" t="s">
        <v>395</v>
      </c>
      <c r="B71" s="21">
        <v>19.71</v>
      </c>
      <c r="C71" s="25">
        <v>-133.22</v>
      </c>
      <c r="D71" s="21">
        <v>54.87</v>
      </c>
      <c r="E71" s="17">
        <v>107.6</v>
      </c>
      <c r="F71" s="21">
        <v>3.9</v>
      </c>
      <c r="G71" s="24">
        <v>-27.6</v>
      </c>
      <c r="H71" s="21">
        <v>97.62</v>
      </c>
      <c r="I71" s="24">
        <v>-1.63</v>
      </c>
      <c r="J71" s="24">
        <v>-6.54</v>
      </c>
      <c r="K71" s="21">
        <v>6.33</v>
      </c>
      <c r="L71" s="21">
        <v>2.78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