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dFlsisYUSu7WfIc4etgXVunw3Q/zSZxNoxAfH0rWLw="/>
    </ext>
  </extLst>
</workbook>
</file>

<file path=xl/sharedStrings.xml><?xml version="1.0" encoding="utf-8"?>
<sst xmlns="http://schemas.openxmlformats.org/spreadsheetml/2006/main" count="672" uniqueCount="360">
  <si>
    <t>Company Fundamentals - Income Statement</t>
  </si>
  <si>
    <t>Company Name</t>
  </si>
  <si>
    <t>Borregaard ASA (BRGB.OL)</t>
  </si>
  <si>
    <t>Country of Exchange</t>
  </si>
  <si>
    <t>Norway</t>
  </si>
  <si>
    <t>Country of Headquarters</t>
  </si>
  <si>
    <t>TRBC Industry Group</t>
  </si>
  <si>
    <t>Chemicals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</si>
  <si>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</si>
  <si>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</si>
  <si>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</si>
  <si>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</si>
  <si>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</si>
  <si>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</si>
  <si>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</si>
  <si>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</si>
  <si>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</si>
  <si>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</si>
  <si>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</si>
  <si>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</si>
  <si>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</si>
  <si>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</si>
  <si>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</si>
  <si>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</si>
  <si>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</si>
  <si>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</si>
  <si>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</si>
  <si>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</si>
  <si>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</si>
  <si>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</si>
  <si>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</si>
  <si>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</si>
  <si>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</si>
  <si>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</si>
  <si>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</si>
  <si>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</si>
  <si>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</si>
  <si>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</si>
  <si>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</si>
  <si>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</si>
  <si>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</si>
  <si>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</si>
  <si>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</si>
  <si>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</si>
  <si>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</si>
  <si>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</si>
  <si>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</si>
  <si>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</si>
  <si>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</si>
  <si>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</si>
  <si>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</si>
  <si>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</si>
  <si>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</si>
  <si>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</si>
  <si>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</si>
  <si>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</si>
  <si>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</si>
  <si>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</si>
  <si>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</si>
  <si>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</si>
  <si>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Operating revenues</t>
  </si>
  <si>
    <t>Other operating revenues</t>
  </si>
  <si>
    <t>Cost of Materials</t>
  </si>
  <si>
    <t>Payroll expenses</t>
  </si>
  <si>
    <t>Management Remuneration</t>
  </si>
  <si>
    <t>Stock-based Compensation in SGA</t>
  </si>
  <si>
    <t>Payroll expenses - Balancing value</t>
  </si>
  <si>
    <t>Operating expenses</t>
  </si>
  <si>
    <t>Other External Expenses - Third Parties</t>
  </si>
  <si>
    <t>Maintenance</t>
  </si>
  <si>
    <t>Rental Expense</t>
  </si>
  <si>
    <t>Other Operating Expense</t>
  </si>
  <si>
    <t>Depreciation</t>
  </si>
  <si>
    <t>Amortisation intangible assets</t>
  </si>
  <si>
    <t>Other income and expenses</t>
  </si>
  <si>
    <t>Gains/Losses on Sale of Tangible and Intangible Fixed Assets</t>
  </si>
  <si>
    <t>Restructuring Charges &amp; Provisions</t>
  </si>
  <si>
    <t>Other Non-recurring Income/Expense - Non-business Activities</t>
  </si>
  <si>
    <t>Other income and expenses - Balancing value</t>
  </si>
  <si>
    <t>Operating profit</t>
  </si>
  <si>
    <t>Operating profi</t>
  </si>
  <si>
    <t>Financial items, net</t>
  </si>
  <si>
    <t>Interest Income</t>
  </si>
  <si>
    <t>Exchange Gains</t>
  </si>
  <si>
    <t>Finance income - Balancing value</t>
  </si>
  <si>
    <t>Finance Income</t>
  </si>
  <si>
    <t>Interest Expense</t>
  </si>
  <si>
    <t>Exchange Losses</t>
  </si>
  <si>
    <t>Other financial items, net</t>
  </si>
  <si>
    <t>Profit/loss from associate company</t>
  </si>
  <si>
    <t>Net financial item</t>
  </si>
  <si>
    <t>Profitbefore taxes</t>
  </si>
  <si>
    <t>Income tax expense</t>
  </si>
  <si>
    <t>Reported Current Tax - Total</t>
  </si>
  <si>
    <t>Current Tax</t>
  </si>
  <si>
    <t>Deferred Tax Expense</t>
  </si>
  <si>
    <t>Current Tax - Domestic</t>
  </si>
  <si>
    <t>Deferred Tax - Domestic</t>
  </si>
  <si>
    <t>Income Taxes - Total</t>
  </si>
  <si>
    <t>Profitfor the period</t>
  </si>
  <si>
    <t>Profit attributable to owners of the parent</t>
  </si>
  <si>
    <t>attributable o non-controlling interests</t>
  </si>
  <si>
    <t>Minority interests</t>
  </si>
  <si>
    <t>Profiattributabletoownersoftheparent</t>
  </si>
  <si>
    <t>Income Available to Com Excl ExtraOrd</t>
  </si>
  <si>
    <t>Actuarial gains and losses (after tax)</t>
  </si>
  <si>
    <t>Changeinhedging-reserveaftertax (cashflow)</t>
  </si>
  <si>
    <t>Profitbefore taxes Income tax expense</t>
  </si>
  <si>
    <t>Translation effects</t>
  </si>
  <si>
    <t>Translation effects joint venture</t>
  </si>
  <si>
    <t>Other Comprehensive Income - Net of Tax - Total</t>
  </si>
  <si>
    <t>Comprehensive income owners of the parent</t>
  </si>
  <si>
    <t>Comprehensive income non-controlling interests</t>
  </si>
  <si>
    <t>The Groups comprehensive income</t>
  </si>
  <si>
    <t>Basic Weighted Average Shares</t>
  </si>
  <si>
    <t>Earnings per share</t>
  </si>
  <si>
    <t>Basic EPS Excluding ExtraOrdinary Items</t>
  </si>
  <si>
    <t>Diluted earnings per share</t>
  </si>
  <si>
    <t>Diluted EPS Excluding ExtraOrd Items</t>
  </si>
  <si>
    <t>Diluted Net Income</t>
  </si>
  <si>
    <t>Diluted Weighted Average Shares</t>
  </si>
  <si>
    <t>Diluted Net Income excluding Extra Items applicable to Common - (Company Level)</t>
  </si>
  <si>
    <t>Rental Expense, Supplemental</t>
  </si>
  <si>
    <t>Amortization of Computer Software - Supplemental</t>
  </si>
  <si>
    <t>Amortization of Capitalized Research &amp; Development Expenses - Supplemental</t>
  </si>
  <si>
    <t>Research &amp; Development Expense - Supplemental</t>
  </si>
  <si>
    <t>Depreciation of Financial Lease Right-of-Use Assets - Supplemental</t>
  </si>
  <si>
    <t>Amortization</t>
  </si>
  <si>
    <t>Interest Expense on Financial Lease Liabilities - Supplemental</t>
  </si>
  <si>
    <t>Short-Term Lease Cost</t>
  </si>
  <si>
    <t>Low-value asset Lease Cost</t>
  </si>
  <si>
    <t>Variable Financial Lease Expenses</t>
  </si>
  <si>
    <t>Stock-Based Compensation, Supplemental</t>
  </si>
  <si>
    <t>Total Depreciation of Fixed Assets</t>
  </si>
  <si>
    <t>Amortization of Intangible Assets excluding Goodwill - Total</t>
  </si>
  <si>
    <t>Total Depreciation &amp; Amortization (Combined)</t>
  </si>
  <si>
    <t>Auditor Fees - Total</t>
  </si>
  <si>
    <t>Audit Fees</t>
  </si>
  <si>
    <t>Audit-related Fees</t>
  </si>
  <si>
    <t>Tax Fees</t>
  </si>
  <si>
    <t>Other Auditor Fees</t>
  </si>
  <si>
    <t>Impairment - Fixed Assets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</si>
  <si>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</si>
  <si>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</si>
  <si>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</si>
  <si>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</si>
  <si>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</si>
  <si>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</si>
  <si>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</si>
  <si>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</si>
  <si>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</si>
  <si>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</si>
  <si>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</si>
  <si>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</si>
  <si>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</si>
  <si>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</si>
  <si>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</si>
  <si>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</si>
  <si>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Receivables</t>
  </si>
  <si>
    <t>Reported Net Trade/Accounts Receivable</t>
  </si>
  <si>
    <t>Receivables, Gross</t>
  </si>
  <si>
    <t>Provision for Debt</t>
  </si>
  <si>
    <t>Current Derivative Financial Instruments - Hedging in Receivables</t>
  </si>
  <si>
    <t>Other Receivables</t>
  </si>
  <si>
    <t>Advances</t>
  </si>
  <si>
    <t>Income Tax - Receivables - Short-Term</t>
  </si>
  <si>
    <t>Cash and cash deposits</t>
  </si>
  <si>
    <t>Cash at Bank</t>
  </si>
  <si>
    <t>Inventories</t>
  </si>
  <si>
    <t>Raw Materials</t>
  </si>
  <si>
    <t>Work in Progress</t>
  </si>
  <si>
    <t>Finished Goods</t>
  </si>
  <si>
    <t>Current Assets</t>
  </si>
  <si>
    <t>Intangible assets</t>
  </si>
  <si>
    <t>Research &amp; Development Costs, Gross</t>
  </si>
  <si>
    <t>Acc Amort Research &amp; Development Costs</t>
  </si>
  <si>
    <t>Computer Software, Gross</t>
  </si>
  <si>
    <t>Acc Amort Computer Software</t>
  </si>
  <si>
    <t>Computer Software, Net - Balancing value</t>
  </si>
  <si>
    <t>Other Intangibles, Gross</t>
  </si>
  <si>
    <t>Acc Amort Other Intangibles</t>
  </si>
  <si>
    <t>Goodwill, Gross</t>
  </si>
  <si>
    <t>Acc Amort Goodwill</t>
  </si>
  <si>
    <t>Goodwill, Net - Balancing value</t>
  </si>
  <si>
    <t>Intangible assets - Balancing value</t>
  </si>
  <si>
    <t>Acc Amort/Imp Intangible Assets</t>
  </si>
  <si>
    <t>Other Assets</t>
  </si>
  <si>
    <t>Non-current Loans/Notes Receivables, Net</t>
  </si>
  <si>
    <t>Derivative Financial Instruments - Hedging - Long-Term</t>
  </si>
  <si>
    <t>Accumulated Intangible Amort, Suppl.</t>
  </si>
  <si>
    <t>Property, plant and equipment</t>
  </si>
  <si>
    <t>Land &amp; Buildings, Gross</t>
  </si>
  <si>
    <t>Acc Depr Land &amp; Buildings</t>
  </si>
  <si>
    <t>Machinery, Gross</t>
  </si>
  <si>
    <t>Acc Depr Plant &amp; Machinery</t>
  </si>
  <si>
    <t>Plant/Machinery, Net - Balancing value</t>
  </si>
  <si>
    <t>Construction in Progress</t>
  </si>
  <si>
    <t>Acc Depr Construction in Progress</t>
  </si>
  <si>
    <t>Other Tangible Fixed Assets, Gross</t>
  </si>
  <si>
    <t>Acc Depr Other Tangible Fixed Assets</t>
  </si>
  <si>
    <t>Total Property/Plant/Equipment, Gross</t>
  </si>
  <si>
    <t>Vehicles</t>
  </si>
  <si>
    <t>Right-of-use assets</t>
  </si>
  <si>
    <t>Deferred Tax Assets</t>
  </si>
  <si>
    <t>Derivatives</t>
  </si>
  <si>
    <t>Long-Term Receivables</t>
  </si>
  <si>
    <t>Pension Plan Assets</t>
  </si>
  <si>
    <t>Investmentsinjointventure/associatecompanies</t>
  </si>
  <si>
    <t>Non-current assets</t>
  </si>
  <si>
    <t>Total Assets</t>
  </si>
  <si>
    <t>Interest-Bearing Liabilities</t>
  </si>
  <si>
    <t>Current Portion of Long-Term Debt excluding Capitalized Leases</t>
  </si>
  <si>
    <t>Capitalized Leases - Current Portion</t>
  </si>
  <si>
    <t>Income tax payable</t>
  </si>
  <si>
    <t>Other Liabilities</t>
  </si>
  <si>
    <t>Accounts Payable</t>
  </si>
  <si>
    <t>Accruals</t>
  </si>
  <si>
    <t>Accrued Payroll</t>
  </si>
  <si>
    <t>Other current liabilities</t>
  </si>
  <si>
    <t>Current Derivative Liabilities - Hedging</t>
  </si>
  <si>
    <t>Current liabilities</t>
  </si>
  <si>
    <t>Interest-Bearing Liabilities (Do not use)</t>
  </si>
  <si>
    <t>Long-Term Debt excluding Capitalized Leases</t>
  </si>
  <si>
    <t>Capitalized Lease Obligations - Long-Term</t>
  </si>
  <si>
    <t>Deferred tax</t>
  </si>
  <si>
    <t>Provisions and other liabilities</t>
  </si>
  <si>
    <t>Pension Liabilities</t>
  </si>
  <si>
    <t>Derivative Liabilities - Hedging</t>
  </si>
  <si>
    <t>Provisions and other liabilities - Balancing value</t>
  </si>
  <si>
    <t>Other Provisions - Other than Pension/Post Retirement</t>
  </si>
  <si>
    <t>Non-current liabilities</t>
  </si>
  <si>
    <t>Total Debt &amp; Liabilities (Current &amp; Non-current)</t>
  </si>
  <si>
    <t>Group equity</t>
  </si>
  <si>
    <t>Issued and Paid - Common Stock</t>
  </si>
  <si>
    <t>Share premium</t>
  </si>
  <si>
    <t>Additional Paid in Capital</t>
  </si>
  <si>
    <t>Retained Earnings</t>
  </si>
  <si>
    <t>Hedging Reserves</t>
  </si>
  <si>
    <t>Accumulated Foreign Currency Translation Adjustment</t>
  </si>
  <si>
    <t>Actuarial gains/losses</t>
  </si>
  <si>
    <t>Other Retained Earnings</t>
  </si>
  <si>
    <t>Non-controlling interests</t>
  </si>
  <si>
    <t>Minority Interest</t>
  </si>
  <si>
    <t>Equity</t>
  </si>
  <si>
    <t>Equity and liabilites</t>
  </si>
  <si>
    <t>Common Shares Issued - (Company Level)</t>
  </si>
  <si>
    <t>Total Common Shares Outstanding</t>
  </si>
  <si>
    <t>Common Shares Treasury - (Company Level)</t>
  </si>
  <si>
    <t>Reported Total LT Debt, Supplemental</t>
  </si>
  <si>
    <t>Long Term Debt Maturing within 1 Year</t>
  </si>
  <si>
    <t>Long Term Debt Maturing in Year 3</t>
  </si>
  <si>
    <t>Long Term Debt Maturing in Year 5</t>
  </si>
  <si>
    <t>Long Term Debt Maturing in Year 7</t>
  </si>
  <si>
    <t>Long Term Debt - Remaining Maturities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</si>
  <si>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</si>
  <si>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</si>
  <si>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</si>
  <si>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</si>
  <si>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</si>
  <si>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</si>
  <si>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Due in Year 7</t>
  </si>
  <si>
    <t>Capital Lease Maturities - Remaining Maturities</t>
  </si>
  <si>
    <t>S/O-Ordinary Shares</t>
  </si>
  <si>
    <t>Common Shares Issued - (Instrument Level)</t>
  </si>
  <si>
    <t>Common Shares Treasury - (Instrument Level)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</si>
  <si>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</si>
  <si>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</si>
  <si>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</si>
  <si>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</si>
  <si>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</si>
  <si>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</si>
  <si>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</si>
  <si>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</si>
  <si>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</si>
  <si>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</si>
  <si>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</si>
  <si>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</si>
  <si>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</si>
  <si>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Profibeforetaxes</t>
  </si>
  <si>
    <t>Amortisation, depreciation and impairment charges</t>
  </si>
  <si>
    <t>Depreciation &amp; Amortization</t>
  </si>
  <si>
    <t>Changes in net working capital, etc</t>
  </si>
  <si>
    <t>Investments in Joint Venture</t>
  </si>
  <si>
    <t>Taxes Paid</t>
  </si>
  <si>
    <t>fom operating activities</t>
  </si>
  <si>
    <t>equipment</t>
  </si>
  <si>
    <t>Other Capital Transactions</t>
  </si>
  <si>
    <t>Investments in associate companies</t>
  </si>
  <si>
    <t>fom investing activities</t>
  </si>
  <si>
    <t>Dividends Paid before IPO</t>
  </si>
  <si>
    <t>Net paid to/from shareholders</t>
  </si>
  <si>
    <t>Dividends</t>
  </si>
  <si>
    <t>Proceedsfromexerciseofoptions/sharesto</t>
  </si>
  <si>
    <t>Buy-back of treasury shares</t>
  </si>
  <si>
    <t>Gain/ (loss)onhedgesfornetinvestmentsin</t>
  </si>
  <si>
    <t>Change in net interest-bearing liabilities</t>
  </si>
  <si>
    <t>Proceeds from interest-bearing liabilities</t>
  </si>
  <si>
    <t>Repayment from interest-bearing liabilities</t>
  </si>
  <si>
    <t>Changeininterest-bearingliabilities/otherinstruments</t>
  </si>
  <si>
    <t>Dividends/Group contributions paid</t>
  </si>
  <si>
    <t>Balancing Item - Financing</t>
  </si>
  <si>
    <t>Cash flow fom financing activitie</t>
  </si>
  <si>
    <t>Currency effects cash and cash equivalents</t>
  </si>
  <si>
    <t>Cash and cash equivalents at beginning of period</t>
  </si>
  <si>
    <t>Cash and cash equivalents at the close of the period</t>
  </si>
  <si>
    <t>Change in cash and cash equivalents</t>
  </si>
  <si>
    <t>Net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</si>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</sst>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46075.7812003819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41090.0</v>
      </c>
      <c r="Q13" s="9">
        <v>41090.0</v>
      </c>
      <c r="R13" s="9">
        <v>41090.0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  <c r="R15" s="10" t="s">
        <v>40</v>
      </c>
    </row>
    <row r="17">
      <c r="A17" s="11" t="s">
        <v>41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>
      <c r="A18" s="11" t="s">
        <v>42</v>
      </c>
      <c r="B18" s="12" t="s">
        <v>43</v>
      </c>
      <c r="C18" s="12" t="s">
        <v>44</v>
      </c>
      <c r="D18" s="12" t="s">
        <v>45</v>
      </c>
      <c r="E18" s="12" t="s">
        <v>46</v>
      </c>
      <c r="F18" s="12" t="s">
        <v>47</v>
      </c>
      <c r="G18" s="12" t="s">
        <v>48</v>
      </c>
      <c r="H18" s="12" t="s">
        <v>49</v>
      </c>
      <c r="I18" s="12" t="s">
        <v>50</v>
      </c>
      <c r="J18" s="12" t="s">
        <v>51</v>
      </c>
      <c r="K18" s="12" t="s">
        <v>52</v>
      </c>
      <c r="L18" s="12" t="s">
        <v>53</v>
      </c>
      <c r="M18" s="12" t="s">
        <v>54</v>
      </c>
      <c r="N18" s="12" t="s">
        <v>55</v>
      </c>
      <c r="O18" s="12" t="s">
        <v>56</v>
      </c>
      <c r="P18" s="12" t="s">
        <v>57</v>
      </c>
      <c r="Q18" s="12" t="s">
        <v>58</v>
      </c>
      <c r="R18" s="12" t="s">
        <v>59</v>
      </c>
    </row>
    <row r="19" ht="15.0" customHeight="1">
      <c r="A19" s="13" t="s">
        <v>60</v>
      </c>
      <c r="B19" s="14">
        <v>7713.0</v>
      </c>
      <c r="C19" s="14">
        <v>7502.0</v>
      </c>
      <c r="D19" s="14">
        <v>7024.0</v>
      </c>
      <c r="E19" s="14">
        <v>6776.0</v>
      </c>
      <c r="F19" s="14">
        <v>5715.0</v>
      </c>
      <c r="G19" s="14">
        <v>5227.0</v>
      </c>
      <c r="H19" s="14">
        <v>4951.0</v>
      </c>
      <c r="I19" s="14">
        <v>4705.0</v>
      </c>
      <c r="J19" s="14">
        <v>4522.0</v>
      </c>
      <c r="K19" s="14">
        <v>4391.0</v>
      </c>
      <c r="L19" s="14">
        <v>4075.0</v>
      </c>
      <c r="M19" s="14">
        <v>3848.0</v>
      </c>
      <c r="N19" s="14">
        <v>3822.0</v>
      </c>
      <c r="O19" s="14">
        <v>3894.0</v>
      </c>
      <c r="P19" s="14">
        <v>3810.0</v>
      </c>
      <c r="Q19" s="14">
        <v>3419.0</v>
      </c>
      <c r="R19" s="14">
        <v>3338.0</v>
      </c>
    </row>
    <row r="20" ht="15.0" customHeight="1">
      <c r="A20" s="13" t="s">
        <v>61</v>
      </c>
      <c r="B20" s="15"/>
      <c r="C20" s="14">
        <v>115.0</v>
      </c>
      <c r="D20" s="14">
        <v>108.0</v>
      </c>
      <c r="E20" s="14">
        <v>105.0</v>
      </c>
      <c r="F20" s="16">
        <v>90.0</v>
      </c>
      <c r="G20" s="14">
        <v>101.0</v>
      </c>
      <c r="H20" s="14">
        <v>112.0</v>
      </c>
      <c r="I20" s="16">
        <v>80.0</v>
      </c>
      <c r="J20" s="16">
        <v>96.0</v>
      </c>
      <c r="K20" s="14">
        <v>101.0</v>
      </c>
      <c r="L20" s="16">
        <v>89.0</v>
      </c>
      <c r="M20" s="16">
        <v>91.0</v>
      </c>
      <c r="N20" s="16">
        <v>64.0</v>
      </c>
      <c r="O20" s="16">
        <v>47.0</v>
      </c>
      <c r="P20" s="16">
        <v>44.0</v>
      </c>
      <c r="Q20" s="16">
        <v>42.0</v>
      </c>
      <c r="R20" s="16">
        <v>44.0</v>
      </c>
    </row>
    <row r="21" ht="15.0" customHeight="1">
      <c r="A21" s="17" t="s">
        <v>60</v>
      </c>
      <c r="B21" s="18">
        <v>7713.0</v>
      </c>
      <c r="C21" s="18">
        <v>7617.0</v>
      </c>
      <c r="D21" s="18">
        <v>7132.0</v>
      </c>
      <c r="E21" s="18">
        <v>6881.0</v>
      </c>
      <c r="F21" s="18">
        <v>5805.0</v>
      </c>
      <c r="G21" s="18">
        <v>5328.0</v>
      </c>
      <c r="H21" s="18">
        <v>5063.0</v>
      </c>
      <c r="I21" s="18">
        <v>4785.0</v>
      </c>
      <c r="J21" s="18">
        <v>4618.0</v>
      </c>
      <c r="K21" s="18">
        <v>4492.0</v>
      </c>
      <c r="L21" s="18">
        <v>4164.0</v>
      </c>
      <c r="M21" s="18">
        <v>3939.0</v>
      </c>
      <c r="N21" s="18">
        <v>3886.0</v>
      </c>
      <c r="O21" s="18">
        <v>3941.0</v>
      </c>
      <c r="P21" s="18">
        <v>3854.0</v>
      </c>
      <c r="Q21" s="18">
        <v>3461.0</v>
      </c>
      <c r="R21" s="18">
        <v>3382.0</v>
      </c>
    </row>
    <row r="22" ht="15.0" customHeight="1">
      <c r="A22" s="13" t="s">
        <v>62</v>
      </c>
      <c r="B22" s="15"/>
      <c r="C22" s="14">
        <v>2732.0</v>
      </c>
      <c r="D22" s="14">
        <v>2545.0</v>
      </c>
      <c r="E22" s="14">
        <v>2628.0</v>
      </c>
      <c r="F22" s="14">
        <v>2152.0</v>
      </c>
      <c r="G22" s="14">
        <v>1921.0</v>
      </c>
      <c r="H22" s="14">
        <v>1890.0</v>
      </c>
      <c r="I22" s="14">
        <v>1843.0</v>
      </c>
      <c r="J22" s="14">
        <v>1681.0</v>
      </c>
      <c r="K22" s="14">
        <v>1686.0</v>
      </c>
      <c r="L22" s="14">
        <v>1671.0</v>
      </c>
      <c r="M22" s="14">
        <v>1614.0</v>
      </c>
      <c r="N22" s="14">
        <v>1638.0</v>
      </c>
      <c r="O22" s="14">
        <v>1666.0</v>
      </c>
      <c r="P22" s="14">
        <v>1605.0</v>
      </c>
      <c r="Q22" s="14">
        <v>1524.0</v>
      </c>
      <c r="R22" s="14">
        <v>1532.0</v>
      </c>
    </row>
    <row r="23" ht="15.0" customHeight="1">
      <c r="A23" s="13" t="s">
        <v>63</v>
      </c>
      <c r="B23" s="15"/>
      <c r="C23" s="14">
        <v>1388.0</v>
      </c>
      <c r="D23" s="14">
        <v>1304.0</v>
      </c>
      <c r="E23" s="14">
        <v>1170.0</v>
      </c>
      <c r="F23" s="14">
        <v>1114.0</v>
      </c>
      <c r="G23" s="14">
        <v>1086.0</v>
      </c>
      <c r="H23" s="14">
        <v>1025.0</v>
      </c>
      <c r="I23" s="14">
        <v>978.0</v>
      </c>
      <c r="J23" s="14">
        <v>928.0</v>
      </c>
      <c r="K23" s="14">
        <v>884.0</v>
      </c>
      <c r="L23" s="14">
        <v>825.0</v>
      </c>
      <c r="M23" s="14">
        <v>763.0</v>
      </c>
      <c r="N23" s="14">
        <v>739.0</v>
      </c>
      <c r="O23" s="14">
        <v>697.0</v>
      </c>
      <c r="P23" s="14">
        <v>699.0</v>
      </c>
      <c r="Q23" s="14">
        <v>674.0</v>
      </c>
      <c r="R23" s="14">
        <v>665.0</v>
      </c>
    </row>
    <row r="24" ht="15.0" customHeight="1">
      <c r="A24" s="13" t="s">
        <v>64</v>
      </c>
      <c r="B24" s="15"/>
      <c r="C24" s="16">
        <v>4.0</v>
      </c>
      <c r="D24" s="16">
        <v>4.0</v>
      </c>
      <c r="E24" s="16">
        <v>3.0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ht="15.0" customHeight="1">
      <c r="A25" s="13" t="s">
        <v>65</v>
      </c>
      <c r="B25" s="15"/>
      <c r="C25" s="16">
        <v>20.0</v>
      </c>
      <c r="D25" s="16">
        <v>17.0</v>
      </c>
      <c r="E25" s="16">
        <v>17.0</v>
      </c>
      <c r="F25" s="16">
        <v>15.0</v>
      </c>
      <c r="G25" s="16">
        <v>15.0</v>
      </c>
      <c r="H25" s="16">
        <v>13.0</v>
      </c>
      <c r="I25" s="16">
        <v>12.0</v>
      </c>
      <c r="J25" s="16">
        <v>10.0</v>
      </c>
      <c r="K25" s="16">
        <v>4.0</v>
      </c>
      <c r="L25" s="16">
        <v>5.0</v>
      </c>
      <c r="M25" s="16">
        <v>3.0</v>
      </c>
      <c r="N25" s="16">
        <v>8.0</v>
      </c>
      <c r="O25" s="15"/>
      <c r="P25" s="15"/>
      <c r="Q25" s="15"/>
      <c r="R25" s="15"/>
    </row>
    <row r="26" ht="15.0" customHeight="1">
      <c r="A26" s="13" t="s">
        <v>66</v>
      </c>
      <c r="B26" s="15"/>
      <c r="C26" s="14">
        <v>1364.0</v>
      </c>
      <c r="D26" s="14">
        <v>1283.0</v>
      </c>
      <c r="E26" s="14">
        <v>1150.0</v>
      </c>
      <c r="F26" s="14">
        <v>1099.0</v>
      </c>
      <c r="G26" s="14">
        <v>1071.0</v>
      </c>
      <c r="H26" s="14">
        <v>1012.0</v>
      </c>
      <c r="I26" s="14">
        <v>966.0</v>
      </c>
      <c r="J26" s="14">
        <v>918.0</v>
      </c>
      <c r="K26" s="14">
        <v>880.0</v>
      </c>
      <c r="L26" s="14">
        <v>820.0</v>
      </c>
      <c r="M26" s="14">
        <v>760.0</v>
      </c>
      <c r="N26" s="14">
        <v>731.0</v>
      </c>
      <c r="O26" s="15"/>
      <c r="P26" s="15"/>
      <c r="Q26" s="15"/>
      <c r="R26" s="15"/>
    </row>
    <row r="27" ht="15.0" customHeight="1">
      <c r="A27" s="13" t="s">
        <v>67</v>
      </c>
      <c r="B27" s="14">
        <v>5835.0</v>
      </c>
      <c r="C27" s="14">
        <v>1623.0</v>
      </c>
      <c r="D27" s="14">
        <v>1502.0</v>
      </c>
      <c r="E27" s="14">
        <v>1440.0</v>
      </c>
      <c r="F27" s="14">
        <v>1167.0</v>
      </c>
      <c r="G27" s="14">
        <v>1189.0</v>
      </c>
      <c r="H27" s="14">
        <v>1141.0</v>
      </c>
      <c r="I27" s="14">
        <v>1061.0</v>
      </c>
      <c r="J27" s="14">
        <v>954.0</v>
      </c>
      <c r="K27" s="14">
        <v>901.0</v>
      </c>
      <c r="L27" s="14">
        <v>910.0</v>
      </c>
      <c r="M27" s="14">
        <v>832.0</v>
      </c>
      <c r="N27" s="14">
        <v>799.0</v>
      </c>
      <c r="O27" s="14">
        <v>814.0</v>
      </c>
      <c r="P27" s="14">
        <v>815.0</v>
      </c>
      <c r="Q27" s="14">
        <v>774.0</v>
      </c>
      <c r="R27" s="14">
        <v>722.0</v>
      </c>
    </row>
    <row r="28" ht="15.0" customHeight="1">
      <c r="A28" s="13" t="s">
        <v>68</v>
      </c>
      <c r="B28" s="15"/>
      <c r="C28" s="14">
        <v>640.0</v>
      </c>
      <c r="D28" s="14">
        <v>628.0</v>
      </c>
      <c r="E28" s="14">
        <v>651.0</v>
      </c>
      <c r="F28" s="14">
        <v>527.0</v>
      </c>
      <c r="G28" s="14">
        <v>537.0</v>
      </c>
      <c r="H28" s="14">
        <v>448.0</v>
      </c>
      <c r="I28" s="14">
        <v>437.0</v>
      </c>
      <c r="J28" s="14">
        <v>388.0</v>
      </c>
      <c r="K28" s="14">
        <v>346.0</v>
      </c>
      <c r="L28" s="14">
        <v>350.0</v>
      </c>
      <c r="M28" s="14">
        <v>308.0</v>
      </c>
      <c r="N28" s="14">
        <v>300.0</v>
      </c>
      <c r="O28" s="14">
        <v>322.0</v>
      </c>
      <c r="P28" s="15"/>
      <c r="Q28" s="15"/>
      <c r="R28" s="15"/>
    </row>
    <row r="29" ht="15.0" customHeight="1">
      <c r="A29" s="13" t="s">
        <v>69</v>
      </c>
      <c r="B29" s="15"/>
      <c r="C29" s="14">
        <v>390.0</v>
      </c>
      <c r="D29" s="14">
        <v>356.0</v>
      </c>
      <c r="E29" s="14">
        <v>313.0</v>
      </c>
      <c r="F29" s="14">
        <v>197.0</v>
      </c>
      <c r="G29" s="14">
        <v>168.0</v>
      </c>
      <c r="H29" s="14">
        <v>187.0</v>
      </c>
      <c r="I29" s="14">
        <v>173.0</v>
      </c>
      <c r="J29" s="14">
        <v>161.0</v>
      </c>
      <c r="K29" s="14">
        <v>155.0</v>
      </c>
      <c r="L29" s="14">
        <v>150.0</v>
      </c>
      <c r="M29" s="14">
        <v>129.0</v>
      </c>
      <c r="N29" s="14">
        <v>123.0</v>
      </c>
      <c r="O29" s="14">
        <v>129.0</v>
      </c>
      <c r="P29" s="15"/>
      <c r="Q29" s="15"/>
      <c r="R29" s="15"/>
    </row>
    <row r="30" ht="15.0" customHeight="1">
      <c r="A30" s="13" t="s">
        <v>70</v>
      </c>
      <c r="B30" s="15"/>
      <c r="C30" s="16">
        <v>53.0</v>
      </c>
      <c r="D30" s="16">
        <v>55.0</v>
      </c>
      <c r="E30" s="16">
        <v>34.0</v>
      </c>
      <c r="F30" s="16">
        <v>44.0</v>
      </c>
      <c r="G30" s="16">
        <v>56.0</v>
      </c>
      <c r="H30" s="16">
        <v>73.0</v>
      </c>
      <c r="I30" s="14">
        <v>105.0</v>
      </c>
      <c r="J30" s="16">
        <v>83.0</v>
      </c>
      <c r="K30" s="16">
        <v>71.0</v>
      </c>
      <c r="L30" s="16">
        <v>62.0</v>
      </c>
      <c r="M30" s="16">
        <v>50.0</v>
      </c>
      <c r="N30" s="16">
        <v>43.0</v>
      </c>
      <c r="O30" s="16">
        <v>42.0</v>
      </c>
      <c r="P30" s="15"/>
      <c r="Q30" s="15"/>
      <c r="R30" s="15"/>
    </row>
    <row r="31" ht="15.0" customHeight="1">
      <c r="A31" s="13" t="s">
        <v>71</v>
      </c>
      <c r="B31" s="15"/>
      <c r="C31" s="14">
        <v>540.0</v>
      </c>
      <c r="D31" s="14">
        <v>463.0</v>
      </c>
      <c r="E31" s="14">
        <v>442.0</v>
      </c>
      <c r="F31" s="14">
        <v>399.0</v>
      </c>
      <c r="G31" s="14">
        <v>428.0</v>
      </c>
      <c r="H31" s="14">
        <v>433.0</v>
      </c>
      <c r="I31" s="14">
        <v>346.0</v>
      </c>
      <c r="J31" s="14">
        <v>322.0</v>
      </c>
      <c r="K31" s="14">
        <v>329.0</v>
      </c>
      <c r="L31" s="14">
        <v>348.0</v>
      </c>
      <c r="M31" s="14">
        <v>345.0</v>
      </c>
      <c r="N31" s="14">
        <v>333.0</v>
      </c>
      <c r="O31" s="14">
        <v>321.0</v>
      </c>
      <c r="P31" s="15"/>
      <c r="Q31" s="15"/>
      <c r="R31" s="15"/>
    </row>
    <row r="32" ht="15.0" customHeight="1">
      <c r="A32" s="13" t="s">
        <v>72</v>
      </c>
      <c r="B32" s="14">
        <v>587.0</v>
      </c>
      <c r="C32" s="14">
        <v>556.0</v>
      </c>
      <c r="D32" s="14">
        <v>485.0</v>
      </c>
      <c r="E32" s="14">
        <v>444.0</v>
      </c>
      <c r="F32" s="14">
        <v>416.0</v>
      </c>
      <c r="G32" s="14">
        <v>443.0</v>
      </c>
      <c r="H32" s="14">
        <v>418.0</v>
      </c>
      <c r="I32" s="14">
        <v>323.0</v>
      </c>
      <c r="J32" s="14">
        <v>306.0</v>
      </c>
      <c r="K32" s="14">
        <v>274.0</v>
      </c>
      <c r="L32" s="14">
        <v>261.0</v>
      </c>
      <c r="M32" s="14">
        <v>244.0</v>
      </c>
      <c r="N32" s="14">
        <v>221.0</v>
      </c>
      <c r="O32" s="14">
        <v>218.0</v>
      </c>
      <c r="P32" s="14">
        <v>199.0</v>
      </c>
      <c r="Q32" s="14">
        <v>200.0</v>
      </c>
      <c r="R32" s="14">
        <v>210.0</v>
      </c>
    </row>
    <row r="33" ht="15.0" customHeight="1">
      <c r="A33" s="13" t="s">
        <v>73</v>
      </c>
      <c r="B33" s="16">
        <v>4.0</v>
      </c>
      <c r="C33" s="16">
        <v>5.0</v>
      </c>
      <c r="D33" s="16">
        <v>5.0</v>
      </c>
      <c r="E33" s="16">
        <v>5.0</v>
      </c>
      <c r="F33" s="16">
        <v>4.0</v>
      </c>
      <c r="G33" s="16">
        <v>5.0</v>
      </c>
      <c r="H33" s="16">
        <v>4.0</v>
      </c>
      <c r="I33" s="16">
        <v>4.0</v>
      </c>
      <c r="J33" s="16">
        <v>4.0</v>
      </c>
      <c r="K33" s="16">
        <v>4.0</v>
      </c>
      <c r="L33" s="16">
        <v>1.0</v>
      </c>
      <c r="M33" s="15">
        <v>0.0</v>
      </c>
      <c r="N33" s="16">
        <v>2.0</v>
      </c>
      <c r="O33" s="16">
        <v>3.0</v>
      </c>
      <c r="P33" s="16">
        <v>6.0</v>
      </c>
      <c r="Q33" s="16">
        <v>6.0</v>
      </c>
      <c r="R33" s="16">
        <v>6.0</v>
      </c>
    </row>
    <row r="34" ht="15.0" customHeight="1">
      <c r="A34" s="13" t="s">
        <v>74</v>
      </c>
      <c r="B34" s="15">
        <v>0.0</v>
      </c>
      <c r="C34" s="16">
        <v>30.0</v>
      </c>
      <c r="D34" s="15">
        <v>0.0</v>
      </c>
      <c r="E34" s="16">
        <v>8.0</v>
      </c>
      <c r="F34" s="15">
        <v>0.0</v>
      </c>
      <c r="G34" s="14">
        <v>116.0</v>
      </c>
      <c r="H34" s="16">
        <v>27.0</v>
      </c>
      <c r="I34" s="15">
        <v>0.0</v>
      </c>
      <c r="J34" s="16">
        <v>9.0</v>
      </c>
      <c r="K34" s="19">
        <v>-13.0</v>
      </c>
      <c r="L34" s="19">
        <v>-37.0</v>
      </c>
      <c r="M34" s="16">
        <v>30.0</v>
      </c>
      <c r="N34" s="19">
        <v>-14.0</v>
      </c>
      <c r="O34" s="16">
        <v>71.0</v>
      </c>
      <c r="P34" s="15">
        <v>0.0</v>
      </c>
      <c r="Q34" s="19">
        <v>-22.0</v>
      </c>
      <c r="R34" s="15">
        <v>0.0</v>
      </c>
    </row>
    <row r="35" ht="15.0" customHeight="1">
      <c r="A35" s="13" t="s">
        <v>75</v>
      </c>
      <c r="B35" s="15"/>
      <c r="C35" s="15"/>
      <c r="D35" s="15">
        <v>0.0</v>
      </c>
      <c r="E35" s="19">
        <v>-12.0</v>
      </c>
      <c r="F35" s="15"/>
      <c r="G35" s="15"/>
      <c r="H35" s="15"/>
      <c r="I35" s="15"/>
      <c r="J35" s="15"/>
      <c r="K35" s="15"/>
      <c r="L35" s="15"/>
      <c r="M35" s="15"/>
      <c r="N35" s="19">
        <v>-23.0</v>
      </c>
      <c r="O35" s="16">
        <v>55.0</v>
      </c>
      <c r="P35" s="15"/>
      <c r="Q35" s="15"/>
      <c r="R35" s="15"/>
    </row>
    <row r="36" ht="15.0" customHeight="1">
      <c r="A36" s="13" t="s">
        <v>76</v>
      </c>
      <c r="B36" s="15"/>
      <c r="C36" s="15"/>
      <c r="D36" s="15"/>
      <c r="E36" s="15"/>
      <c r="F36" s="15">
        <v>0.0</v>
      </c>
      <c r="G36" s="16">
        <v>86.0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ht="15.0" customHeight="1">
      <c r="A37" s="13" t="s">
        <v>77</v>
      </c>
      <c r="B37" s="15"/>
      <c r="C37" s="16">
        <v>30.0</v>
      </c>
      <c r="D37" s="15">
        <v>0.0</v>
      </c>
      <c r="E37" s="16">
        <v>20.0</v>
      </c>
      <c r="F37" s="15">
        <v>0.0</v>
      </c>
      <c r="G37" s="16">
        <v>30.0</v>
      </c>
      <c r="H37" s="15"/>
      <c r="I37" s="15">
        <v>0.0</v>
      </c>
      <c r="J37" s="16">
        <v>9.0</v>
      </c>
      <c r="K37" s="19">
        <v>-13.0</v>
      </c>
      <c r="L37" s="19">
        <v>-37.0</v>
      </c>
      <c r="M37" s="16">
        <v>30.0</v>
      </c>
      <c r="N37" s="16">
        <v>9.0</v>
      </c>
      <c r="O37" s="15"/>
      <c r="P37" s="15"/>
      <c r="Q37" s="15"/>
      <c r="R37" s="15"/>
    </row>
    <row r="38" ht="15.0" customHeight="1">
      <c r="A38" s="13" t="s">
        <v>78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6">
        <v>16.0</v>
      </c>
      <c r="P38" s="15"/>
      <c r="Q38" s="15"/>
      <c r="R38" s="15"/>
    </row>
    <row r="39" ht="15.0" customHeight="1">
      <c r="A39" s="17" t="s">
        <v>79</v>
      </c>
      <c r="B39" s="18">
        <v>6426.0</v>
      </c>
      <c r="C39" s="18">
        <v>6334.0</v>
      </c>
      <c r="D39" s="18">
        <v>5841.0</v>
      </c>
      <c r="E39" s="18">
        <v>5695.0</v>
      </c>
      <c r="F39" s="18">
        <v>4853.0</v>
      </c>
      <c r="G39" s="18">
        <v>4760.0</v>
      </c>
      <c r="H39" s="18">
        <v>4505.0</v>
      </c>
      <c r="I39" s="18">
        <v>4209.0</v>
      </c>
      <c r="J39" s="18">
        <v>3882.0</v>
      </c>
      <c r="K39" s="18">
        <v>3736.0</v>
      </c>
      <c r="L39" s="18">
        <v>3631.0</v>
      </c>
      <c r="M39" s="18">
        <v>3483.0</v>
      </c>
      <c r="N39" s="18">
        <v>3385.0</v>
      </c>
      <c r="O39" s="18">
        <v>3469.0</v>
      </c>
      <c r="P39" s="18">
        <v>3324.0</v>
      </c>
      <c r="Q39" s="18">
        <v>3156.0</v>
      </c>
      <c r="R39" s="18">
        <v>3135.0</v>
      </c>
    </row>
    <row r="40" ht="15.0" customHeight="1">
      <c r="A40" s="17" t="s">
        <v>80</v>
      </c>
      <c r="B40" s="18">
        <v>1287.0</v>
      </c>
      <c r="C40" s="18">
        <v>1283.0</v>
      </c>
      <c r="D40" s="18">
        <v>1291.0</v>
      </c>
      <c r="E40" s="18">
        <v>1186.0</v>
      </c>
      <c r="F40" s="18">
        <v>952.0</v>
      </c>
      <c r="G40" s="18">
        <v>568.0</v>
      </c>
      <c r="H40" s="18">
        <v>558.0</v>
      </c>
      <c r="I40" s="18">
        <v>576.0</v>
      </c>
      <c r="J40" s="18">
        <v>736.0</v>
      </c>
      <c r="K40" s="18">
        <v>756.0</v>
      </c>
      <c r="L40" s="18">
        <v>533.0</v>
      </c>
      <c r="M40" s="18">
        <v>456.0</v>
      </c>
      <c r="N40" s="18">
        <v>501.0</v>
      </c>
      <c r="O40" s="18">
        <v>472.0</v>
      </c>
      <c r="P40" s="18">
        <v>530.0</v>
      </c>
      <c r="Q40" s="18">
        <v>305.0</v>
      </c>
      <c r="R40" s="18">
        <v>247.0</v>
      </c>
    </row>
    <row r="41" ht="15.0" customHeight="1">
      <c r="A41" s="13" t="s">
        <v>81</v>
      </c>
      <c r="B41" s="20">
        <v>-423.0</v>
      </c>
      <c r="C41" s="20">
        <v>-204.0</v>
      </c>
      <c r="D41" s="20">
        <v>-167.0</v>
      </c>
      <c r="E41" s="19">
        <v>-68.0</v>
      </c>
      <c r="F41" s="19">
        <v>-79.0</v>
      </c>
      <c r="G41" s="19">
        <v>-72.0</v>
      </c>
      <c r="H41" s="19">
        <v>-91.0</v>
      </c>
      <c r="I41" s="19">
        <v>-14.0</v>
      </c>
      <c r="J41" s="19">
        <v>-21.0</v>
      </c>
      <c r="K41" s="19">
        <v>-32.0</v>
      </c>
      <c r="L41" s="19">
        <v>-27.0</v>
      </c>
      <c r="M41" s="19">
        <v>-26.0</v>
      </c>
      <c r="N41" s="19">
        <v>-41.0</v>
      </c>
      <c r="O41" s="19">
        <v>-52.0</v>
      </c>
      <c r="P41" s="15"/>
      <c r="Q41" s="15"/>
      <c r="R41" s="15"/>
    </row>
    <row r="42" ht="15.0" customHeight="1">
      <c r="A42" s="13" t="s">
        <v>82</v>
      </c>
      <c r="B42" s="15"/>
      <c r="C42" s="16">
        <v>33.0</v>
      </c>
      <c r="D42" s="16">
        <v>30.0</v>
      </c>
      <c r="E42" s="16">
        <v>12.0</v>
      </c>
      <c r="F42" s="16">
        <v>3.0</v>
      </c>
      <c r="G42" s="16">
        <v>3.0</v>
      </c>
      <c r="H42" s="16">
        <v>8.0</v>
      </c>
      <c r="I42" s="16">
        <v>4.0</v>
      </c>
      <c r="J42" s="16">
        <v>3.0</v>
      </c>
      <c r="K42" s="16">
        <v>4.0</v>
      </c>
      <c r="L42" s="16">
        <v>5.0</v>
      </c>
      <c r="M42" s="16">
        <v>5.0</v>
      </c>
      <c r="N42" s="16">
        <v>8.0</v>
      </c>
      <c r="O42" s="16">
        <v>11.0</v>
      </c>
      <c r="P42" s="16">
        <v>15.0</v>
      </c>
      <c r="Q42" s="16">
        <v>11.0</v>
      </c>
      <c r="R42" s="16">
        <v>12.0</v>
      </c>
    </row>
    <row r="43" ht="15.0" customHeight="1">
      <c r="A43" s="13" t="s">
        <v>83</v>
      </c>
      <c r="B43" s="15"/>
      <c r="C43" s="14">
        <v>332.0</v>
      </c>
      <c r="D43" s="14">
        <v>374.0</v>
      </c>
      <c r="E43" s="14">
        <v>326.0</v>
      </c>
      <c r="F43" s="14">
        <v>226.0</v>
      </c>
      <c r="G43" s="14">
        <v>518.0</v>
      </c>
      <c r="H43" s="14">
        <v>269.0</v>
      </c>
      <c r="I43" s="14">
        <v>287.0</v>
      </c>
      <c r="J43" s="14">
        <v>196.0</v>
      </c>
      <c r="K43" s="14">
        <v>127.0</v>
      </c>
      <c r="L43" s="14">
        <v>247.0</v>
      </c>
      <c r="M43" s="14">
        <v>193.0</v>
      </c>
      <c r="N43" s="14">
        <v>148.0</v>
      </c>
      <c r="O43" s="14">
        <v>150.0</v>
      </c>
      <c r="P43" s="14">
        <v>144.0</v>
      </c>
      <c r="Q43" s="14">
        <v>159.0</v>
      </c>
      <c r="R43" s="14">
        <v>147.0</v>
      </c>
    </row>
    <row r="44" ht="15.0" customHeight="1">
      <c r="A44" s="13" t="s">
        <v>84</v>
      </c>
      <c r="B44" s="15"/>
      <c r="C44" s="15"/>
      <c r="D44" s="15"/>
      <c r="E44" s="15"/>
      <c r="F44" s="15"/>
      <c r="G44" s="15"/>
      <c r="H44" s="15"/>
      <c r="I44" s="16">
        <v>22.0</v>
      </c>
      <c r="J44" s="15"/>
      <c r="K44" s="15"/>
      <c r="L44" s="15"/>
      <c r="M44" s="15"/>
      <c r="N44" s="15"/>
      <c r="O44" s="15"/>
      <c r="P44" s="15"/>
      <c r="Q44" s="15"/>
      <c r="R44" s="15"/>
    </row>
    <row r="45" ht="15.0" customHeight="1">
      <c r="A45" s="13" t="s">
        <v>85</v>
      </c>
      <c r="B45" s="15"/>
      <c r="C45" s="16">
        <v>1.0</v>
      </c>
      <c r="D45" s="16">
        <v>5.0</v>
      </c>
      <c r="E45" s="16">
        <v>7.0</v>
      </c>
      <c r="F45" s="15"/>
      <c r="G45" s="15"/>
      <c r="H45" s="15"/>
      <c r="I45" s="15"/>
      <c r="J45" s="15"/>
      <c r="K45" s="15"/>
      <c r="L45" s="15"/>
      <c r="M45" s="15"/>
      <c r="N45" s="15"/>
      <c r="O45" s="16">
        <v>2.0</v>
      </c>
      <c r="P45" s="16">
        <v>1.0</v>
      </c>
      <c r="Q45" s="16">
        <v>1.0</v>
      </c>
      <c r="R45" s="16">
        <v>2.0</v>
      </c>
    </row>
    <row r="46" ht="15.0" customHeight="1">
      <c r="A46" s="13" t="s">
        <v>86</v>
      </c>
      <c r="B46" s="15"/>
      <c r="C46" s="20">
        <v>-193.0</v>
      </c>
      <c r="D46" s="20">
        <v>-171.0</v>
      </c>
      <c r="E46" s="19">
        <v>-88.0</v>
      </c>
      <c r="F46" s="19">
        <v>-62.0</v>
      </c>
      <c r="G46" s="19">
        <v>-79.0</v>
      </c>
      <c r="H46" s="19">
        <v>-77.0</v>
      </c>
      <c r="I46" s="19">
        <v>-36.0</v>
      </c>
      <c r="J46" s="19">
        <v>-21.0</v>
      </c>
      <c r="K46" s="19">
        <v>-22.0</v>
      </c>
      <c r="L46" s="19">
        <v>-27.0</v>
      </c>
      <c r="M46" s="19">
        <v>-33.0</v>
      </c>
      <c r="N46" s="19">
        <v>-42.0</v>
      </c>
      <c r="O46" s="19">
        <v>-71.0</v>
      </c>
      <c r="P46" s="19">
        <v>-84.0</v>
      </c>
      <c r="Q46" s="19">
        <v>-54.0</v>
      </c>
      <c r="R46" s="19">
        <v>-58.0</v>
      </c>
    </row>
    <row r="47" ht="15.0" customHeight="1">
      <c r="A47" s="13" t="s">
        <v>87</v>
      </c>
      <c r="B47" s="15"/>
      <c r="C47" s="20">
        <v>-349.0</v>
      </c>
      <c r="D47" s="20">
        <v>-389.0</v>
      </c>
      <c r="E47" s="20">
        <v>-320.0</v>
      </c>
      <c r="F47" s="20">
        <v>-234.0</v>
      </c>
      <c r="G47" s="20">
        <v>-511.0</v>
      </c>
      <c r="H47" s="20">
        <v>-281.0</v>
      </c>
      <c r="I47" s="20">
        <v>-290.0</v>
      </c>
      <c r="J47" s="20">
        <v>-191.0</v>
      </c>
      <c r="K47" s="20">
        <v>-134.0</v>
      </c>
      <c r="L47" s="20">
        <v>-249.0</v>
      </c>
      <c r="M47" s="20">
        <v>-189.0</v>
      </c>
      <c r="N47" s="20">
        <v>-152.0</v>
      </c>
      <c r="O47" s="20">
        <v>-143.0</v>
      </c>
      <c r="P47" s="20">
        <v>-150.0</v>
      </c>
      <c r="Q47" s="20">
        <v>-161.0</v>
      </c>
      <c r="R47" s="20">
        <v>-138.0</v>
      </c>
    </row>
    <row r="48" ht="15.0" customHeight="1">
      <c r="A48" s="13" t="s">
        <v>88</v>
      </c>
      <c r="B48" s="15"/>
      <c r="C48" s="19">
        <v>-6.0</v>
      </c>
      <c r="D48" s="19">
        <v>-7.0</v>
      </c>
      <c r="E48" s="19">
        <v>-2.0</v>
      </c>
      <c r="F48" s="19">
        <v>-10.0</v>
      </c>
      <c r="G48" s="19">
        <v>-3.0</v>
      </c>
      <c r="H48" s="19">
        <v>-10.0</v>
      </c>
      <c r="I48" s="19">
        <v>-1.0</v>
      </c>
      <c r="J48" s="19">
        <v>-8.0</v>
      </c>
      <c r="K48" s="19">
        <v>-7.0</v>
      </c>
      <c r="L48" s="19">
        <v>-3.0</v>
      </c>
      <c r="M48" s="19">
        <v>-2.0</v>
      </c>
      <c r="N48" s="19">
        <v>-3.0</v>
      </c>
      <c r="O48" s="19">
        <v>-1.0</v>
      </c>
      <c r="P48" s="19">
        <v>-1.0</v>
      </c>
      <c r="Q48" s="19">
        <v>-1.0</v>
      </c>
      <c r="R48" s="19">
        <v>-1.0</v>
      </c>
    </row>
    <row r="49" ht="15.0" customHeight="1">
      <c r="A49" s="13" t="s">
        <v>89</v>
      </c>
      <c r="B49" s="15"/>
      <c r="C49" s="19">
        <v>-22.0</v>
      </c>
      <c r="D49" s="19">
        <v>-9.0</v>
      </c>
      <c r="E49" s="19">
        <v>-3.0</v>
      </c>
      <c r="F49" s="19">
        <v>-2.0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 ht="15.0" customHeight="1">
      <c r="A50" s="17" t="s">
        <v>90</v>
      </c>
      <c r="B50" s="21">
        <v>-423.0</v>
      </c>
      <c r="C50" s="21">
        <v>-204.0</v>
      </c>
      <c r="D50" s="21">
        <v>-167.0</v>
      </c>
      <c r="E50" s="22">
        <v>-68.0</v>
      </c>
      <c r="F50" s="22">
        <v>-79.0</v>
      </c>
      <c r="G50" s="22">
        <v>-72.0</v>
      </c>
      <c r="H50" s="22">
        <v>-91.0</v>
      </c>
      <c r="I50" s="22">
        <v>-14.0</v>
      </c>
      <c r="J50" s="22">
        <v>-21.0</v>
      </c>
      <c r="K50" s="22">
        <v>-32.0</v>
      </c>
      <c r="L50" s="22">
        <v>-27.0</v>
      </c>
      <c r="M50" s="22">
        <v>-26.0</v>
      </c>
      <c r="N50" s="22">
        <v>-41.0</v>
      </c>
      <c r="O50" s="22">
        <v>-52.0</v>
      </c>
      <c r="P50" s="22">
        <v>-75.0</v>
      </c>
      <c r="Q50" s="22">
        <v>-45.0</v>
      </c>
      <c r="R50" s="22">
        <v>-36.0</v>
      </c>
    </row>
    <row r="51" ht="15.0" customHeight="1">
      <c r="A51" s="17" t="s">
        <v>91</v>
      </c>
      <c r="B51" s="18">
        <v>864.0</v>
      </c>
      <c r="C51" s="18">
        <v>1079.0</v>
      </c>
      <c r="D51" s="18">
        <v>1124.0</v>
      </c>
      <c r="E51" s="18">
        <v>1118.0</v>
      </c>
      <c r="F51" s="18">
        <v>873.0</v>
      </c>
      <c r="G51" s="18">
        <v>496.0</v>
      </c>
      <c r="H51" s="18">
        <v>467.0</v>
      </c>
      <c r="I51" s="18">
        <v>562.0</v>
      </c>
      <c r="J51" s="18">
        <v>715.0</v>
      </c>
      <c r="K51" s="18">
        <v>724.0</v>
      </c>
      <c r="L51" s="18">
        <v>506.0</v>
      </c>
      <c r="M51" s="18">
        <v>430.0</v>
      </c>
      <c r="N51" s="18">
        <v>460.0</v>
      </c>
      <c r="O51" s="18">
        <v>420.0</v>
      </c>
      <c r="P51" s="18">
        <v>455.0</v>
      </c>
      <c r="Q51" s="18">
        <v>260.0</v>
      </c>
      <c r="R51" s="18">
        <v>211.0</v>
      </c>
    </row>
    <row r="52" ht="15.0" customHeight="1">
      <c r="A52" s="13" t="s">
        <v>92</v>
      </c>
      <c r="B52" s="14">
        <v>264.0</v>
      </c>
      <c r="C52" s="14">
        <v>250.0</v>
      </c>
      <c r="D52" s="14">
        <v>268.0</v>
      </c>
      <c r="E52" s="14">
        <v>267.0</v>
      </c>
      <c r="F52" s="14">
        <v>213.0</v>
      </c>
      <c r="G52" s="14">
        <v>117.0</v>
      </c>
      <c r="H52" s="14">
        <v>116.0</v>
      </c>
      <c r="I52" s="14">
        <v>137.0</v>
      </c>
      <c r="J52" s="14">
        <v>157.0</v>
      </c>
      <c r="K52" s="14">
        <v>171.0</v>
      </c>
      <c r="L52" s="14">
        <v>122.0</v>
      </c>
      <c r="M52" s="16">
        <v>98.0</v>
      </c>
      <c r="N52" s="14">
        <v>129.0</v>
      </c>
      <c r="O52" s="14">
        <v>142.0</v>
      </c>
      <c r="P52" s="14">
        <v>135.0</v>
      </c>
      <c r="Q52" s="16">
        <v>76.0</v>
      </c>
      <c r="R52" s="16">
        <v>67.0</v>
      </c>
    </row>
    <row r="53" ht="15.0" customHeight="1">
      <c r="A53" s="13" t="s">
        <v>93</v>
      </c>
      <c r="B53" s="15"/>
      <c r="C53" s="14">
        <v>292.0</v>
      </c>
      <c r="D53" s="14">
        <v>254.0</v>
      </c>
      <c r="E53" s="14">
        <v>260.0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4">
        <v>124.0</v>
      </c>
      <c r="Q53" s="16">
        <v>64.0</v>
      </c>
      <c r="R53" s="16">
        <v>58.0</v>
      </c>
    </row>
    <row r="54" ht="15.0" customHeight="1">
      <c r="A54" s="13" t="s">
        <v>94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4">
        <v>124.0</v>
      </c>
      <c r="Q54" s="16">
        <v>64.0</v>
      </c>
      <c r="R54" s="16">
        <v>58.0</v>
      </c>
    </row>
    <row r="55" ht="15.0" customHeight="1">
      <c r="A55" s="13" t="s">
        <v>95</v>
      </c>
      <c r="B55" s="15"/>
      <c r="C55" s="19">
        <v>-42.0</v>
      </c>
      <c r="D55" s="16">
        <v>14.0</v>
      </c>
      <c r="E55" s="16">
        <v>7.0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6">
        <v>11.0</v>
      </c>
      <c r="Q55" s="16">
        <v>12.0</v>
      </c>
      <c r="R55" s="16">
        <v>9.0</v>
      </c>
    </row>
    <row r="56" ht="15.0" customHeight="1">
      <c r="A56" s="13" t="s">
        <v>95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6">
        <v>11.0</v>
      </c>
      <c r="Q56" s="16">
        <v>12.0</v>
      </c>
      <c r="R56" s="16">
        <v>9.0</v>
      </c>
    </row>
    <row r="57" ht="15.0" customHeight="1">
      <c r="A57" s="13" t="s">
        <v>96</v>
      </c>
      <c r="B57" s="15"/>
      <c r="C57" s="15"/>
      <c r="D57" s="15"/>
      <c r="E57" s="15"/>
      <c r="F57" s="14">
        <v>221.0</v>
      </c>
      <c r="G57" s="16">
        <v>84.0</v>
      </c>
      <c r="H57" s="14">
        <v>100.0</v>
      </c>
      <c r="I57" s="14">
        <v>129.0</v>
      </c>
      <c r="J57" s="14">
        <v>162.0</v>
      </c>
      <c r="K57" s="14">
        <v>173.0</v>
      </c>
      <c r="L57" s="14">
        <v>110.0</v>
      </c>
      <c r="M57" s="14">
        <v>118.0</v>
      </c>
      <c r="N57" s="14">
        <v>130.0</v>
      </c>
      <c r="O57" s="14">
        <v>128.0</v>
      </c>
      <c r="P57" s="15"/>
      <c r="Q57" s="15"/>
      <c r="R57" s="15"/>
    </row>
    <row r="58" ht="15.0" customHeight="1">
      <c r="A58" s="13" t="s">
        <v>97</v>
      </c>
      <c r="B58" s="15"/>
      <c r="C58" s="15"/>
      <c r="D58" s="15"/>
      <c r="E58" s="15"/>
      <c r="F58" s="19">
        <v>-8.0</v>
      </c>
      <c r="G58" s="16">
        <v>33.0</v>
      </c>
      <c r="H58" s="16">
        <v>16.0</v>
      </c>
      <c r="I58" s="16">
        <v>8.0</v>
      </c>
      <c r="J58" s="19">
        <v>-5.0</v>
      </c>
      <c r="K58" s="19">
        <v>-2.0</v>
      </c>
      <c r="L58" s="16">
        <v>12.0</v>
      </c>
      <c r="M58" s="19">
        <v>-20.0</v>
      </c>
      <c r="N58" s="19">
        <v>-1.0</v>
      </c>
      <c r="O58" s="16">
        <v>14.0</v>
      </c>
      <c r="P58" s="15"/>
      <c r="Q58" s="15"/>
      <c r="R58" s="15"/>
    </row>
    <row r="59" ht="15.0" customHeight="1">
      <c r="A59" s="17" t="s">
        <v>98</v>
      </c>
      <c r="B59" s="18">
        <v>264.0</v>
      </c>
      <c r="C59" s="18">
        <v>250.0</v>
      </c>
      <c r="D59" s="18">
        <v>268.0</v>
      </c>
      <c r="E59" s="18">
        <v>267.0</v>
      </c>
      <c r="F59" s="18">
        <v>213.0</v>
      </c>
      <c r="G59" s="18">
        <v>117.0</v>
      </c>
      <c r="H59" s="18">
        <v>116.0</v>
      </c>
      <c r="I59" s="18">
        <v>137.0</v>
      </c>
      <c r="J59" s="18">
        <v>157.0</v>
      </c>
      <c r="K59" s="18">
        <v>171.0</v>
      </c>
      <c r="L59" s="18">
        <v>122.0</v>
      </c>
      <c r="M59" s="23">
        <v>98.0</v>
      </c>
      <c r="N59" s="18">
        <v>129.0</v>
      </c>
      <c r="O59" s="18">
        <v>142.0</v>
      </c>
      <c r="P59" s="18">
        <v>135.0</v>
      </c>
      <c r="Q59" s="23">
        <v>76.0</v>
      </c>
      <c r="R59" s="23">
        <v>67.0</v>
      </c>
    </row>
    <row r="60" ht="15.0" customHeight="1">
      <c r="A60" s="17" t="s">
        <v>99</v>
      </c>
      <c r="B60" s="18">
        <v>600.0</v>
      </c>
      <c r="C60" s="18">
        <v>829.0</v>
      </c>
      <c r="D60" s="18">
        <v>856.0</v>
      </c>
      <c r="E60" s="18">
        <v>851.0</v>
      </c>
      <c r="F60" s="18">
        <v>660.0</v>
      </c>
      <c r="G60" s="18">
        <v>379.0</v>
      </c>
      <c r="H60" s="18">
        <v>351.0</v>
      </c>
      <c r="I60" s="18">
        <v>425.0</v>
      </c>
      <c r="J60" s="18">
        <v>558.0</v>
      </c>
      <c r="K60" s="18">
        <v>553.0</v>
      </c>
      <c r="L60" s="18">
        <v>384.0</v>
      </c>
      <c r="M60" s="18">
        <v>332.0</v>
      </c>
      <c r="N60" s="18">
        <v>331.0</v>
      </c>
      <c r="O60" s="18">
        <v>278.0</v>
      </c>
      <c r="P60" s="18">
        <v>320.0</v>
      </c>
      <c r="Q60" s="18">
        <v>184.0</v>
      </c>
      <c r="R60" s="18">
        <v>144.0</v>
      </c>
    </row>
    <row r="61" ht="15.0" customHeight="1">
      <c r="A61" s="17" t="s">
        <v>100</v>
      </c>
      <c r="B61" s="18">
        <v>600.0</v>
      </c>
      <c r="C61" s="18">
        <v>829.0</v>
      </c>
      <c r="D61" s="18">
        <v>856.0</v>
      </c>
      <c r="E61" s="18">
        <v>851.0</v>
      </c>
      <c r="F61" s="18">
        <v>660.0</v>
      </c>
      <c r="G61" s="18">
        <v>379.0</v>
      </c>
      <c r="H61" s="18">
        <v>351.0</v>
      </c>
      <c r="I61" s="18">
        <v>425.0</v>
      </c>
      <c r="J61" s="18">
        <v>558.0</v>
      </c>
      <c r="K61" s="18">
        <v>553.0</v>
      </c>
      <c r="L61" s="18">
        <v>384.0</v>
      </c>
      <c r="M61" s="18">
        <v>332.0</v>
      </c>
      <c r="N61" s="18">
        <v>331.0</v>
      </c>
      <c r="O61" s="18">
        <v>278.0</v>
      </c>
      <c r="P61" s="18">
        <v>320.0</v>
      </c>
      <c r="Q61" s="18">
        <v>184.0</v>
      </c>
      <c r="R61" s="18">
        <v>144.0</v>
      </c>
    </row>
    <row r="62" ht="15.0" customHeight="1">
      <c r="A62" s="13" t="s">
        <v>101</v>
      </c>
      <c r="B62" s="19">
        <v>-20.0</v>
      </c>
      <c r="C62" s="16">
        <v>6.0</v>
      </c>
      <c r="D62" s="19">
        <v>-14.0</v>
      </c>
      <c r="E62" s="19">
        <v>-41.0</v>
      </c>
      <c r="F62" s="19">
        <v>-32.0</v>
      </c>
      <c r="G62" s="19">
        <v>-57.0</v>
      </c>
      <c r="H62" s="19">
        <v>-66.0</v>
      </c>
      <c r="I62" s="19">
        <v>-51.0</v>
      </c>
      <c r="J62" s="19">
        <v>-8.0</v>
      </c>
      <c r="K62" s="19">
        <v>-2.0</v>
      </c>
      <c r="L62" s="19">
        <v>-2.0</v>
      </c>
      <c r="M62" s="19">
        <v>-2.0</v>
      </c>
      <c r="N62" s="19">
        <v>-4.0</v>
      </c>
      <c r="O62" s="16">
        <v>2.0</v>
      </c>
      <c r="P62" s="16">
        <v>3.0</v>
      </c>
      <c r="Q62" s="16">
        <v>4.0</v>
      </c>
      <c r="R62" s="16">
        <v>5.0</v>
      </c>
    </row>
    <row r="63" ht="15.0" customHeight="1">
      <c r="A63" s="17" t="s">
        <v>102</v>
      </c>
      <c r="B63" s="22">
        <v>-20.0</v>
      </c>
      <c r="C63" s="23">
        <v>6.0</v>
      </c>
      <c r="D63" s="22">
        <v>-14.0</v>
      </c>
      <c r="E63" s="22">
        <v>-41.0</v>
      </c>
      <c r="F63" s="22">
        <v>-32.0</v>
      </c>
      <c r="G63" s="22">
        <v>-57.0</v>
      </c>
      <c r="H63" s="22">
        <v>-66.0</v>
      </c>
      <c r="I63" s="22">
        <v>-51.0</v>
      </c>
      <c r="J63" s="22">
        <v>-8.0</v>
      </c>
      <c r="K63" s="22">
        <v>-2.0</v>
      </c>
      <c r="L63" s="22">
        <v>-2.0</v>
      </c>
      <c r="M63" s="22">
        <v>-2.0</v>
      </c>
      <c r="N63" s="22">
        <v>-4.0</v>
      </c>
      <c r="O63" s="23">
        <v>2.0</v>
      </c>
      <c r="P63" s="23">
        <v>3.0</v>
      </c>
      <c r="Q63" s="23">
        <v>4.0</v>
      </c>
      <c r="R63" s="23">
        <v>5.0</v>
      </c>
    </row>
    <row r="64" ht="15.0" customHeight="1">
      <c r="A64" s="17" t="s">
        <v>103</v>
      </c>
      <c r="B64" s="18">
        <v>620.0</v>
      </c>
      <c r="C64" s="18">
        <v>823.0</v>
      </c>
      <c r="D64" s="18">
        <v>870.0</v>
      </c>
      <c r="E64" s="18">
        <v>892.0</v>
      </c>
      <c r="F64" s="18">
        <v>692.0</v>
      </c>
      <c r="G64" s="18">
        <v>436.0</v>
      </c>
      <c r="H64" s="18">
        <v>417.0</v>
      </c>
      <c r="I64" s="18">
        <v>476.0</v>
      </c>
      <c r="J64" s="18">
        <v>566.0</v>
      </c>
      <c r="K64" s="18">
        <v>555.0</v>
      </c>
      <c r="L64" s="18">
        <v>386.0</v>
      </c>
      <c r="M64" s="18">
        <v>334.0</v>
      </c>
      <c r="N64" s="18">
        <v>335.0</v>
      </c>
      <c r="O64" s="18">
        <v>276.0</v>
      </c>
      <c r="P64" s="18">
        <v>317.0</v>
      </c>
      <c r="Q64" s="18">
        <v>180.0</v>
      </c>
      <c r="R64" s="18">
        <v>139.0</v>
      </c>
    </row>
    <row r="65" ht="15.0" customHeight="1">
      <c r="A65" s="17" t="s">
        <v>104</v>
      </c>
      <c r="B65" s="18">
        <v>620.0</v>
      </c>
      <c r="C65" s="18">
        <v>823.0</v>
      </c>
      <c r="D65" s="18">
        <v>870.0</v>
      </c>
      <c r="E65" s="18">
        <v>892.0</v>
      </c>
      <c r="F65" s="18">
        <v>692.0</v>
      </c>
      <c r="G65" s="18">
        <v>436.0</v>
      </c>
      <c r="H65" s="18">
        <v>417.0</v>
      </c>
      <c r="I65" s="18">
        <v>476.0</v>
      </c>
      <c r="J65" s="18">
        <v>566.0</v>
      </c>
      <c r="K65" s="18">
        <v>555.0</v>
      </c>
      <c r="L65" s="18">
        <v>386.0</v>
      </c>
      <c r="M65" s="18">
        <v>334.0</v>
      </c>
      <c r="N65" s="18">
        <v>335.0</v>
      </c>
      <c r="O65" s="18">
        <v>276.0</v>
      </c>
      <c r="P65" s="18">
        <v>317.0</v>
      </c>
      <c r="Q65" s="18">
        <v>180.0</v>
      </c>
      <c r="R65" s="18">
        <v>139.0</v>
      </c>
    </row>
    <row r="66" ht="15.0" customHeight="1">
      <c r="A66" s="17" t="s">
        <v>100</v>
      </c>
      <c r="B66" s="18">
        <v>620.0</v>
      </c>
      <c r="C66" s="18">
        <v>823.0</v>
      </c>
      <c r="D66" s="18">
        <v>870.0</v>
      </c>
      <c r="E66" s="18">
        <v>892.0</v>
      </c>
      <c r="F66" s="18">
        <v>692.0</v>
      </c>
      <c r="G66" s="18">
        <v>436.0</v>
      </c>
      <c r="H66" s="18">
        <v>417.0</v>
      </c>
      <c r="I66" s="18">
        <v>476.0</v>
      </c>
      <c r="J66" s="18">
        <v>566.0</v>
      </c>
      <c r="K66" s="18">
        <v>555.0</v>
      </c>
      <c r="L66" s="18">
        <v>386.0</v>
      </c>
      <c r="M66" s="18">
        <v>334.0</v>
      </c>
      <c r="N66" s="18">
        <v>335.0</v>
      </c>
      <c r="O66" s="18">
        <v>276.0</v>
      </c>
      <c r="P66" s="18">
        <v>317.0</v>
      </c>
      <c r="Q66" s="18">
        <v>180.0</v>
      </c>
      <c r="R66" s="18">
        <v>139.0</v>
      </c>
    </row>
    <row r="67" ht="15.0" customHeight="1">
      <c r="A67" s="13" t="s">
        <v>100</v>
      </c>
      <c r="B67" s="15"/>
      <c r="C67" s="14">
        <v>829.0</v>
      </c>
      <c r="D67" s="14">
        <v>856.0</v>
      </c>
      <c r="E67" s="14">
        <v>851.0</v>
      </c>
      <c r="F67" s="14">
        <v>660.0</v>
      </c>
      <c r="G67" s="14">
        <v>379.0</v>
      </c>
      <c r="H67" s="14">
        <v>351.0</v>
      </c>
      <c r="I67" s="14">
        <v>425.0</v>
      </c>
      <c r="J67" s="14">
        <v>558.0</v>
      </c>
      <c r="K67" s="15"/>
      <c r="L67" s="15"/>
      <c r="M67" s="15"/>
      <c r="N67" s="15"/>
      <c r="O67" s="15"/>
      <c r="P67" s="15"/>
      <c r="Q67" s="15"/>
      <c r="R67" s="15"/>
    </row>
    <row r="68" ht="15.0" customHeight="1">
      <c r="A68" s="13" t="s">
        <v>105</v>
      </c>
      <c r="B68" s="15"/>
      <c r="C68" s="16">
        <v>28.0</v>
      </c>
      <c r="D68" s="16">
        <v>46.0</v>
      </c>
      <c r="E68" s="16">
        <v>1.0</v>
      </c>
      <c r="F68" s="16">
        <v>55.0</v>
      </c>
      <c r="G68" s="16">
        <v>7.0</v>
      </c>
      <c r="H68" s="19">
        <v>-4.0</v>
      </c>
      <c r="I68" s="16">
        <v>5.0</v>
      </c>
      <c r="J68" s="19">
        <v>-6.0</v>
      </c>
      <c r="K68" s="15"/>
      <c r="L68" s="15"/>
      <c r="M68" s="15"/>
      <c r="N68" s="15"/>
      <c r="O68" s="15"/>
      <c r="P68" s="15"/>
      <c r="Q68" s="15"/>
      <c r="R68" s="15"/>
    </row>
    <row r="69" ht="15.0" customHeight="1">
      <c r="A69" s="13" t="s">
        <v>106</v>
      </c>
      <c r="B69" s="15"/>
      <c r="C69" s="20">
        <v>-296.0</v>
      </c>
      <c r="D69" s="20">
        <v>-129.0</v>
      </c>
      <c r="E69" s="20">
        <v>-253.0</v>
      </c>
      <c r="F69" s="16">
        <v>86.0</v>
      </c>
      <c r="G69" s="14">
        <v>180.0</v>
      </c>
      <c r="H69" s="16">
        <v>9.0</v>
      </c>
      <c r="I69" s="20">
        <v>-103.0</v>
      </c>
      <c r="J69" s="16">
        <v>82.0</v>
      </c>
      <c r="K69" s="15"/>
      <c r="L69" s="15"/>
      <c r="M69" s="15"/>
      <c r="N69" s="15"/>
      <c r="O69" s="15"/>
      <c r="P69" s="15"/>
      <c r="Q69" s="15"/>
      <c r="R69" s="15"/>
    </row>
    <row r="70" ht="15.0" customHeight="1">
      <c r="A70" s="13" t="s">
        <v>107</v>
      </c>
      <c r="B70" s="15"/>
      <c r="C70" s="19">
        <v>-89.0</v>
      </c>
      <c r="D70" s="19">
        <v>-25.0</v>
      </c>
      <c r="E70" s="19">
        <v>-70.0</v>
      </c>
      <c r="F70" s="19">
        <v>-9.0</v>
      </c>
      <c r="G70" s="16">
        <v>5.0</v>
      </c>
      <c r="H70" s="19">
        <v>-12.0</v>
      </c>
      <c r="I70" s="19">
        <v>-25.0</v>
      </c>
      <c r="J70" s="16">
        <v>13.0</v>
      </c>
      <c r="K70" s="15"/>
      <c r="L70" s="15"/>
      <c r="M70" s="15"/>
      <c r="N70" s="15"/>
      <c r="O70" s="15"/>
      <c r="P70" s="15"/>
      <c r="Q70" s="15"/>
      <c r="R70" s="15"/>
    </row>
    <row r="71" ht="15.0" customHeight="1">
      <c r="A71" s="13" t="s">
        <v>108</v>
      </c>
      <c r="B71" s="15"/>
      <c r="C71" s="14">
        <v>124.0</v>
      </c>
      <c r="D71" s="16">
        <v>45.0</v>
      </c>
      <c r="E71" s="14">
        <v>114.0</v>
      </c>
      <c r="F71" s="16">
        <v>27.0</v>
      </c>
      <c r="G71" s="19">
        <v>-24.0</v>
      </c>
      <c r="H71" s="16">
        <v>11.0</v>
      </c>
      <c r="I71" s="16">
        <v>20.0</v>
      </c>
      <c r="J71" s="19">
        <v>-7.0</v>
      </c>
      <c r="K71" s="15"/>
      <c r="L71" s="15"/>
      <c r="M71" s="15"/>
      <c r="N71" s="15"/>
      <c r="O71" s="15"/>
      <c r="P71" s="15"/>
      <c r="Q71" s="15"/>
      <c r="R71" s="15"/>
    </row>
    <row r="72" ht="15.0" customHeight="1">
      <c r="A72" s="13" t="s">
        <v>109</v>
      </c>
      <c r="B72" s="15"/>
      <c r="C72" s="15"/>
      <c r="D72" s="15">
        <v>0.0</v>
      </c>
      <c r="E72" s="16">
        <v>4.0</v>
      </c>
      <c r="F72" s="19">
        <v>-2.0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 ht="15.0" customHeight="1">
      <c r="A73" s="17" t="s">
        <v>110</v>
      </c>
      <c r="B73" s="24"/>
      <c r="C73" s="21">
        <v>-233.0</v>
      </c>
      <c r="D73" s="22">
        <v>-63.0</v>
      </c>
      <c r="E73" s="21">
        <v>-204.0</v>
      </c>
      <c r="F73" s="18">
        <v>157.0</v>
      </c>
      <c r="G73" s="18">
        <v>168.0</v>
      </c>
      <c r="H73" s="23">
        <v>4.0</v>
      </c>
      <c r="I73" s="21">
        <v>-103.0</v>
      </c>
      <c r="J73" s="23">
        <v>82.0</v>
      </c>
      <c r="K73" s="24"/>
      <c r="L73" s="24"/>
      <c r="M73" s="24"/>
      <c r="N73" s="24"/>
      <c r="O73" s="24"/>
      <c r="P73" s="24"/>
      <c r="Q73" s="24"/>
      <c r="R73" s="24"/>
    </row>
    <row r="74" ht="15.0" customHeight="1">
      <c r="A74" s="13" t="s">
        <v>111</v>
      </c>
      <c r="B74" s="15"/>
      <c r="C74" s="14">
        <v>586.0</v>
      </c>
      <c r="D74" s="14">
        <v>805.0</v>
      </c>
      <c r="E74" s="14">
        <v>680.0</v>
      </c>
      <c r="F74" s="14">
        <v>845.0</v>
      </c>
      <c r="G74" s="14">
        <v>603.0</v>
      </c>
      <c r="H74" s="14">
        <v>419.0</v>
      </c>
      <c r="I74" s="14">
        <v>364.0</v>
      </c>
      <c r="J74" s="14">
        <v>651.0</v>
      </c>
      <c r="K74" s="15"/>
      <c r="L74" s="15"/>
      <c r="M74" s="15"/>
      <c r="N74" s="15"/>
      <c r="O74" s="15"/>
      <c r="P74" s="15"/>
      <c r="Q74" s="15"/>
      <c r="R74" s="15"/>
    </row>
    <row r="75" ht="15.0" customHeight="1">
      <c r="A75" s="13" t="s">
        <v>112</v>
      </c>
      <c r="B75" s="15"/>
      <c r="C75" s="16">
        <v>10.0</v>
      </c>
      <c r="D75" s="19">
        <v>-12.0</v>
      </c>
      <c r="E75" s="19">
        <v>-33.0</v>
      </c>
      <c r="F75" s="19">
        <v>-28.0</v>
      </c>
      <c r="G75" s="19">
        <v>-56.0</v>
      </c>
      <c r="H75" s="19">
        <v>-64.0</v>
      </c>
      <c r="I75" s="19">
        <v>-42.0</v>
      </c>
      <c r="J75" s="19">
        <v>-11.0</v>
      </c>
      <c r="K75" s="15"/>
      <c r="L75" s="15"/>
      <c r="M75" s="15"/>
      <c r="N75" s="15"/>
      <c r="O75" s="15"/>
      <c r="P75" s="15"/>
      <c r="Q75" s="15"/>
      <c r="R75" s="15"/>
    </row>
    <row r="76" ht="15.0" customHeight="1">
      <c r="A76" s="17" t="s">
        <v>113</v>
      </c>
      <c r="B76" s="24"/>
      <c r="C76" s="18">
        <v>596.0</v>
      </c>
      <c r="D76" s="18">
        <v>793.0</v>
      </c>
      <c r="E76" s="18">
        <v>647.0</v>
      </c>
      <c r="F76" s="18">
        <v>817.0</v>
      </c>
      <c r="G76" s="18">
        <v>547.0</v>
      </c>
      <c r="H76" s="18">
        <v>355.0</v>
      </c>
      <c r="I76" s="18">
        <v>322.0</v>
      </c>
      <c r="J76" s="18">
        <v>640.0</v>
      </c>
      <c r="K76" s="24"/>
      <c r="L76" s="24"/>
      <c r="M76" s="24"/>
      <c r="N76" s="24"/>
      <c r="O76" s="24"/>
      <c r="P76" s="24"/>
      <c r="Q76" s="24"/>
      <c r="R76" s="24"/>
    </row>
    <row r="77" ht="15.0" customHeight="1">
      <c r="A77" s="13" t="s">
        <v>114</v>
      </c>
      <c r="B77" s="16">
        <v>99.68</v>
      </c>
      <c r="C77" s="16">
        <v>99.7</v>
      </c>
      <c r="D77" s="16">
        <v>99.71</v>
      </c>
      <c r="E77" s="16">
        <v>99.57</v>
      </c>
      <c r="F77" s="16">
        <v>99.6</v>
      </c>
      <c r="G77" s="14">
        <v>100.0</v>
      </c>
      <c r="H77" s="14">
        <v>100.0</v>
      </c>
      <c r="I77" s="14">
        <v>100.0</v>
      </c>
      <c r="J77" s="14">
        <v>100.0</v>
      </c>
      <c r="K77" s="14">
        <v>100.0</v>
      </c>
      <c r="L77" s="14">
        <v>100.0</v>
      </c>
      <c r="M77" s="14">
        <v>100.0</v>
      </c>
      <c r="N77" s="14">
        <v>100.0</v>
      </c>
      <c r="O77" s="14">
        <v>100.0</v>
      </c>
      <c r="P77" s="14">
        <v>100.0</v>
      </c>
      <c r="Q77" s="14">
        <v>100.0</v>
      </c>
      <c r="R77" s="14">
        <v>100.0</v>
      </c>
    </row>
    <row r="78" ht="15.0" customHeight="1">
      <c r="A78" s="13" t="s">
        <v>115</v>
      </c>
      <c r="B78" s="16">
        <v>6.22</v>
      </c>
      <c r="C78" s="16">
        <v>8.25</v>
      </c>
      <c r="D78" s="16">
        <v>8.73</v>
      </c>
      <c r="E78" s="16">
        <v>8.96</v>
      </c>
      <c r="F78" s="16">
        <v>6.95</v>
      </c>
      <c r="G78" s="16">
        <v>4.36</v>
      </c>
      <c r="H78" s="16">
        <v>4.17</v>
      </c>
      <c r="I78" s="16">
        <v>4.76</v>
      </c>
      <c r="J78" s="16">
        <v>5.66</v>
      </c>
      <c r="K78" s="16">
        <v>5.55</v>
      </c>
      <c r="L78" s="16">
        <v>3.86</v>
      </c>
      <c r="M78" s="16">
        <v>3.34</v>
      </c>
      <c r="N78" s="16">
        <v>3.35</v>
      </c>
      <c r="O78" s="16">
        <v>2.76</v>
      </c>
      <c r="P78" s="16">
        <v>3.17</v>
      </c>
      <c r="Q78" s="16">
        <v>1.8</v>
      </c>
      <c r="R78" s="16">
        <v>1.39</v>
      </c>
    </row>
    <row r="79" ht="15.0" customHeight="1">
      <c r="A79" s="13" t="s">
        <v>116</v>
      </c>
      <c r="B79" s="16">
        <v>6.22</v>
      </c>
      <c r="C79" s="16">
        <v>8.25</v>
      </c>
      <c r="D79" s="16">
        <v>8.73</v>
      </c>
      <c r="E79" s="16">
        <v>8.96</v>
      </c>
      <c r="F79" s="16">
        <v>6.95</v>
      </c>
      <c r="G79" s="16">
        <v>4.36</v>
      </c>
      <c r="H79" s="16">
        <v>4.17</v>
      </c>
      <c r="I79" s="16">
        <v>4.76</v>
      </c>
      <c r="J79" s="16">
        <v>5.66</v>
      </c>
      <c r="K79" s="16">
        <v>5.55</v>
      </c>
      <c r="L79" s="16">
        <v>3.86</v>
      </c>
      <c r="M79" s="16">
        <v>3.34</v>
      </c>
      <c r="N79" s="16">
        <v>3.35</v>
      </c>
      <c r="O79" s="16">
        <v>2.76</v>
      </c>
      <c r="P79" s="16">
        <v>3.17</v>
      </c>
      <c r="Q79" s="16">
        <v>1.8</v>
      </c>
      <c r="R79" s="16">
        <v>1.39</v>
      </c>
    </row>
    <row r="80" ht="15.0" customHeight="1">
      <c r="A80" s="13" t="s">
        <v>117</v>
      </c>
      <c r="B80" s="16">
        <v>6.22</v>
      </c>
      <c r="C80" s="16">
        <v>8.25</v>
      </c>
      <c r="D80" s="16">
        <v>8.71</v>
      </c>
      <c r="E80" s="16">
        <v>8.96</v>
      </c>
      <c r="F80" s="16">
        <v>6.94</v>
      </c>
      <c r="G80" s="16">
        <v>4.36</v>
      </c>
      <c r="H80" s="16">
        <v>4.17</v>
      </c>
      <c r="I80" s="16">
        <v>4.76</v>
      </c>
      <c r="J80" s="16">
        <v>5.66</v>
      </c>
      <c r="K80" s="16">
        <v>5.55</v>
      </c>
      <c r="L80" s="16">
        <v>3.86</v>
      </c>
      <c r="M80" s="16">
        <v>3.34</v>
      </c>
      <c r="N80" s="16">
        <v>3.35</v>
      </c>
      <c r="O80" s="16">
        <v>2.76</v>
      </c>
      <c r="P80" s="16">
        <v>3.17</v>
      </c>
      <c r="Q80" s="16">
        <v>1.8</v>
      </c>
      <c r="R80" s="16">
        <v>1.39</v>
      </c>
    </row>
    <row r="81" ht="15.0" customHeight="1">
      <c r="A81" s="13" t="s">
        <v>118</v>
      </c>
      <c r="B81" s="16">
        <v>6.22</v>
      </c>
      <c r="C81" s="16">
        <v>8.25</v>
      </c>
      <c r="D81" s="16">
        <v>8.71</v>
      </c>
      <c r="E81" s="16">
        <v>8.96</v>
      </c>
      <c r="F81" s="16">
        <v>6.94</v>
      </c>
      <c r="G81" s="16">
        <v>4.36</v>
      </c>
      <c r="H81" s="16">
        <v>4.17</v>
      </c>
      <c r="I81" s="16">
        <v>4.76</v>
      </c>
      <c r="J81" s="16">
        <v>5.66</v>
      </c>
      <c r="K81" s="16">
        <v>5.55</v>
      </c>
      <c r="L81" s="16">
        <v>3.86</v>
      </c>
      <c r="M81" s="16">
        <v>3.34</v>
      </c>
      <c r="N81" s="16">
        <v>3.35</v>
      </c>
      <c r="O81" s="16">
        <v>2.76</v>
      </c>
      <c r="P81" s="16">
        <v>3.17</v>
      </c>
      <c r="Q81" s="16">
        <v>1.8</v>
      </c>
      <c r="R81" s="16">
        <v>1.39</v>
      </c>
    </row>
    <row r="82" ht="15.0" customHeight="1">
      <c r="A82" s="13" t="s">
        <v>119</v>
      </c>
      <c r="B82" s="14">
        <v>620.0</v>
      </c>
      <c r="C82" s="14">
        <v>823.0</v>
      </c>
      <c r="D82" s="14">
        <v>870.0</v>
      </c>
      <c r="E82" s="14">
        <v>892.0</v>
      </c>
      <c r="F82" s="14">
        <v>692.0</v>
      </c>
      <c r="G82" s="14">
        <v>436.0</v>
      </c>
      <c r="H82" s="14">
        <v>417.0</v>
      </c>
      <c r="I82" s="14">
        <v>476.0</v>
      </c>
      <c r="J82" s="14">
        <v>566.0</v>
      </c>
      <c r="K82" s="14">
        <v>555.0</v>
      </c>
      <c r="L82" s="14">
        <v>386.0</v>
      </c>
      <c r="M82" s="14">
        <v>334.0</v>
      </c>
      <c r="N82" s="14">
        <v>335.0</v>
      </c>
      <c r="O82" s="14">
        <v>276.0</v>
      </c>
      <c r="P82" s="14">
        <v>317.0</v>
      </c>
      <c r="Q82" s="14">
        <v>180.0</v>
      </c>
      <c r="R82" s="14">
        <v>139.0</v>
      </c>
    </row>
    <row r="83" ht="15.0" customHeight="1">
      <c r="A83" s="13" t="s">
        <v>120</v>
      </c>
      <c r="B83" s="16">
        <v>99.68</v>
      </c>
      <c r="C83" s="16">
        <v>99.75</v>
      </c>
      <c r="D83" s="16">
        <v>99.92</v>
      </c>
      <c r="E83" s="16">
        <v>99.57</v>
      </c>
      <c r="F83" s="16">
        <v>99.7</v>
      </c>
      <c r="G83" s="14">
        <v>100.0</v>
      </c>
      <c r="H83" s="14">
        <v>100.0</v>
      </c>
      <c r="I83" s="14">
        <v>100.0</v>
      </c>
      <c r="J83" s="14">
        <v>100.0</v>
      </c>
      <c r="K83" s="14">
        <v>100.0</v>
      </c>
      <c r="L83" s="14">
        <v>100.0</v>
      </c>
      <c r="M83" s="14">
        <v>100.0</v>
      </c>
      <c r="N83" s="14">
        <v>100.0</v>
      </c>
      <c r="O83" s="14">
        <v>100.0</v>
      </c>
      <c r="P83" s="14">
        <v>100.0</v>
      </c>
      <c r="Q83" s="14">
        <v>100.0</v>
      </c>
      <c r="R83" s="14">
        <v>100.0</v>
      </c>
    </row>
    <row r="84" ht="15.0" customHeight="1">
      <c r="A84" s="13" t="s">
        <v>121</v>
      </c>
      <c r="B84" s="14">
        <v>620.0</v>
      </c>
      <c r="C84" s="14">
        <v>823.0</v>
      </c>
      <c r="D84" s="14">
        <v>870.0</v>
      </c>
      <c r="E84" s="14">
        <v>892.0</v>
      </c>
      <c r="F84" s="14">
        <v>691.92</v>
      </c>
      <c r="G84" s="14">
        <v>436.0</v>
      </c>
      <c r="H84" s="14">
        <v>417.0</v>
      </c>
      <c r="I84" s="14">
        <v>476.0</v>
      </c>
      <c r="J84" s="14">
        <v>566.0</v>
      </c>
      <c r="K84" s="14">
        <v>555.0</v>
      </c>
      <c r="L84" s="14">
        <v>386.0</v>
      </c>
      <c r="M84" s="14">
        <v>334.0</v>
      </c>
      <c r="N84" s="14">
        <v>335.0</v>
      </c>
      <c r="O84" s="14">
        <v>276.0</v>
      </c>
      <c r="P84" s="14">
        <v>317.0</v>
      </c>
      <c r="Q84" s="14">
        <v>180.0</v>
      </c>
      <c r="R84" s="14">
        <v>139.0</v>
      </c>
    </row>
    <row r="85" ht="15.0" customHeight="1">
      <c r="A85" s="13" t="s">
        <v>122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6">
        <v>62.0</v>
      </c>
      <c r="M85" s="16">
        <v>50.0</v>
      </c>
      <c r="N85" s="15"/>
      <c r="O85" s="15"/>
      <c r="P85" s="16">
        <v>52.0</v>
      </c>
      <c r="Q85" s="16">
        <v>50.0</v>
      </c>
      <c r="R85" s="16">
        <v>56.0</v>
      </c>
    </row>
    <row r="86" ht="15.0" customHeight="1">
      <c r="A86" s="13" t="s">
        <v>86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6">
        <v>84.0</v>
      </c>
      <c r="Q86" s="16">
        <v>54.0</v>
      </c>
      <c r="R86" s="16">
        <v>58.0</v>
      </c>
    </row>
    <row r="87" ht="15.0" customHeight="1">
      <c r="A87" s="13" t="s">
        <v>123</v>
      </c>
      <c r="B87" s="15"/>
      <c r="C87" s="16">
        <v>9.0</v>
      </c>
      <c r="D87" s="16">
        <v>8.0</v>
      </c>
      <c r="E87" s="16">
        <v>7.0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 ht="15.0" customHeight="1">
      <c r="A88" s="13" t="s">
        <v>124</v>
      </c>
      <c r="B88" s="15"/>
      <c r="C88" s="16">
        <v>8.0</v>
      </c>
      <c r="D88" s="16">
        <v>9.0</v>
      </c>
      <c r="E88" s="16">
        <v>8.0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 ht="15.0" customHeight="1">
      <c r="A89" s="13" t="s">
        <v>125</v>
      </c>
      <c r="B89" s="15"/>
      <c r="C89" s="14">
        <v>121.0</v>
      </c>
      <c r="D89" s="16">
        <v>99.0</v>
      </c>
      <c r="E89" s="16">
        <v>97.0</v>
      </c>
      <c r="F89" s="16">
        <v>85.0</v>
      </c>
      <c r="G89" s="14">
        <v>100.0</v>
      </c>
      <c r="H89" s="14">
        <v>114.0</v>
      </c>
      <c r="I89" s="14">
        <v>117.0</v>
      </c>
      <c r="J89" s="14">
        <v>133.0</v>
      </c>
      <c r="K89" s="14">
        <v>107.0</v>
      </c>
      <c r="L89" s="14">
        <v>110.0</v>
      </c>
      <c r="M89" s="14">
        <v>110.0</v>
      </c>
      <c r="N89" s="15"/>
      <c r="O89" s="15"/>
      <c r="P89" s="15"/>
      <c r="Q89" s="15"/>
      <c r="R89" s="15"/>
    </row>
    <row r="90" ht="15.0" customHeight="1">
      <c r="A90" s="13" t="s">
        <v>72</v>
      </c>
      <c r="B90" s="15"/>
      <c r="C90" s="14">
        <v>425.0</v>
      </c>
      <c r="D90" s="14">
        <v>389.0</v>
      </c>
      <c r="E90" s="14">
        <v>367.0</v>
      </c>
      <c r="F90" s="14">
        <v>342.0</v>
      </c>
      <c r="G90" s="14">
        <v>352.0</v>
      </c>
      <c r="H90" s="14">
        <v>345.0</v>
      </c>
      <c r="I90" s="14">
        <v>310.0</v>
      </c>
      <c r="J90" s="14">
        <v>294.0</v>
      </c>
      <c r="K90" s="14">
        <v>261.0</v>
      </c>
      <c r="L90" s="14">
        <v>251.0</v>
      </c>
      <c r="M90" s="14">
        <v>233.0</v>
      </c>
      <c r="N90" s="14">
        <v>216.0</v>
      </c>
      <c r="O90" s="15"/>
      <c r="P90" s="14">
        <v>197.0</v>
      </c>
      <c r="Q90" s="14">
        <v>198.0</v>
      </c>
      <c r="R90" s="14">
        <v>208.0</v>
      </c>
    </row>
    <row r="91" ht="15.0" customHeight="1">
      <c r="A91" s="13" t="s">
        <v>126</v>
      </c>
      <c r="B91" s="15"/>
      <c r="C91" s="14">
        <v>119.0</v>
      </c>
      <c r="D91" s="16">
        <v>84.0</v>
      </c>
      <c r="E91" s="16">
        <v>64.0</v>
      </c>
      <c r="F91" s="16">
        <v>62.0</v>
      </c>
      <c r="G91" s="16">
        <v>77.0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 ht="15.0" customHeight="1">
      <c r="A92" s="13" t="s">
        <v>127</v>
      </c>
      <c r="B92" s="15"/>
      <c r="C92" s="15"/>
      <c r="D92" s="15"/>
      <c r="E92" s="15"/>
      <c r="F92" s="16">
        <v>15.0</v>
      </c>
      <c r="G92" s="16">
        <v>18.0</v>
      </c>
      <c r="H92" s="16">
        <v>16.0</v>
      </c>
      <c r="I92" s="16">
        <v>14.0</v>
      </c>
      <c r="J92" s="16">
        <v>15.0</v>
      </c>
      <c r="K92" s="16">
        <v>15.0</v>
      </c>
      <c r="L92" s="16">
        <v>11.0</v>
      </c>
      <c r="M92" s="16">
        <v>11.0</v>
      </c>
      <c r="N92" s="16">
        <v>7.0</v>
      </c>
      <c r="O92" s="15"/>
      <c r="P92" s="16">
        <v>8.0</v>
      </c>
      <c r="Q92" s="19">
        <v>-7.0</v>
      </c>
      <c r="R92" s="16">
        <v>7.0</v>
      </c>
    </row>
    <row r="93" ht="15.0" customHeight="1">
      <c r="A93" s="13" t="s">
        <v>128</v>
      </c>
      <c r="B93" s="15"/>
      <c r="C93" s="16">
        <v>36.0</v>
      </c>
      <c r="D93" s="16">
        <v>29.0</v>
      </c>
      <c r="E93" s="16">
        <v>21.0</v>
      </c>
      <c r="F93" s="16">
        <v>21.0</v>
      </c>
      <c r="G93" s="16">
        <v>22.0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</row>
    <row r="94" ht="15.0" customHeight="1">
      <c r="A94" s="13" t="s">
        <v>129</v>
      </c>
      <c r="B94" s="15"/>
      <c r="C94" s="16">
        <v>44.0</v>
      </c>
      <c r="D94" s="16">
        <v>48.0</v>
      </c>
      <c r="E94" s="16">
        <v>31.0</v>
      </c>
      <c r="F94" s="16">
        <v>36.0</v>
      </c>
      <c r="G94" s="16">
        <v>48.0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 ht="15.0" customHeight="1">
      <c r="A95" s="13" t="s">
        <v>130</v>
      </c>
      <c r="B95" s="15"/>
      <c r="C95" s="16">
        <v>1.0</v>
      </c>
      <c r="D95" s="16">
        <v>1.0</v>
      </c>
      <c r="E95" s="16">
        <v>2.0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 ht="15.0" customHeight="1">
      <c r="A96" s="13" t="s">
        <v>131</v>
      </c>
      <c r="B96" s="15"/>
      <c r="C96" s="15"/>
      <c r="D96" s="15"/>
      <c r="E96" s="15"/>
      <c r="F96" s="16">
        <v>2.0</v>
      </c>
      <c r="G96" s="16">
        <v>3.0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ht="15.0" customHeight="1">
      <c r="A97" s="13" t="s">
        <v>132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6">
        <v>4.0</v>
      </c>
      <c r="Q97" s="16">
        <v>4.0</v>
      </c>
      <c r="R97" s="16">
        <v>3.0</v>
      </c>
    </row>
    <row r="98" ht="15.0" customHeight="1">
      <c r="A98" s="13" t="s">
        <v>133</v>
      </c>
      <c r="B98" s="14">
        <v>587.0</v>
      </c>
      <c r="C98" s="14">
        <v>556.0</v>
      </c>
      <c r="D98" s="14">
        <v>485.0</v>
      </c>
      <c r="E98" s="14">
        <v>444.0</v>
      </c>
      <c r="F98" s="14">
        <v>416.0</v>
      </c>
      <c r="G98" s="14">
        <v>429.0</v>
      </c>
      <c r="H98" s="14">
        <v>418.0</v>
      </c>
      <c r="I98" s="14">
        <v>310.0</v>
      </c>
      <c r="J98" s="14">
        <v>306.0</v>
      </c>
      <c r="K98" s="14">
        <v>261.0</v>
      </c>
      <c r="L98" s="14">
        <v>251.0</v>
      </c>
      <c r="M98" s="14">
        <v>233.0</v>
      </c>
      <c r="N98" s="14">
        <v>221.0</v>
      </c>
      <c r="O98" s="14">
        <v>218.0</v>
      </c>
      <c r="P98" s="14">
        <v>199.0</v>
      </c>
      <c r="Q98" s="14">
        <v>200.0</v>
      </c>
      <c r="R98" s="14">
        <v>210.0</v>
      </c>
    </row>
    <row r="99" ht="15.0" customHeight="1">
      <c r="A99" s="13" t="s">
        <v>134</v>
      </c>
      <c r="B99" s="16">
        <v>4.0</v>
      </c>
      <c r="C99" s="16">
        <v>17.0</v>
      </c>
      <c r="D99" s="16">
        <v>17.0</v>
      </c>
      <c r="E99" s="16">
        <v>15.0</v>
      </c>
      <c r="F99" s="16">
        <v>15.0</v>
      </c>
      <c r="G99" s="16">
        <v>18.0</v>
      </c>
      <c r="H99" s="16">
        <v>16.0</v>
      </c>
      <c r="I99" s="16">
        <v>14.0</v>
      </c>
      <c r="J99" s="16">
        <v>15.0</v>
      </c>
      <c r="K99" s="16">
        <v>15.0</v>
      </c>
      <c r="L99" s="16">
        <v>11.0</v>
      </c>
      <c r="M99" s="15"/>
      <c r="N99" s="16">
        <v>7.0</v>
      </c>
      <c r="O99" s="16">
        <v>3.0</v>
      </c>
      <c r="P99" s="16">
        <v>8.0</v>
      </c>
      <c r="Q99" s="16">
        <v>6.0</v>
      </c>
      <c r="R99" s="16">
        <v>7.0</v>
      </c>
    </row>
    <row r="100" ht="15.0" customHeight="1">
      <c r="A100" s="13" t="s">
        <v>135</v>
      </c>
      <c r="B100" s="14">
        <v>591.0</v>
      </c>
      <c r="C100" s="14">
        <v>573.0</v>
      </c>
      <c r="D100" s="14">
        <v>490.0</v>
      </c>
      <c r="E100" s="14">
        <v>449.0</v>
      </c>
      <c r="F100" s="14">
        <v>420.0</v>
      </c>
      <c r="G100" s="14">
        <v>447.0</v>
      </c>
      <c r="H100" s="14">
        <v>422.0</v>
      </c>
      <c r="I100" s="14">
        <v>324.0</v>
      </c>
      <c r="J100" s="14">
        <v>316.0</v>
      </c>
      <c r="K100" s="14">
        <v>276.0</v>
      </c>
      <c r="L100" s="14">
        <v>262.0</v>
      </c>
      <c r="M100" s="14">
        <v>244.0</v>
      </c>
      <c r="N100" s="14">
        <v>231.0</v>
      </c>
      <c r="O100" s="14">
        <v>265.0</v>
      </c>
      <c r="P100" s="14">
        <v>205.0</v>
      </c>
      <c r="Q100" s="14">
        <v>206.0</v>
      </c>
      <c r="R100" s="14">
        <v>216.0</v>
      </c>
    </row>
    <row r="101" ht="15.0" customHeight="1">
      <c r="A101" s="13" t="s">
        <v>136</v>
      </c>
      <c r="B101" s="15"/>
      <c r="C101" s="16">
        <v>9.0</v>
      </c>
      <c r="D101" s="16">
        <v>8.0</v>
      </c>
      <c r="E101" s="16">
        <v>8.0</v>
      </c>
      <c r="F101" s="16">
        <v>7.0</v>
      </c>
      <c r="G101" s="16">
        <v>9.0</v>
      </c>
      <c r="H101" s="16">
        <v>7.0</v>
      </c>
      <c r="I101" s="16">
        <v>7.0</v>
      </c>
      <c r="J101" s="16">
        <v>7.0</v>
      </c>
      <c r="K101" s="16">
        <v>7.0</v>
      </c>
      <c r="L101" s="16">
        <v>6.0</v>
      </c>
      <c r="M101" s="16">
        <v>7.0</v>
      </c>
      <c r="N101" s="16">
        <v>6.0</v>
      </c>
      <c r="O101" s="16">
        <v>4.0</v>
      </c>
      <c r="P101" s="15"/>
      <c r="Q101" s="15"/>
      <c r="R101" s="15"/>
    </row>
    <row r="102" ht="15.0" customHeight="1">
      <c r="A102" s="13" t="s">
        <v>137</v>
      </c>
      <c r="B102" s="15"/>
      <c r="C102" s="16">
        <v>6.7</v>
      </c>
      <c r="D102" s="16">
        <v>6.0</v>
      </c>
      <c r="E102" s="16">
        <v>6.0</v>
      </c>
      <c r="F102" s="16">
        <v>5.0</v>
      </c>
      <c r="G102" s="16">
        <v>5.0</v>
      </c>
      <c r="H102" s="16">
        <v>5.0</v>
      </c>
      <c r="I102" s="16">
        <v>4.0</v>
      </c>
      <c r="J102" s="16">
        <v>4.0</v>
      </c>
      <c r="K102" s="16">
        <v>4.0</v>
      </c>
      <c r="L102" s="16">
        <v>4.0</v>
      </c>
      <c r="M102" s="16">
        <v>4.0</v>
      </c>
      <c r="N102" s="16">
        <v>4.0</v>
      </c>
      <c r="O102" s="16">
        <v>3.0</v>
      </c>
      <c r="P102" s="15"/>
      <c r="Q102" s="15"/>
      <c r="R102" s="15"/>
    </row>
    <row r="103" ht="15.0" customHeight="1">
      <c r="A103" s="13" t="s">
        <v>138</v>
      </c>
      <c r="B103" s="15"/>
      <c r="C103" s="16">
        <v>1.7</v>
      </c>
      <c r="D103" s="16">
        <v>1.0</v>
      </c>
      <c r="E103" s="16">
        <v>1.0</v>
      </c>
      <c r="F103" s="15">
        <v>0.0</v>
      </c>
      <c r="G103" s="16">
        <v>1.0</v>
      </c>
      <c r="H103" s="15">
        <v>0.0</v>
      </c>
      <c r="I103" s="16">
        <v>1.0</v>
      </c>
      <c r="J103" s="16">
        <v>1.0</v>
      </c>
      <c r="K103" s="16">
        <v>1.0</v>
      </c>
      <c r="L103" s="15">
        <v>0.0</v>
      </c>
      <c r="M103" s="16">
        <v>1.0</v>
      </c>
      <c r="N103" s="16">
        <v>1.0</v>
      </c>
      <c r="O103" s="15">
        <v>0.0</v>
      </c>
      <c r="P103" s="15"/>
      <c r="Q103" s="15"/>
      <c r="R103" s="15"/>
    </row>
    <row r="104" ht="15.0" customHeight="1">
      <c r="A104" s="13" t="s">
        <v>139</v>
      </c>
      <c r="B104" s="15"/>
      <c r="C104" s="15">
        <v>0.0</v>
      </c>
      <c r="D104" s="15">
        <v>0.0</v>
      </c>
      <c r="E104" s="15">
        <v>0.0</v>
      </c>
      <c r="F104" s="16">
        <v>1.0</v>
      </c>
      <c r="G104" s="16">
        <v>1.0</v>
      </c>
      <c r="H104" s="16">
        <v>1.0</v>
      </c>
      <c r="I104" s="16">
        <v>1.0</v>
      </c>
      <c r="J104" s="16">
        <v>1.0</v>
      </c>
      <c r="K104" s="16">
        <v>1.0</v>
      </c>
      <c r="L104" s="16">
        <v>1.0</v>
      </c>
      <c r="M104" s="16">
        <v>1.0</v>
      </c>
      <c r="N104" s="16">
        <v>1.0</v>
      </c>
      <c r="O104" s="15">
        <v>0.0</v>
      </c>
      <c r="P104" s="15"/>
      <c r="Q104" s="15"/>
      <c r="R104" s="15"/>
    </row>
    <row r="105" ht="15.0" customHeight="1">
      <c r="A105" s="13" t="s">
        <v>140</v>
      </c>
      <c r="B105" s="15"/>
      <c r="C105" s="16">
        <v>0.6</v>
      </c>
      <c r="D105" s="16">
        <v>1.0</v>
      </c>
      <c r="E105" s="16">
        <v>1.0</v>
      </c>
      <c r="F105" s="16">
        <v>1.0</v>
      </c>
      <c r="G105" s="16">
        <v>2.0</v>
      </c>
      <c r="H105" s="16">
        <v>1.0</v>
      </c>
      <c r="I105" s="16">
        <v>1.0</v>
      </c>
      <c r="J105" s="16">
        <v>1.0</v>
      </c>
      <c r="K105" s="16">
        <v>1.0</v>
      </c>
      <c r="L105" s="16">
        <v>1.0</v>
      </c>
      <c r="M105" s="16">
        <v>1.0</v>
      </c>
      <c r="N105" s="15">
        <v>0.0</v>
      </c>
      <c r="O105" s="16">
        <v>1.0</v>
      </c>
      <c r="P105" s="15"/>
      <c r="Q105" s="15"/>
      <c r="R105" s="15"/>
    </row>
    <row r="106" ht="15.0" customHeight="1">
      <c r="A106" s="13" t="s">
        <v>141</v>
      </c>
      <c r="B106" s="15"/>
      <c r="C106" s="15"/>
      <c r="D106" s="15"/>
      <c r="E106" s="15"/>
      <c r="F106" s="15"/>
      <c r="G106" s="15"/>
      <c r="H106" s="19">
        <v>-6.0</v>
      </c>
      <c r="I106" s="19">
        <v>-3.0</v>
      </c>
      <c r="J106" s="19">
        <v>-7.0</v>
      </c>
      <c r="K106" s="19">
        <v>-2.0</v>
      </c>
      <c r="L106" s="19">
        <v>-7.0</v>
      </c>
      <c r="M106" s="15"/>
      <c r="N106" s="15"/>
      <c r="O106" s="15"/>
      <c r="P106" s="15"/>
      <c r="Q106" s="15"/>
      <c r="R106" s="15"/>
    </row>
    <row r="107" ht="15.0" customHeight="1">
      <c r="A107" s="13" t="s">
        <v>142</v>
      </c>
      <c r="B107" s="14">
        <v>1878.0</v>
      </c>
      <c r="C107" s="14">
        <v>1874.0</v>
      </c>
      <c r="D107" s="14">
        <v>1781.0</v>
      </c>
      <c r="E107" s="14">
        <v>1643.0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</row>
    <row r="108" ht="15.0" customHeight="1">
      <c r="A108" s="13" t="s">
        <v>143</v>
      </c>
      <c r="B108" s="16">
        <v>99.68</v>
      </c>
      <c r="C108" s="16">
        <v>99.7</v>
      </c>
      <c r="D108" s="16">
        <v>99.71</v>
      </c>
      <c r="E108" s="16">
        <v>99.57</v>
      </c>
      <c r="F108" s="16">
        <v>99.6</v>
      </c>
      <c r="G108" s="14">
        <v>100.0</v>
      </c>
      <c r="H108" s="14">
        <v>100.0</v>
      </c>
      <c r="I108" s="14">
        <v>100.0</v>
      </c>
      <c r="J108" s="14">
        <v>100.0</v>
      </c>
      <c r="K108" s="14">
        <v>100.0</v>
      </c>
      <c r="L108" s="14">
        <v>100.0</v>
      </c>
      <c r="M108" s="14">
        <v>100.0</v>
      </c>
      <c r="N108" s="14">
        <v>100.0</v>
      </c>
      <c r="O108" s="14">
        <v>100.0</v>
      </c>
      <c r="P108" s="15"/>
      <c r="Q108" s="15"/>
      <c r="R108" s="15"/>
    </row>
    <row r="109" ht="15.0" customHeight="1">
      <c r="A109" s="13" t="s">
        <v>144</v>
      </c>
      <c r="B109" s="16">
        <v>99.68</v>
      </c>
      <c r="C109" s="16">
        <v>99.75</v>
      </c>
      <c r="D109" s="16">
        <v>99.92</v>
      </c>
      <c r="E109" s="16">
        <v>99.57</v>
      </c>
      <c r="F109" s="16">
        <v>99.7</v>
      </c>
      <c r="G109" s="14">
        <v>100.0</v>
      </c>
      <c r="H109" s="14">
        <v>100.0</v>
      </c>
      <c r="I109" s="14">
        <v>100.0</v>
      </c>
      <c r="J109" s="14">
        <v>100.0</v>
      </c>
      <c r="K109" s="14">
        <v>100.0</v>
      </c>
      <c r="L109" s="14">
        <v>100.0</v>
      </c>
      <c r="M109" s="14">
        <v>100.0</v>
      </c>
      <c r="N109" s="14">
        <v>100.0</v>
      </c>
      <c r="O109" s="14">
        <v>100.0</v>
      </c>
      <c r="P109" s="15"/>
      <c r="Q109" s="15"/>
      <c r="R109" s="15"/>
    </row>
    <row r="110" ht="15.0" customHeight="1">
      <c r="A110" s="13" t="s">
        <v>145</v>
      </c>
      <c r="B110" s="16">
        <v>6.22</v>
      </c>
      <c r="C110" s="16">
        <v>8.25</v>
      </c>
      <c r="D110" s="16">
        <v>8.73</v>
      </c>
      <c r="E110" s="16">
        <v>8.96</v>
      </c>
      <c r="F110" s="16">
        <v>6.95</v>
      </c>
      <c r="G110" s="16">
        <v>4.36</v>
      </c>
      <c r="H110" s="16">
        <v>4.17</v>
      </c>
      <c r="I110" s="16">
        <v>4.76</v>
      </c>
      <c r="J110" s="16">
        <v>5.66</v>
      </c>
      <c r="K110" s="16">
        <v>5.55</v>
      </c>
      <c r="L110" s="16">
        <v>3.86</v>
      </c>
      <c r="M110" s="16">
        <v>3.34</v>
      </c>
      <c r="N110" s="16">
        <v>3.35</v>
      </c>
      <c r="O110" s="16">
        <v>2.76</v>
      </c>
      <c r="P110" s="15"/>
      <c r="Q110" s="15"/>
      <c r="R110" s="15"/>
    </row>
    <row r="111" ht="15.0" customHeight="1">
      <c r="A111" s="13" t="s">
        <v>146</v>
      </c>
      <c r="B111" s="16">
        <v>6.22</v>
      </c>
      <c r="C111" s="16">
        <v>8.25</v>
      </c>
      <c r="D111" s="16">
        <v>8.71</v>
      </c>
      <c r="E111" s="16">
        <v>8.96</v>
      </c>
      <c r="F111" s="16">
        <v>6.94</v>
      </c>
      <c r="G111" s="16">
        <v>4.36</v>
      </c>
      <c r="H111" s="16">
        <v>4.17</v>
      </c>
      <c r="I111" s="16">
        <v>4.76</v>
      </c>
      <c r="J111" s="16">
        <v>5.66</v>
      </c>
      <c r="K111" s="16">
        <v>5.55</v>
      </c>
      <c r="L111" s="16">
        <v>3.86</v>
      </c>
      <c r="M111" s="16">
        <v>3.34</v>
      </c>
      <c r="N111" s="16">
        <v>3.35</v>
      </c>
      <c r="O111" s="16">
        <v>2.76</v>
      </c>
      <c r="P111" s="15"/>
      <c r="Q111" s="15"/>
      <c r="R111" s="15"/>
    </row>
    <row r="112" ht="15.0" customHeight="1">
      <c r="A112" s="13" t="s">
        <v>147</v>
      </c>
      <c r="B112" s="14">
        <v>620.0</v>
      </c>
      <c r="C112" s="14">
        <v>823.0</v>
      </c>
      <c r="D112" s="14">
        <v>870.0</v>
      </c>
      <c r="E112" s="14">
        <v>892.0</v>
      </c>
      <c r="F112" s="14">
        <v>692.0</v>
      </c>
      <c r="G112" s="14">
        <v>436.0</v>
      </c>
      <c r="H112" s="14">
        <v>417.0</v>
      </c>
      <c r="I112" s="14">
        <v>476.0</v>
      </c>
      <c r="J112" s="14">
        <v>566.0</v>
      </c>
      <c r="K112" s="14">
        <v>555.0</v>
      </c>
      <c r="L112" s="14">
        <v>386.0</v>
      </c>
      <c r="M112" s="14">
        <v>334.0</v>
      </c>
      <c r="N112" s="14">
        <v>335.0</v>
      </c>
      <c r="O112" s="14">
        <v>276.0</v>
      </c>
      <c r="P112" s="15"/>
      <c r="Q112" s="15"/>
      <c r="R112" s="15"/>
    </row>
    <row r="113" ht="15.0" customHeight="1">
      <c r="A113" s="13" t="s">
        <v>148</v>
      </c>
      <c r="B113" s="14">
        <v>620.0</v>
      </c>
      <c r="C113" s="14">
        <v>823.0</v>
      </c>
      <c r="D113" s="14">
        <v>870.0</v>
      </c>
      <c r="E113" s="14">
        <v>892.0</v>
      </c>
      <c r="F113" s="14">
        <v>692.0</v>
      </c>
      <c r="G113" s="14">
        <v>436.0</v>
      </c>
      <c r="H113" s="14">
        <v>417.0</v>
      </c>
      <c r="I113" s="14">
        <v>476.0</v>
      </c>
      <c r="J113" s="14">
        <v>566.0</v>
      </c>
      <c r="K113" s="14">
        <v>555.0</v>
      </c>
      <c r="L113" s="14">
        <v>386.0</v>
      </c>
      <c r="M113" s="14">
        <v>334.0</v>
      </c>
      <c r="N113" s="14">
        <v>335.0</v>
      </c>
      <c r="O113" s="14">
        <v>276.0</v>
      </c>
      <c r="P113" s="15"/>
      <c r="Q113" s="15"/>
      <c r="R113" s="15"/>
    </row>
    <row r="114" ht="15.0" customHeight="1">
      <c r="A114" s="13" t="s">
        <v>149</v>
      </c>
      <c r="B114" s="16">
        <v>6.22</v>
      </c>
      <c r="C114" s="16">
        <v>8.25</v>
      </c>
      <c r="D114" s="16">
        <v>8.73</v>
      </c>
      <c r="E114" s="16">
        <v>8.96</v>
      </c>
      <c r="F114" s="16">
        <v>6.95</v>
      </c>
      <c r="G114" s="16">
        <v>4.36</v>
      </c>
      <c r="H114" s="16">
        <v>4.17</v>
      </c>
      <c r="I114" s="16">
        <v>4.76</v>
      </c>
      <c r="J114" s="16">
        <v>5.66</v>
      </c>
      <c r="K114" s="16">
        <v>5.55</v>
      </c>
      <c r="L114" s="16">
        <v>3.86</v>
      </c>
      <c r="M114" s="16">
        <v>3.34</v>
      </c>
      <c r="N114" s="16">
        <v>3.35</v>
      </c>
      <c r="O114" s="16">
        <v>2.76</v>
      </c>
      <c r="P114" s="15"/>
      <c r="Q114" s="15"/>
      <c r="R114" s="15"/>
    </row>
    <row r="115" ht="15.0" customHeight="1">
      <c r="A115" s="13" t="s">
        <v>150</v>
      </c>
      <c r="B115" s="16">
        <v>6.22</v>
      </c>
      <c r="C115" s="16">
        <v>8.25</v>
      </c>
      <c r="D115" s="16">
        <v>8.71</v>
      </c>
      <c r="E115" s="16">
        <v>8.96</v>
      </c>
      <c r="F115" s="16">
        <v>6.94</v>
      </c>
      <c r="G115" s="16">
        <v>4.36</v>
      </c>
      <c r="H115" s="16">
        <v>4.17</v>
      </c>
      <c r="I115" s="16">
        <v>4.76</v>
      </c>
      <c r="J115" s="16">
        <v>5.66</v>
      </c>
      <c r="K115" s="16">
        <v>5.55</v>
      </c>
      <c r="L115" s="16">
        <v>3.86</v>
      </c>
      <c r="M115" s="16">
        <v>3.34</v>
      </c>
      <c r="N115" s="16">
        <v>3.35</v>
      </c>
      <c r="O115" s="16">
        <v>2.76</v>
      </c>
      <c r="P115" s="15"/>
      <c r="Q115" s="15"/>
      <c r="R115" s="15"/>
    </row>
    <row r="116" ht="15.0" customHeight="1">
      <c r="A116" s="13" t="s">
        <v>151</v>
      </c>
      <c r="B116" s="14">
        <v>620.0</v>
      </c>
      <c r="C116" s="14">
        <v>823.0</v>
      </c>
      <c r="D116" s="14">
        <v>870.0</v>
      </c>
      <c r="E116" s="14">
        <v>892.0</v>
      </c>
      <c r="F116" s="14">
        <v>691.92</v>
      </c>
      <c r="G116" s="14">
        <v>436.0</v>
      </c>
      <c r="H116" s="14">
        <v>417.0</v>
      </c>
      <c r="I116" s="14">
        <v>476.0</v>
      </c>
      <c r="J116" s="14">
        <v>566.0</v>
      </c>
      <c r="K116" s="14">
        <v>555.0</v>
      </c>
      <c r="L116" s="14">
        <v>386.0</v>
      </c>
      <c r="M116" s="14">
        <v>334.0</v>
      </c>
      <c r="N116" s="14">
        <v>335.0</v>
      </c>
      <c r="O116" s="14">
        <v>276.0</v>
      </c>
      <c r="P116" s="15"/>
      <c r="Q116" s="15"/>
      <c r="R116" s="15"/>
    </row>
    <row r="117" ht="15.0" customHeight="1">
      <c r="A117" s="13" t="s">
        <v>152</v>
      </c>
      <c r="B117" s="16">
        <v>1.0</v>
      </c>
      <c r="C117" s="16">
        <v>1.0</v>
      </c>
      <c r="D117" s="16">
        <v>1.0</v>
      </c>
      <c r="E117" s="16">
        <v>1.0</v>
      </c>
      <c r="F117" s="16">
        <v>1.0</v>
      </c>
      <c r="G117" s="16">
        <v>1.0</v>
      </c>
      <c r="H117" s="16">
        <v>1.0</v>
      </c>
      <c r="I117" s="16">
        <v>1.0</v>
      </c>
      <c r="J117" s="16">
        <v>1.0</v>
      </c>
      <c r="K117" s="16">
        <v>1.0</v>
      </c>
      <c r="L117" s="16">
        <v>1.0</v>
      </c>
      <c r="M117" s="16">
        <v>1.0</v>
      </c>
      <c r="N117" s="16">
        <v>1.0</v>
      </c>
      <c r="O117" s="16">
        <v>1.0</v>
      </c>
      <c r="P117" s="15"/>
      <c r="Q117" s="15"/>
      <c r="R117" s="15"/>
    </row>
    <row r="118" ht="15.0" customHeight="1">
      <c r="A118" s="13" t="s">
        <v>153</v>
      </c>
      <c r="B118" s="14">
        <v>620.0</v>
      </c>
      <c r="C118" s="14">
        <v>823.0</v>
      </c>
      <c r="D118" s="14">
        <v>870.0</v>
      </c>
      <c r="E118" s="14">
        <v>892.0</v>
      </c>
      <c r="F118" s="14">
        <v>692.0</v>
      </c>
      <c r="G118" s="14">
        <v>436.0</v>
      </c>
      <c r="H118" s="14">
        <v>417.0</v>
      </c>
      <c r="I118" s="14">
        <v>476.0</v>
      </c>
      <c r="J118" s="14">
        <v>566.0</v>
      </c>
      <c r="K118" s="14">
        <v>555.0</v>
      </c>
      <c r="L118" s="14">
        <v>386.0</v>
      </c>
      <c r="M118" s="14">
        <v>334.0</v>
      </c>
      <c r="N118" s="14">
        <v>335.0</v>
      </c>
      <c r="O118" s="14">
        <v>276.0</v>
      </c>
      <c r="P118" s="15"/>
      <c r="Q118" s="15"/>
      <c r="R118" s="15"/>
    </row>
    <row r="119" ht="15.0" customHeight="1">
      <c r="A119" s="13" t="s">
        <v>154</v>
      </c>
      <c r="B119" s="16">
        <v>1.0</v>
      </c>
      <c r="C119" s="16">
        <v>1.0</v>
      </c>
      <c r="D119" s="16">
        <v>1.0</v>
      </c>
      <c r="E119" s="16">
        <v>1.0</v>
      </c>
      <c r="F119" s="16">
        <v>1.0</v>
      </c>
      <c r="G119" s="16">
        <v>1.0</v>
      </c>
      <c r="H119" s="16">
        <v>1.0</v>
      </c>
      <c r="I119" s="16">
        <v>1.0</v>
      </c>
      <c r="J119" s="16">
        <v>1.0</v>
      </c>
      <c r="K119" s="16">
        <v>1.0</v>
      </c>
      <c r="L119" s="16">
        <v>1.0</v>
      </c>
      <c r="M119" s="16">
        <v>1.0</v>
      </c>
      <c r="N119" s="16">
        <v>1.0</v>
      </c>
      <c r="O119" s="16">
        <v>1.0</v>
      </c>
      <c r="P119" s="15"/>
      <c r="Q119" s="15"/>
      <c r="R119" s="15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46075.7812008102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42004.0</v>
      </c>
      <c r="P13" s="9">
        <v>41639.0</v>
      </c>
      <c r="Q13" s="9">
        <v>41090.0</v>
      </c>
      <c r="R13" s="9">
        <v>41090.0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156</v>
      </c>
      <c r="C15" s="10" t="s">
        <v>156</v>
      </c>
      <c r="D15" s="10" t="s">
        <v>156</v>
      </c>
      <c r="E15" s="10" t="s">
        <v>156</v>
      </c>
      <c r="F15" s="10" t="s">
        <v>156</v>
      </c>
      <c r="G15" s="10" t="s">
        <v>156</v>
      </c>
      <c r="H15" s="10" t="s">
        <v>156</v>
      </c>
      <c r="I15" s="10" t="s">
        <v>156</v>
      </c>
      <c r="J15" s="10" t="s">
        <v>156</v>
      </c>
      <c r="K15" s="10" t="s">
        <v>156</v>
      </c>
      <c r="L15" s="10" t="s">
        <v>156</v>
      </c>
      <c r="M15" s="10" t="s">
        <v>156</v>
      </c>
      <c r="N15" s="10" t="s">
        <v>156</v>
      </c>
      <c r="O15" s="10" t="s">
        <v>156</v>
      </c>
      <c r="P15" s="10" t="s">
        <v>156</v>
      </c>
      <c r="Q15" s="10" t="s">
        <v>156</v>
      </c>
      <c r="R15" s="10" t="s">
        <v>156</v>
      </c>
    </row>
    <row r="17">
      <c r="A17" s="11" t="s">
        <v>157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>
      <c r="A18" s="11" t="s">
        <v>42</v>
      </c>
      <c r="B18" s="12" t="s">
        <v>43</v>
      </c>
      <c r="C18" s="12" t="s">
        <v>44</v>
      </c>
      <c r="D18" s="12" t="s">
        <v>45</v>
      </c>
      <c r="E18" s="12" t="s">
        <v>46</v>
      </c>
      <c r="F18" s="12" t="s">
        <v>47</v>
      </c>
      <c r="G18" s="12" t="s">
        <v>48</v>
      </c>
      <c r="H18" s="12" t="s">
        <v>49</v>
      </c>
      <c r="I18" s="12" t="s">
        <v>50</v>
      </c>
      <c r="J18" s="12" t="s">
        <v>51</v>
      </c>
      <c r="K18" s="12" t="s">
        <v>52</v>
      </c>
      <c r="L18" s="12" t="s">
        <v>53</v>
      </c>
      <c r="M18" s="12" t="s">
        <v>54</v>
      </c>
      <c r="N18" s="12" t="s">
        <v>55</v>
      </c>
      <c r="O18" s="12" t="s">
        <v>56</v>
      </c>
      <c r="P18" s="12" t="s">
        <v>57</v>
      </c>
      <c r="Q18" s="12" t="s">
        <v>58</v>
      </c>
      <c r="R18" s="12" t="s">
        <v>59</v>
      </c>
    </row>
    <row r="19" ht="15.0" customHeight="1">
      <c r="A19" s="13" t="s">
        <v>158</v>
      </c>
      <c r="B19" s="14">
        <v>1516.0</v>
      </c>
      <c r="C19" s="14">
        <v>1441.0</v>
      </c>
      <c r="D19" s="14">
        <v>1201.0</v>
      </c>
      <c r="E19" s="14">
        <v>1387.0</v>
      </c>
      <c r="F19" s="14">
        <v>1107.0</v>
      </c>
      <c r="G19" s="14">
        <v>1051.0</v>
      </c>
      <c r="H19" s="14">
        <v>991.0</v>
      </c>
      <c r="I19" s="14">
        <v>956.0</v>
      </c>
      <c r="J19" s="14">
        <v>971.0</v>
      </c>
      <c r="K19" s="14">
        <v>948.0</v>
      </c>
      <c r="L19" s="14">
        <v>838.0</v>
      </c>
      <c r="M19" s="14">
        <v>707.0</v>
      </c>
      <c r="N19" s="14">
        <v>693.0</v>
      </c>
      <c r="O19" s="14">
        <v>698.0</v>
      </c>
      <c r="P19" s="14">
        <v>665.0</v>
      </c>
      <c r="Q19" s="15"/>
      <c r="R19" s="15"/>
    </row>
    <row r="20" ht="15.0" customHeight="1">
      <c r="A20" s="13" t="s">
        <v>159</v>
      </c>
      <c r="B20" s="15"/>
      <c r="C20" s="14">
        <v>1073.0</v>
      </c>
      <c r="D20" s="14">
        <v>877.0</v>
      </c>
      <c r="E20" s="14">
        <v>988.0</v>
      </c>
      <c r="F20" s="14">
        <v>770.0</v>
      </c>
      <c r="G20" s="14">
        <v>763.0</v>
      </c>
      <c r="H20" s="14">
        <v>759.0</v>
      </c>
      <c r="I20" s="14">
        <v>781.0</v>
      </c>
      <c r="J20" s="14">
        <v>761.0</v>
      </c>
      <c r="K20" s="14">
        <v>718.0</v>
      </c>
      <c r="L20" s="14">
        <v>656.0</v>
      </c>
      <c r="M20" s="14">
        <v>587.0</v>
      </c>
      <c r="N20" s="14">
        <v>558.0</v>
      </c>
      <c r="O20" s="15"/>
      <c r="P20" s="15"/>
      <c r="Q20" s="14">
        <v>538.0</v>
      </c>
      <c r="R20" s="14">
        <v>534.0</v>
      </c>
    </row>
    <row r="21" ht="15.0" customHeight="1">
      <c r="A21" s="13" t="s">
        <v>160</v>
      </c>
      <c r="B21" s="15"/>
      <c r="C21" s="14">
        <v>1091.0</v>
      </c>
      <c r="D21" s="14">
        <v>888.0</v>
      </c>
      <c r="E21" s="14">
        <v>997.0</v>
      </c>
      <c r="F21" s="14">
        <v>778.0</v>
      </c>
      <c r="G21" s="14">
        <v>772.0</v>
      </c>
      <c r="H21" s="14">
        <v>770.0</v>
      </c>
      <c r="I21" s="14">
        <v>793.0</v>
      </c>
      <c r="J21" s="14">
        <v>771.0</v>
      </c>
      <c r="K21" s="14">
        <v>729.0</v>
      </c>
      <c r="L21" s="14">
        <v>663.0</v>
      </c>
      <c r="M21" s="14">
        <v>594.0</v>
      </c>
      <c r="N21" s="14">
        <v>564.0</v>
      </c>
      <c r="O21" s="15"/>
      <c r="P21" s="15"/>
      <c r="Q21" s="14">
        <v>541.0</v>
      </c>
      <c r="R21" s="14">
        <v>537.0</v>
      </c>
    </row>
    <row r="22" ht="15.0" customHeight="1">
      <c r="A22" s="13" t="s">
        <v>161</v>
      </c>
      <c r="B22" s="15"/>
      <c r="C22" s="19">
        <v>-18.0</v>
      </c>
      <c r="D22" s="19">
        <v>-11.0</v>
      </c>
      <c r="E22" s="19">
        <v>-9.0</v>
      </c>
      <c r="F22" s="19">
        <v>-8.0</v>
      </c>
      <c r="G22" s="19">
        <v>-9.0</v>
      </c>
      <c r="H22" s="19">
        <v>-11.0</v>
      </c>
      <c r="I22" s="19">
        <v>-12.0</v>
      </c>
      <c r="J22" s="19">
        <v>-10.0</v>
      </c>
      <c r="K22" s="19">
        <v>-11.0</v>
      </c>
      <c r="L22" s="19">
        <v>-7.0</v>
      </c>
      <c r="M22" s="19">
        <v>-7.0</v>
      </c>
      <c r="N22" s="19">
        <v>-6.0</v>
      </c>
      <c r="O22" s="15"/>
      <c r="P22" s="15"/>
      <c r="Q22" s="19">
        <v>-3.0</v>
      </c>
      <c r="R22" s="19">
        <v>-3.0</v>
      </c>
    </row>
    <row r="23" ht="15.0" customHeight="1">
      <c r="A23" s="13" t="s">
        <v>162</v>
      </c>
      <c r="B23" s="16">
        <v>74.0</v>
      </c>
      <c r="C23" s="16">
        <v>5.0</v>
      </c>
      <c r="D23" s="16">
        <v>31.0</v>
      </c>
      <c r="E23" s="16">
        <v>49.0</v>
      </c>
      <c r="F23" s="14">
        <v>116.0</v>
      </c>
      <c r="G23" s="16">
        <v>35.0</v>
      </c>
      <c r="H23" s="16">
        <v>27.0</v>
      </c>
      <c r="I23" s="16">
        <v>16.0</v>
      </c>
      <c r="J23" s="16">
        <v>58.0</v>
      </c>
      <c r="K23" s="16">
        <v>9.0</v>
      </c>
      <c r="L23" s="16">
        <v>8.0</v>
      </c>
      <c r="M23" s="16">
        <v>10.0</v>
      </c>
      <c r="N23" s="16">
        <v>4.0</v>
      </c>
      <c r="O23" s="15"/>
      <c r="P23" s="15"/>
      <c r="Q23" s="15"/>
      <c r="R23" s="15"/>
    </row>
    <row r="24" ht="15.0" customHeight="1">
      <c r="A24" s="13" t="s">
        <v>163</v>
      </c>
      <c r="B24" s="14">
        <v>1442.0</v>
      </c>
      <c r="C24" s="16">
        <v>41.0</v>
      </c>
      <c r="D24" s="16">
        <v>33.0</v>
      </c>
      <c r="E24" s="16">
        <v>37.0</v>
      </c>
      <c r="F24" s="16">
        <v>15.0</v>
      </c>
      <c r="G24" s="16">
        <v>19.0</v>
      </c>
      <c r="H24" s="16">
        <v>27.0</v>
      </c>
      <c r="I24" s="16">
        <v>43.0</v>
      </c>
      <c r="J24" s="16">
        <v>12.0</v>
      </c>
      <c r="K24" s="16">
        <v>70.0</v>
      </c>
      <c r="L24" s="16">
        <v>13.0</v>
      </c>
      <c r="M24" s="16">
        <v>11.0</v>
      </c>
      <c r="N24" s="16">
        <v>45.0</v>
      </c>
      <c r="O24" s="15"/>
      <c r="P24" s="15"/>
      <c r="Q24" s="15"/>
      <c r="R24" s="15"/>
    </row>
    <row r="25" ht="15.0" customHeight="1">
      <c r="A25" s="13" t="s">
        <v>164</v>
      </c>
      <c r="B25" s="15"/>
      <c r="C25" s="14">
        <v>301.0</v>
      </c>
      <c r="D25" s="14">
        <v>227.0</v>
      </c>
      <c r="E25" s="14">
        <v>287.0</v>
      </c>
      <c r="F25" s="14">
        <v>173.0</v>
      </c>
      <c r="G25" s="14">
        <v>174.0</v>
      </c>
      <c r="H25" s="14">
        <v>177.0</v>
      </c>
      <c r="I25" s="14">
        <v>112.0</v>
      </c>
      <c r="J25" s="14">
        <v>131.0</v>
      </c>
      <c r="K25" s="14">
        <v>147.0</v>
      </c>
      <c r="L25" s="14">
        <v>161.0</v>
      </c>
      <c r="M25" s="16">
        <v>99.0</v>
      </c>
      <c r="N25" s="16">
        <v>86.0</v>
      </c>
      <c r="O25" s="15"/>
      <c r="P25" s="15"/>
      <c r="Q25" s="14">
        <v>123.0</v>
      </c>
      <c r="R25" s="16">
        <v>90.0</v>
      </c>
    </row>
    <row r="26" ht="15.0" customHeight="1">
      <c r="A26" s="13" t="s">
        <v>165</v>
      </c>
      <c r="B26" s="15"/>
      <c r="C26" s="16">
        <v>21.0</v>
      </c>
      <c r="D26" s="16">
        <v>33.0</v>
      </c>
      <c r="E26" s="16">
        <v>26.0</v>
      </c>
      <c r="F26" s="16">
        <v>33.0</v>
      </c>
      <c r="G26" s="16">
        <v>60.0</v>
      </c>
      <c r="H26" s="16">
        <v>1.0</v>
      </c>
      <c r="I26" s="16">
        <v>4.0</v>
      </c>
      <c r="J26" s="16">
        <v>9.0</v>
      </c>
      <c r="K26" s="16">
        <v>4.0</v>
      </c>
      <c r="L26" s="15"/>
      <c r="M26" s="15"/>
      <c r="N26" s="15"/>
      <c r="O26" s="15"/>
      <c r="P26" s="15"/>
      <c r="Q26" s="15"/>
      <c r="R26" s="15"/>
    </row>
    <row r="27" ht="15.0" customHeight="1">
      <c r="A27" s="13" t="s">
        <v>166</v>
      </c>
      <c r="B27" s="16">
        <v>91.0</v>
      </c>
      <c r="C27" s="16">
        <v>82.0</v>
      </c>
      <c r="D27" s="14">
        <v>469.0</v>
      </c>
      <c r="E27" s="14">
        <v>234.0</v>
      </c>
      <c r="F27" s="14">
        <v>124.0</v>
      </c>
      <c r="G27" s="14">
        <v>207.0</v>
      </c>
      <c r="H27" s="14">
        <v>147.0</v>
      </c>
      <c r="I27" s="16">
        <v>86.0</v>
      </c>
      <c r="J27" s="14">
        <v>180.0</v>
      </c>
      <c r="K27" s="14">
        <v>265.0</v>
      </c>
      <c r="L27" s="14">
        <v>169.0</v>
      </c>
      <c r="M27" s="14">
        <v>168.0</v>
      </c>
      <c r="N27" s="16">
        <v>39.0</v>
      </c>
      <c r="O27" s="14">
        <v>134.0</v>
      </c>
      <c r="P27" s="14">
        <v>496.0</v>
      </c>
      <c r="Q27" s="14">
        <v>403.0</v>
      </c>
      <c r="R27" s="14">
        <v>326.0</v>
      </c>
    </row>
    <row r="28" ht="15.0" customHeight="1">
      <c r="A28" s="13" t="s">
        <v>167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6">
        <v>24.0</v>
      </c>
      <c r="R28" s="16">
        <v>14.0</v>
      </c>
    </row>
    <row r="29" ht="15.0" customHeight="1">
      <c r="A29" s="13" t="s">
        <v>168</v>
      </c>
      <c r="B29" s="14">
        <v>1521.0</v>
      </c>
      <c r="C29" s="14">
        <v>1498.0</v>
      </c>
      <c r="D29" s="14">
        <v>1447.0</v>
      </c>
      <c r="E29" s="14">
        <v>1299.0</v>
      </c>
      <c r="F29" s="14">
        <v>792.0</v>
      </c>
      <c r="G29" s="14">
        <v>887.0</v>
      </c>
      <c r="H29" s="14">
        <v>931.0</v>
      </c>
      <c r="I29" s="14">
        <v>856.0</v>
      </c>
      <c r="J29" s="14">
        <v>734.0</v>
      </c>
      <c r="K29" s="14">
        <v>626.0</v>
      </c>
      <c r="L29" s="14">
        <v>676.0</v>
      </c>
      <c r="M29" s="14">
        <v>610.0</v>
      </c>
      <c r="N29" s="14">
        <v>545.0</v>
      </c>
      <c r="O29" s="14">
        <v>579.0</v>
      </c>
      <c r="P29" s="14">
        <v>558.0</v>
      </c>
      <c r="Q29" s="15"/>
      <c r="R29" s="15"/>
    </row>
    <row r="30" ht="15.0" customHeight="1">
      <c r="A30" s="13" t="s">
        <v>169</v>
      </c>
      <c r="B30" s="15"/>
      <c r="C30" s="14">
        <v>216.0</v>
      </c>
      <c r="D30" s="14">
        <v>184.0</v>
      </c>
      <c r="E30" s="14">
        <v>186.0</v>
      </c>
      <c r="F30" s="14">
        <v>149.0</v>
      </c>
      <c r="G30" s="14">
        <v>127.0</v>
      </c>
      <c r="H30" s="14">
        <v>137.0</v>
      </c>
      <c r="I30" s="14">
        <v>138.0</v>
      </c>
      <c r="J30" s="14">
        <v>103.0</v>
      </c>
      <c r="K30" s="16">
        <v>95.0</v>
      </c>
      <c r="L30" s="16">
        <v>91.0</v>
      </c>
      <c r="M30" s="16">
        <v>87.0</v>
      </c>
      <c r="N30" s="16">
        <v>80.0</v>
      </c>
      <c r="O30" s="15"/>
      <c r="P30" s="15"/>
      <c r="Q30" s="16">
        <v>93.0</v>
      </c>
      <c r="R30" s="16">
        <v>96.0</v>
      </c>
    </row>
    <row r="31" ht="15.0" customHeight="1">
      <c r="A31" s="13" t="s">
        <v>170</v>
      </c>
      <c r="B31" s="15"/>
      <c r="C31" s="14">
        <v>127.0</v>
      </c>
      <c r="D31" s="16">
        <v>98.0</v>
      </c>
      <c r="E31" s="16">
        <v>63.0</v>
      </c>
      <c r="F31" s="16">
        <v>59.0</v>
      </c>
      <c r="G31" s="16">
        <v>53.0</v>
      </c>
      <c r="H31" s="16">
        <v>69.0</v>
      </c>
      <c r="I31" s="16">
        <v>45.0</v>
      </c>
      <c r="J31" s="16">
        <v>39.0</v>
      </c>
      <c r="K31" s="16">
        <v>41.0</v>
      </c>
      <c r="L31" s="16">
        <v>50.0</v>
      </c>
      <c r="M31" s="16">
        <v>52.0</v>
      </c>
      <c r="N31" s="16">
        <v>45.0</v>
      </c>
      <c r="O31" s="15"/>
      <c r="P31" s="15"/>
      <c r="Q31" s="16">
        <v>89.0</v>
      </c>
      <c r="R31" s="16">
        <v>55.0</v>
      </c>
    </row>
    <row r="32" ht="15.0" customHeight="1">
      <c r="A32" s="13" t="s">
        <v>171</v>
      </c>
      <c r="B32" s="15"/>
      <c r="C32" s="14">
        <v>1155.0</v>
      </c>
      <c r="D32" s="14">
        <v>1165.0</v>
      </c>
      <c r="E32" s="14">
        <v>1050.0</v>
      </c>
      <c r="F32" s="14">
        <v>584.0</v>
      </c>
      <c r="G32" s="14">
        <v>707.0</v>
      </c>
      <c r="H32" s="14">
        <v>725.0</v>
      </c>
      <c r="I32" s="14">
        <v>673.0</v>
      </c>
      <c r="J32" s="14">
        <v>592.0</v>
      </c>
      <c r="K32" s="14">
        <v>490.0</v>
      </c>
      <c r="L32" s="14">
        <v>535.0</v>
      </c>
      <c r="M32" s="14">
        <v>471.0</v>
      </c>
      <c r="N32" s="14">
        <v>420.0</v>
      </c>
      <c r="O32" s="15"/>
      <c r="P32" s="15"/>
      <c r="Q32" s="14">
        <v>286.0</v>
      </c>
      <c r="R32" s="14">
        <v>346.0</v>
      </c>
    </row>
    <row r="33" ht="15.0" customHeight="1">
      <c r="A33" s="17" t="s">
        <v>172</v>
      </c>
      <c r="B33" s="18">
        <v>3128.0</v>
      </c>
      <c r="C33" s="18">
        <v>3021.0</v>
      </c>
      <c r="D33" s="18">
        <v>3117.0</v>
      </c>
      <c r="E33" s="18">
        <v>2920.0</v>
      </c>
      <c r="F33" s="18">
        <v>2023.0</v>
      </c>
      <c r="G33" s="18">
        <v>2145.0</v>
      </c>
      <c r="H33" s="18">
        <v>2069.0</v>
      </c>
      <c r="I33" s="18">
        <v>1898.0</v>
      </c>
      <c r="J33" s="18">
        <v>1885.0</v>
      </c>
      <c r="K33" s="18">
        <v>1839.0</v>
      </c>
      <c r="L33" s="18">
        <v>1683.0</v>
      </c>
      <c r="M33" s="18">
        <v>1485.0</v>
      </c>
      <c r="N33" s="18">
        <v>1277.0</v>
      </c>
      <c r="O33" s="18">
        <v>1411.0</v>
      </c>
      <c r="P33" s="18">
        <v>1719.0</v>
      </c>
      <c r="Q33" s="18">
        <v>1556.0</v>
      </c>
      <c r="R33" s="18">
        <v>1461.0</v>
      </c>
    </row>
    <row r="34" ht="15.0" customHeight="1">
      <c r="A34" s="13" t="s">
        <v>173</v>
      </c>
      <c r="B34" s="16">
        <v>79.0</v>
      </c>
      <c r="C34" s="16">
        <v>88.0</v>
      </c>
      <c r="D34" s="16">
        <v>84.0</v>
      </c>
      <c r="E34" s="16">
        <v>82.0</v>
      </c>
      <c r="F34" s="16">
        <v>89.0</v>
      </c>
      <c r="G34" s="16">
        <v>86.0</v>
      </c>
      <c r="H34" s="16">
        <v>93.0</v>
      </c>
      <c r="I34" s="14">
        <v>100.0</v>
      </c>
      <c r="J34" s="14">
        <v>111.0</v>
      </c>
      <c r="K34" s="14">
        <v>125.0</v>
      </c>
      <c r="L34" s="14">
        <v>137.0</v>
      </c>
      <c r="M34" s="16">
        <v>77.0</v>
      </c>
      <c r="N34" s="16">
        <v>57.0</v>
      </c>
      <c r="O34" s="16">
        <v>39.0</v>
      </c>
      <c r="P34" s="16">
        <v>72.0</v>
      </c>
      <c r="Q34" s="15"/>
      <c r="R34" s="15"/>
    </row>
    <row r="35" ht="15.0" customHeight="1">
      <c r="A35" s="13" t="s">
        <v>174</v>
      </c>
      <c r="B35" s="15"/>
      <c r="C35" s="14">
        <v>175.0</v>
      </c>
      <c r="D35" s="14">
        <v>174.0</v>
      </c>
      <c r="E35" s="14">
        <v>172.0</v>
      </c>
      <c r="F35" s="14">
        <v>170.0</v>
      </c>
      <c r="G35" s="14">
        <v>165.0</v>
      </c>
      <c r="H35" s="14">
        <v>164.0</v>
      </c>
      <c r="I35" s="14">
        <v>163.0</v>
      </c>
      <c r="J35" s="14">
        <v>162.0</v>
      </c>
      <c r="K35" s="14">
        <v>164.0</v>
      </c>
      <c r="L35" s="14">
        <v>162.0</v>
      </c>
      <c r="M35" s="16">
        <v>56.0</v>
      </c>
      <c r="N35" s="16">
        <v>30.0</v>
      </c>
      <c r="O35" s="15"/>
      <c r="P35" s="15"/>
      <c r="Q35" s="15"/>
      <c r="R35" s="15"/>
    </row>
    <row r="36" ht="15.0" customHeight="1">
      <c r="A36" s="13" t="s">
        <v>175</v>
      </c>
      <c r="B36" s="15"/>
      <c r="C36" s="20">
        <v>-166.0</v>
      </c>
      <c r="D36" s="20">
        <v>-159.0</v>
      </c>
      <c r="E36" s="20">
        <v>-150.0</v>
      </c>
      <c r="F36" s="20">
        <v>-144.0</v>
      </c>
      <c r="G36" s="20">
        <v>-134.0</v>
      </c>
      <c r="H36" s="20">
        <v>-123.0</v>
      </c>
      <c r="I36" s="20">
        <v>-107.0</v>
      </c>
      <c r="J36" s="19">
        <v>-99.0</v>
      </c>
      <c r="K36" s="19">
        <v>-89.0</v>
      </c>
      <c r="L36" s="19">
        <v>-79.0</v>
      </c>
      <c r="M36" s="19">
        <v>-22.0</v>
      </c>
      <c r="N36" s="19">
        <v>-14.0</v>
      </c>
      <c r="O36" s="15"/>
      <c r="P36" s="15"/>
      <c r="Q36" s="15"/>
      <c r="R36" s="15"/>
    </row>
    <row r="37" ht="15.0" customHeight="1">
      <c r="A37" s="13" t="s">
        <v>176</v>
      </c>
      <c r="B37" s="15"/>
      <c r="C37" s="14">
        <v>206.0</v>
      </c>
      <c r="D37" s="14">
        <v>189.0</v>
      </c>
      <c r="E37" s="14">
        <v>175.0</v>
      </c>
      <c r="F37" s="14">
        <v>173.0</v>
      </c>
      <c r="G37" s="14">
        <v>161.0</v>
      </c>
      <c r="H37" s="14">
        <v>153.0</v>
      </c>
      <c r="I37" s="14">
        <v>141.0</v>
      </c>
      <c r="J37" s="14">
        <v>140.0</v>
      </c>
      <c r="K37" s="14">
        <v>139.0</v>
      </c>
      <c r="L37" s="14">
        <v>137.0</v>
      </c>
      <c r="M37" s="14">
        <v>124.0</v>
      </c>
      <c r="N37" s="14">
        <v>121.0</v>
      </c>
      <c r="O37" s="15"/>
      <c r="P37" s="15"/>
      <c r="Q37" s="15"/>
      <c r="R37" s="15"/>
    </row>
    <row r="38" ht="15.0" customHeight="1">
      <c r="A38" s="13" t="s">
        <v>177</v>
      </c>
      <c r="B38" s="15"/>
      <c r="C38" s="20">
        <v>-166.0</v>
      </c>
      <c r="D38" s="20">
        <v>-157.0</v>
      </c>
      <c r="E38" s="20">
        <v>-149.0</v>
      </c>
      <c r="F38" s="20">
        <v>-142.0</v>
      </c>
      <c r="G38" s="20">
        <v>-140.0</v>
      </c>
      <c r="H38" s="20">
        <v>-133.0</v>
      </c>
      <c r="I38" s="20">
        <v>-129.0</v>
      </c>
      <c r="J38" s="20">
        <v>-124.0</v>
      </c>
      <c r="K38" s="20">
        <v>-119.0</v>
      </c>
      <c r="L38" s="20">
        <v>-114.0</v>
      </c>
      <c r="M38" s="20">
        <v>-110.0</v>
      </c>
      <c r="N38" s="20">
        <v>-107.0</v>
      </c>
      <c r="O38" s="15"/>
      <c r="P38" s="15"/>
      <c r="Q38" s="15"/>
      <c r="R38" s="15"/>
    </row>
    <row r="39" ht="15.0" customHeight="1">
      <c r="A39" s="13" t="s">
        <v>178</v>
      </c>
      <c r="B39" s="15"/>
      <c r="C39" s="15"/>
      <c r="D39" s="19">
        <v>-1.0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 ht="15.0" customHeight="1">
      <c r="A40" s="13" t="s">
        <v>179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6">
        <v>53.0</v>
      </c>
      <c r="N40" s="16">
        <v>53.0</v>
      </c>
      <c r="O40" s="15"/>
      <c r="P40" s="15"/>
      <c r="Q40" s="15"/>
      <c r="R40" s="15"/>
    </row>
    <row r="41" ht="15.0" customHeight="1">
      <c r="A41" s="13" t="s">
        <v>180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9">
        <v>-53.0</v>
      </c>
      <c r="N41" s="19">
        <v>-53.0</v>
      </c>
      <c r="O41" s="15"/>
      <c r="P41" s="15"/>
      <c r="Q41" s="15"/>
      <c r="R41" s="15"/>
    </row>
    <row r="42" ht="15.0" customHeight="1">
      <c r="A42" s="13" t="s">
        <v>181</v>
      </c>
      <c r="B42" s="15"/>
      <c r="C42" s="16">
        <v>55.0</v>
      </c>
      <c r="D42" s="16">
        <v>55.0</v>
      </c>
      <c r="E42" s="16">
        <v>55.0</v>
      </c>
      <c r="F42" s="16">
        <v>55.0</v>
      </c>
      <c r="G42" s="16">
        <v>55.0</v>
      </c>
      <c r="H42" s="16">
        <v>55.0</v>
      </c>
      <c r="I42" s="16">
        <v>55.0</v>
      </c>
      <c r="J42" s="16">
        <v>55.0</v>
      </c>
      <c r="K42" s="16">
        <v>55.0</v>
      </c>
      <c r="L42" s="16">
        <v>55.0</v>
      </c>
      <c r="M42" s="16">
        <v>55.0</v>
      </c>
      <c r="N42" s="16">
        <v>55.0</v>
      </c>
      <c r="O42" s="15"/>
      <c r="P42" s="15"/>
      <c r="Q42" s="15"/>
      <c r="R42" s="15"/>
    </row>
    <row r="43" ht="15.0" customHeight="1">
      <c r="A43" s="13" t="s">
        <v>182</v>
      </c>
      <c r="B43" s="15"/>
      <c r="C43" s="19">
        <v>-16.0</v>
      </c>
      <c r="D43" s="19">
        <v>-18.0</v>
      </c>
      <c r="E43" s="19">
        <v>-21.0</v>
      </c>
      <c r="F43" s="19">
        <v>-23.0</v>
      </c>
      <c r="G43" s="19">
        <v>-21.0</v>
      </c>
      <c r="H43" s="19">
        <v>-23.0</v>
      </c>
      <c r="I43" s="19">
        <v>-23.0</v>
      </c>
      <c r="J43" s="19">
        <v>-23.0</v>
      </c>
      <c r="K43" s="19">
        <v>-25.0</v>
      </c>
      <c r="L43" s="19">
        <v>-24.0</v>
      </c>
      <c r="M43" s="19">
        <v>-26.0</v>
      </c>
      <c r="N43" s="19">
        <v>-28.0</v>
      </c>
      <c r="O43" s="15"/>
      <c r="P43" s="15"/>
      <c r="Q43" s="15"/>
      <c r="R43" s="15"/>
    </row>
    <row r="44" ht="15.0" customHeight="1">
      <c r="A44" s="13" t="s">
        <v>183</v>
      </c>
      <c r="B44" s="15"/>
      <c r="C44" s="15"/>
      <c r="D44" s="15"/>
      <c r="E44" s="15"/>
      <c r="F44" s="15"/>
      <c r="G44" s="19">
        <v>-2.0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 ht="15.0" customHeight="1">
      <c r="A45" s="13" t="s">
        <v>184</v>
      </c>
      <c r="B45" s="15"/>
      <c r="C45" s="15"/>
      <c r="D45" s="16">
        <v>1.0</v>
      </c>
      <c r="E45" s="15"/>
      <c r="F45" s="15"/>
      <c r="G45" s="16">
        <v>2.0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 ht="15.0" customHeight="1">
      <c r="A46" s="13" t="s">
        <v>173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4">
        <v>354.0</v>
      </c>
      <c r="M46" s="14">
        <v>288.0</v>
      </c>
      <c r="N46" s="14">
        <v>259.0</v>
      </c>
      <c r="O46" s="15"/>
      <c r="P46" s="15"/>
      <c r="Q46" s="14">
        <v>223.0</v>
      </c>
      <c r="R46" s="14">
        <v>226.0</v>
      </c>
    </row>
    <row r="47" ht="15.0" customHeight="1">
      <c r="A47" s="13" t="s">
        <v>185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20">
        <v>-217.0</v>
      </c>
      <c r="M47" s="20">
        <v>-211.0</v>
      </c>
      <c r="N47" s="20">
        <v>-202.0</v>
      </c>
      <c r="O47" s="15"/>
      <c r="P47" s="15"/>
      <c r="Q47" s="15"/>
      <c r="R47" s="15"/>
    </row>
    <row r="48" ht="15.0" customHeight="1">
      <c r="A48" s="13" t="s">
        <v>186</v>
      </c>
      <c r="B48" s="14">
        <v>493.0</v>
      </c>
      <c r="C48" s="14">
        <v>404.0</v>
      </c>
      <c r="D48" s="14">
        <v>436.0</v>
      </c>
      <c r="E48" s="14">
        <v>250.0</v>
      </c>
      <c r="F48" s="14">
        <v>332.0</v>
      </c>
      <c r="G48" s="14">
        <v>365.0</v>
      </c>
      <c r="H48" s="14">
        <v>240.0</v>
      </c>
      <c r="I48" s="14">
        <v>228.0</v>
      </c>
      <c r="J48" s="16">
        <v>84.0</v>
      </c>
      <c r="K48" s="16">
        <v>94.0</v>
      </c>
      <c r="L48" s="16">
        <v>71.0</v>
      </c>
      <c r="M48" s="16">
        <v>67.0</v>
      </c>
      <c r="N48" s="16">
        <v>51.0</v>
      </c>
      <c r="O48" s="16">
        <v>29.0</v>
      </c>
      <c r="P48" s="16">
        <v>42.0</v>
      </c>
      <c r="Q48" s="15"/>
      <c r="R48" s="15"/>
    </row>
    <row r="49" ht="15.0" customHeight="1">
      <c r="A49" s="13" t="s">
        <v>187</v>
      </c>
      <c r="B49" s="14">
        <v>404.0</v>
      </c>
      <c r="C49" s="14">
        <v>403.0</v>
      </c>
      <c r="D49" s="14">
        <v>343.0</v>
      </c>
      <c r="E49" s="14">
        <v>204.0</v>
      </c>
      <c r="F49" s="14">
        <v>196.0</v>
      </c>
      <c r="G49" s="14">
        <v>200.0</v>
      </c>
      <c r="H49" s="14">
        <v>211.0</v>
      </c>
      <c r="I49" s="14">
        <v>225.0</v>
      </c>
      <c r="J49" s="16">
        <v>36.0</v>
      </c>
      <c r="K49" s="16">
        <v>65.0</v>
      </c>
      <c r="L49" s="16">
        <v>71.0</v>
      </c>
      <c r="M49" s="16">
        <v>67.0</v>
      </c>
      <c r="N49" s="16">
        <v>51.0</v>
      </c>
      <c r="O49" s="15"/>
      <c r="P49" s="15"/>
      <c r="Q49" s="15"/>
      <c r="R49" s="15"/>
    </row>
    <row r="50" ht="15.0" customHeight="1">
      <c r="A50" s="13" t="s">
        <v>188</v>
      </c>
      <c r="B50" s="16">
        <v>89.0</v>
      </c>
      <c r="C50" s="16">
        <v>1.0</v>
      </c>
      <c r="D50" s="16">
        <v>93.0</v>
      </c>
      <c r="E50" s="16">
        <v>46.0</v>
      </c>
      <c r="F50" s="14">
        <v>136.0</v>
      </c>
      <c r="G50" s="14">
        <v>165.0</v>
      </c>
      <c r="H50" s="16">
        <v>29.0</v>
      </c>
      <c r="I50" s="16">
        <v>3.0</v>
      </c>
      <c r="J50" s="16">
        <v>48.0</v>
      </c>
      <c r="K50" s="16">
        <v>29.0</v>
      </c>
      <c r="L50" s="15"/>
      <c r="M50" s="15"/>
      <c r="N50" s="15"/>
      <c r="O50" s="15"/>
      <c r="P50" s="15"/>
      <c r="Q50" s="15"/>
      <c r="R50" s="15"/>
    </row>
    <row r="51" ht="15.0" customHeight="1">
      <c r="A51" s="13" t="s">
        <v>189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20">
        <v>-147.0</v>
      </c>
      <c r="R51" s="20">
        <v>-140.0</v>
      </c>
    </row>
    <row r="52" ht="15.0" customHeight="1">
      <c r="A52" s="13" t="s">
        <v>190</v>
      </c>
      <c r="B52" s="14">
        <v>5255.0</v>
      </c>
      <c r="C52" s="14">
        <v>5026.0</v>
      </c>
      <c r="D52" s="14">
        <v>4661.0</v>
      </c>
      <c r="E52" s="14">
        <v>4371.0</v>
      </c>
      <c r="F52" s="14">
        <v>4191.0</v>
      </c>
      <c r="G52" s="14">
        <v>3973.0</v>
      </c>
      <c r="H52" s="14">
        <v>3852.0</v>
      </c>
      <c r="I52" s="14">
        <v>3623.0</v>
      </c>
      <c r="J52" s="14">
        <v>3126.0</v>
      </c>
      <c r="K52" s="14">
        <v>2471.0</v>
      </c>
      <c r="L52" s="14">
        <v>2122.0</v>
      </c>
      <c r="M52" s="14">
        <v>2004.0</v>
      </c>
      <c r="N52" s="14">
        <v>1941.0</v>
      </c>
      <c r="O52" s="14">
        <v>1893.0</v>
      </c>
      <c r="P52" s="14">
        <v>1822.0</v>
      </c>
      <c r="Q52" s="15">
        <f t="shared" ref="Q52:R52" si="1">SUM(Q53:Q63)</f>
        <v>1656</v>
      </c>
      <c r="R52" s="15">
        <f t="shared" si="1"/>
        <v>1607</v>
      </c>
    </row>
    <row r="53" ht="15.0" customHeight="1">
      <c r="A53" s="13" t="s">
        <v>191</v>
      </c>
      <c r="B53" s="15"/>
      <c r="C53" s="14">
        <v>3279.0</v>
      </c>
      <c r="D53" s="14">
        <v>2996.0</v>
      </c>
      <c r="E53" s="14">
        <v>2846.0</v>
      </c>
      <c r="F53" s="14">
        <v>2665.0</v>
      </c>
      <c r="G53" s="14">
        <v>2432.0</v>
      </c>
      <c r="H53" s="14">
        <v>2311.0</v>
      </c>
      <c r="I53" s="14">
        <v>2057.0</v>
      </c>
      <c r="J53" s="14">
        <v>1858.0</v>
      </c>
      <c r="K53" s="14">
        <v>1721.0</v>
      </c>
      <c r="L53" s="14">
        <v>1630.0</v>
      </c>
      <c r="M53" s="14">
        <v>1606.0</v>
      </c>
      <c r="N53" s="14">
        <v>1531.0</v>
      </c>
      <c r="O53" s="15"/>
      <c r="P53" s="15"/>
      <c r="Q53" s="14">
        <v>1297.0</v>
      </c>
      <c r="R53" s="14">
        <v>1221.0</v>
      </c>
    </row>
    <row r="54" ht="15.0" customHeight="1">
      <c r="A54" s="13" t="s">
        <v>192</v>
      </c>
      <c r="B54" s="15"/>
      <c r="C54" s="20">
        <v>-1474.0</v>
      </c>
      <c r="D54" s="20">
        <v>-1391.0</v>
      </c>
      <c r="E54" s="20">
        <v>-1279.0</v>
      </c>
      <c r="F54" s="20">
        <v>-1177.0</v>
      </c>
      <c r="G54" s="20">
        <v>-1109.0</v>
      </c>
      <c r="H54" s="20">
        <v>-1027.0</v>
      </c>
      <c r="I54" s="20">
        <v>-943.0</v>
      </c>
      <c r="J54" s="20">
        <v>-898.0</v>
      </c>
      <c r="K54" s="20">
        <v>-825.0</v>
      </c>
      <c r="L54" s="20">
        <v>-817.0</v>
      </c>
      <c r="M54" s="20">
        <v>-781.0</v>
      </c>
      <c r="N54" s="20">
        <v>-744.0</v>
      </c>
      <c r="O54" s="15"/>
      <c r="P54" s="15"/>
      <c r="Q54" s="15"/>
      <c r="R54" s="15"/>
    </row>
    <row r="55" ht="15.0" customHeight="1">
      <c r="A55" s="13" t="s">
        <v>193</v>
      </c>
      <c r="B55" s="15"/>
      <c r="C55" s="14">
        <v>8093.0</v>
      </c>
      <c r="D55" s="14">
        <v>7738.0</v>
      </c>
      <c r="E55" s="14">
        <v>7440.0</v>
      </c>
      <c r="F55" s="14">
        <v>6973.0</v>
      </c>
      <c r="G55" s="14">
        <v>6757.0</v>
      </c>
      <c r="H55" s="14">
        <v>6669.0</v>
      </c>
      <c r="I55" s="14">
        <v>6030.0</v>
      </c>
      <c r="J55" s="14">
        <v>5454.0</v>
      </c>
      <c r="K55" s="14">
        <v>4904.0</v>
      </c>
      <c r="L55" s="14">
        <v>4635.0</v>
      </c>
      <c r="M55" s="14">
        <v>4784.0</v>
      </c>
      <c r="N55" s="14">
        <v>4566.0</v>
      </c>
      <c r="O55" s="15"/>
      <c r="P55" s="15"/>
      <c r="Q55" s="14">
        <v>4090.0</v>
      </c>
      <c r="R55" s="14">
        <v>4015.0</v>
      </c>
    </row>
    <row r="56" ht="15.0" customHeight="1">
      <c r="A56" s="13" t="s">
        <v>194</v>
      </c>
      <c r="B56" s="15"/>
      <c r="C56" s="20">
        <v>-5432.0</v>
      </c>
      <c r="D56" s="20">
        <v>-5304.0</v>
      </c>
      <c r="E56" s="20">
        <v>-4992.0</v>
      </c>
      <c r="F56" s="20">
        <v>-4704.0</v>
      </c>
      <c r="G56" s="20">
        <v>-4544.0</v>
      </c>
      <c r="H56" s="20">
        <v>-4331.0</v>
      </c>
      <c r="I56" s="20">
        <v>-4089.0</v>
      </c>
      <c r="J56" s="20">
        <v>-4064.0</v>
      </c>
      <c r="K56" s="20">
        <v>-3689.0</v>
      </c>
      <c r="L56" s="20">
        <v>-3567.0</v>
      </c>
      <c r="M56" s="20">
        <v>-3728.0</v>
      </c>
      <c r="N56" s="20">
        <v>-3560.0</v>
      </c>
      <c r="O56" s="15"/>
      <c r="P56" s="15"/>
      <c r="Q56" s="15"/>
      <c r="R56" s="15"/>
    </row>
    <row r="57" ht="15.0" customHeight="1">
      <c r="A57" s="13" t="s">
        <v>195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6">
        <v>1.0</v>
      </c>
      <c r="N57" s="15"/>
      <c r="O57" s="15"/>
      <c r="P57" s="15"/>
      <c r="Q57" s="15"/>
      <c r="R57" s="15"/>
    </row>
    <row r="58" ht="15.0" customHeight="1">
      <c r="A58" s="13" t="s">
        <v>196</v>
      </c>
      <c r="B58" s="15"/>
      <c r="C58" s="14">
        <v>540.0</v>
      </c>
      <c r="D58" s="14">
        <v>596.0</v>
      </c>
      <c r="E58" s="14">
        <v>322.0</v>
      </c>
      <c r="F58" s="14">
        <v>398.0</v>
      </c>
      <c r="G58" s="14">
        <v>397.0</v>
      </c>
      <c r="H58" s="14">
        <v>191.0</v>
      </c>
      <c r="I58" s="14">
        <v>530.0</v>
      </c>
      <c r="J58" s="14">
        <v>748.0</v>
      </c>
      <c r="K58" s="14">
        <v>334.0</v>
      </c>
      <c r="L58" s="14">
        <v>218.0</v>
      </c>
      <c r="M58" s="14">
        <v>103.0</v>
      </c>
      <c r="N58" s="14">
        <v>131.0</v>
      </c>
      <c r="O58" s="15"/>
      <c r="P58" s="15"/>
      <c r="Q58" s="14">
        <v>134.0</v>
      </c>
      <c r="R58" s="14">
        <v>113.0</v>
      </c>
    </row>
    <row r="59" ht="15.0" customHeight="1">
      <c r="A59" s="13" t="s">
        <v>197</v>
      </c>
      <c r="B59" s="15"/>
      <c r="C59" s="15">
        <v>0.0</v>
      </c>
      <c r="D59" s="15">
        <v>0.0</v>
      </c>
      <c r="E59" s="15">
        <v>0.0</v>
      </c>
      <c r="F59" s="15">
        <v>0.0</v>
      </c>
      <c r="G59" s="15">
        <v>0.0</v>
      </c>
      <c r="H59" s="15">
        <v>0.0</v>
      </c>
      <c r="I59" s="15">
        <v>0.0</v>
      </c>
      <c r="J59" s="15">
        <v>0.0</v>
      </c>
      <c r="K59" s="15">
        <v>0.0</v>
      </c>
      <c r="L59" s="15">
        <v>0.0</v>
      </c>
      <c r="M59" s="15">
        <v>0.0</v>
      </c>
      <c r="N59" s="15">
        <v>0.0</v>
      </c>
      <c r="O59" s="15"/>
      <c r="P59" s="15"/>
      <c r="Q59" s="15"/>
      <c r="R59" s="15"/>
    </row>
    <row r="60" ht="15.0" customHeight="1">
      <c r="A60" s="13" t="s">
        <v>198</v>
      </c>
      <c r="B60" s="15"/>
      <c r="C60" s="14">
        <v>234.0</v>
      </c>
      <c r="D60" s="14">
        <v>232.0</v>
      </c>
      <c r="E60" s="14">
        <v>232.0</v>
      </c>
      <c r="F60" s="14">
        <v>220.0</v>
      </c>
      <c r="G60" s="14">
        <v>223.0</v>
      </c>
      <c r="H60" s="14">
        <v>209.0</v>
      </c>
      <c r="I60" s="14">
        <v>197.0</v>
      </c>
      <c r="J60" s="14">
        <v>180.0</v>
      </c>
      <c r="K60" s="14">
        <v>166.0</v>
      </c>
      <c r="L60" s="14">
        <v>162.0</v>
      </c>
      <c r="M60" s="14">
        <v>155.0</v>
      </c>
      <c r="N60" s="14">
        <v>145.0</v>
      </c>
      <c r="O60" s="15"/>
      <c r="P60" s="15"/>
      <c r="Q60" s="15"/>
      <c r="R60" s="15"/>
    </row>
    <row r="61" ht="15.0" customHeight="1">
      <c r="A61" s="13" t="s">
        <v>199</v>
      </c>
      <c r="B61" s="15"/>
      <c r="C61" s="20">
        <v>-214.0</v>
      </c>
      <c r="D61" s="20">
        <v>-206.0</v>
      </c>
      <c r="E61" s="20">
        <v>-198.0</v>
      </c>
      <c r="F61" s="20">
        <v>-184.0</v>
      </c>
      <c r="G61" s="20">
        <v>-183.0</v>
      </c>
      <c r="H61" s="20">
        <v>-170.0</v>
      </c>
      <c r="I61" s="20">
        <v>-159.0</v>
      </c>
      <c r="J61" s="20">
        <v>-152.0</v>
      </c>
      <c r="K61" s="20">
        <v>-140.0</v>
      </c>
      <c r="L61" s="20">
        <v>-139.0</v>
      </c>
      <c r="M61" s="20">
        <v>-136.0</v>
      </c>
      <c r="N61" s="20">
        <v>-128.0</v>
      </c>
      <c r="O61" s="15"/>
      <c r="P61" s="15"/>
      <c r="Q61" s="15"/>
      <c r="R61" s="15"/>
    </row>
    <row r="62" ht="15.0" customHeight="1">
      <c r="A62" s="13" t="s">
        <v>200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4">
        <v>6645.0</v>
      </c>
      <c r="M62" s="14">
        <v>6648.0</v>
      </c>
      <c r="N62" s="14">
        <v>6373.0</v>
      </c>
      <c r="O62" s="15"/>
      <c r="P62" s="15"/>
      <c r="Q62" s="15"/>
      <c r="R62" s="15"/>
    </row>
    <row r="63" ht="15.0" customHeight="1">
      <c r="A63" s="13" t="s">
        <v>72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20">
        <v>-4523.0</v>
      </c>
      <c r="M63" s="20">
        <v>-4644.0</v>
      </c>
      <c r="N63" s="20">
        <v>-4432.0</v>
      </c>
      <c r="O63" s="15"/>
      <c r="P63" s="15"/>
      <c r="Q63" s="20">
        <v>-3865.0</v>
      </c>
      <c r="R63" s="20">
        <v>-3742.0</v>
      </c>
    </row>
    <row r="64" ht="15.0" customHeight="1">
      <c r="A64" s="13" t="s">
        <v>201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4">
        <v>135.0</v>
      </c>
      <c r="R64" s="14">
        <v>169.0</v>
      </c>
    </row>
    <row r="65" ht="15.0" customHeight="1">
      <c r="A65" s="13" t="s">
        <v>202</v>
      </c>
      <c r="B65" s="14">
        <v>445.0</v>
      </c>
      <c r="C65" s="14">
        <v>508.0</v>
      </c>
      <c r="D65" s="14">
        <v>527.0</v>
      </c>
      <c r="E65" s="14">
        <v>345.0</v>
      </c>
      <c r="F65" s="14">
        <v>351.0</v>
      </c>
      <c r="G65" s="14">
        <v>381.0</v>
      </c>
      <c r="H65" s="14">
        <v>380.0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 ht="15.0" customHeight="1">
      <c r="A66" s="13" t="s">
        <v>203</v>
      </c>
      <c r="B66" s="15"/>
      <c r="C66" s="14">
        <v>120.0</v>
      </c>
      <c r="D66" s="16">
        <v>1.0</v>
      </c>
      <c r="E66" s="16">
        <v>4.0</v>
      </c>
      <c r="F66" s="16">
        <v>7.0</v>
      </c>
      <c r="G66" s="16">
        <v>15.0</v>
      </c>
      <c r="H66" s="16">
        <v>11.0</v>
      </c>
      <c r="I66" s="16">
        <v>2.0</v>
      </c>
      <c r="J66" s="16">
        <v>9.0</v>
      </c>
      <c r="K66" s="16">
        <v>21.0</v>
      </c>
      <c r="L66" s="16">
        <v>50.0</v>
      </c>
      <c r="M66" s="16">
        <v>9.0</v>
      </c>
      <c r="N66" s="15">
        <v>0.0</v>
      </c>
      <c r="O66" s="15">
        <v>0.0</v>
      </c>
      <c r="P66" s="15"/>
      <c r="Q66" s="16">
        <v>10.0</v>
      </c>
      <c r="R66" s="16">
        <v>23.0</v>
      </c>
    </row>
    <row r="67" ht="15.0" customHeight="1">
      <c r="A67" s="13" t="s">
        <v>204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6">
        <v>51.0</v>
      </c>
      <c r="R67" s="16">
        <v>19.0</v>
      </c>
    </row>
    <row r="68" ht="15.0" customHeight="1">
      <c r="A68" s="13" t="s">
        <v>205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6">
        <v>36.0</v>
      </c>
      <c r="R68" s="16">
        <v>32.0</v>
      </c>
    </row>
    <row r="69" ht="15.0" customHeight="1">
      <c r="A69" s="13" t="s">
        <v>206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6">
        <v>41.0</v>
      </c>
      <c r="R69" s="16">
        <v>37.0</v>
      </c>
    </row>
    <row r="70" ht="15.0" customHeight="1">
      <c r="A70" s="13" t="s">
        <v>207</v>
      </c>
      <c r="B70" s="14">
        <v>270.0</v>
      </c>
      <c r="C70" s="14">
        <v>417.0</v>
      </c>
      <c r="D70" s="14">
        <v>289.0</v>
      </c>
      <c r="E70" s="14">
        <v>142.0</v>
      </c>
      <c r="F70" s="14">
        <v>173.0</v>
      </c>
      <c r="G70" s="16">
        <v>38.0</v>
      </c>
      <c r="H70" s="16">
        <v>99.0</v>
      </c>
      <c r="I70" s="14">
        <v>100.0</v>
      </c>
      <c r="J70" s="14">
        <v>118.0</v>
      </c>
      <c r="K70" s="14">
        <v>121.0</v>
      </c>
      <c r="L70" s="14">
        <v>106.0</v>
      </c>
      <c r="M70" s="14">
        <v>106.0</v>
      </c>
      <c r="N70" s="14">
        <v>101.0</v>
      </c>
      <c r="O70" s="16">
        <v>94.0</v>
      </c>
      <c r="P70" s="15"/>
      <c r="Q70" s="15"/>
      <c r="R70" s="15"/>
    </row>
    <row r="71" ht="15.0" customHeight="1">
      <c r="A71" s="17" t="s">
        <v>208</v>
      </c>
      <c r="B71" s="18">
        <v>6542.0</v>
      </c>
      <c r="C71" s="18">
        <v>6563.0</v>
      </c>
      <c r="D71" s="18">
        <v>5998.0</v>
      </c>
      <c r="E71" s="18">
        <v>5194.0</v>
      </c>
      <c r="F71" s="18">
        <v>5143.0</v>
      </c>
      <c r="G71" s="18">
        <v>4858.0</v>
      </c>
      <c r="H71" s="18">
        <v>4675.0</v>
      </c>
      <c r="I71" s="18">
        <v>4053.0</v>
      </c>
      <c r="J71" s="18">
        <v>3448.0</v>
      </c>
      <c r="K71" s="18">
        <v>2832.0</v>
      </c>
      <c r="L71" s="18">
        <v>2486.0</v>
      </c>
      <c r="M71" s="18">
        <v>2263.0</v>
      </c>
      <c r="N71" s="18">
        <v>2150.0</v>
      </c>
      <c r="O71" s="18">
        <v>2055.0</v>
      </c>
      <c r="P71" s="18">
        <v>1936.0</v>
      </c>
      <c r="Q71" s="18">
        <v>2005.0</v>
      </c>
      <c r="R71" s="18">
        <v>1973.0</v>
      </c>
    </row>
    <row r="72" ht="15.0" customHeight="1">
      <c r="A72" s="17" t="s">
        <v>209</v>
      </c>
      <c r="B72" s="18">
        <v>9670.0</v>
      </c>
      <c r="C72" s="18">
        <v>9584.0</v>
      </c>
      <c r="D72" s="18">
        <v>9115.0</v>
      </c>
      <c r="E72" s="18">
        <v>8114.0</v>
      </c>
      <c r="F72" s="18">
        <v>7166.0</v>
      </c>
      <c r="G72" s="18">
        <v>7003.0</v>
      </c>
      <c r="H72" s="18">
        <v>6744.0</v>
      </c>
      <c r="I72" s="18">
        <v>5951.0</v>
      </c>
      <c r="J72" s="18">
        <v>5333.0</v>
      </c>
      <c r="K72" s="18">
        <v>4671.0</v>
      </c>
      <c r="L72" s="18">
        <v>4169.0</v>
      </c>
      <c r="M72" s="18">
        <v>3748.0</v>
      </c>
      <c r="N72" s="18">
        <v>3427.0</v>
      </c>
      <c r="O72" s="18">
        <v>3466.0</v>
      </c>
      <c r="P72" s="18">
        <v>3655.0</v>
      </c>
      <c r="Q72" s="18">
        <v>3561.0</v>
      </c>
      <c r="R72" s="18">
        <v>3434.0</v>
      </c>
    </row>
    <row r="73" ht="15.0" customHeight="1">
      <c r="A73" s="13" t="s">
        <v>210</v>
      </c>
      <c r="B73" s="14">
        <v>463.0</v>
      </c>
      <c r="C73" s="14">
        <f>288-C75</f>
        <v>176</v>
      </c>
      <c r="D73" s="14">
        <f>246-D75</f>
        <v>151</v>
      </c>
      <c r="E73" s="14">
        <f>702-E75</f>
        <v>658</v>
      </c>
      <c r="F73" s="14">
        <v>224.0</v>
      </c>
      <c r="G73" s="14">
        <v>623.0</v>
      </c>
      <c r="H73" s="14">
        <v>608.0</v>
      </c>
      <c r="I73" s="14">
        <v>272.0</v>
      </c>
      <c r="J73" s="14">
        <v>283.0</v>
      </c>
      <c r="K73" s="16">
        <v>61.0</v>
      </c>
      <c r="L73" s="16">
        <v>9.0</v>
      </c>
      <c r="M73" s="16">
        <v>8.0</v>
      </c>
      <c r="N73" s="16">
        <v>6.0</v>
      </c>
      <c r="O73" s="16">
        <v>6.0</v>
      </c>
      <c r="P73" s="16">
        <v>20.0</v>
      </c>
      <c r="Q73" s="16">
        <v>23.0</v>
      </c>
      <c r="R73" s="16">
        <v>19.0</v>
      </c>
    </row>
    <row r="74" ht="15.0" customHeight="1">
      <c r="A74" s="13" t="s">
        <v>211</v>
      </c>
      <c r="B74" s="15"/>
      <c r="C74" s="14">
        <v>176.0</v>
      </c>
      <c r="D74" s="14">
        <v>151.0</v>
      </c>
      <c r="E74" s="14">
        <v>658.0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 ht="15.0" customHeight="1">
      <c r="A75" s="13" t="s">
        <v>212</v>
      </c>
      <c r="B75" s="15"/>
      <c r="C75" s="14">
        <v>112.0</v>
      </c>
      <c r="D75" s="16">
        <v>95.0</v>
      </c>
      <c r="E75" s="16">
        <v>44.0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 ht="15.0" customHeight="1">
      <c r="A76" s="13" t="s">
        <v>213</v>
      </c>
      <c r="B76" s="15"/>
      <c r="C76" s="14">
        <v>178.0</v>
      </c>
      <c r="D76" s="14">
        <v>198.0</v>
      </c>
      <c r="E76" s="14">
        <v>217.0</v>
      </c>
      <c r="F76" s="14">
        <v>195.0</v>
      </c>
      <c r="G76" s="14">
        <v>135.0</v>
      </c>
      <c r="H76" s="16">
        <v>79.0</v>
      </c>
      <c r="I76" s="14">
        <v>111.0</v>
      </c>
      <c r="J76" s="14">
        <v>134.0</v>
      </c>
      <c r="K76" s="14">
        <v>136.0</v>
      </c>
      <c r="L76" s="16">
        <v>47.0</v>
      </c>
      <c r="M76" s="16">
        <v>58.0</v>
      </c>
      <c r="N76" s="14">
        <v>101.0</v>
      </c>
      <c r="O76" s="16">
        <v>99.0</v>
      </c>
      <c r="P76" s="16">
        <v>62.0</v>
      </c>
      <c r="Q76" s="16">
        <v>23.0</v>
      </c>
      <c r="R76" s="16">
        <v>8.0</v>
      </c>
    </row>
    <row r="77" ht="15.0" customHeight="1">
      <c r="A77" s="13" t="s">
        <v>214</v>
      </c>
      <c r="B77" s="15"/>
      <c r="C77" s="14">
        <v>1403.0</v>
      </c>
      <c r="D77" s="14">
        <v>1360.0</v>
      </c>
      <c r="E77" s="14">
        <v>1085.0</v>
      </c>
      <c r="F77" s="14">
        <v>864.0</v>
      </c>
      <c r="G77" s="14">
        <v>795.0</v>
      </c>
      <c r="H77" s="14">
        <v>880.0</v>
      </c>
      <c r="I77" s="14">
        <v>861.0</v>
      </c>
      <c r="J77" s="14">
        <v>900.0</v>
      </c>
      <c r="K77" s="14">
        <v>937.0</v>
      </c>
      <c r="L77" s="14">
        <v>842.0</v>
      </c>
      <c r="M77" s="14">
        <v>753.0</v>
      </c>
      <c r="N77" s="14">
        <v>549.0</v>
      </c>
      <c r="O77" s="14">
        <v>499.0</v>
      </c>
      <c r="P77" s="14">
        <v>511.0</v>
      </c>
      <c r="Q77" s="15"/>
      <c r="R77" s="15"/>
    </row>
    <row r="78" ht="15.0" customHeight="1">
      <c r="A78" s="13" t="s">
        <v>215</v>
      </c>
      <c r="B78" s="15"/>
      <c r="C78" s="14">
        <v>551.0</v>
      </c>
      <c r="D78" s="14">
        <v>560.0</v>
      </c>
      <c r="E78" s="14">
        <v>497.0</v>
      </c>
      <c r="F78" s="14">
        <v>435.0</v>
      </c>
      <c r="G78" s="14">
        <v>361.0</v>
      </c>
      <c r="H78" s="14">
        <v>405.0</v>
      </c>
      <c r="I78" s="14">
        <v>399.0</v>
      </c>
      <c r="J78" s="14">
        <v>456.0</v>
      </c>
      <c r="K78" s="14">
        <v>457.0</v>
      </c>
      <c r="L78" s="14">
        <v>353.0</v>
      </c>
      <c r="M78" s="14">
        <v>326.0</v>
      </c>
      <c r="N78" s="14">
        <v>280.0</v>
      </c>
      <c r="O78" s="15"/>
      <c r="P78" s="15"/>
      <c r="Q78" s="14">
        <v>264.0</v>
      </c>
      <c r="R78" s="14">
        <v>234.0</v>
      </c>
    </row>
    <row r="79" ht="15.0" customHeight="1">
      <c r="A79" s="13" t="s">
        <v>216</v>
      </c>
      <c r="B79" s="15"/>
      <c r="C79" s="14">
        <v>397.0</v>
      </c>
      <c r="D79" s="14">
        <v>458.0</v>
      </c>
      <c r="E79" s="14">
        <v>405.0</v>
      </c>
      <c r="F79" s="14">
        <v>324.0</v>
      </c>
      <c r="G79" s="14">
        <v>273.0</v>
      </c>
      <c r="H79" s="14">
        <v>316.0</v>
      </c>
      <c r="I79" s="14">
        <v>319.0</v>
      </c>
      <c r="J79" s="14">
        <v>306.0</v>
      </c>
      <c r="K79" s="14">
        <v>302.0</v>
      </c>
      <c r="L79" s="14">
        <v>216.0</v>
      </c>
      <c r="M79" s="14">
        <v>192.0</v>
      </c>
      <c r="N79" s="14">
        <v>179.0</v>
      </c>
      <c r="O79" s="15"/>
      <c r="P79" s="15"/>
      <c r="Q79" s="14">
        <v>110.0</v>
      </c>
      <c r="R79" s="14">
        <v>142.0</v>
      </c>
    </row>
    <row r="80" ht="15.0" customHeight="1">
      <c r="A80" s="13" t="s">
        <v>217</v>
      </c>
      <c r="B80" s="15"/>
      <c r="C80" s="16">
        <v>83.0</v>
      </c>
      <c r="D80" s="16">
        <v>78.0</v>
      </c>
      <c r="E80" s="16">
        <v>75.0</v>
      </c>
      <c r="F80" s="16">
        <v>72.0</v>
      </c>
      <c r="G80" s="16">
        <v>67.0</v>
      </c>
      <c r="H80" s="16">
        <v>61.0</v>
      </c>
      <c r="I80" s="16">
        <v>63.0</v>
      </c>
      <c r="J80" s="16">
        <v>61.0</v>
      </c>
      <c r="K80" s="16">
        <v>58.0</v>
      </c>
      <c r="L80" s="16">
        <v>59.0</v>
      </c>
      <c r="M80" s="16">
        <v>58.0</v>
      </c>
      <c r="N80" s="16">
        <v>54.0</v>
      </c>
      <c r="O80" s="15"/>
      <c r="P80" s="15"/>
      <c r="Q80" s="15"/>
      <c r="R80" s="15"/>
    </row>
    <row r="81" ht="15.0" customHeight="1">
      <c r="A81" s="13" t="s">
        <v>218</v>
      </c>
      <c r="B81" s="14">
        <v>1218.0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6">
        <v>44.0</v>
      </c>
      <c r="R81" s="16">
        <v>46.0</v>
      </c>
    </row>
    <row r="82" ht="15.0" customHeight="1">
      <c r="A82" s="13" t="s">
        <v>219</v>
      </c>
      <c r="B82" s="16">
        <v>50.0</v>
      </c>
      <c r="C82" s="14">
        <v>363.0</v>
      </c>
      <c r="D82" s="14">
        <v>255.0</v>
      </c>
      <c r="E82" s="14">
        <v>102.0</v>
      </c>
      <c r="F82" s="16">
        <v>32.0</v>
      </c>
      <c r="G82" s="16">
        <v>93.0</v>
      </c>
      <c r="H82" s="16">
        <v>95.0</v>
      </c>
      <c r="I82" s="16">
        <v>79.0</v>
      </c>
      <c r="J82" s="16">
        <v>75.0</v>
      </c>
      <c r="K82" s="14">
        <v>118.0</v>
      </c>
      <c r="L82" s="14">
        <v>212.0</v>
      </c>
      <c r="M82" s="14">
        <v>175.0</v>
      </c>
      <c r="N82" s="16">
        <v>31.0</v>
      </c>
      <c r="O82" s="15"/>
      <c r="P82" s="15"/>
      <c r="Q82" s="15"/>
      <c r="R82" s="15"/>
    </row>
    <row r="83" ht="15.0" customHeight="1">
      <c r="A83" s="13" t="s">
        <v>218</v>
      </c>
      <c r="B83" s="14">
        <v>1168.0</v>
      </c>
      <c r="C83" s="16">
        <v>9.0</v>
      </c>
      <c r="D83" s="16">
        <v>9.0</v>
      </c>
      <c r="E83" s="16">
        <v>6.0</v>
      </c>
      <c r="F83" s="16">
        <v>1.0</v>
      </c>
      <c r="G83" s="16">
        <v>1.0</v>
      </c>
      <c r="H83" s="16">
        <v>3.0</v>
      </c>
      <c r="I83" s="16">
        <v>1.0</v>
      </c>
      <c r="J83" s="16">
        <v>2.0</v>
      </c>
      <c r="K83" s="16">
        <v>2.0</v>
      </c>
      <c r="L83" s="16">
        <v>2.0</v>
      </c>
      <c r="M83" s="16">
        <v>2.0</v>
      </c>
      <c r="N83" s="16">
        <v>5.0</v>
      </c>
      <c r="O83" s="15"/>
      <c r="P83" s="15"/>
      <c r="Q83" s="15"/>
      <c r="R83" s="15"/>
    </row>
    <row r="84" ht="15.0" customHeight="1">
      <c r="A84" s="17" t="s">
        <v>220</v>
      </c>
      <c r="B84" s="18">
        <v>1681.0</v>
      </c>
      <c r="C84" s="18">
        <v>1869.0</v>
      </c>
      <c r="D84" s="18">
        <v>1804.0</v>
      </c>
      <c r="E84" s="18">
        <v>2004.0</v>
      </c>
      <c r="F84" s="18">
        <v>1283.0</v>
      </c>
      <c r="G84" s="18">
        <v>1553.0</v>
      </c>
      <c r="H84" s="18">
        <v>1567.0</v>
      </c>
      <c r="I84" s="18">
        <v>1244.0</v>
      </c>
      <c r="J84" s="18">
        <v>1317.0</v>
      </c>
      <c r="K84" s="18">
        <v>1134.0</v>
      </c>
      <c r="L84" s="18">
        <v>898.0</v>
      </c>
      <c r="M84" s="18">
        <v>819.0</v>
      </c>
      <c r="N84" s="18">
        <v>656.0</v>
      </c>
      <c r="O84" s="18">
        <v>604.0</v>
      </c>
      <c r="P84" s="18">
        <v>593.0</v>
      </c>
      <c r="Q84" s="18">
        <v>464.0</v>
      </c>
      <c r="R84" s="18">
        <v>449.0</v>
      </c>
    </row>
    <row r="85" ht="15.0" customHeight="1">
      <c r="A85" s="25" t="s">
        <v>221</v>
      </c>
      <c r="B85" s="14">
        <v>1718.0</v>
      </c>
      <c r="C85" s="14">
        <v>2035.0</v>
      </c>
      <c r="D85" s="14">
        <v>2016.0</v>
      </c>
      <c r="E85" s="14">
        <v>1370.0</v>
      </c>
      <c r="F85" s="14">
        <v>1320.0</v>
      </c>
      <c r="G85" s="14">
        <v>1381.0</v>
      </c>
      <c r="H85" s="14">
        <v>1419.0</v>
      </c>
      <c r="I85" s="14">
        <v>1115.0</v>
      </c>
      <c r="J85" s="14">
        <v>743.0</v>
      </c>
      <c r="K85" s="14">
        <v>525.0</v>
      </c>
      <c r="L85" s="14">
        <v>802.0</v>
      </c>
      <c r="M85" s="14">
        <v>784.0</v>
      </c>
      <c r="N85" s="14">
        <v>774.0</v>
      </c>
      <c r="O85" s="14">
        <v>992.0</v>
      </c>
      <c r="P85" s="14">
        <v>1788.0</v>
      </c>
      <c r="Q85" s="14">
        <v>1862.0</v>
      </c>
      <c r="R85" s="14">
        <v>1403.0</v>
      </c>
    </row>
    <row r="86" ht="15.0" customHeight="1">
      <c r="A86" s="13" t="s">
        <v>222</v>
      </c>
      <c r="B86" s="15"/>
      <c r="C86" s="14">
        <v>1593.0</v>
      </c>
      <c r="D86" s="14">
        <v>1548.0</v>
      </c>
      <c r="E86" s="14">
        <v>1043.0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 ht="15.0" customHeight="1">
      <c r="A87" s="13" t="s">
        <v>223</v>
      </c>
      <c r="B87" s="15"/>
      <c r="C87" s="14">
        <v>442.0</v>
      </c>
      <c r="D87" s="14">
        <v>468.0</v>
      </c>
      <c r="E87" s="14">
        <v>327.0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 ht="15.0" customHeight="1">
      <c r="A88" s="13" t="s">
        <v>224</v>
      </c>
      <c r="B88" s="15"/>
      <c r="C88" s="14">
        <v>148.0</v>
      </c>
      <c r="D88" s="14">
        <v>130.0</v>
      </c>
      <c r="E88" s="14">
        <v>136.0</v>
      </c>
      <c r="F88" s="14">
        <v>197.0</v>
      </c>
      <c r="G88" s="14">
        <v>167.0</v>
      </c>
      <c r="H88" s="16">
        <v>80.0</v>
      </c>
      <c r="I88" s="16">
        <v>51.0</v>
      </c>
      <c r="J88" s="16">
        <v>80.0</v>
      </c>
      <c r="K88" s="16">
        <v>53.0</v>
      </c>
      <c r="L88" s="16">
        <v>1.0</v>
      </c>
      <c r="M88" s="16">
        <v>7.0</v>
      </c>
      <c r="N88" s="16">
        <v>78.0</v>
      </c>
      <c r="O88" s="14">
        <v>112.0</v>
      </c>
      <c r="P88" s="14">
        <v>134.0</v>
      </c>
      <c r="Q88" s="14">
        <v>183.0</v>
      </c>
      <c r="R88" s="14">
        <v>160.0</v>
      </c>
    </row>
    <row r="89" ht="15.0" customHeight="1">
      <c r="A89" s="13" t="s">
        <v>225</v>
      </c>
      <c r="B89" s="14">
        <v>393.0</v>
      </c>
      <c r="C89" s="14">
        <v>442.0</v>
      </c>
      <c r="D89" s="14">
        <v>271.0</v>
      </c>
      <c r="E89" s="14">
        <v>159.0</v>
      </c>
      <c r="F89" s="16">
        <v>60.0</v>
      </c>
      <c r="G89" s="14">
        <v>124.0</v>
      </c>
      <c r="H89" s="14">
        <v>214.0</v>
      </c>
      <c r="I89" s="14">
        <v>220.0</v>
      </c>
      <c r="J89" s="14">
        <v>197.0</v>
      </c>
      <c r="K89" s="14">
        <v>246.0</v>
      </c>
      <c r="L89" s="14">
        <v>407.0</v>
      </c>
      <c r="M89" s="14">
        <v>189.0</v>
      </c>
      <c r="N89" s="16">
        <v>63.0</v>
      </c>
      <c r="O89" s="16">
        <v>56.0</v>
      </c>
      <c r="P89" s="16">
        <v>52.0</v>
      </c>
      <c r="Q89" s="15">
        <v>0.0</v>
      </c>
      <c r="R89" s="16">
        <v>4.0</v>
      </c>
    </row>
    <row r="90" ht="15.0" customHeight="1">
      <c r="A90" s="13" t="s">
        <v>226</v>
      </c>
      <c r="B90" s="15"/>
      <c r="C90" s="14">
        <v>104.0</v>
      </c>
      <c r="D90" s="16">
        <v>92.0</v>
      </c>
      <c r="E90" s="16">
        <v>14.0</v>
      </c>
      <c r="F90" s="16">
        <v>29.0</v>
      </c>
      <c r="G90" s="16">
        <v>90.0</v>
      </c>
      <c r="H90" s="16">
        <v>96.0</v>
      </c>
      <c r="I90" s="16">
        <v>79.0</v>
      </c>
      <c r="J90" s="16">
        <v>85.0</v>
      </c>
      <c r="K90" s="16">
        <v>96.0</v>
      </c>
      <c r="L90" s="14">
        <v>104.0</v>
      </c>
      <c r="M90" s="16">
        <v>64.0</v>
      </c>
      <c r="N90" s="16">
        <v>44.0</v>
      </c>
      <c r="O90" s="15"/>
      <c r="P90" s="15"/>
      <c r="Q90" s="16">
        <v>38.0</v>
      </c>
      <c r="R90" s="16">
        <v>63.0</v>
      </c>
    </row>
    <row r="91" ht="15.0" customHeight="1">
      <c r="A91" s="13" t="s">
        <v>227</v>
      </c>
      <c r="B91" s="16">
        <v>68.0</v>
      </c>
      <c r="C91" s="14">
        <v>336.0</v>
      </c>
      <c r="D91" s="14">
        <v>176.0</v>
      </c>
      <c r="E91" s="14">
        <v>144.0</v>
      </c>
      <c r="F91" s="16">
        <v>30.0</v>
      </c>
      <c r="G91" s="16">
        <v>29.0</v>
      </c>
      <c r="H91" s="14">
        <v>111.0</v>
      </c>
      <c r="I91" s="14">
        <v>116.0</v>
      </c>
      <c r="J91" s="16">
        <v>61.0</v>
      </c>
      <c r="K91" s="16">
        <v>72.0</v>
      </c>
      <c r="L91" s="14">
        <v>258.0</v>
      </c>
      <c r="M91" s="16">
        <v>95.0</v>
      </c>
      <c r="N91" s="16">
        <v>15.0</v>
      </c>
      <c r="O91" s="15"/>
      <c r="P91" s="15"/>
      <c r="Q91" s="15"/>
      <c r="R91" s="15"/>
    </row>
    <row r="92" ht="15.0" customHeight="1">
      <c r="A92" s="13" t="s">
        <v>228</v>
      </c>
      <c r="B92" s="15"/>
      <c r="C92" s="16">
        <v>2.0</v>
      </c>
      <c r="D92" s="16">
        <v>3.0</v>
      </c>
      <c r="E92" s="16">
        <v>1.0</v>
      </c>
      <c r="F92" s="16">
        <v>1.0</v>
      </c>
      <c r="G92" s="16">
        <v>2.0</v>
      </c>
      <c r="H92" s="16">
        <v>2.0</v>
      </c>
      <c r="I92" s="16">
        <v>2.0</v>
      </c>
      <c r="J92" s="16">
        <v>10.0</v>
      </c>
      <c r="K92" s="16">
        <v>9.0</v>
      </c>
      <c r="L92" s="16">
        <v>20.0</v>
      </c>
      <c r="M92" s="15"/>
      <c r="N92" s="15"/>
      <c r="O92" s="15"/>
      <c r="P92" s="15"/>
      <c r="Q92" s="15"/>
      <c r="R92" s="15"/>
    </row>
    <row r="93" ht="15.0" customHeight="1">
      <c r="A93" s="13" t="s">
        <v>229</v>
      </c>
      <c r="B93" s="14">
        <v>325.0</v>
      </c>
      <c r="C93" s="15"/>
      <c r="D93" s="15"/>
      <c r="E93" s="15"/>
      <c r="F93" s="15">
        <v>0.0</v>
      </c>
      <c r="G93" s="16">
        <v>3.0</v>
      </c>
      <c r="H93" s="16">
        <v>5.0</v>
      </c>
      <c r="I93" s="16">
        <v>23.0</v>
      </c>
      <c r="J93" s="16">
        <v>41.0</v>
      </c>
      <c r="K93" s="16">
        <v>69.0</v>
      </c>
      <c r="L93" s="16">
        <v>25.0</v>
      </c>
      <c r="M93" s="16">
        <v>30.0</v>
      </c>
      <c r="N93" s="16">
        <v>4.0</v>
      </c>
      <c r="O93" s="15"/>
      <c r="P93" s="15"/>
      <c r="Q93" s="15"/>
      <c r="R93" s="15"/>
    </row>
    <row r="94" ht="15.0" customHeight="1">
      <c r="A94" s="17" t="s">
        <v>230</v>
      </c>
      <c r="B94" s="18">
        <v>2111.0</v>
      </c>
      <c r="C94" s="18">
        <v>2625.0</v>
      </c>
      <c r="D94" s="18">
        <v>2417.0</v>
      </c>
      <c r="E94" s="18">
        <v>1665.0</v>
      </c>
      <c r="F94" s="18">
        <v>1577.0</v>
      </c>
      <c r="G94" s="18">
        <v>1672.0</v>
      </c>
      <c r="H94" s="18">
        <v>1713.0</v>
      </c>
      <c r="I94" s="18">
        <v>1386.0</v>
      </c>
      <c r="J94" s="18">
        <v>1020.0</v>
      </c>
      <c r="K94" s="18">
        <v>824.0</v>
      </c>
      <c r="L94" s="18">
        <v>1210.0</v>
      </c>
      <c r="M94" s="18">
        <v>980.0</v>
      </c>
      <c r="N94" s="18">
        <v>915.0</v>
      </c>
      <c r="O94" s="18">
        <v>1160.0</v>
      </c>
      <c r="P94" s="18">
        <v>1974.0</v>
      </c>
      <c r="Q94" s="18">
        <v>2083.0</v>
      </c>
      <c r="R94" s="18">
        <v>1630.0</v>
      </c>
    </row>
    <row r="95" ht="15.0" customHeight="1">
      <c r="A95" s="17" t="s">
        <v>231</v>
      </c>
      <c r="B95" s="18">
        <v>3792.0</v>
      </c>
      <c r="C95" s="18">
        <v>4494.0</v>
      </c>
      <c r="D95" s="18">
        <v>4221.0</v>
      </c>
      <c r="E95" s="18">
        <v>3669.0</v>
      </c>
      <c r="F95" s="18">
        <v>2860.0</v>
      </c>
      <c r="G95" s="18">
        <v>3225.0</v>
      </c>
      <c r="H95" s="18">
        <v>3280.0</v>
      </c>
      <c r="I95" s="18">
        <v>2630.0</v>
      </c>
      <c r="J95" s="18">
        <v>2337.0</v>
      </c>
      <c r="K95" s="18">
        <v>1958.0</v>
      </c>
      <c r="L95" s="18">
        <v>2108.0</v>
      </c>
      <c r="M95" s="18">
        <v>1799.0</v>
      </c>
      <c r="N95" s="18">
        <v>1571.0</v>
      </c>
      <c r="O95" s="18">
        <v>1764.0</v>
      </c>
      <c r="P95" s="18">
        <v>2567.0</v>
      </c>
      <c r="Q95" s="18">
        <v>2547.0</v>
      </c>
      <c r="R95" s="18">
        <v>2079.0</v>
      </c>
    </row>
    <row r="96" ht="15.0" customHeight="1">
      <c r="A96" s="13" t="s">
        <v>232</v>
      </c>
      <c r="B96" s="14">
        <v>5853.0</v>
      </c>
      <c r="C96" s="14">
        <v>5041.0</v>
      </c>
      <c r="D96" s="14">
        <v>4855.0</v>
      </c>
      <c r="E96" s="14">
        <v>4394.0</v>
      </c>
      <c r="F96" s="14">
        <v>4222.0</v>
      </c>
      <c r="G96" s="14">
        <v>3668.0</v>
      </c>
      <c r="H96" s="14">
        <v>3306.0</v>
      </c>
      <c r="I96" s="14">
        <v>3123.0</v>
      </c>
      <c r="J96" s="14">
        <v>2889.0</v>
      </c>
      <c r="K96" s="14">
        <v>2679.0</v>
      </c>
      <c r="L96" s="14">
        <v>2056.0</v>
      </c>
      <c r="M96" s="14">
        <v>1941.0</v>
      </c>
      <c r="N96" s="14">
        <v>1847.0</v>
      </c>
      <c r="O96" s="14">
        <v>1691.0</v>
      </c>
      <c r="P96" s="14">
        <v>1074.0</v>
      </c>
      <c r="Q96" s="14">
        <v>998.0</v>
      </c>
      <c r="R96" s="14">
        <v>1335.0</v>
      </c>
    </row>
    <row r="97" ht="15.0" customHeight="1">
      <c r="A97" s="13" t="s">
        <v>233</v>
      </c>
      <c r="B97" s="15"/>
      <c r="C97" s="14">
        <v>100.0</v>
      </c>
      <c r="D97" s="14">
        <v>100.0</v>
      </c>
      <c r="E97" s="14">
        <v>100.0</v>
      </c>
      <c r="F97" s="14">
        <v>100.0</v>
      </c>
      <c r="G97" s="14">
        <v>100.0</v>
      </c>
      <c r="H97" s="14">
        <v>100.0</v>
      </c>
      <c r="I97" s="14">
        <v>100.0</v>
      </c>
      <c r="J97" s="14">
        <v>100.0</v>
      </c>
      <c r="K97" s="14">
        <v>100.0</v>
      </c>
      <c r="L97" s="16">
        <v>99.0</v>
      </c>
      <c r="M97" s="16">
        <v>99.0</v>
      </c>
      <c r="N97" s="16">
        <v>99.0</v>
      </c>
      <c r="O97" s="14">
        <v>100.0</v>
      </c>
      <c r="P97" s="15">
        <v>0.0</v>
      </c>
      <c r="Q97" s="15"/>
      <c r="R97" s="15"/>
    </row>
    <row r="98" ht="15.0" customHeight="1">
      <c r="A98" s="13" t="s">
        <v>234</v>
      </c>
      <c r="B98" s="15"/>
      <c r="C98" s="14">
        <v>1346.0</v>
      </c>
      <c r="D98" s="14">
        <v>1346.0</v>
      </c>
      <c r="E98" s="14">
        <v>1346.0</v>
      </c>
      <c r="F98" s="14">
        <v>1346.0</v>
      </c>
      <c r="G98" s="14">
        <v>1346.0</v>
      </c>
      <c r="H98" s="14">
        <v>1346.0</v>
      </c>
      <c r="I98" s="14">
        <v>1346.0</v>
      </c>
      <c r="J98" s="14">
        <v>1346.0</v>
      </c>
      <c r="K98" s="14">
        <v>1346.0</v>
      </c>
      <c r="L98" s="14">
        <v>1346.0</v>
      </c>
      <c r="M98" s="14">
        <v>1346.0</v>
      </c>
      <c r="N98" s="14">
        <v>1346.0</v>
      </c>
      <c r="O98" s="14">
        <v>1346.0</v>
      </c>
      <c r="P98" s="15"/>
      <c r="Q98" s="15"/>
      <c r="R98" s="15"/>
    </row>
    <row r="99" ht="15.0" customHeight="1">
      <c r="A99" s="13" t="s">
        <v>235</v>
      </c>
      <c r="B99" s="15"/>
      <c r="C99" s="14">
        <v>1025.0</v>
      </c>
      <c r="D99" s="14">
        <v>953.0</v>
      </c>
      <c r="E99" s="14">
        <v>881.0</v>
      </c>
      <c r="F99" s="14">
        <v>822.0</v>
      </c>
      <c r="G99" s="14">
        <v>746.0</v>
      </c>
      <c r="H99" s="14">
        <v>696.0</v>
      </c>
      <c r="I99" s="14">
        <v>645.0</v>
      </c>
      <c r="J99" s="14">
        <v>418.0</v>
      </c>
      <c r="K99" s="14">
        <v>397.0</v>
      </c>
      <c r="L99" s="14">
        <v>385.0</v>
      </c>
      <c r="M99" s="14">
        <v>367.0</v>
      </c>
      <c r="N99" s="14">
        <v>308.0</v>
      </c>
      <c r="O99" s="14">
        <v>302.0</v>
      </c>
      <c r="P99" s="15">
        <v>0.0</v>
      </c>
      <c r="Q99" s="15"/>
      <c r="R99" s="15"/>
    </row>
    <row r="100" ht="15.0" customHeight="1">
      <c r="A100" s="13" t="s">
        <v>236</v>
      </c>
      <c r="B100" s="15"/>
      <c r="C100" s="14">
        <v>2934.0</v>
      </c>
      <c r="D100" s="14">
        <v>2583.0</v>
      </c>
      <c r="E100" s="14">
        <v>2129.0</v>
      </c>
      <c r="F100" s="14">
        <v>1804.0</v>
      </c>
      <c r="G100" s="14">
        <v>1479.0</v>
      </c>
      <c r="H100" s="14">
        <v>1334.0</v>
      </c>
      <c r="I100" s="14">
        <v>1204.0</v>
      </c>
      <c r="J100" s="14">
        <v>1085.0</v>
      </c>
      <c r="K100" s="14">
        <v>981.0</v>
      </c>
      <c r="L100" s="19">
        <v>-23.0</v>
      </c>
      <c r="M100" s="14">
        <v>359.0</v>
      </c>
      <c r="N100" s="14">
        <v>210.0</v>
      </c>
      <c r="O100" s="16">
        <v>7.0</v>
      </c>
      <c r="P100" s="19">
        <v>-35.0</v>
      </c>
      <c r="Q100" s="15"/>
      <c r="R100" s="15"/>
    </row>
    <row r="101" ht="15.0" customHeight="1">
      <c r="A101" s="13" t="s">
        <v>237</v>
      </c>
      <c r="B101" s="15"/>
      <c r="C101" s="20">
        <v>-851.0</v>
      </c>
      <c r="D101" s="20">
        <v>-466.0</v>
      </c>
      <c r="E101" s="20">
        <v>-312.0</v>
      </c>
      <c r="F101" s="16">
        <v>11.0</v>
      </c>
      <c r="G101" s="19">
        <v>-66.0</v>
      </c>
      <c r="H101" s="20">
        <v>-251.0</v>
      </c>
      <c r="I101" s="20">
        <v>-248.0</v>
      </c>
      <c r="J101" s="20">
        <v>-120.0</v>
      </c>
      <c r="K101" s="20">
        <v>-215.0</v>
      </c>
      <c r="L101" s="20">
        <v>-456.0</v>
      </c>
      <c r="M101" s="20">
        <v>-248.0</v>
      </c>
      <c r="N101" s="19">
        <v>-34.0</v>
      </c>
      <c r="O101" s="16">
        <v>50.0</v>
      </c>
      <c r="P101" s="16">
        <v>21.0</v>
      </c>
      <c r="Q101" s="15"/>
      <c r="R101" s="15"/>
    </row>
    <row r="102" ht="15.0" customHeight="1">
      <c r="A102" s="13" t="s">
        <v>238</v>
      </c>
      <c r="B102" s="15"/>
      <c r="C102" s="14">
        <v>371.0</v>
      </c>
      <c r="D102" s="14">
        <v>251.0</v>
      </c>
      <c r="E102" s="14">
        <v>208.0</v>
      </c>
      <c r="F102" s="16">
        <v>98.0</v>
      </c>
      <c r="G102" s="16">
        <v>77.0</v>
      </c>
      <c r="H102" s="14">
        <v>102.0</v>
      </c>
      <c r="I102" s="16">
        <v>93.0</v>
      </c>
      <c r="J102" s="16">
        <v>82.0</v>
      </c>
      <c r="K102" s="16">
        <v>86.0</v>
      </c>
      <c r="L102" s="14">
        <v>616.0</v>
      </c>
      <c r="M102" s="16">
        <v>22.0</v>
      </c>
      <c r="N102" s="19">
        <v>-86.0</v>
      </c>
      <c r="O102" s="20">
        <v>-114.0</v>
      </c>
      <c r="P102" s="19">
        <v>-69.0</v>
      </c>
      <c r="Q102" s="15"/>
      <c r="R102" s="15"/>
    </row>
    <row r="103" ht="15.0" customHeight="1">
      <c r="A103" s="13" t="s">
        <v>239</v>
      </c>
      <c r="B103" s="15"/>
      <c r="C103" s="14">
        <v>116.0</v>
      </c>
      <c r="D103" s="16">
        <v>88.0</v>
      </c>
      <c r="E103" s="16">
        <v>42.0</v>
      </c>
      <c r="F103" s="16">
        <v>41.0</v>
      </c>
      <c r="G103" s="19">
        <v>-14.0</v>
      </c>
      <c r="H103" s="19">
        <v>-21.0</v>
      </c>
      <c r="I103" s="19">
        <v>-17.0</v>
      </c>
      <c r="J103" s="19">
        <v>-22.0</v>
      </c>
      <c r="K103" s="19">
        <v>-16.0</v>
      </c>
      <c r="L103" s="16">
        <v>89.0</v>
      </c>
      <c r="M103" s="19">
        <v>-4.0</v>
      </c>
      <c r="N103" s="16">
        <v>4.0</v>
      </c>
      <c r="O103" s="15">
        <v>0.0</v>
      </c>
      <c r="P103" s="15"/>
      <c r="Q103" s="15"/>
      <c r="R103" s="15"/>
    </row>
    <row r="104" ht="15.0" customHeight="1">
      <c r="A104" s="13" t="s">
        <v>240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4">
        <v>1157.0</v>
      </c>
      <c r="Q104" s="15"/>
      <c r="R104" s="15"/>
    </row>
    <row r="105" ht="15.0" customHeight="1">
      <c r="A105" s="17" t="s">
        <v>232</v>
      </c>
      <c r="B105" s="18">
        <v>5853.0</v>
      </c>
      <c r="C105" s="18">
        <v>5041.0</v>
      </c>
      <c r="D105" s="18">
        <v>4855.0</v>
      </c>
      <c r="E105" s="18">
        <v>4394.0</v>
      </c>
      <c r="F105" s="18">
        <v>4222.0</v>
      </c>
      <c r="G105" s="18">
        <v>3668.0</v>
      </c>
      <c r="H105" s="18">
        <v>3306.0</v>
      </c>
      <c r="I105" s="18">
        <v>3123.0</v>
      </c>
      <c r="J105" s="18">
        <v>2889.0</v>
      </c>
      <c r="K105" s="18">
        <v>2679.0</v>
      </c>
      <c r="L105" s="18">
        <v>2056.0</v>
      </c>
      <c r="M105" s="18">
        <v>1941.0</v>
      </c>
      <c r="N105" s="18">
        <v>1847.0</v>
      </c>
      <c r="O105" s="18">
        <v>1691.0</v>
      </c>
      <c r="P105" s="18">
        <v>1074.0</v>
      </c>
      <c r="Q105" s="18">
        <v>998.0</v>
      </c>
      <c r="R105" s="18">
        <v>1335.0</v>
      </c>
    </row>
    <row r="106" ht="15.0" customHeight="1">
      <c r="A106" s="13" t="s">
        <v>241</v>
      </c>
      <c r="B106" s="16">
        <v>25.0</v>
      </c>
      <c r="C106" s="16">
        <v>49.0</v>
      </c>
      <c r="D106" s="16">
        <v>39.0</v>
      </c>
      <c r="E106" s="16">
        <v>51.0</v>
      </c>
      <c r="F106" s="16">
        <v>84.0</v>
      </c>
      <c r="G106" s="14">
        <v>110.0</v>
      </c>
      <c r="H106" s="14">
        <v>158.0</v>
      </c>
      <c r="I106" s="14">
        <v>198.0</v>
      </c>
      <c r="J106" s="14">
        <v>107.0</v>
      </c>
      <c r="K106" s="16">
        <v>34.0</v>
      </c>
      <c r="L106" s="16">
        <v>5.0</v>
      </c>
      <c r="M106" s="16">
        <v>8.0</v>
      </c>
      <c r="N106" s="16">
        <v>9.0</v>
      </c>
      <c r="O106" s="16">
        <v>11.0</v>
      </c>
      <c r="P106" s="16">
        <v>14.0</v>
      </c>
      <c r="Q106" s="16">
        <v>16.0</v>
      </c>
      <c r="R106" s="16">
        <v>20.0</v>
      </c>
    </row>
    <row r="107" ht="15.0" customHeight="1">
      <c r="A107" s="17" t="s">
        <v>242</v>
      </c>
      <c r="B107" s="23">
        <v>25.0</v>
      </c>
      <c r="C107" s="23">
        <v>49.0</v>
      </c>
      <c r="D107" s="23">
        <v>39.0</v>
      </c>
      <c r="E107" s="23">
        <v>51.0</v>
      </c>
      <c r="F107" s="23">
        <v>84.0</v>
      </c>
      <c r="G107" s="18">
        <v>110.0</v>
      </c>
      <c r="H107" s="18">
        <v>158.0</v>
      </c>
      <c r="I107" s="18">
        <v>198.0</v>
      </c>
      <c r="J107" s="18">
        <v>107.0</v>
      </c>
      <c r="K107" s="23">
        <v>34.0</v>
      </c>
      <c r="L107" s="23">
        <v>5.0</v>
      </c>
      <c r="M107" s="23">
        <v>8.0</v>
      </c>
      <c r="N107" s="23">
        <v>9.0</v>
      </c>
      <c r="O107" s="23">
        <v>11.0</v>
      </c>
      <c r="P107" s="23">
        <v>14.0</v>
      </c>
      <c r="Q107" s="24"/>
      <c r="R107" s="24"/>
    </row>
    <row r="108" ht="15.0" customHeight="1">
      <c r="A108" s="17" t="s">
        <v>243</v>
      </c>
      <c r="B108" s="18">
        <v>5878.0</v>
      </c>
      <c r="C108" s="18">
        <v>5090.0</v>
      </c>
      <c r="D108" s="18">
        <v>4894.0</v>
      </c>
      <c r="E108" s="18">
        <v>4445.0</v>
      </c>
      <c r="F108" s="18">
        <v>4306.0</v>
      </c>
      <c r="G108" s="18">
        <v>3778.0</v>
      </c>
      <c r="H108" s="18">
        <v>3464.0</v>
      </c>
      <c r="I108" s="18">
        <v>3321.0</v>
      </c>
      <c r="J108" s="18">
        <v>2996.0</v>
      </c>
      <c r="K108" s="18">
        <v>2713.0</v>
      </c>
      <c r="L108" s="18">
        <v>2061.0</v>
      </c>
      <c r="M108" s="18">
        <v>1949.0</v>
      </c>
      <c r="N108" s="18">
        <v>1856.0</v>
      </c>
      <c r="O108" s="18">
        <v>1702.0</v>
      </c>
      <c r="P108" s="18">
        <v>1088.0</v>
      </c>
      <c r="Q108" s="18">
        <v>1014.0</v>
      </c>
      <c r="R108" s="18">
        <v>1355.0</v>
      </c>
    </row>
    <row r="109" ht="15.0" customHeight="1">
      <c r="A109" s="17" t="s">
        <v>244</v>
      </c>
      <c r="B109" s="18">
        <v>9670.0</v>
      </c>
      <c r="C109" s="18">
        <v>9584.0</v>
      </c>
      <c r="D109" s="18">
        <v>9115.0</v>
      </c>
      <c r="E109" s="18">
        <v>8114.0</v>
      </c>
      <c r="F109" s="18">
        <v>7166.0</v>
      </c>
      <c r="G109" s="18">
        <v>7003.0</v>
      </c>
      <c r="H109" s="18">
        <v>6744.0</v>
      </c>
      <c r="I109" s="18">
        <v>5951.0</v>
      </c>
      <c r="J109" s="18">
        <v>5333.0</v>
      </c>
      <c r="K109" s="18">
        <v>4671.0</v>
      </c>
      <c r="L109" s="18">
        <v>4169.0</v>
      </c>
      <c r="M109" s="18">
        <v>3748.0</v>
      </c>
      <c r="N109" s="18">
        <v>3427.0</v>
      </c>
      <c r="O109" s="18">
        <v>3466.0</v>
      </c>
      <c r="P109" s="18">
        <v>3655.0</v>
      </c>
      <c r="Q109" s="18">
        <v>3561.0</v>
      </c>
      <c r="R109" s="18">
        <v>3434.0</v>
      </c>
    </row>
    <row r="110" ht="15.0" customHeight="1">
      <c r="A110" s="13" t="s">
        <v>245</v>
      </c>
      <c r="B110" s="14">
        <v>100.0</v>
      </c>
      <c r="C110" s="14">
        <v>100.0</v>
      </c>
      <c r="D110" s="14">
        <v>100.0</v>
      </c>
      <c r="E110" s="14">
        <v>100.0</v>
      </c>
      <c r="F110" s="14">
        <v>100.0</v>
      </c>
      <c r="G110" s="14">
        <v>100.0</v>
      </c>
      <c r="H110" s="14">
        <v>100.0</v>
      </c>
      <c r="I110" s="14">
        <v>100.0</v>
      </c>
      <c r="J110" s="14">
        <v>100.0</v>
      </c>
      <c r="K110" s="14">
        <v>100.0</v>
      </c>
      <c r="L110" s="14">
        <v>100.0</v>
      </c>
      <c r="M110" s="14">
        <v>100.0</v>
      </c>
      <c r="N110" s="14">
        <v>100.0</v>
      </c>
      <c r="O110" s="14">
        <v>100.0</v>
      </c>
      <c r="P110" s="14">
        <v>100.0</v>
      </c>
      <c r="Q110" s="14">
        <v>100.0</v>
      </c>
      <c r="R110" s="14">
        <v>100.0</v>
      </c>
    </row>
    <row r="111" ht="15.0" customHeight="1">
      <c r="A111" s="13" t="s">
        <v>246</v>
      </c>
      <c r="B111" s="16">
        <v>99.73</v>
      </c>
      <c r="C111" s="16">
        <v>99.55</v>
      </c>
      <c r="D111" s="16">
        <v>99.56</v>
      </c>
      <c r="E111" s="16">
        <v>99.57</v>
      </c>
      <c r="F111" s="16">
        <v>99.59</v>
      </c>
      <c r="G111" s="16">
        <v>99.62</v>
      </c>
      <c r="H111" s="16">
        <v>99.63</v>
      </c>
      <c r="I111" s="16">
        <v>99.55</v>
      </c>
      <c r="J111" s="16">
        <v>99.52</v>
      </c>
      <c r="K111" s="16">
        <v>99.66</v>
      </c>
      <c r="L111" s="16">
        <v>99.51</v>
      </c>
      <c r="M111" s="16">
        <v>99.22</v>
      </c>
      <c r="N111" s="16">
        <v>98.73</v>
      </c>
      <c r="O111" s="14">
        <v>100.0</v>
      </c>
      <c r="P111" s="14">
        <v>100.0</v>
      </c>
      <c r="Q111" s="14">
        <v>100.0</v>
      </c>
      <c r="R111" s="14">
        <v>100.0</v>
      </c>
    </row>
    <row r="112" ht="15.0" customHeight="1">
      <c r="A112" s="13" t="s">
        <v>247</v>
      </c>
      <c r="B112" s="16">
        <v>0.27</v>
      </c>
      <c r="C112" s="16">
        <v>0.45</v>
      </c>
      <c r="D112" s="16">
        <v>0.44</v>
      </c>
      <c r="E112" s="16">
        <v>0.43</v>
      </c>
      <c r="F112" s="16">
        <v>0.41</v>
      </c>
      <c r="G112" s="16">
        <v>0.38</v>
      </c>
      <c r="H112" s="16">
        <v>0.37</v>
      </c>
      <c r="I112" s="16">
        <v>0.45</v>
      </c>
      <c r="J112" s="16">
        <v>0.48</v>
      </c>
      <c r="K112" s="16">
        <v>0.34</v>
      </c>
      <c r="L112" s="16">
        <v>0.49</v>
      </c>
      <c r="M112" s="16">
        <v>0.78</v>
      </c>
      <c r="N112" s="16">
        <v>1.27</v>
      </c>
      <c r="O112" s="15">
        <v>0.0</v>
      </c>
      <c r="P112" s="15">
        <v>0.0</v>
      </c>
      <c r="Q112" s="15">
        <v>0.0</v>
      </c>
      <c r="R112" s="15">
        <v>0.0</v>
      </c>
    </row>
    <row r="113" ht="15.0" customHeight="1">
      <c r="A113" s="13" t="s">
        <v>248</v>
      </c>
      <c r="B113" s="15"/>
      <c r="C113" s="14">
        <v>1769.0</v>
      </c>
      <c r="D113" s="14">
        <v>1699.0</v>
      </c>
      <c r="E113" s="14">
        <v>1701.0</v>
      </c>
      <c r="F113" s="14">
        <v>1173.0</v>
      </c>
      <c r="G113" s="14">
        <v>2027.0</v>
      </c>
      <c r="H113" s="14">
        <v>1640.0</v>
      </c>
      <c r="I113" s="14">
        <v>1387.0</v>
      </c>
      <c r="J113" s="14">
        <v>1026.0</v>
      </c>
      <c r="K113" s="14">
        <v>586.0</v>
      </c>
      <c r="L113" s="14">
        <v>811.0</v>
      </c>
      <c r="M113" s="14">
        <v>792.0</v>
      </c>
      <c r="N113" s="14">
        <v>780.0</v>
      </c>
      <c r="O113" s="15"/>
      <c r="P113" s="15"/>
      <c r="Q113" s="14">
        <v>1885.0</v>
      </c>
      <c r="R113" s="14">
        <v>1422.0</v>
      </c>
    </row>
    <row r="114" ht="15.0" customHeight="1">
      <c r="A114" s="13" t="s">
        <v>249</v>
      </c>
      <c r="B114" s="15"/>
      <c r="C114" s="14">
        <v>176.0</v>
      </c>
      <c r="D114" s="14">
        <v>151.0</v>
      </c>
      <c r="E114" s="14">
        <v>658.0</v>
      </c>
      <c r="F114" s="14">
        <v>172.0</v>
      </c>
      <c r="G114" s="14">
        <v>608.0</v>
      </c>
      <c r="H114" s="14">
        <v>555.0</v>
      </c>
      <c r="I114" s="14">
        <v>272.0</v>
      </c>
      <c r="J114" s="14">
        <v>283.0</v>
      </c>
      <c r="K114" s="16">
        <v>61.0</v>
      </c>
      <c r="L114" s="16">
        <v>9.0</v>
      </c>
      <c r="M114" s="16">
        <v>8.0</v>
      </c>
      <c r="N114" s="16">
        <v>6.0</v>
      </c>
      <c r="O114" s="15"/>
      <c r="P114" s="15"/>
      <c r="Q114" s="16">
        <v>23.0</v>
      </c>
      <c r="R114" s="16">
        <v>19.0</v>
      </c>
    </row>
    <row r="115" ht="15.0" customHeight="1">
      <c r="A115" s="13" t="s">
        <v>250</v>
      </c>
      <c r="B115" s="15"/>
      <c r="C115" s="14">
        <v>637.0</v>
      </c>
      <c r="D115" s="14">
        <v>241.0</v>
      </c>
      <c r="E115" s="14">
        <v>186.0</v>
      </c>
      <c r="F115" s="14">
        <v>621.0</v>
      </c>
      <c r="G115" s="14">
        <v>325.0</v>
      </c>
      <c r="H115" s="14">
        <v>254.0</v>
      </c>
      <c r="I115" s="14">
        <v>213.0</v>
      </c>
      <c r="J115" s="14">
        <v>339.0</v>
      </c>
      <c r="K115" s="14">
        <v>307.0</v>
      </c>
      <c r="L115" s="14">
        <v>120.0</v>
      </c>
      <c r="M115" s="16">
        <v>63.0</v>
      </c>
      <c r="N115" s="14">
        <v>542.0</v>
      </c>
      <c r="O115" s="15"/>
      <c r="P115" s="15"/>
      <c r="Q115" s="16">
        <v>34.0</v>
      </c>
      <c r="R115" s="16">
        <v>37.0</v>
      </c>
    </row>
    <row r="116" ht="15.0" customHeight="1">
      <c r="A116" s="13" t="s">
        <v>251</v>
      </c>
      <c r="B116" s="15"/>
      <c r="C116" s="14">
        <v>674.0</v>
      </c>
      <c r="D116" s="14">
        <v>990.0</v>
      </c>
      <c r="E116" s="14">
        <v>482.0</v>
      </c>
      <c r="F116" s="14">
        <v>141.0</v>
      </c>
      <c r="G116" s="14">
        <v>652.0</v>
      </c>
      <c r="H116" s="14">
        <v>621.0</v>
      </c>
      <c r="I116" s="14">
        <v>645.0</v>
      </c>
      <c r="J116" s="14">
        <v>173.0</v>
      </c>
      <c r="K116" s="16">
        <v>97.0</v>
      </c>
      <c r="L116" s="14">
        <v>503.0</v>
      </c>
      <c r="M116" s="14">
        <v>504.0</v>
      </c>
      <c r="N116" s="14">
        <v>232.0</v>
      </c>
      <c r="O116" s="15"/>
      <c r="P116" s="15"/>
      <c r="Q116" s="14">
        <v>1828.0</v>
      </c>
      <c r="R116" s="16">
        <v>18.0</v>
      </c>
    </row>
    <row r="117" ht="15.0" customHeight="1">
      <c r="A117" s="13" t="s">
        <v>252</v>
      </c>
      <c r="B117" s="15"/>
      <c r="C117" s="14">
        <v>174.0</v>
      </c>
      <c r="D117" s="14">
        <v>156.0</v>
      </c>
      <c r="E117" s="14">
        <v>152.0</v>
      </c>
      <c r="F117" s="14">
        <v>239.0</v>
      </c>
      <c r="G117" s="14">
        <v>165.0</v>
      </c>
      <c r="H117" s="14">
        <v>140.0</v>
      </c>
      <c r="I117" s="14">
        <v>166.0</v>
      </c>
      <c r="J117" s="14">
        <v>147.0</v>
      </c>
      <c r="K117" s="16">
        <v>97.0</v>
      </c>
      <c r="L117" s="14">
        <v>102.0</v>
      </c>
      <c r="M117" s="16">
        <v>96.0</v>
      </c>
      <c r="N117" s="15">
        <v>0.0</v>
      </c>
      <c r="O117" s="15"/>
      <c r="P117" s="15"/>
      <c r="Q117" s="15"/>
      <c r="R117" s="14">
        <v>1348.0</v>
      </c>
    </row>
    <row r="118" ht="15.0" customHeight="1">
      <c r="A118" s="13" t="s">
        <v>253</v>
      </c>
      <c r="B118" s="15"/>
      <c r="C118" s="14">
        <v>108.0</v>
      </c>
      <c r="D118" s="14">
        <v>161.0</v>
      </c>
      <c r="E118" s="14">
        <v>223.0</v>
      </c>
      <c r="F118" s="15">
        <v>0.0</v>
      </c>
      <c r="G118" s="14">
        <v>277.0</v>
      </c>
      <c r="H118" s="16">
        <v>70.0</v>
      </c>
      <c r="I118" s="16">
        <v>91.0</v>
      </c>
      <c r="J118" s="16">
        <v>84.0</v>
      </c>
      <c r="K118" s="16">
        <v>24.0</v>
      </c>
      <c r="L118" s="16">
        <v>77.0</v>
      </c>
      <c r="M118" s="14">
        <v>121.0</v>
      </c>
      <c r="N118" s="15">
        <v>0.0</v>
      </c>
      <c r="O118" s="15"/>
      <c r="P118" s="15"/>
      <c r="Q118" s="15"/>
      <c r="R118" s="15"/>
    </row>
    <row r="119" ht="15.0" customHeight="1">
      <c r="A119" s="13" t="s">
        <v>254</v>
      </c>
      <c r="B119" s="15"/>
      <c r="C119" s="14">
        <v>733.0</v>
      </c>
      <c r="D119" s="14">
        <v>757.0</v>
      </c>
      <c r="E119" s="14">
        <v>547.0</v>
      </c>
      <c r="F119" s="14">
        <v>557.0</v>
      </c>
      <c r="G119" s="14">
        <v>595.0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</row>
    <row r="120" ht="15.0" customHeight="1">
      <c r="A120" s="13" t="s">
        <v>255</v>
      </c>
      <c r="B120" s="15"/>
      <c r="C120" s="14">
        <v>143.0</v>
      </c>
      <c r="D120" s="14">
        <v>127.0</v>
      </c>
      <c r="E120" s="16">
        <v>63.0</v>
      </c>
      <c r="F120" s="16">
        <v>71.0</v>
      </c>
      <c r="G120" s="16">
        <v>72.0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ht="15.0" customHeight="1">
      <c r="A121" s="13" t="s">
        <v>256</v>
      </c>
      <c r="B121" s="15"/>
      <c r="C121" s="15"/>
      <c r="D121" s="15"/>
      <c r="E121" s="15"/>
      <c r="F121" s="16">
        <v>50.0</v>
      </c>
      <c r="G121" s="16">
        <v>63.0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 ht="15.0" customHeight="1">
      <c r="A122" s="13" t="s">
        <v>257</v>
      </c>
      <c r="B122" s="15"/>
      <c r="C122" s="14">
        <v>195.0</v>
      </c>
      <c r="D122" s="14">
        <v>210.0</v>
      </c>
      <c r="E122" s="16">
        <v>93.0</v>
      </c>
      <c r="F122" s="16">
        <v>38.0</v>
      </c>
      <c r="G122" s="16">
        <v>43.0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ht="15.0" customHeight="1">
      <c r="A123" s="13" t="s">
        <v>258</v>
      </c>
      <c r="B123" s="15"/>
      <c r="C123" s="15"/>
      <c r="D123" s="15"/>
      <c r="E123" s="15"/>
      <c r="F123" s="16">
        <v>32.0</v>
      </c>
      <c r="G123" s="16">
        <v>33.0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 ht="15.0" customHeight="1">
      <c r="A124" s="13" t="s">
        <v>259</v>
      </c>
      <c r="B124" s="15"/>
      <c r="C124" s="16">
        <v>95.0</v>
      </c>
      <c r="D124" s="14">
        <v>101.0</v>
      </c>
      <c r="E124" s="16">
        <v>67.0</v>
      </c>
      <c r="F124" s="16">
        <v>29.0</v>
      </c>
      <c r="G124" s="16">
        <v>28.0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 ht="15.0" customHeight="1">
      <c r="A125" s="13" t="s">
        <v>260</v>
      </c>
      <c r="B125" s="15"/>
      <c r="C125" s="16">
        <v>65.0</v>
      </c>
      <c r="D125" s="16">
        <v>63.0</v>
      </c>
      <c r="E125" s="16">
        <v>26.0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 ht="15.0" customHeight="1">
      <c r="A126" s="13" t="s">
        <v>261</v>
      </c>
      <c r="B126" s="15"/>
      <c r="C126" s="14">
        <v>235.0</v>
      </c>
      <c r="D126" s="14">
        <v>256.0</v>
      </c>
      <c r="E126" s="14">
        <v>298.0</v>
      </c>
      <c r="F126" s="14">
        <v>337.0</v>
      </c>
      <c r="G126" s="14">
        <v>356.0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 ht="15.0" customHeight="1">
      <c r="A127" s="13" t="s">
        <v>262</v>
      </c>
      <c r="B127" s="16">
        <v>99.73</v>
      </c>
      <c r="C127" s="16">
        <v>99.55</v>
      </c>
      <c r="D127" s="16">
        <v>99.56</v>
      </c>
      <c r="E127" s="16">
        <v>99.57</v>
      </c>
      <c r="F127" s="16">
        <v>99.59</v>
      </c>
      <c r="G127" s="16">
        <v>99.62</v>
      </c>
      <c r="H127" s="16">
        <v>99.63</v>
      </c>
      <c r="I127" s="16">
        <v>99.55</v>
      </c>
      <c r="J127" s="16">
        <v>99.52</v>
      </c>
      <c r="K127" s="16">
        <v>99.66</v>
      </c>
      <c r="L127" s="16">
        <v>99.51</v>
      </c>
      <c r="M127" s="16">
        <v>99.22</v>
      </c>
      <c r="N127" s="16">
        <v>98.73</v>
      </c>
      <c r="O127" s="14">
        <v>100.0</v>
      </c>
      <c r="P127" s="14">
        <v>100.0</v>
      </c>
      <c r="Q127" s="14">
        <v>100.0</v>
      </c>
      <c r="R127" s="14">
        <v>100.0</v>
      </c>
    </row>
    <row r="128" ht="15.0" customHeight="1">
      <c r="A128" s="13" t="s">
        <v>263</v>
      </c>
      <c r="B128" s="14">
        <v>100.0</v>
      </c>
      <c r="C128" s="14">
        <v>100.0</v>
      </c>
      <c r="D128" s="14">
        <v>100.0</v>
      </c>
      <c r="E128" s="14">
        <v>100.0</v>
      </c>
      <c r="F128" s="14">
        <v>100.0</v>
      </c>
      <c r="G128" s="14">
        <v>100.0</v>
      </c>
      <c r="H128" s="14">
        <v>100.0</v>
      </c>
      <c r="I128" s="14">
        <v>100.0</v>
      </c>
      <c r="J128" s="14">
        <v>100.0</v>
      </c>
      <c r="K128" s="14">
        <v>100.0</v>
      </c>
      <c r="L128" s="14">
        <v>100.0</v>
      </c>
      <c r="M128" s="14">
        <v>100.0</v>
      </c>
      <c r="N128" s="14">
        <v>100.0</v>
      </c>
      <c r="O128" s="14">
        <v>100.0</v>
      </c>
      <c r="P128" s="14">
        <v>100.0</v>
      </c>
      <c r="Q128" s="14">
        <v>100.0</v>
      </c>
      <c r="R128" s="14">
        <v>100.0</v>
      </c>
    </row>
    <row r="129" ht="15.0" customHeight="1">
      <c r="A129" s="13" t="s">
        <v>264</v>
      </c>
      <c r="B129" s="16">
        <v>0.27</v>
      </c>
      <c r="C129" s="16">
        <v>0.45</v>
      </c>
      <c r="D129" s="16">
        <v>0.44</v>
      </c>
      <c r="E129" s="16">
        <v>0.43</v>
      </c>
      <c r="F129" s="16">
        <v>0.41</v>
      </c>
      <c r="G129" s="16">
        <v>0.38</v>
      </c>
      <c r="H129" s="16">
        <v>0.37</v>
      </c>
      <c r="I129" s="16">
        <v>0.45</v>
      </c>
      <c r="J129" s="16">
        <v>0.48</v>
      </c>
      <c r="K129" s="16">
        <v>0.34</v>
      </c>
      <c r="L129" s="16">
        <v>0.49</v>
      </c>
      <c r="M129" s="16">
        <v>0.78</v>
      </c>
      <c r="N129" s="16">
        <v>1.27</v>
      </c>
      <c r="O129" s="15">
        <v>0.0</v>
      </c>
      <c r="P129" s="15">
        <v>0.0</v>
      </c>
      <c r="Q129" s="15">
        <v>0.0</v>
      </c>
      <c r="R129" s="15">
        <v>0.0</v>
      </c>
    </row>
    <row r="130" ht="15.0" customHeight="1">
      <c r="A130" s="13" t="s">
        <v>265</v>
      </c>
      <c r="B130" s="16">
        <v>1.0</v>
      </c>
      <c r="C130" s="16">
        <v>1.0</v>
      </c>
      <c r="D130" s="16">
        <v>1.0</v>
      </c>
      <c r="E130" s="16">
        <v>1.0</v>
      </c>
      <c r="F130" s="16">
        <v>1.0</v>
      </c>
      <c r="G130" s="16">
        <v>1.0</v>
      </c>
      <c r="H130" s="16">
        <v>1.0</v>
      </c>
      <c r="I130" s="16">
        <v>1.0</v>
      </c>
      <c r="J130" s="16">
        <v>1.0</v>
      </c>
      <c r="K130" s="16">
        <v>1.0</v>
      </c>
      <c r="L130" s="16">
        <v>1.0</v>
      </c>
      <c r="M130" s="16">
        <v>1.0</v>
      </c>
      <c r="N130" s="16">
        <v>1.0</v>
      </c>
      <c r="O130" s="16">
        <v>1.0</v>
      </c>
      <c r="P130" s="16">
        <v>1.0</v>
      </c>
      <c r="Q130" s="16">
        <v>1.0</v>
      </c>
      <c r="R130" s="16">
        <v>1.0</v>
      </c>
    </row>
    <row r="131" ht="15.0" customHeight="1">
      <c r="A131" s="13" t="s">
        <v>266</v>
      </c>
      <c r="B131" s="15"/>
      <c r="C131" s="14">
        <v>1141.0</v>
      </c>
      <c r="D131" s="14">
        <v>1127.0</v>
      </c>
      <c r="E131" s="14">
        <v>1107.0</v>
      </c>
      <c r="F131" s="14">
        <v>1072.0</v>
      </c>
      <c r="G131" s="14">
        <v>1091.0</v>
      </c>
      <c r="H131" s="14">
        <v>1103.0</v>
      </c>
      <c r="I131" s="14">
        <v>1097.0</v>
      </c>
      <c r="J131" s="14">
        <v>1065.0</v>
      </c>
      <c r="K131" s="14">
        <v>1008.0</v>
      </c>
      <c r="L131" s="14">
        <v>1075.0</v>
      </c>
      <c r="M131" s="14">
        <v>1076.0</v>
      </c>
      <c r="N131" s="14">
        <v>1002.0</v>
      </c>
      <c r="O131" s="14">
        <v>1025.0</v>
      </c>
      <c r="P131" s="14">
        <v>1061.0</v>
      </c>
      <c r="Q131" s="14">
        <v>1083.0</v>
      </c>
      <c r="R131" s="14">
        <v>1124.0</v>
      </c>
    </row>
    <row r="132" ht="15.0" customHeight="1">
      <c r="A132" s="13" t="s">
        <v>267</v>
      </c>
      <c r="B132" s="15"/>
      <c r="C132" s="15"/>
      <c r="D132" s="15"/>
      <c r="E132" s="15"/>
      <c r="F132" s="15"/>
      <c r="G132" s="15"/>
      <c r="H132" s="16">
        <v>71.0</v>
      </c>
      <c r="I132" s="16">
        <v>98.0</v>
      </c>
      <c r="J132" s="16">
        <v>83.0</v>
      </c>
      <c r="K132" s="16">
        <v>68.0</v>
      </c>
      <c r="L132" s="16">
        <v>66.0</v>
      </c>
      <c r="M132" s="16">
        <v>49.0</v>
      </c>
      <c r="N132" s="16">
        <v>44.0</v>
      </c>
      <c r="O132" s="16">
        <v>39.0</v>
      </c>
      <c r="P132" s="16">
        <v>37.0</v>
      </c>
      <c r="Q132" s="16">
        <v>47.0</v>
      </c>
      <c r="R132" s="16">
        <v>51.0</v>
      </c>
    </row>
    <row r="133" ht="15.0" customHeight="1">
      <c r="A133" s="13" t="s">
        <v>268</v>
      </c>
      <c r="B133" s="15"/>
      <c r="C133" s="15"/>
      <c r="D133" s="15"/>
      <c r="E133" s="15"/>
      <c r="F133" s="15"/>
      <c r="G133" s="15"/>
      <c r="H133" s="16">
        <v>59.0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 ht="15.0" customHeight="1">
      <c r="A134" s="13" t="s">
        <v>269</v>
      </c>
      <c r="B134" s="15"/>
      <c r="C134" s="15"/>
      <c r="D134" s="15"/>
      <c r="E134" s="15"/>
      <c r="F134" s="15"/>
      <c r="G134" s="15"/>
      <c r="H134" s="16">
        <v>49.0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 ht="15.0" customHeight="1">
      <c r="A135" s="13" t="s">
        <v>270</v>
      </c>
      <c r="B135" s="15"/>
      <c r="C135" s="15"/>
      <c r="D135" s="15"/>
      <c r="E135" s="15"/>
      <c r="F135" s="15"/>
      <c r="G135" s="15"/>
      <c r="H135" s="16">
        <v>34.0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 ht="15.0" customHeight="1">
      <c r="A136" s="13" t="s">
        <v>271</v>
      </c>
      <c r="B136" s="15"/>
      <c r="C136" s="15"/>
      <c r="D136" s="15"/>
      <c r="E136" s="15"/>
      <c r="F136" s="15"/>
      <c r="G136" s="15"/>
      <c r="H136" s="16">
        <v>27.0</v>
      </c>
      <c r="I136" s="14">
        <v>133.0</v>
      </c>
      <c r="J136" s="14">
        <v>133.0</v>
      </c>
      <c r="K136" s="14">
        <v>110.0</v>
      </c>
      <c r="L136" s="14">
        <v>115.0</v>
      </c>
      <c r="M136" s="16">
        <v>87.0</v>
      </c>
      <c r="N136" s="16">
        <v>77.0</v>
      </c>
      <c r="O136" s="16">
        <v>74.0</v>
      </c>
      <c r="P136" s="16">
        <v>83.0</v>
      </c>
      <c r="Q136" s="14">
        <v>105.0</v>
      </c>
      <c r="R136" s="14">
        <v>112.0</v>
      </c>
    </row>
    <row r="137" ht="15.0" customHeight="1">
      <c r="A137" s="13" t="s">
        <v>272</v>
      </c>
      <c r="B137" s="15"/>
      <c r="C137" s="15"/>
      <c r="D137" s="15"/>
      <c r="E137" s="15"/>
      <c r="F137" s="15"/>
      <c r="G137" s="15"/>
      <c r="H137" s="14">
        <v>349.0</v>
      </c>
      <c r="I137" s="16">
        <v>73.0</v>
      </c>
      <c r="J137" s="16">
        <v>73.0</v>
      </c>
      <c r="K137" s="16">
        <v>70.0</v>
      </c>
      <c r="L137" s="16">
        <v>74.0</v>
      </c>
      <c r="M137" s="16">
        <v>1.0</v>
      </c>
      <c r="N137" s="15">
        <v>0.0</v>
      </c>
      <c r="O137" s="16">
        <v>6.0</v>
      </c>
      <c r="P137" s="16">
        <v>7.0</v>
      </c>
      <c r="Q137" s="16">
        <v>18.0</v>
      </c>
      <c r="R137" s="16">
        <v>17.0</v>
      </c>
    </row>
    <row r="138" ht="15.0" customHeight="1">
      <c r="A138" s="13" t="s">
        <v>273</v>
      </c>
      <c r="B138" s="15"/>
      <c r="C138" s="15"/>
      <c r="D138" s="15"/>
      <c r="E138" s="15"/>
      <c r="F138" s="15"/>
      <c r="G138" s="15"/>
      <c r="H138" s="14">
        <v>589.0</v>
      </c>
      <c r="I138" s="14">
        <v>304.0</v>
      </c>
      <c r="J138" s="14">
        <v>289.0</v>
      </c>
      <c r="K138" s="14">
        <v>248.0</v>
      </c>
      <c r="L138" s="14">
        <v>255.0</v>
      </c>
      <c r="M138" s="14">
        <v>137.0</v>
      </c>
      <c r="N138" s="14">
        <v>121.0</v>
      </c>
      <c r="O138" s="14">
        <v>119.0</v>
      </c>
      <c r="P138" s="14">
        <v>127.0</v>
      </c>
      <c r="Q138" s="14">
        <v>170.0</v>
      </c>
      <c r="R138" s="14">
        <v>180.0</v>
      </c>
    </row>
    <row r="139" ht="15.0" customHeight="1">
      <c r="A139" s="13" t="s">
        <v>274</v>
      </c>
      <c r="B139" s="15"/>
      <c r="C139" s="14">
        <v>8940.0</v>
      </c>
      <c r="D139" s="14">
        <v>8744.0</v>
      </c>
      <c r="E139" s="14">
        <v>8248.0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275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46075.7812013194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41729.0</v>
      </c>
      <c r="O13" s="9">
        <v>41364.0</v>
      </c>
      <c r="P13" s="9">
        <v>41090.0</v>
      </c>
      <c r="Q13" s="9">
        <v>41090.0</v>
      </c>
      <c r="R13" s="9">
        <v>41090.0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276</v>
      </c>
      <c r="C15" s="10" t="s">
        <v>276</v>
      </c>
      <c r="D15" s="10" t="s">
        <v>276</v>
      </c>
      <c r="E15" s="10" t="s">
        <v>276</v>
      </c>
      <c r="F15" s="10" t="s">
        <v>276</v>
      </c>
      <c r="G15" s="10" t="s">
        <v>276</v>
      </c>
      <c r="H15" s="10" t="s">
        <v>276</v>
      </c>
      <c r="I15" s="10" t="s">
        <v>276</v>
      </c>
      <c r="J15" s="10" t="s">
        <v>276</v>
      </c>
      <c r="K15" s="10" t="s">
        <v>276</v>
      </c>
      <c r="L15" s="10" t="s">
        <v>276</v>
      </c>
      <c r="M15" s="10" t="s">
        <v>276</v>
      </c>
      <c r="N15" s="10" t="s">
        <v>276</v>
      </c>
      <c r="O15" s="10" t="s">
        <v>276</v>
      </c>
      <c r="P15" s="10" t="s">
        <v>276</v>
      </c>
      <c r="Q15" s="10" t="s">
        <v>276</v>
      </c>
      <c r="R15" s="10" t="s">
        <v>276</v>
      </c>
    </row>
    <row r="17">
      <c r="A17" s="11" t="s">
        <v>277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>
      <c r="A18" s="11" t="s">
        <v>42</v>
      </c>
      <c r="B18" s="12" t="s">
        <v>43</v>
      </c>
      <c r="C18" s="12" t="s">
        <v>44</v>
      </c>
      <c r="D18" s="12" t="s">
        <v>45</v>
      </c>
      <c r="E18" s="12" t="s">
        <v>46</v>
      </c>
      <c r="F18" s="12" t="s">
        <v>47</v>
      </c>
      <c r="G18" s="12" t="s">
        <v>48</v>
      </c>
      <c r="H18" s="12" t="s">
        <v>49</v>
      </c>
      <c r="I18" s="12" t="s">
        <v>50</v>
      </c>
      <c r="J18" s="12" t="s">
        <v>51</v>
      </c>
      <c r="K18" s="12" t="s">
        <v>52</v>
      </c>
      <c r="L18" s="12" t="s">
        <v>53</v>
      </c>
      <c r="M18" s="12" t="s">
        <v>54</v>
      </c>
      <c r="N18" s="12" t="s">
        <v>55</v>
      </c>
      <c r="O18" s="12" t="s">
        <v>56</v>
      </c>
      <c r="P18" s="12" t="s">
        <v>57</v>
      </c>
      <c r="Q18" s="12" t="s">
        <v>58</v>
      </c>
      <c r="R18" s="12" t="s">
        <v>59</v>
      </c>
    </row>
    <row r="19" ht="15.0" customHeight="1">
      <c r="A19" s="13" t="s">
        <v>278</v>
      </c>
      <c r="B19" s="14">
        <v>864.0</v>
      </c>
      <c r="C19" s="14">
        <v>1079.0</v>
      </c>
      <c r="D19" s="14">
        <v>1124.0</v>
      </c>
      <c r="E19" s="14">
        <v>1118.0</v>
      </c>
      <c r="F19" s="14">
        <v>873.0</v>
      </c>
      <c r="G19" s="14">
        <v>496.0</v>
      </c>
      <c r="H19" s="14">
        <v>467.0</v>
      </c>
      <c r="I19" s="14">
        <v>562.0</v>
      </c>
      <c r="J19" s="14">
        <v>715.0</v>
      </c>
      <c r="K19" s="14">
        <v>724.0</v>
      </c>
      <c r="L19" s="14">
        <v>506.0</v>
      </c>
      <c r="M19" s="14">
        <v>430.0</v>
      </c>
      <c r="N19" s="14">
        <v>460.0</v>
      </c>
      <c r="O19" s="14">
        <v>420.0</v>
      </c>
      <c r="P19" s="14">
        <v>455.0</v>
      </c>
      <c r="Q19" s="14">
        <v>260.0</v>
      </c>
      <c r="R19" s="14">
        <v>211.0</v>
      </c>
    </row>
    <row r="20" ht="15.0" customHeight="1">
      <c r="A20" s="13" t="s">
        <v>279</v>
      </c>
      <c r="B20" s="15"/>
      <c r="C20" s="15"/>
      <c r="D20" s="15"/>
      <c r="E20" s="15"/>
      <c r="F20" s="14">
        <v>420.0</v>
      </c>
      <c r="G20" s="14">
        <v>449.0</v>
      </c>
      <c r="H20" s="14">
        <v>432.0</v>
      </c>
      <c r="I20" s="14">
        <v>327.0</v>
      </c>
      <c r="J20" s="14">
        <v>316.0</v>
      </c>
      <c r="K20" s="14">
        <v>278.0</v>
      </c>
      <c r="L20" s="14">
        <v>269.0</v>
      </c>
      <c r="M20" s="14">
        <v>244.0</v>
      </c>
      <c r="N20" s="14">
        <v>231.0</v>
      </c>
      <c r="O20" s="14">
        <v>265.0</v>
      </c>
      <c r="P20" s="14">
        <v>205.0</v>
      </c>
      <c r="Q20" s="14">
        <v>206.0</v>
      </c>
      <c r="R20" s="14">
        <v>216.0</v>
      </c>
    </row>
    <row r="21" ht="15.0" customHeight="1">
      <c r="A21" s="13" t="s">
        <v>280</v>
      </c>
      <c r="B21" s="14">
        <v>591.0</v>
      </c>
      <c r="C21" s="14">
        <v>561.0</v>
      </c>
      <c r="D21" s="14">
        <v>490.0</v>
      </c>
      <c r="E21" s="14">
        <v>449.0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ht="15.0" customHeight="1">
      <c r="A22" s="13" t="s">
        <v>281</v>
      </c>
      <c r="B22" s="20">
        <v>-124.0</v>
      </c>
      <c r="C22" s="20">
        <v>-326.0</v>
      </c>
      <c r="D22" s="14">
        <v>205.0</v>
      </c>
      <c r="E22" s="20">
        <v>-658.0</v>
      </c>
      <c r="F22" s="14">
        <v>256.0</v>
      </c>
      <c r="G22" s="19">
        <v>-21.0</v>
      </c>
      <c r="H22" s="19">
        <v>-85.0</v>
      </c>
      <c r="I22" s="20">
        <v>-194.0</v>
      </c>
      <c r="J22" s="19">
        <v>-92.0</v>
      </c>
      <c r="K22" s="14">
        <v>170.0</v>
      </c>
      <c r="L22" s="20">
        <v>-106.0</v>
      </c>
      <c r="M22" s="16">
        <v>59.0</v>
      </c>
      <c r="N22" s="19">
        <v>-17.0</v>
      </c>
      <c r="O22" s="19">
        <v>-38.0</v>
      </c>
      <c r="P22" s="19">
        <v>-75.0</v>
      </c>
      <c r="Q22" s="16">
        <v>17.0</v>
      </c>
      <c r="R22" s="16">
        <v>84.0</v>
      </c>
    </row>
    <row r="23" ht="15.0" customHeight="1">
      <c r="A23" s="13" t="s">
        <v>282</v>
      </c>
      <c r="B23" s="14">
        <v>290.0</v>
      </c>
      <c r="C23" s="16">
        <v>22.0</v>
      </c>
      <c r="D23" s="16">
        <v>9.0</v>
      </c>
      <c r="E23" s="16">
        <v>34.0</v>
      </c>
      <c r="F23" s="16">
        <v>6.0</v>
      </c>
      <c r="G23" s="16">
        <v>51.0</v>
      </c>
      <c r="H23" s="16">
        <v>5.0</v>
      </c>
      <c r="I23" s="16">
        <v>6.0</v>
      </c>
      <c r="J23" s="16">
        <v>11.0</v>
      </c>
      <c r="K23" s="19">
        <v>-1.0</v>
      </c>
      <c r="L23" s="19">
        <v>-14.0</v>
      </c>
      <c r="M23" s="16">
        <v>6.0</v>
      </c>
      <c r="N23" s="19">
        <v>-19.0</v>
      </c>
      <c r="O23" s="15"/>
      <c r="P23" s="15"/>
      <c r="Q23" s="15"/>
      <c r="R23" s="15"/>
    </row>
    <row r="24" ht="15.0" customHeight="1">
      <c r="A24" s="13" t="s">
        <v>283</v>
      </c>
      <c r="B24" s="20">
        <v>-265.0</v>
      </c>
      <c r="C24" s="20">
        <v>-268.0</v>
      </c>
      <c r="D24" s="20">
        <v>-265.0</v>
      </c>
      <c r="E24" s="20">
        <v>-208.0</v>
      </c>
      <c r="F24" s="20">
        <v>-124.0</v>
      </c>
      <c r="G24" s="19">
        <v>-89.0</v>
      </c>
      <c r="H24" s="20">
        <v>-122.0</v>
      </c>
      <c r="I24" s="20">
        <v>-143.0</v>
      </c>
      <c r="J24" s="20">
        <v>-170.0</v>
      </c>
      <c r="K24" s="19">
        <v>-90.0</v>
      </c>
      <c r="L24" s="19">
        <v>-92.0</v>
      </c>
      <c r="M24" s="20">
        <v>-139.0</v>
      </c>
      <c r="N24" s="20">
        <v>-129.0</v>
      </c>
      <c r="O24" s="19">
        <v>-96.0</v>
      </c>
      <c r="P24" s="19">
        <v>-49.0</v>
      </c>
      <c r="Q24" s="19">
        <v>-31.0</v>
      </c>
      <c r="R24" s="19">
        <v>-7.0</v>
      </c>
    </row>
    <row r="25" ht="15.0" customHeight="1">
      <c r="A25" s="17" t="s">
        <v>284</v>
      </c>
      <c r="B25" s="18">
        <v>1356.0</v>
      </c>
      <c r="C25" s="18">
        <v>1068.0</v>
      </c>
      <c r="D25" s="18">
        <v>1563.0</v>
      </c>
      <c r="E25" s="18">
        <v>735.0</v>
      </c>
      <c r="F25" s="18">
        <v>1431.0</v>
      </c>
      <c r="G25" s="18">
        <v>886.0</v>
      </c>
      <c r="H25" s="18">
        <v>697.0</v>
      </c>
      <c r="I25" s="18">
        <v>558.0</v>
      </c>
      <c r="J25" s="18">
        <v>780.0</v>
      </c>
      <c r="K25" s="18">
        <v>1081.0</v>
      </c>
      <c r="L25" s="18">
        <v>563.0</v>
      </c>
      <c r="M25" s="18">
        <v>600.0</v>
      </c>
      <c r="N25" s="18">
        <v>526.0</v>
      </c>
      <c r="O25" s="18">
        <v>551.0</v>
      </c>
      <c r="P25" s="18">
        <v>536.0</v>
      </c>
      <c r="Q25" s="18">
        <v>452.0</v>
      </c>
      <c r="R25" s="18">
        <v>504.0</v>
      </c>
    </row>
    <row r="26" ht="15.0" customHeight="1">
      <c r="A26" s="13" t="s">
        <v>285</v>
      </c>
      <c r="B26" s="20">
        <v>-793.0</v>
      </c>
      <c r="C26" s="20">
        <v>-711.0</v>
      </c>
      <c r="D26" s="20">
        <v>-667.0</v>
      </c>
      <c r="E26" s="20">
        <v>-464.0</v>
      </c>
      <c r="F26" s="20">
        <v>-556.0</v>
      </c>
      <c r="G26" s="20">
        <v>-503.0</v>
      </c>
      <c r="H26" s="20">
        <v>-583.0</v>
      </c>
      <c r="I26" s="20">
        <v>-762.0</v>
      </c>
      <c r="J26" s="20">
        <v>-968.0</v>
      </c>
      <c r="K26" s="20">
        <v>-622.0</v>
      </c>
      <c r="L26" s="20">
        <v>-430.0</v>
      </c>
      <c r="M26" s="20">
        <v>-313.0</v>
      </c>
      <c r="N26" s="20">
        <v>-288.0</v>
      </c>
      <c r="O26" s="20">
        <v>-388.0</v>
      </c>
      <c r="P26" s="20">
        <v>-251.0</v>
      </c>
      <c r="Q26" s="20">
        <v>-205.0</v>
      </c>
      <c r="R26" s="20">
        <v>-128.0</v>
      </c>
    </row>
    <row r="27" ht="15.0" customHeight="1">
      <c r="A27" s="13" t="s">
        <v>286</v>
      </c>
      <c r="B27" s="16">
        <v>18.0</v>
      </c>
      <c r="C27" s="16">
        <v>19.0</v>
      </c>
      <c r="D27" s="16">
        <v>9.0</v>
      </c>
      <c r="E27" s="16">
        <v>9.0</v>
      </c>
      <c r="F27" s="16">
        <v>9.0</v>
      </c>
      <c r="G27" s="16">
        <v>14.0</v>
      </c>
      <c r="H27" s="16">
        <v>29.0</v>
      </c>
      <c r="I27" s="16">
        <v>13.0</v>
      </c>
      <c r="J27" s="16">
        <v>10.0</v>
      </c>
      <c r="K27" s="16">
        <v>5.0</v>
      </c>
      <c r="L27" s="16">
        <v>5.0</v>
      </c>
      <c r="M27" s="16">
        <v>2.0</v>
      </c>
      <c r="N27" s="16">
        <v>2.0</v>
      </c>
      <c r="O27" s="16">
        <v>2.0</v>
      </c>
      <c r="P27" s="16">
        <v>4.0</v>
      </c>
      <c r="Q27" s="19">
        <v>-5.0</v>
      </c>
      <c r="R27" s="19">
        <v>-5.0</v>
      </c>
    </row>
    <row r="28" ht="15.0" customHeight="1">
      <c r="A28" s="13" t="s">
        <v>287</v>
      </c>
      <c r="B28" s="20">
        <v>-132.0</v>
      </c>
      <c r="C28" s="20">
        <v>-150.0</v>
      </c>
      <c r="D28" s="20">
        <v>-171.0</v>
      </c>
      <c r="E28" s="15"/>
      <c r="F28" s="20">
        <v>-145.0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ht="15.0" customHeight="1">
      <c r="A29" s="17" t="s">
        <v>288</v>
      </c>
      <c r="B29" s="21">
        <v>-907.0</v>
      </c>
      <c r="C29" s="21">
        <v>-842.0</v>
      </c>
      <c r="D29" s="21">
        <v>-829.0</v>
      </c>
      <c r="E29" s="21">
        <v>-455.0</v>
      </c>
      <c r="F29" s="21">
        <v>-692.0</v>
      </c>
      <c r="G29" s="21">
        <v>-489.0</v>
      </c>
      <c r="H29" s="21">
        <v>-554.0</v>
      </c>
      <c r="I29" s="21">
        <v>-749.0</v>
      </c>
      <c r="J29" s="21">
        <v>-958.0</v>
      </c>
      <c r="K29" s="21">
        <v>-617.0</v>
      </c>
      <c r="L29" s="21">
        <v>-425.0</v>
      </c>
      <c r="M29" s="21">
        <v>-311.0</v>
      </c>
      <c r="N29" s="21">
        <v>-286.0</v>
      </c>
      <c r="O29" s="21">
        <v>-386.0</v>
      </c>
      <c r="P29" s="21">
        <v>-247.0</v>
      </c>
      <c r="Q29" s="21">
        <v>-210.0</v>
      </c>
      <c r="R29" s="21">
        <v>-133.0</v>
      </c>
    </row>
    <row r="30" ht="15.0" customHeight="1">
      <c r="A30" s="13" t="s">
        <v>289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20">
        <v>-149.0</v>
      </c>
      <c r="Q30" s="20">
        <v>-609.0</v>
      </c>
      <c r="R30" s="26">
        <v>-214000.0</v>
      </c>
    </row>
    <row r="31" ht="15.0" customHeight="1">
      <c r="A31" s="13" t="s">
        <v>290</v>
      </c>
      <c r="B31" s="20">
        <v>-306.0</v>
      </c>
      <c r="C31" s="20">
        <v>-529.0</v>
      </c>
      <c r="D31" s="20">
        <v>-405.0</v>
      </c>
      <c r="E31" s="20">
        <v>-605.0</v>
      </c>
      <c r="F31" s="20">
        <v>-322.0</v>
      </c>
      <c r="G31" s="20">
        <v>-246.0</v>
      </c>
      <c r="H31" s="20">
        <v>-275.0</v>
      </c>
      <c r="I31" s="20">
        <v>-230.0</v>
      </c>
      <c r="J31" s="20">
        <v>-359.0</v>
      </c>
      <c r="K31" s="20">
        <v>-139.0</v>
      </c>
      <c r="L31" s="20">
        <v>-194.0</v>
      </c>
      <c r="M31" s="20">
        <v>-209.0</v>
      </c>
      <c r="N31" s="20">
        <v>-133.0</v>
      </c>
      <c r="O31" s="14">
        <v>310.0</v>
      </c>
      <c r="P31" s="15"/>
      <c r="Q31" s="15"/>
      <c r="R31" s="15"/>
    </row>
    <row r="32" ht="15.0" customHeight="1">
      <c r="A32" s="13" t="s">
        <v>291</v>
      </c>
      <c r="B32" s="20">
        <v>-424.0</v>
      </c>
      <c r="C32" s="20">
        <v>-374.0</v>
      </c>
      <c r="D32" s="20">
        <v>-324.0</v>
      </c>
      <c r="E32" s="20">
        <v>-499.0</v>
      </c>
      <c r="F32" s="20">
        <v>-249.0</v>
      </c>
      <c r="G32" s="20">
        <v>-229.0</v>
      </c>
      <c r="H32" s="20">
        <v>-224.0</v>
      </c>
      <c r="I32" s="20">
        <v>-199.0</v>
      </c>
      <c r="J32" s="20">
        <v>-349.0</v>
      </c>
      <c r="K32" s="20">
        <v>-149.0</v>
      </c>
      <c r="L32" s="20">
        <v>-124.0</v>
      </c>
      <c r="M32" s="20">
        <v>-109.0</v>
      </c>
      <c r="N32" s="20">
        <v>-100.0</v>
      </c>
      <c r="O32" s="20">
        <v>-690.0</v>
      </c>
      <c r="P32" s="15"/>
      <c r="Q32" s="15"/>
      <c r="R32" s="15"/>
    </row>
    <row r="33" ht="15.0" customHeight="1">
      <c r="A33" s="13" t="s">
        <v>292</v>
      </c>
      <c r="B33" s="16">
        <v>48.0</v>
      </c>
      <c r="C33" s="16">
        <v>52.0</v>
      </c>
      <c r="D33" s="16">
        <v>49.0</v>
      </c>
      <c r="E33" s="16">
        <v>41.0</v>
      </c>
      <c r="F33" s="16">
        <v>59.0</v>
      </c>
      <c r="G33" s="16">
        <v>35.0</v>
      </c>
      <c r="H33" s="16">
        <v>35.0</v>
      </c>
      <c r="I33" s="16">
        <v>23.0</v>
      </c>
      <c r="J33" s="16">
        <v>11.0</v>
      </c>
      <c r="K33" s="16">
        <v>7.0</v>
      </c>
      <c r="L33" s="16">
        <v>11.0</v>
      </c>
      <c r="M33" s="16">
        <v>48.0</v>
      </c>
      <c r="N33" s="15"/>
      <c r="O33" s="15"/>
      <c r="P33" s="15"/>
      <c r="Q33" s="15"/>
      <c r="R33" s="15"/>
    </row>
    <row r="34" ht="15.0" customHeight="1">
      <c r="A34" s="13" t="s">
        <v>293</v>
      </c>
      <c r="B34" s="19">
        <v>-30.0</v>
      </c>
      <c r="C34" s="19">
        <v>-98.0</v>
      </c>
      <c r="D34" s="19">
        <v>-92.0</v>
      </c>
      <c r="E34" s="19">
        <v>-68.0</v>
      </c>
      <c r="F34" s="20">
        <v>-118.0</v>
      </c>
      <c r="G34" s="19">
        <v>-62.0</v>
      </c>
      <c r="H34" s="19">
        <v>-60.0</v>
      </c>
      <c r="I34" s="19">
        <v>-32.0</v>
      </c>
      <c r="J34" s="19">
        <v>-29.0</v>
      </c>
      <c r="K34" s="19">
        <v>-10.0</v>
      </c>
      <c r="L34" s="19">
        <v>-5.0</v>
      </c>
      <c r="M34" s="19">
        <v>-76.0</v>
      </c>
      <c r="N34" s="19">
        <v>-33.0</v>
      </c>
      <c r="O34" s="15"/>
      <c r="P34" s="15"/>
      <c r="Q34" s="15"/>
      <c r="R34" s="15"/>
    </row>
    <row r="35" ht="15.0" customHeight="1">
      <c r="A35" s="13" t="s">
        <v>294</v>
      </c>
      <c r="B35" s="14">
        <v>100.0</v>
      </c>
      <c r="C35" s="20">
        <v>-109.0</v>
      </c>
      <c r="D35" s="19">
        <v>-38.0</v>
      </c>
      <c r="E35" s="19">
        <v>-79.0</v>
      </c>
      <c r="F35" s="19">
        <v>-14.0</v>
      </c>
      <c r="G35" s="16">
        <v>10.0</v>
      </c>
      <c r="H35" s="19">
        <v>-26.0</v>
      </c>
      <c r="I35" s="19">
        <v>-22.0</v>
      </c>
      <c r="J35" s="16">
        <v>8.0</v>
      </c>
      <c r="K35" s="16">
        <v>13.0</v>
      </c>
      <c r="L35" s="19">
        <v>-76.0</v>
      </c>
      <c r="M35" s="19">
        <v>-72.0</v>
      </c>
      <c r="N35" s="15"/>
      <c r="O35" s="15"/>
      <c r="P35" s="15"/>
      <c r="Q35" s="15"/>
      <c r="R35" s="15"/>
    </row>
    <row r="36" ht="15.0" customHeight="1">
      <c r="A36" s="13" t="s">
        <v>295</v>
      </c>
      <c r="B36" s="20">
        <v>-153.0</v>
      </c>
      <c r="C36" s="20">
        <v>-150.0</v>
      </c>
      <c r="D36" s="19">
        <v>-10.0</v>
      </c>
      <c r="E36" s="14">
        <v>403.0</v>
      </c>
      <c r="F36" s="20">
        <v>-515.0</v>
      </c>
      <c r="G36" s="20">
        <v>-135.0</v>
      </c>
      <c r="H36" s="14">
        <v>126.0</v>
      </c>
      <c r="I36" s="14">
        <v>330.0</v>
      </c>
      <c r="J36" s="14">
        <v>456.0</v>
      </c>
      <c r="K36" s="20">
        <v>-226.0</v>
      </c>
      <c r="L36" s="16">
        <v>12.0</v>
      </c>
      <c r="M36" s="16">
        <v>3.0</v>
      </c>
      <c r="N36" s="20">
        <v>-219.0</v>
      </c>
      <c r="O36" s="20">
        <v>-801.0</v>
      </c>
      <c r="P36" s="15"/>
      <c r="Q36" s="15"/>
      <c r="R36" s="15"/>
    </row>
    <row r="37" ht="15.0" customHeight="1">
      <c r="A37" s="13" t="s">
        <v>296</v>
      </c>
      <c r="B37" s="14">
        <v>950.0</v>
      </c>
      <c r="C37" s="14">
        <v>500.0</v>
      </c>
      <c r="D37" s="14">
        <v>800.0</v>
      </c>
      <c r="E37" s="14">
        <v>837.0</v>
      </c>
      <c r="F37" s="14">
        <v>300.0</v>
      </c>
      <c r="G37" s="14">
        <v>1550.0</v>
      </c>
      <c r="H37" s="14">
        <v>2100.0</v>
      </c>
      <c r="I37" s="14">
        <v>1292.0</v>
      </c>
      <c r="J37" s="14">
        <v>668.0</v>
      </c>
      <c r="K37" s="14">
        <v>106.0</v>
      </c>
      <c r="L37" s="14">
        <v>137.0</v>
      </c>
      <c r="M37" s="14">
        <v>767.0</v>
      </c>
      <c r="N37" s="15">
        <v>0.0</v>
      </c>
      <c r="O37" s="15"/>
      <c r="P37" s="15"/>
      <c r="Q37" s="15"/>
      <c r="R37" s="15"/>
    </row>
    <row r="38" ht="15.0" customHeight="1">
      <c r="A38" s="13" t="s">
        <v>297</v>
      </c>
      <c r="B38" s="20">
        <v>-1047.0</v>
      </c>
      <c r="C38" s="20">
        <v>-724.0</v>
      </c>
      <c r="D38" s="20">
        <v>-843.0</v>
      </c>
      <c r="E38" s="20">
        <v>-512.0</v>
      </c>
      <c r="F38" s="20">
        <v>-814.0</v>
      </c>
      <c r="G38" s="20">
        <v>-1703.0</v>
      </c>
      <c r="H38" s="20">
        <v>-1971.0</v>
      </c>
      <c r="I38" s="20">
        <v>-960.0</v>
      </c>
      <c r="J38" s="20">
        <v>-258.0</v>
      </c>
      <c r="K38" s="20">
        <v>-309.0</v>
      </c>
      <c r="L38" s="20">
        <v>-123.0</v>
      </c>
      <c r="M38" s="20">
        <v>-761.0</v>
      </c>
      <c r="N38" s="20">
        <v>-218.0</v>
      </c>
      <c r="O38" s="20">
        <v>-806.0</v>
      </c>
      <c r="P38" s="19">
        <v>-74.0</v>
      </c>
      <c r="Q38" s="14">
        <v>452.0</v>
      </c>
      <c r="R38" s="20">
        <v>-274.0</v>
      </c>
    </row>
    <row r="39" ht="15.0" customHeight="1">
      <c r="A39" s="13" t="s">
        <v>298</v>
      </c>
      <c r="B39" s="19">
        <v>-56.0</v>
      </c>
      <c r="C39" s="16">
        <v>74.0</v>
      </c>
      <c r="D39" s="16">
        <v>33.0</v>
      </c>
      <c r="E39" s="16">
        <v>78.0</v>
      </c>
      <c r="F39" s="19">
        <v>-1.0</v>
      </c>
      <c r="G39" s="16">
        <v>18.0</v>
      </c>
      <c r="H39" s="19">
        <v>-3.0</v>
      </c>
      <c r="I39" s="19">
        <v>-2.0</v>
      </c>
      <c r="J39" s="16">
        <v>46.0</v>
      </c>
      <c r="K39" s="19">
        <v>-23.0</v>
      </c>
      <c r="L39" s="19">
        <v>-2.0</v>
      </c>
      <c r="M39" s="19">
        <v>-3.0</v>
      </c>
      <c r="N39" s="19">
        <v>-1.0</v>
      </c>
      <c r="O39" s="16">
        <v>5.0</v>
      </c>
      <c r="P39" s="16">
        <v>9.0</v>
      </c>
      <c r="Q39" s="16">
        <v>9.0</v>
      </c>
      <c r="R39" s="16">
        <v>23.0</v>
      </c>
    </row>
    <row r="40" ht="15.0" customHeight="1">
      <c r="A40" s="13" t="s">
        <v>299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4">
        <v>1000.0</v>
      </c>
      <c r="P40" s="15"/>
      <c r="Q40" s="15"/>
      <c r="R40" s="15"/>
    </row>
    <row r="41" ht="15.0" customHeight="1">
      <c r="A41" s="13" t="s">
        <v>300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>
        <v>213786.0</v>
      </c>
    </row>
    <row r="42" ht="15.0" customHeight="1">
      <c r="A42" s="17" t="s">
        <v>301</v>
      </c>
      <c r="B42" s="21">
        <v>-459.0</v>
      </c>
      <c r="C42" s="21">
        <v>-679.0</v>
      </c>
      <c r="D42" s="21">
        <v>-415.0</v>
      </c>
      <c r="E42" s="21">
        <v>-202.0</v>
      </c>
      <c r="F42" s="21">
        <v>-837.0</v>
      </c>
      <c r="G42" s="21">
        <v>-381.0</v>
      </c>
      <c r="H42" s="21">
        <v>-149.0</v>
      </c>
      <c r="I42" s="18">
        <v>100.0</v>
      </c>
      <c r="J42" s="23">
        <v>97.0</v>
      </c>
      <c r="K42" s="21">
        <v>-365.0</v>
      </c>
      <c r="L42" s="21">
        <v>-182.0</v>
      </c>
      <c r="M42" s="21">
        <v>-206.0</v>
      </c>
      <c r="N42" s="21">
        <v>-352.0</v>
      </c>
      <c r="O42" s="21">
        <v>-491.0</v>
      </c>
      <c r="P42" s="21">
        <v>-214.0</v>
      </c>
      <c r="Q42" s="21">
        <v>-148.0</v>
      </c>
      <c r="R42" s="21">
        <v>-465.0</v>
      </c>
    </row>
    <row r="43" ht="15.0" customHeight="1">
      <c r="A43" s="13" t="s">
        <v>302</v>
      </c>
      <c r="B43" s="19">
        <v>-3.0</v>
      </c>
      <c r="C43" s="16">
        <v>21.0</v>
      </c>
      <c r="D43" s="19">
        <v>-1.0</v>
      </c>
      <c r="E43" s="16">
        <v>28.0</v>
      </c>
      <c r="F43" s="16">
        <v>7.0</v>
      </c>
      <c r="G43" s="19">
        <v>-1.0</v>
      </c>
      <c r="H43" s="16">
        <v>1.0</v>
      </c>
      <c r="I43" s="19">
        <v>-3.0</v>
      </c>
      <c r="J43" s="19">
        <v>-4.0</v>
      </c>
      <c r="K43" s="19">
        <v>-3.0</v>
      </c>
      <c r="L43" s="16">
        <v>45.0</v>
      </c>
      <c r="M43" s="16">
        <v>46.0</v>
      </c>
      <c r="N43" s="16">
        <v>17.0</v>
      </c>
      <c r="O43" s="19">
        <v>-15.0</v>
      </c>
      <c r="P43" s="19">
        <v>-6.0</v>
      </c>
      <c r="Q43" s="19">
        <v>-7.0</v>
      </c>
      <c r="R43" s="16">
        <v>60.0</v>
      </c>
    </row>
    <row r="44" ht="15.0" customHeight="1">
      <c r="A44" s="13" t="s">
        <v>303</v>
      </c>
      <c r="B44" s="19">
        <v>-3.0</v>
      </c>
      <c r="C44" s="14">
        <v>429.0</v>
      </c>
      <c r="D44" s="14">
        <v>111.0</v>
      </c>
      <c r="E44" s="16">
        <v>5.0</v>
      </c>
      <c r="F44" s="16">
        <v>96.0</v>
      </c>
      <c r="G44" s="16">
        <v>81.0</v>
      </c>
      <c r="H44" s="16">
        <v>86.0</v>
      </c>
      <c r="I44" s="14">
        <v>180.0</v>
      </c>
      <c r="J44" s="14">
        <v>265.0</v>
      </c>
      <c r="K44" s="14">
        <v>169.0</v>
      </c>
      <c r="L44" s="14">
        <v>168.0</v>
      </c>
      <c r="M44" s="16">
        <v>39.0</v>
      </c>
      <c r="N44" s="14">
        <v>134.0</v>
      </c>
      <c r="O44" s="14">
        <v>496.0</v>
      </c>
      <c r="P44" s="14">
        <v>427.0</v>
      </c>
      <c r="Q44" s="14">
        <v>340.0</v>
      </c>
      <c r="R44" s="14">
        <v>374.0</v>
      </c>
    </row>
    <row r="45" ht="15.0" customHeight="1">
      <c r="A45" s="13" t="s">
        <v>304</v>
      </c>
      <c r="B45" s="19">
        <v>-16.0</v>
      </c>
      <c r="C45" s="19">
        <v>-3.0</v>
      </c>
      <c r="D45" s="14">
        <v>429.0</v>
      </c>
      <c r="E45" s="14">
        <v>111.0</v>
      </c>
      <c r="F45" s="16">
        <v>5.0</v>
      </c>
      <c r="G45" s="16">
        <v>96.0</v>
      </c>
      <c r="H45" s="16">
        <v>81.0</v>
      </c>
      <c r="I45" s="16">
        <v>86.0</v>
      </c>
      <c r="J45" s="14">
        <v>180.0</v>
      </c>
      <c r="K45" s="14">
        <v>265.0</v>
      </c>
      <c r="L45" s="14">
        <v>169.0</v>
      </c>
      <c r="M45" s="14">
        <v>168.0</v>
      </c>
      <c r="N45" s="16">
        <v>39.0</v>
      </c>
      <c r="O45" s="14">
        <v>155.0</v>
      </c>
      <c r="P45" s="14">
        <v>496.0</v>
      </c>
      <c r="Q45" s="14">
        <v>427.0</v>
      </c>
      <c r="R45" s="14">
        <v>340.0</v>
      </c>
    </row>
    <row r="46" ht="15.0" customHeight="1">
      <c r="A46" s="13" t="s">
        <v>305</v>
      </c>
      <c r="B46" s="19">
        <v>-10.0</v>
      </c>
      <c r="C46" s="20">
        <v>-453.0</v>
      </c>
      <c r="D46" s="14">
        <v>319.0</v>
      </c>
      <c r="E46" s="16">
        <v>78.0</v>
      </c>
      <c r="F46" s="19">
        <v>-98.0</v>
      </c>
      <c r="G46" s="16">
        <v>16.0</v>
      </c>
      <c r="H46" s="19">
        <v>-6.0</v>
      </c>
      <c r="I46" s="19">
        <v>-91.0</v>
      </c>
      <c r="J46" s="19">
        <v>-81.0</v>
      </c>
      <c r="K46" s="16">
        <v>99.0</v>
      </c>
      <c r="L46" s="19">
        <v>-44.0</v>
      </c>
      <c r="M46" s="16">
        <v>83.0</v>
      </c>
      <c r="N46" s="20">
        <v>-112.0</v>
      </c>
      <c r="O46" s="20">
        <v>-326.0</v>
      </c>
      <c r="P46" s="15"/>
      <c r="Q46" s="15"/>
      <c r="R46" s="15"/>
    </row>
    <row r="47" ht="15.0" customHeight="1">
      <c r="A47" s="17" t="s">
        <v>306</v>
      </c>
      <c r="B47" s="22">
        <v>-13.0</v>
      </c>
      <c r="C47" s="21">
        <v>-432.0</v>
      </c>
      <c r="D47" s="18">
        <v>318.0</v>
      </c>
      <c r="E47" s="18">
        <v>106.0</v>
      </c>
      <c r="F47" s="22">
        <v>-91.0</v>
      </c>
      <c r="G47" s="23">
        <v>15.0</v>
      </c>
      <c r="H47" s="22">
        <v>-5.0</v>
      </c>
      <c r="I47" s="22">
        <v>-94.0</v>
      </c>
      <c r="J47" s="22">
        <v>-85.0</v>
      </c>
      <c r="K47" s="23">
        <v>96.0</v>
      </c>
      <c r="L47" s="23">
        <v>1.0</v>
      </c>
      <c r="M47" s="18">
        <v>129.0</v>
      </c>
      <c r="N47" s="22">
        <v>-95.0</v>
      </c>
      <c r="O47" s="21">
        <v>-341.0</v>
      </c>
      <c r="P47" s="23">
        <v>69.0</v>
      </c>
      <c r="Q47" s="23">
        <v>87.0</v>
      </c>
      <c r="R47" s="22">
        <v>-34.0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46075.7812014352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</row>
    <row r="12" ht="15.0" customHeight="1" outlineLevel="1">
      <c r="A12" s="8" t="s">
        <v>35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36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41639.0</v>
      </c>
      <c r="O13" s="9">
        <v>41090.0</v>
      </c>
      <c r="P13" s="9">
        <v>41090.0</v>
      </c>
      <c r="Q13" s="9">
        <v>41090.0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</row>
    <row r="17">
      <c r="A17" s="11" t="s">
        <v>308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>
      <c r="A18" s="11" t="s">
        <v>42</v>
      </c>
      <c r="B18" s="12" t="s">
        <v>44</v>
      </c>
      <c r="C18" s="12" t="s">
        <v>45</v>
      </c>
      <c r="D18" s="12" t="s">
        <v>46</v>
      </c>
      <c r="E18" s="12" t="s">
        <v>47</v>
      </c>
      <c r="F18" s="12" t="s">
        <v>48</v>
      </c>
      <c r="G18" s="12" t="s">
        <v>49</v>
      </c>
      <c r="H18" s="12" t="s">
        <v>50</v>
      </c>
      <c r="I18" s="12" t="s">
        <v>51</v>
      </c>
      <c r="J18" s="12" t="s">
        <v>52</v>
      </c>
      <c r="K18" s="12" t="s">
        <v>53</v>
      </c>
      <c r="L18" s="12" t="s">
        <v>54</v>
      </c>
      <c r="M18" s="12" t="s">
        <v>55</v>
      </c>
      <c r="N18" s="12" t="s">
        <v>56</v>
      </c>
      <c r="O18" s="12" t="s">
        <v>57</v>
      </c>
      <c r="P18" s="12" t="s">
        <v>58</v>
      </c>
      <c r="Q18" s="12" t="s">
        <v>59</v>
      </c>
    </row>
    <row r="19" ht="15.0" customHeight="1">
      <c r="A19" s="27" t="s">
        <v>309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</row>
    <row r="20" ht="15.0" customHeight="1">
      <c r="A20" s="29" t="s">
        <v>309</v>
      </c>
      <c r="B20" s="30">
        <v>20530.0</v>
      </c>
      <c r="C20" s="30">
        <v>18972.0</v>
      </c>
      <c r="D20" s="30">
        <v>17089.0</v>
      </c>
      <c r="E20" s="30">
        <v>23704.0</v>
      </c>
      <c r="F20" s="30">
        <v>16087.0</v>
      </c>
      <c r="G20" s="30">
        <v>11538.0</v>
      </c>
      <c r="H20" s="31">
        <v>8979.0</v>
      </c>
      <c r="I20" s="31">
        <v>9103.0</v>
      </c>
      <c r="J20" s="31">
        <v>8805.0</v>
      </c>
      <c r="K20" s="31">
        <v>5587.0</v>
      </c>
      <c r="L20" s="31">
        <v>6182.0</v>
      </c>
      <c r="M20" s="31">
        <v>3770.0</v>
      </c>
      <c r="N20" s="31">
        <v>2955.0</v>
      </c>
      <c r="O20" s="30"/>
      <c r="P20" s="30"/>
      <c r="Q20" s="30"/>
    </row>
    <row r="21" ht="15.0" customHeight="1">
      <c r="A21" s="29" t="s">
        <v>310</v>
      </c>
      <c r="B21" s="30">
        <v>19276.4</v>
      </c>
      <c r="C21" s="30">
        <v>17478.0</v>
      </c>
      <c r="D21" s="30">
        <v>15479.4</v>
      </c>
      <c r="E21" s="30">
        <v>13882.2</v>
      </c>
      <c r="F21" s="30">
        <v>10902.4</v>
      </c>
      <c r="G21" s="31">
        <v>8802.4</v>
      </c>
      <c r="H21" s="31">
        <v>7731.2</v>
      </c>
      <c r="I21" s="31">
        <v>6689.4</v>
      </c>
      <c r="J21" s="31">
        <v>5459.8</v>
      </c>
      <c r="K21" s="30"/>
      <c r="L21" s="30"/>
      <c r="M21" s="30"/>
      <c r="N21" s="30"/>
      <c r="O21" s="30"/>
      <c r="P21" s="30"/>
      <c r="Q21" s="30"/>
    </row>
    <row r="22" ht="15.0" customHeight="1">
      <c r="A22" s="27" t="s">
        <v>311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</row>
    <row r="23" ht="15.0" customHeight="1">
      <c r="A23" s="29" t="s">
        <v>311</v>
      </c>
      <c r="B23" s="30">
        <v>18240.0</v>
      </c>
      <c r="C23" s="30">
        <v>17140.0</v>
      </c>
      <c r="D23" s="30">
        <v>15200.0</v>
      </c>
      <c r="E23" s="30">
        <v>22200.0</v>
      </c>
      <c r="F23" s="30">
        <v>14180.0</v>
      </c>
      <c r="G23" s="31">
        <v>9500.0</v>
      </c>
      <c r="H23" s="31">
        <v>7480.0</v>
      </c>
      <c r="I23" s="31">
        <v>8150.0</v>
      </c>
      <c r="J23" s="31">
        <v>8450.0</v>
      </c>
      <c r="K23" s="31">
        <v>4940.0</v>
      </c>
      <c r="L23" s="31">
        <v>5550.0</v>
      </c>
      <c r="M23" s="31">
        <v>3020.0</v>
      </c>
      <c r="N23" s="31">
        <v>2080.0</v>
      </c>
      <c r="O23" s="30"/>
      <c r="P23" s="30"/>
      <c r="Q23" s="30"/>
    </row>
    <row r="24" ht="15.0" customHeight="1">
      <c r="A24" s="29" t="s">
        <v>312</v>
      </c>
      <c r="B24" s="30">
        <v>17392.0</v>
      </c>
      <c r="C24" s="30">
        <v>15644.0</v>
      </c>
      <c r="D24" s="30">
        <v>13712.0</v>
      </c>
      <c r="E24" s="30">
        <v>12302.0</v>
      </c>
      <c r="F24" s="31">
        <v>9552.0</v>
      </c>
      <c r="G24" s="31">
        <v>7704.0</v>
      </c>
      <c r="H24" s="31">
        <v>6914.0</v>
      </c>
      <c r="I24" s="31">
        <v>6022.0</v>
      </c>
      <c r="J24" s="31">
        <v>4808.0</v>
      </c>
      <c r="K24" s="30"/>
      <c r="L24" s="30"/>
      <c r="M24" s="30"/>
      <c r="N24" s="30"/>
      <c r="O24" s="30"/>
      <c r="P24" s="30"/>
      <c r="Q24" s="30"/>
    </row>
    <row r="25" ht="15.0" customHeight="1">
      <c r="A25" s="27" t="s">
        <v>313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</row>
    <row r="26" ht="15.0" customHeight="1">
      <c r="A26" s="29" t="s">
        <v>314</v>
      </c>
      <c r="B26" s="31">
        <v>182.4</v>
      </c>
      <c r="C26" s="31">
        <v>171.4</v>
      </c>
      <c r="D26" s="31">
        <v>152.0</v>
      </c>
      <c r="E26" s="31">
        <v>222.0</v>
      </c>
      <c r="F26" s="31">
        <v>141.8</v>
      </c>
      <c r="G26" s="32">
        <v>95.0</v>
      </c>
      <c r="H26" s="32">
        <v>74.8</v>
      </c>
      <c r="I26" s="32">
        <v>81.5</v>
      </c>
      <c r="J26" s="32">
        <v>84.5</v>
      </c>
      <c r="K26" s="32">
        <v>49.4</v>
      </c>
      <c r="L26" s="32">
        <v>55.5</v>
      </c>
      <c r="M26" s="32">
        <v>30.2</v>
      </c>
      <c r="N26" s="32">
        <v>20.8</v>
      </c>
      <c r="O26" s="30"/>
      <c r="P26" s="30"/>
      <c r="Q26" s="30"/>
    </row>
    <row r="27" ht="15.0" customHeight="1">
      <c r="A27" s="29" t="s">
        <v>315</v>
      </c>
      <c r="B27" s="31">
        <v>173.92</v>
      </c>
      <c r="C27" s="31">
        <v>156.44</v>
      </c>
      <c r="D27" s="31">
        <v>137.12</v>
      </c>
      <c r="E27" s="31">
        <v>123.02</v>
      </c>
      <c r="F27" s="32">
        <v>95.52</v>
      </c>
      <c r="G27" s="32">
        <v>77.04</v>
      </c>
      <c r="H27" s="32">
        <v>69.14</v>
      </c>
      <c r="I27" s="32">
        <v>60.22</v>
      </c>
      <c r="J27" s="32">
        <v>48.08</v>
      </c>
      <c r="K27" s="30"/>
      <c r="L27" s="30"/>
      <c r="M27" s="30"/>
      <c r="N27" s="30"/>
      <c r="O27" s="30"/>
      <c r="P27" s="30"/>
      <c r="Q27" s="30"/>
    </row>
    <row r="28" ht="15.0" customHeight="1">
      <c r="A28" s="27" t="s">
        <v>316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</row>
    <row r="29" ht="15.0" customHeight="1">
      <c r="A29" s="29" t="s">
        <v>317</v>
      </c>
      <c r="B29" s="33">
        <v>1.96</v>
      </c>
      <c r="C29" s="33">
        <v>5.23</v>
      </c>
      <c r="D29" s="33">
        <v>1.79</v>
      </c>
      <c r="E29" s="33">
        <v>3.95</v>
      </c>
      <c r="F29" s="33">
        <v>2.7</v>
      </c>
      <c r="G29" s="33">
        <v>1.2</v>
      </c>
      <c r="H29" s="34">
        <v>-2.73</v>
      </c>
      <c r="I29" s="34">
        <v>-2.31</v>
      </c>
      <c r="J29" s="33">
        <v>5.43</v>
      </c>
      <c r="K29" s="33">
        <v>2.69</v>
      </c>
      <c r="L29" s="33">
        <v>5.17</v>
      </c>
      <c r="M29" s="33">
        <v>7.88</v>
      </c>
      <c r="N29" s="33">
        <v>7.84</v>
      </c>
      <c r="O29" s="33"/>
      <c r="P29" s="33"/>
      <c r="Q29" s="33"/>
    </row>
    <row r="30" ht="15.0" customHeight="1">
      <c r="A30" s="29" t="s">
        <v>318</v>
      </c>
      <c r="B30" s="33">
        <v>3.21</v>
      </c>
      <c r="C30" s="33">
        <v>3.25</v>
      </c>
      <c r="D30" s="33">
        <v>2.1</v>
      </c>
      <c r="E30" s="33">
        <v>1.6</v>
      </c>
      <c r="F30" s="33">
        <v>1.18</v>
      </c>
      <c r="G30" s="33">
        <v>0.82</v>
      </c>
      <c r="H30" s="33">
        <v>1.41</v>
      </c>
      <c r="I30" s="33">
        <v>3.09</v>
      </c>
      <c r="J30" s="33">
        <v>5.32</v>
      </c>
      <c r="K30" s="33"/>
      <c r="L30" s="33"/>
      <c r="M30" s="33"/>
      <c r="N30" s="33"/>
      <c r="O30" s="33"/>
      <c r="P30" s="33"/>
      <c r="Q30" s="33"/>
    </row>
    <row r="31" ht="15.0" customHeight="1">
      <c r="A31" s="27" t="s">
        <v>319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 ht="15.0" customHeight="1">
      <c r="A32" s="29" t="s">
        <v>320</v>
      </c>
      <c r="B32" s="33">
        <v>1.6</v>
      </c>
      <c r="C32" s="33">
        <v>1.48</v>
      </c>
      <c r="D32" s="33">
        <v>2.96</v>
      </c>
      <c r="E32" s="33">
        <v>0.88</v>
      </c>
      <c r="F32" s="33">
        <v>1.27</v>
      </c>
      <c r="G32" s="33">
        <v>1.85</v>
      </c>
      <c r="H32" s="33">
        <v>2.06</v>
      </c>
      <c r="I32" s="33">
        <v>3.26</v>
      </c>
      <c r="J32" s="33">
        <v>1.33</v>
      </c>
      <c r="K32" s="33">
        <v>1.85</v>
      </c>
      <c r="L32" s="33">
        <v>1.45</v>
      </c>
      <c r="M32" s="33">
        <v>2.38</v>
      </c>
      <c r="N32" s="33">
        <v>0.0</v>
      </c>
      <c r="O32" s="33"/>
      <c r="P32" s="33"/>
      <c r="Q32" s="33"/>
    </row>
    <row r="33" ht="15.0" customHeight="1">
      <c r="A33" s="29" t="s">
        <v>321</v>
      </c>
      <c r="B33" s="33">
        <v>1.58</v>
      </c>
      <c r="C33" s="33">
        <v>1.6</v>
      </c>
      <c r="D33" s="33">
        <v>1.68</v>
      </c>
      <c r="E33" s="33">
        <v>1.58</v>
      </c>
      <c r="F33" s="33">
        <v>1.86</v>
      </c>
      <c r="G33" s="33">
        <v>2.07</v>
      </c>
      <c r="H33" s="33">
        <v>2.04</v>
      </c>
      <c r="I33" s="33">
        <v>2.07</v>
      </c>
      <c r="J33" s="33">
        <v>1.48</v>
      </c>
      <c r="K33" s="33"/>
      <c r="L33" s="33"/>
      <c r="M33" s="33"/>
      <c r="N33" s="33"/>
      <c r="O33" s="33"/>
      <c r="P33" s="33"/>
      <c r="Q33" s="33"/>
    </row>
    <row r="34" ht="15.0" customHeight="1">
      <c r="A34" s="29" t="s">
        <v>322</v>
      </c>
      <c r="B34" s="33">
        <v>2.06</v>
      </c>
      <c r="C34" s="33">
        <v>1.9</v>
      </c>
      <c r="D34" s="33">
        <v>3.29</v>
      </c>
      <c r="E34" s="33">
        <v>1.13</v>
      </c>
      <c r="F34" s="33">
        <v>1.62</v>
      </c>
      <c r="G34" s="33">
        <v>2.37</v>
      </c>
      <c r="H34" s="33">
        <v>2.67</v>
      </c>
      <c r="I34" s="33">
        <v>4.29</v>
      </c>
      <c r="J34" s="33">
        <v>1.78</v>
      </c>
      <c r="K34" s="33">
        <v>2.53</v>
      </c>
      <c r="L34" s="33">
        <v>1.98</v>
      </c>
      <c r="M34" s="33">
        <v>3.31</v>
      </c>
      <c r="N34" s="33">
        <v>0.0</v>
      </c>
      <c r="O34" s="33"/>
      <c r="P34" s="33"/>
      <c r="Q34" s="33"/>
    </row>
    <row r="35" ht="15.0" customHeight="1">
      <c r="A35" s="29" t="s">
        <v>323</v>
      </c>
      <c r="B35" s="33">
        <v>1.93</v>
      </c>
      <c r="C35" s="33">
        <v>1.96</v>
      </c>
      <c r="D35" s="33">
        <v>2.05</v>
      </c>
      <c r="E35" s="33">
        <v>2.04</v>
      </c>
      <c r="F35" s="33">
        <v>2.42</v>
      </c>
      <c r="G35" s="33">
        <v>2.73</v>
      </c>
      <c r="H35" s="33">
        <v>2.7</v>
      </c>
      <c r="I35" s="33">
        <v>2.77</v>
      </c>
      <c r="J35" s="33">
        <v>2.02</v>
      </c>
      <c r="K35" s="33"/>
      <c r="L35" s="33"/>
      <c r="M35" s="33"/>
      <c r="N35" s="33"/>
      <c r="O35" s="33"/>
      <c r="P35" s="33"/>
      <c r="Q35" s="33"/>
    </row>
    <row r="36" ht="15.0" customHeight="1">
      <c r="A36" s="27" t="s">
        <v>324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</row>
    <row r="37" ht="15.0" customHeight="1">
      <c r="A37" s="29" t="s">
        <v>325</v>
      </c>
      <c r="B37" s="32">
        <v>3.6</v>
      </c>
      <c r="C37" s="32">
        <v>3.51</v>
      </c>
      <c r="D37" s="32">
        <v>3.44</v>
      </c>
      <c r="E37" s="32">
        <v>5.24</v>
      </c>
      <c r="F37" s="32">
        <v>3.85</v>
      </c>
      <c r="G37" s="32">
        <v>2.86</v>
      </c>
      <c r="H37" s="32">
        <v>2.38</v>
      </c>
      <c r="I37" s="32">
        <v>2.81</v>
      </c>
      <c r="J37" s="32">
        <v>3.14</v>
      </c>
      <c r="K37" s="32">
        <v>2.39</v>
      </c>
      <c r="L37" s="32">
        <v>2.84</v>
      </c>
      <c r="M37" s="32">
        <v>1.61</v>
      </c>
      <c r="N37" s="32">
        <v>1.23</v>
      </c>
      <c r="O37" s="30"/>
      <c r="P37" s="30"/>
      <c r="Q37" s="30"/>
    </row>
    <row r="38" ht="15.0" customHeight="1">
      <c r="A38" s="29" t="s">
        <v>326</v>
      </c>
      <c r="B38" s="32">
        <v>3.9</v>
      </c>
      <c r="C38" s="32">
        <v>3.81</v>
      </c>
      <c r="D38" s="32">
        <v>3.65</v>
      </c>
      <c r="E38" s="32">
        <v>3.56</v>
      </c>
      <c r="F38" s="32">
        <v>3.04</v>
      </c>
      <c r="G38" s="32">
        <v>2.73</v>
      </c>
      <c r="H38" s="32">
        <v>2.71</v>
      </c>
      <c r="I38" s="32">
        <v>2.62</v>
      </c>
      <c r="J38" s="32">
        <v>2.34</v>
      </c>
      <c r="K38" s="30"/>
      <c r="L38" s="30"/>
      <c r="M38" s="30"/>
      <c r="N38" s="30"/>
      <c r="O38" s="30"/>
      <c r="P38" s="30"/>
      <c r="Q38" s="30"/>
    </row>
    <row r="39" ht="15.0" customHeight="1">
      <c r="A39" s="27" t="s">
        <v>327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</row>
    <row r="40" ht="15.0" customHeight="1">
      <c r="A40" s="29" t="s">
        <v>328</v>
      </c>
      <c r="B40" s="32">
        <v>3.67</v>
      </c>
      <c r="C40" s="32">
        <v>3.58</v>
      </c>
      <c r="D40" s="32">
        <v>3.51</v>
      </c>
      <c r="E40" s="32">
        <v>5.35</v>
      </c>
      <c r="F40" s="32">
        <v>3.94</v>
      </c>
      <c r="G40" s="32">
        <v>2.95</v>
      </c>
      <c r="H40" s="32">
        <v>2.46</v>
      </c>
      <c r="I40" s="32">
        <v>2.92</v>
      </c>
      <c r="J40" s="32">
        <v>3.3</v>
      </c>
      <c r="K40" s="32">
        <v>2.56</v>
      </c>
      <c r="L40" s="32">
        <v>2.95</v>
      </c>
      <c r="M40" s="32">
        <v>1.67</v>
      </c>
      <c r="N40" s="32">
        <v>1.26</v>
      </c>
      <c r="O40" s="30"/>
      <c r="P40" s="30"/>
      <c r="Q40" s="30"/>
    </row>
    <row r="41" ht="15.0" customHeight="1">
      <c r="A41" s="29" t="s">
        <v>329</v>
      </c>
      <c r="B41" s="32">
        <v>3.98</v>
      </c>
      <c r="C41" s="32">
        <v>3.89</v>
      </c>
      <c r="D41" s="32">
        <v>3.74</v>
      </c>
      <c r="E41" s="32">
        <v>3.66</v>
      </c>
      <c r="F41" s="32">
        <v>3.14</v>
      </c>
      <c r="G41" s="32">
        <v>2.84</v>
      </c>
      <c r="H41" s="32">
        <v>2.83</v>
      </c>
      <c r="I41" s="32">
        <v>2.74</v>
      </c>
      <c r="J41" s="32">
        <v>2.44</v>
      </c>
      <c r="K41" s="30"/>
      <c r="L41" s="30"/>
      <c r="M41" s="30"/>
      <c r="N41" s="30"/>
      <c r="O41" s="30"/>
      <c r="P41" s="30"/>
      <c r="Q41" s="30"/>
    </row>
    <row r="42" ht="15.0" customHeight="1">
      <c r="A42" s="27" t="s">
        <v>330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ht="15.0" customHeight="1">
      <c r="A43" s="29" t="s">
        <v>331</v>
      </c>
      <c r="B43" s="32">
        <v>2.39</v>
      </c>
      <c r="C43" s="32">
        <v>2.4</v>
      </c>
      <c r="D43" s="32">
        <v>2.2</v>
      </c>
      <c r="E43" s="32">
        <v>3.81</v>
      </c>
      <c r="F43" s="32">
        <v>2.66</v>
      </c>
      <c r="G43" s="32">
        <v>1.88</v>
      </c>
      <c r="H43" s="32">
        <v>1.56</v>
      </c>
      <c r="I43" s="32">
        <v>1.76</v>
      </c>
      <c r="J43" s="32">
        <v>1.88</v>
      </c>
      <c r="K43" s="32">
        <v>1.19</v>
      </c>
      <c r="L43" s="32">
        <v>1.41</v>
      </c>
      <c r="M43" s="32">
        <v>0.78</v>
      </c>
      <c r="N43" s="32">
        <v>0.53</v>
      </c>
      <c r="O43" s="30"/>
      <c r="P43" s="30"/>
      <c r="Q43" s="30"/>
    </row>
    <row r="44" ht="15.0" customHeight="1">
      <c r="A44" s="29" t="s">
        <v>332</v>
      </c>
      <c r="B44" s="32">
        <v>2.65</v>
      </c>
      <c r="C44" s="32">
        <v>2.58</v>
      </c>
      <c r="D44" s="32">
        <v>2.46</v>
      </c>
      <c r="E44" s="32">
        <v>2.4</v>
      </c>
      <c r="F44" s="32">
        <v>1.97</v>
      </c>
      <c r="G44" s="32">
        <v>1.67</v>
      </c>
      <c r="H44" s="32">
        <v>1.57</v>
      </c>
      <c r="I44" s="32">
        <v>1.43</v>
      </c>
      <c r="J44" s="32">
        <v>1.18</v>
      </c>
      <c r="K44" s="30"/>
      <c r="L44" s="30"/>
      <c r="M44" s="30"/>
      <c r="N44" s="30"/>
      <c r="O44" s="30"/>
      <c r="P44" s="30"/>
      <c r="Q44" s="30"/>
    </row>
    <row r="45" ht="15.0" customHeight="1">
      <c r="A45" s="27" t="s">
        <v>333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</row>
    <row r="46" ht="15.0" customHeight="1">
      <c r="A46" s="29" t="s">
        <v>334</v>
      </c>
      <c r="B46" s="32">
        <v>50.96</v>
      </c>
      <c r="C46" s="32">
        <v>19.11</v>
      </c>
      <c r="D46" s="32">
        <v>55.84</v>
      </c>
      <c r="E46" s="32">
        <v>25.3</v>
      </c>
      <c r="F46" s="32">
        <v>37.02</v>
      </c>
      <c r="G46" s="32">
        <v>83.33</v>
      </c>
      <c r="H46" s="30"/>
      <c r="I46" s="30"/>
      <c r="J46" s="32">
        <v>18.41</v>
      </c>
      <c r="K46" s="32">
        <v>37.14</v>
      </c>
      <c r="L46" s="32">
        <v>19.34</v>
      </c>
      <c r="M46" s="32">
        <v>12.69</v>
      </c>
      <c r="N46" s="32">
        <v>12.76</v>
      </c>
      <c r="O46" s="30"/>
      <c r="P46" s="30"/>
      <c r="Q46" s="30"/>
    </row>
    <row r="47" ht="15.0" customHeight="1">
      <c r="A47" s="29" t="s">
        <v>335</v>
      </c>
      <c r="B47" s="32">
        <v>31.2</v>
      </c>
      <c r="C47" s="32">
        <v>30.75</v>
      </c>
      <c r="D47" s="32">
        <v>47.52</v>
      </c>
      <c r="E47" s="32">
        <v>62.6</v>
      </c>
      <c r="F47" s="32">
        <v>84.68</v>
      </c>
      <c r="G47" s="31">
        <v>122.68</v>
      </c>
      <c r="H47" s="32">
        <v>70.99</v>
      </c>
      <c r="I47" s="32">
        <v>32.41</v>
      </c>
      <c r="J47" s="32">
        <v>18.78</v>
      </c>
      <c r="K47" s="30"/>
      <c r="L47" s="30"/>
      <c r="M47" s="30"/>
      <c r="N47" s="30"/>
      <c r="O47" s="30"/>
      <c r="P47" s="30"/>
      <c r="Q47" s="30"/>
    </row>
    <row r="48" ht="15.0" customHeight="1">
      <c r="A48" s="27" t="s">
        <v>336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</row>
    <row r="49" ht="15.0" customHeight="1">
      <c r="A49" s="29" t="s">
        <v>337</v>
      </c>
      <c r="B49" s="32">
        <v>12.98</v>
      </c>
      <c r="C49" s="32">
        <v>12.61</v>
      </c>
      <c r="D49" s="32">
        <v>11.55</v>
      </c>
      <c r="E49" s="32">
        <v>20.29</v>
      </c>
      <c r="F49" s="32">
        <v>17.17</v>
      </c>
      <c r="G49" s="32">
        <v>12.1</v>
      </c>
      <c r="H49" s="32">
        <v>9.99</v>
      </c>
      <c r="I49" s="32">
        <v>9.27</v>
      </c>
      <c r="J49" s="32">
        <v>10.19</v>
      </c>
      <c r="K49" s="32">
        <v>7.65</v>
      </c>
      <c r="L49" s="32">
        <v>9.64</v>
      </c>
      <c r="M49" s="32">
        <v>5.37</v>
      </c>
      <c r="N49" s="32">
        <v>3.83</v>
      </c>
      <c r="O49" s="30"/>
      <c r="P49" s="30"/>
      <c r="Q49" s="30"/>
    </row>
    <row r="50" ht="15.0" customHeight="1">
      <c r="A50" s="29" t="s">
        <v>338</v>
      </c>
      <c r="B50" s="32">
        <v>14.49</v>
      </c>
      <c r="C50" s="32">
        <v>14.54</v>
      </c>
      <c r="D50" s="32">
        <v>14.37</v>
      </c>
      <c r="E50" s="32">
        <v>14.19</v>
      </c>
      <c r="F50" s="32">
        <v>11.74</v>
      </c>
      <c r="G50" s="32">
        <v>9.91</v>
      </c>
      <c r="H50" s="32">
        <v>9.4</v>
      </c>
      <c r="I50" s="32">
        <v>8.62</v>
      </c>
      <c r="J50" s="32">
        <v>7.62</v>
      </c>
      <c r="K50" s="30"/>
      <c r="L50" s="30"/>
      <c r="M50" s="30"/>
      <c r="N50" s="30"/>
      <c r="O50" s="30"/>
      <c r="P50" s="30"/>
      <c r="Q50" s="30"/>
    </row>
    <row r="51" ht="15.0" customHeight="1">
      <c r="A51" s="27" t="s">
        <v>339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</row>
    <row r="52" ht="15.0" customHeight="1">
      <c r="A52" s="29" t="s">
        <v>340</v>
      </c>
      <c r="B52" s="32">
        <v>22.11</v>
      </c>
      <c r="C52" s="32">
        <v>19.69</v>
      </c>
      <c r="D52" s="32">
        <v>16.97</v>
      </c>
      <c r="E52" s="32">
        <v>31.99</v>
      </c>
      <c r="F52" s="32">
        <v>32.52</v>
      </c>
      <c r="G52" s="32">
        <v>22.78</v>
      </c>
      <c r="H52" s="32">
        <v>15.71</v>
      </c>
      <c r="I52" s="32">
        <v>14.4</v>
      </c>
      <c r="J52" s="32">
        <v>15.23</v>
      </c>
      <c r="K52" s="32">
        <v>12.8</v>
      </c>
      <c r="L52" s="32">
        <v>16.62</v>
      </c>
      <c r="M52" s="32">
        <v>9.01</v>
      </c>
      <c r="N52" s="32">
        <v>7.54</v>
      </c>
      <c r="O52" s="30"/>
      <c r="P52" s="30"/>
      <c r="Q52" s="30"/>
    </row>
    <row r="53" ht="15.0" customHeight="1">
      <c r="A53" s="29" t="s">
        <v>341</v>
      </c>
      <c r="B53" s="32">
        <v>23.37</v>
      </c>
      <c r="C53" s="32">
        <v>23.61</v>
      </c>
      <c r="D53" s="32">
        <v>23.49</v>
      </c>
      <c r="E53" s="32">
        <v>23.76</v>
      </c>
      <c r="F53" s="32">
        <v>19.49</v>
      </c>
      <c r="G53" s="32">
        <v>16.05</v>
      </c>
      <c r="H53" s="32">
        <v>14.92</v>
      </c>
      <c r="I53" s="32">
        <v>13.84</v>
      </c>
      <c r="J53" s="32">
        <v>12.75</v>
      </c>
      <c r="K53" s="30"/>
      <c r="L53" s="30"/>
      <c r="M53" s="30"/>
      <c r="N53" s="30"/>
      <c r="O53" s="30"/>
      <c r="P53" s="30"/>
      <c r="Q53" s="30"/>
    </row>
    <row r="54" ht="15.0" customHeight="1">
      <c r="A54" s="27" t="s">
        <v>342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</row>
    <row r="55" ht="15.0" customHeight="1">
      <c r="A55" s="29" t="s">
        <v>343</v>
      </c>
      <c r="B55" s="32">
        <v>21.33</v>
      </c>
      <c r="C55" s="32">
        <v>19.69</v>
      </c>
      <c r="D55" s="32">
        <v>16.59</v>
      </c>
      <c r="E55" s="32">
        <v>31.98</v>
      </c>
      <c r="F55" s="32">
        <v>25.69</v>
      </c>
      <c r="G55" s="32">
        <v>22.46</v>
      </c>
      <c r="H55" s="32">
        <v>15.62</v>
      </c>
      <c r="I55" s="32">
        <v>14.0</v>
      </c>
      <c r="J55" s="32">
        <v>15.53</v>
      </c>
      <c r="K55" s="32">
        <v>13.88</v>
      </c>
      <c r="L55" s="32">
        <v>15.25</v>
      </c>
      <c r="M55" s="32">
        <v>8.78</v>
      </c>
      <c r="N55" s="32">
        <v>7.54</v>
      </c>
      <c r="O55" s="30"/>
      <c r="P55" s="30"/>
      <c r="Q55" s="30"/>
    </row>
    <row r="56" ht="15.0" customHeight="1">
      <c r="A56" s="29" t="s">
        <v>344</v>
      </c>
      <c r="B56" s="32">
        <v>3.9</v>
      </c>
      <c r="C56" s="32">
        <v>3.81</v>
      </c>
      <c r="D56" s="32">
        <v>3.65</v>
      </c>
      <c r="E56" s="32">
        <v>3.56</v>
      </c>
      <c r="F56" s="32">
        <v>3.04</v>
      </c>
      <c r="G56" s="32">
        <v>2.73</v>
      </c>
      <c r="H56" s="32">
        <v>2.71</v>
      </c>
      <c r="I56" s="32">
        <v>2.62</v>
      </c>
      <c r="J56" s="32">
        <v>2.34</v>
      </c>
      <c r="K56" s="30"/>
      <c r="L56" s="30"/>
      <c r="M56" s="30"/>
      <c r="N56" s="30"/>
      <c r="O56" s="30"/>
      <c r="P56" s="30"/>
      <c r="Q56" s="30"/>
    </row>
    <row r="57" ht="15.0" customHeight="1">
      <c r="A57" s="27" t="s">
        <v>345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</row>
    <row r="58" ht="15.0" customHeight="1">
      <c r="A58" s="29" t="s">
        <v>346</v>
      </c>
      <c r="B58" s="35">
        <v>-4.22</v>
      </c>
      <c r="C58" s="35">
        <v>-7.0</v>
      </c>
      <c r="D58" s="32">
        <v>0.58</v>
      </c>
      <c r="E58" s="32">
        <v>0.54</v>
      </c>
      <c r="F58" s="32">
        <v>7.14</v>
      </c>
      <c r="G58" s="35">
        <v>-1.84</v>
      </c>
      <c r="H58" s="35">
        <v>-0.99</v>
      </c>
      <c r="I58" s="32">
        <v>7.27</v>
      </c>
      <c r="J58" s="32">
        <v>0.35</v>
      </c>
      <c r="K58" s="32">
        <v>0.82</v>
      </c>
      <c r="L58" s="35">
        <v>-55.67</v>
      </c>
      <c r="M58" s="32">
        <v>0.42</v>
      </c>
      <c r="N58" s="35">
        <v>-0.58</v>
      </c>
      <c r="O58" s="30"/>
      <c r="P58" s="30"/>
      <c r="Q58" s="30"/>
    </row>
    <row r="59" ht="15.0" customHeight="1">
      <c r="A59" s="29" t="s">
        <v>347</v>
      </c>
      <c r="B59" s="32">
        <v>1.6</v>
      </c>
      <c r="C59" s="32">
        <v>1.84</v>
      </c>
      <c r="D59" s="32">
        <v>2.44</v>
      </c>
      <c r="E59" s="32">
        <v>5.2</v>
      </c>
      <c r="F59" s="32">
        <v>7.91</v>
      </c>
      <c r="G59" s="32">
        <v>3.54</v>
      </c>
      <c r="H59" s="32">
        <v>2.05</v>
      </c>
      <c r="I59" s="32">
        <v>0.9</v>
      </c>
      <c r="J59" s="32">
        <v>1.08</v>
      </c>
      <c r="K59" s="30"/>
      <c r="L59" s="30"/>
      <c r="M59" s="30"/>
      <c r="N59" s="30"/>
      <c r="O59" s="30"/>
      <c r="P59" s="30"/>
      <c r="Q59" s="30"/>
    </row>
    <row r="60" ht="15.0" customHeight="1">
      <c r="A60" s="27" t="s">
        <v>348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</row>
    <row r="61" ht="15.0" customHeight="1">
      <c r="A61" s="29" t="s">
        <v>349</v>
      </c>
      <c r="B61" s="32">
        <v>2.7</v>
      </c>
      <c r="C61" s="32">
        <v>2.66</v>
      </c>
      <c r="D61" s="32">
        <v>2.48</v>
      </c>
      <c r="E61" s="32">
        <v>4.08</v>
      </c>
      <c r="F61" s="32">
        <v>3.02</v>
      </c>
      <c r="G61" s="32">
        <v>2.28</v>
      </c>
      <c r="H61" s="32">
        <v>1.88</v>
      </c>
      <c r="I61" s="32">
        <v>1.97</v>
      </c>
      <c r="J61" s="32">
        <v>1.96</v>
      </c>
      <c r="K61" s="32">
        <v>1.34</v>
      </c>
      <c r="L61" s="32">
        <v>1.57</v>
      </c>
      <c r="M61" s="32">
        <v>0.97</v>
      </c>
      <c r="N61" s="32">
        <v>0.75</v>
      </c>
      <c r="O61" s="30"/>
      <c r="P61" s="30"/>
      <c r="Q61" s="30"/>
    </row>
    <row r="62" ht="15.0" customHeight="1">
      <c r="A62" s="29" t="s">
        <v>350</v>
      </c>
      <c r="B62" s="32">
        <v>2.94</v>
      </c>
      <c r="C62" s="32">
        <v>2.89</v>
      </c>
      <c r="D62" s="32">
        <v>2.78</v>
      </c>
      <c r="E62" s="32">
        <v>2.71</v>
      </c>
      <c r="F62" s="32">
        <v>2.24</v>
      </c>
      <c r="G62" s="32">
        <v>1.9</v>
      </c>
      <c r="H62" s="32">
        <v>1.76</v>
      </c>
      <c r="I62" s="32">
        <v>1.59</v>
      </c>
      <c r="J62" s="32">
        <v>1.34</v>
      </c>
      <c r="K62" s="30"/>
      <c r="L62" s="30"/>
      <c r="M62" s="30"/>
      <c r="N62" s="30"/>
      <c r="O62" s="30"/>
      <c r="P62" s="30"/>
      <c r="Q62" s="30"/>
    </row>
    <row r="63" ht="15.0" customHeight="1">
      <c r="A63" s="27" t="s">
        <v>351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</row>
    <row r="64" ht="15.0" customHeight="1">
      <c r="A64" s="29" t="s">
        <v>352</v>
      </c>
      <c r="B64" s="32">
        <v>10.89</v>
      </c>
      <c r="C64" s="32">
        <v>10.58</v>
      </c>
      <c r="D64" s="32">
        <v>10.34</v>
      </c>
      <c r="E64" s="32">
        <v>17.14</v>
      </c>
      <c r="F64" s="32">
        <v>14.22</v>
      </c>
      <c r="G64" s="32">
        <v>11.63</v>
      </c>
      <c r="H64" s="32">
        <v>9.98</v>
      </c>
      <c r="I64" s="32">
        <v>8.54</v>
      </c>
      <c r="J64" s="32">
        <v>8.64</v>
      </c>
      <c r="K64" s="32">
        <v>7.37</v>
      </c>
      <c r="L64" s="32">
        <v>8.47</v>
      </c>
      <c r="M64" s="32">
        <v>5.25</v>
      </c>
      <c r="N64" s="32">
        <v>3.73</v>
      </c>
      <c r="O64" s="30"/>
      <c r="P64" s="30"/>
      <c r="Q64" s="30"/>
    </row>
    <row r="65" ht="15.0" customHeight="1">
      <c r="A65" s="29" t="s">
        <v>353</v>
      </c>
      <c r="B65" s="32">
        <v>12.28</v>
      </c>
      <c r="C65" s="32">
        <v>12.57</v>
      </c>
      <c r="D65" s="32">
        <v>12.77</v>
      </c>
      <c r="E65" s="32">
        <v>12.68</v>
      </c>
      <c r="F65" s="32">
        <v>10.67</v>
      </c>
      <c r="G65" s="32">
        <v>9.3</v>
      </c>
      <c r="H65" s="32">
        <v>8.64</v>
      </c>
      <c r="I65" s="32">
        <v>7.79</v>
      </c>
      <c r="J65" s="32">
        <v>6.8</v>
      </c>
      <c r="K65" s="30"/>
      <c r="L65" s="30"/>
      <c r="M65" s="30"/>
      <c r="N65" s="30"/>
      <c r="O65" s="30"/>
      <c r="P65" s="30"/>
      <c r="Q65" s="30"/>
    </row>
    <row r="66" ht="15.0" customHeight="1">
      <c r="A66" s="27" t="s">
        <v>354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</row>
    <row r="67" ht="15.0" customHeight="1">
      <c r="A67" s="29" t="s">
        <v>355</v>
      </c>
      <c r="B67" s="32">
        <v>19.22</v>
      </c>
      <c r="C67" s="32">
        <v>12.14</v>
      </c>
      <c r="D67" s="32">
        <v>23.25</v>
      </c>
      <c r="E67" s="32">
        <v>16.56</v>
      </c>
      <c r="F67" s="32">
        <v>18.16</v>
      </c>
      <c r="G67" s="32">
        <v>16.55</v>
      </c>
      <c r="H67" s="32">
        <v>16.09</v>
      </c>
      <c r="I67" s="32">
        <v>11.67</v>
      </c>
      <c r="J67" s="32">
        <v>8.15</v>
      </c>
      <c r="K67" s="32">
        <v>9.92</v>
      </c>
      <c r="L67" s="32">
        <v>10.3</v>
      </c>
      <c r="M67" s="32">
        <v>7.17</v>
      </c>
      <c r="N67" s="32">
        <v>5.36</v>
      </c>
      <c r="O67" s="30"/>
      <c r="P67" s="30"/>
      <c r="Q67" s="30"/>
    </row>
    <row r="68" ht="15.0" customHeight="1">
      <c r="A68" s="29" t="s">
        <v>356</v>
      </c>
      <c r="B68" s="32">
        <v>16.96</v>
      </c>
      <c r="C68" s="32">
        <v>16.45</v>
      </c>
      <c r="D68" s="32">
        <v>17.97</v>
      </c>
      <c r="E68" s="32">
        <v>15.95</v>
      </c>
      <c r="F68" s="32">
        <v>13.62</v>
      </c>
      <c r="G68" s="32">
        <v>11.96</v>
      </c>
      <c r="H68" s="32">
        <v>10.79</v>
      </c>
      <c r="I68" s="32">
        <v>9.42</v>
      </c>
      <c r="J68" s="32">
        <v>8.22</v>
      </c>
      <c r="K68" s="30"/>
      <c r="L68" s="30"/>
      <c r="M68" s="30"/>
      <c r="N68" s="30"/>
      <c r="O68" s="30"/>
      <c r="P68" s="30"/>
      <c r="Q68" s="30"/>
    </row>
    <row r="69" ht="15.0" customHeight="1">
      <c r="A69" s="27" t="s">
        <v>357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</row>
    <row r="70" ht="15.0" customHeight="1">
      <c r="A70" s="29" t="s">
        <v>358</v>
      </c>
      <c r="B70" s="32">
        <v>57.51</v>
      </c>
      <c r="C70" s="32">
        <v>21.17</v>
      </c>
      <c r="D70" s="32">
        <v>63.06</v>
      </c>
      <c r="E70" s="32">
        <v>27.09</v>
      </c>
      <c r="F70" s="32">
        <v>42.0</v>
      </c>
      <c r="G70" s="31">
        <v>101.21</v>
      </c>
      <c r="H70" s="30"/>
      <c r="I70" s="30"/>
      <c r="J70" s="32">
        <v>19.18</v>
      </c>
      <c r="K70" s="32">
        <v>42.01</v>
      </c>
      <c r="L70" s="32">
        <v>21.54</v>
      </c>
      <c r="M70" s="32">
        <v>15.84</v>
      </c>
      <c r="N70" s="32">
        <v>18.13</v>
      </c>
      <c r="O70" s="30"/>
      <c r="P70" s="30"/>
      <c r="Q70" s="30"/>
    </row>
    <row r="71" ht="15.0" customHeight="1">
      <c r="A71" s="29" t="s">
        <v>359</v>
      </c>
      <c r="B71" s="32">
        <v>34.64</v>
      </c>
      <c r="C71" s="32">
        <v>34.42</v>
      </c>
      <c r="D71" s="32">
        <v>53.79</v>
      </c>
      <c r="E71" s="32">
        <v>70.83</v>
      </c>
      <c r="F71" s="32">
        <v>96.65</v>
      </c>
      <c r="G71" s="31">
        <v>140.17</v>
      </c>
      <c r="H71" s="32">
        <v>79.38</v>
      </c>
      <c r="I71" s="32">
        <v>36.0</v>
      </c>
      <c r="J71" s="32">
        <v>21.33</v>
      </c>
      <c r="K71" s="30"/>
      <c r="L71" s="30"/>
      <c r="M71" s="30"/>
      <c r="N71" s="30"/>
      <c r="O71" s="30"/>
      <c r="P71" s="30"/>
      <c r="Q71" s="30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