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YhQngfvb2LWTE9ufKuDmmPu0d04ETJng8HrK0xKqjh4="/>
    </ext>
  </extLst>
</workbook>
</file>

<file path=xl/sharedStrings.xml><?xml version="1.0" encoding="utf-8"?>
<sst xmlns="http://schemas.openxmlformats.org/spreadsheetml/2006/main" count="897" uniqueCount="489">
  <si>
    <t>Company Fundamentals - Income Statement</t>
  </si>
  <si>
    <t>Company Name</t>
  </si>
  <si>
    <t>Embla Medical hf (EMBLA.CO)</t>
  </si>
  <si>
    <t>Country of Exchange</t>
  </si>
  <si>
    <t>Denmark</t>
  </si>
  <si>
    <t>Country of Headquarters</t>
  </si>
  <si>
    <t>Iceland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</si>
  <si>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</si>
  <si>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</si>
  <si>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</si>
  <si>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</si>
  <si>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</si>
  <si>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</si>
  <si>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</si>
  <si>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</si>
  <si>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</si>
  <si>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</si>
  <si>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</si>
  <si>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</si>
  <si>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</si>
  <si>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</si>
  <si>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</si>
  <si>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</si>
  <si>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</si>
  <si>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</si>
  <si>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</si>
  <si>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</si>
  <si>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</si>
  <si>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</si>
  <si>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</si>
  <si>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</si>
  <si>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</si>
  <si>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</si>
  <si>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</si>
  <si>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</si>
  <si>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</si>
  <si>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</si>
  <si>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</si>
  <si>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</si>
  <si>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</si>
  <si>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</si>
  <si>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</si>
  <si>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</si>
  <si>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</si>
  <si>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</si>
  <si>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</si>
  <si>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</si>
  <si>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</si>
  <si>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</si>
  <si>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</si>
  <si>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</si>
  <si>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</si>
  <si>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</si>
  <si>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</si>
  <si>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</si>
  <si>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</si>
  <si>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</si>
  <si>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</si>
  <si>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</si>
  <si>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</si>
  <si>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</si>
  <si>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</si>
  <si>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</si>
  <si>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</si>
  <si>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</si>
  <si>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</si>
  <si>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</si>
  <si>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</si>
  <si>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</si>
  <si>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</si>
  <si>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</si>
  <si>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</si>
  <si>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</si>
  <si>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</si>
  <si>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</si>
  <si>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Depreciation in Cost of goods sold</t>
  </si>
  <si>
    <t>Depreciation of Right-of-Use Assets in Cost of Revenues</t>
  </si>
  <si>
    <t>Amortization of Intangibles in Cost of Revenues</t>
  </si>
  <si>
    <t>Labor &amp; Related Expense - COGS</t>
  </si>
  <si>
    <t>Amortization in COR/COGS</t>
  </si>
  <si>
    <t>Cost of goods sold- Balancing value</t>
  </si>
  <si>
    <t>Cost of revenues/COGS</t>
  </si>
  <si>
    <t>GROSS PROFIT</t>
  </si>
  <si>
    <t>Other income / (expenses)</t>
  </si>
  <si>
    <t>Impairment - Goodwill</t>
  </si>
  <si>
    <t>Impairment loss of trademark</t>
  </si>
  <si>
    <t>Other income / (expenses) - Balancing value</t>
  </si>
  <si>
    <t>Patent Settling</t>
  </si>
  <si>
    <t>Sale of Assets</t>
  </si>
  <si>
    <t>Other Other Income</t>
  </si>
  <si>
    <t>Sales and marketing expenses</t>
  </si>
  <si>
    <t>Labor &amp; Related Expenses in Sales and marketing expenses</t>
  </si>
  <si>
    <t>Depreciation in Sales and marketing expenses</t>
  </si>
  <si>
    <t>Depreciation of Right-of-Use Assets in Selling, General &amp; Administrative Expenses</t>
  </si>
  <si>
    <t>Amortization of intangible-Sales and marketing expenses</t>
  </si>
  <si>
    <t>Labor &amp; Related Expenses in Selling, General &amp; Administrative Expenses</t>
  </si>
  <si>
    <t>Sales and marketing expenses - Balancing value</t>
  </si>
  <si>
    <t>Research and development expenses</t>
  </si>
  <si>
    <t>Labor &amp; Related Expenses in Research and development expenses</t>
  </si>
  <si>
    <t>Depreciation in Research and development expenses</t>
  </si>
  <si>
    <t>Depreciation of Right-of-Use Assets in Research &amp; Development Expenses</t>
  </si>
  <si>
    <t>Amortization in Research and development expenses</t>
  </si>
  <si>
    <t>Research and development expenses - Balancing value</t>
  </si>
  <si>
    <t>General and administrative expenses</t>
  </si>
  <si>
    <t>Labor &amp; Related Expenses in General and administrative expenses</t>
  </si>
  <si>
    <t>Depreciation in General and administrative expenses</t>
  </si>
  <si>
    <t>Amortization in General and administrative expenses</t>
  </si>
  <si>
    <t>General and administrative expenses-Balancing value</t>
  </si>
  <si>
    <t>Other Operating Income/Expense</t>
  </si>
  <si>
    <t>Acquisition of subsidiaries</t>
  </si>
  <si>
    <t>Depreciation</t>
  </si>
  <si>
    <t>Restructuring Expenses</t>
  </si>
  <si>
    <t>Operating (Income)/Expense, net</t>
  </si>
  <si>
    <t>Reported Operating Expense</t>
  </si>
  <si>
    <t>Balancing Item - Income from Operations, net</t>
  </si>
  <si>
    <t>EARNINGS BEFORE INTEREST AND TAX (EBIT)</t>
  </si>
  <si>
    <t>Interests on bank deposits</t>
  </si>
  <si>
    <t>Net financial expenses</t>
  </si>
  <si>
    <t>Financial income</t>
  </si>
  <si>
    <t>Other Financial income</t>
  </si>
  <si>
    <t>Financial income - Balancing value</t>
  </si>
  <si>
    <t>Share in net profit of associates</t>
  </si>
  <si>
    <t>Financial expenses</t>
  </si>
  <si>
    <t>Interests on loans</t>
  </si>
  <si>
    <t>Interest on leases</t>
  </si>
  <si>
    <t>Other financial expenses</t>
  </si>
  <si>
    <t>Financial expenses - Balancing value</t>
  </si>
  <si>
    <t>Net exchange rate difference</t>
  </si>
  <si>
    <t>Other Financial Income</t>
  </si>
  <si>
    <t>Other Financial Expenses</t>
  </si>
  <si>
    <t>Effects of associates</t>
  </si>
  <si>
    <t>Derivative's Revaluation</t>
  </si>
  <si>
    <t>LT Investments</t>
  </si>
  <si>
    <t>Trading Investments</t>
  </si>
  <si>
    <t>Interest Expense</t>
  </si>
  <si>
    <t>Balancing Item - Pretax Income</t>
  </si>
  <si>
    <t>EARNINGS BEFORE TAX (EBT)</t>
  </si>
  <si>
    <t>Income tax</t>
  </si>
  <si>
    <t>Current tax expenses</t>
  </si>
  <si>
    <t>Other Provision for Income Taxes</t>
  </si>
  <si>
    <t>Deferred Tax Reclassified from Equity</t>
  </si>
  <si>
    <t>Deferred Tax</t>
  </si>
  <si>
    <t>Exchange Rate Difference</t>
  </si>
  <si>
    <t>Deferred tax expenses</t>
  </si>
  <si>
    <t>Income Taxes - Total</t>
  </si>
  <si>
    <t>Net profit</t>
  </si>
  <si>
    <t>Owners of the Company</t>
  </si>
  <si>
    <t>Non-controlling interests</t>
  </si>
  <si>
    <t>Minority interests</t>
  </si>
  <si>
    <t>Income Available to Com Excl Extra Ordinary</t>
  </si>
  <si>
    <t>Net profit Earnings per share</t>
  </si>
  <si>
    <t>Change in cash flow hedges</t>
  </si>
  <si>
    <t>Exchange difference on translating foreign operations</t>
  </si>
  <si>
    <t>Fair value changes of financial liabilities</t>
  </si>
  <si>
    <t>Acctransldiff reclassified to profit or loss on disposal of foreign operations</t>
  </si>
  <si>
    <t>Other comprehensive income</t>
  </si>
  <si>
    <t>Comprehensive income attributable to noncontrolling interests</t>
  </si>
  <si>
    <t>Comprehensive income (loss) attributable to Sony Corporation's stockholders</t>
  </si>
  <si>
    <t>Total comprehensive income</t>
  </si>
  <si>
    <t>As Reported Basic Weighted Avg Shares</t>
  </si>
  <si>
    <t>Basic earnings per share (US cent)</t>
  </si>
  <si>
    <t>Basic EPS Excluding Extra Ordinary Items</t>
  </si>
  <si>
    <t>As Reported Diluted Weighted Avg Shares</t>
  </si>
  <si>
    <t>Diluted earnings per share (US cent)</t>
  </si>
  <si>
    <t>Diluted EPS Excluding Extra Ordinary Items</t>
  </si>
  <si>
    <t>Diluted Net Income</t>
  </si>
  <si>
    <t>Diluted Net Income excluding Extra Items applicable to Common - (Company Level)</t>
  </si>
  <si>
    <t>Dilution Adjustment</t>
  </si>
  <si>
    <t>Total Depreciation &amp; Amortization (Combined)</t>
  </si>
  <si>
    <t>Total Depreciation of Fixed Assets</t>
  </si>
  <si>
    <t>Total Amortization of Intangible Assets (excl Goodwill)</t>
  </si>
  <si>
    <t>Rental Expense</t>
  </si>
  <si>
    <t>Depreciation of Financial Lease Right-of-Use Assets - Supplemental</t>
  </si>
  <si>
    <t>Amortization of Customer/distribution relationships</t>
  </si>
  <si>
    <t>Amortization of Patents</t>
  </si>
  <si>
    <t>Amortization of Trademarks</t>
  </si>
  <si>
    <t>Amortization of Software and other</t>
  </si>
  <si>
    <t>Research &amp; Development Expenses</t>
  </si>
  <si>
    <t>Depreciation &amp; Amortization</t>
  </si>
  <si>
    <t>Amortization of Intangibles</t>
  </si>
  <si>
    <t>Auditor Fees - Total</t>
  </si>
  <si>
    <t>Audit of Financial Statements</t>
  </si>
  <si>
    <t>Other Services</t>
  </si>
  <si>
    <t>Review of Interim Financial Statement</t>
  </si>
  <si>
    <t>Share-Based Compensation</t>
  </si>
  <si>
    <t>Interest Expense on Financial Lease Liabilities - Supplemental</t>
  </si>
  <si>
    <t>Short-Term Lease Cost</t>
  </si>
  <si>
    <t>STAFF EXPENSES</t>
  </si>
  <si>
    <t>Total Amortization of Intangible Assets (incl Goodwill)</t>
  </si>
  <si>
    <t>ongoing efficiency initiatives and the acquisitions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</si>
  <si>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</si>
  <si>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</si>
  <si>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</si>
  <si>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</si>
  <si>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</si>
  <si>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</si>
  <si>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</si>
  <si>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</si>
  <si>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</si>
  <si>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</si>
  <si>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</si>
  <si>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</si>
  <si>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EPS - Diluted - excluding Extraordinary Items Applicable to Common - Issue Specific - DR</t>
  </si>
  <si>
    <t>EPS - Diluted - including Extraordinary Items Applicable to Common - Issue Specific - DR</t>
  </si>
  <si>
    <t>Shares used to calculate Diluted EPS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</si>
  <si>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</si>
  <si>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</si>
  <si>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</si>
  <si>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</si>
  <si>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</si>
  <si>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</si>
  <si>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</si>
  <si>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</t>
  </si>
  <si>
    <t>Work in Progress</t>
  </si>
  <si>
    <t>Finished goods</t>
  </si>
  <si>
    <t>Inventories - Balancing value</t>
  </si>
  <si>
    <t>Marketable Securities</t>
  </si>
  <si>
    <t>Accounts receivable</t>
  </si>
  <si>
    <t>Nominal value</t>
  </si>
  <si>
    <t>Allowance for doubtful accounts</t>
  </si>
  <si>
    <t>Accounts receivable - Balancing value</t>
  </si>
  <si>
    <t>Allowances for sales return</t>
  </si>
  <si>
    <t>Other financial assets</t>
  </si>
  <si>
    <t>Other assets</t>
  </si>
  <si>
    <t>Receivables from Sale of Fixed Assets</t>
  </si>
  <si>
    <t>Tax receivable</t>
  </si>
  <si>
    <t>Prepaid Expenses</t>
  </si>
  <si>
    <t>VAT refundable</t>
  </si>
  <si>
    <t>Receivables related to divestment of subsidiaries</t>
  </si>
  <si>
    <t>Other</t>
  </si>
  <si>
    <t>Other Assets</t>
  </si>
  <si>
    <t>Cash and cash equivalents</t>
  </si>
  <si>
    <t>Bank Accounts</t>
  </si>
  <si>
    <t>Bankers draft received</t>
  </si>
  <si>
    <t>Cash and Other Cash Equivalents</t>
  </si>
  <si>
    <t>Bank balances and cash - Balancing value</t>
  </si>
  <si>
    <t>Discontinued Operations</t>
  </si>
  <si>
    <t>Assets classified as held for sale</t>
  </si>
  <si>
    <t>Current assets</t>
  </si>
  <si>
    <t>Property, plant and equipment</t>
  </si>
  <si>
    <t>Leasehold Improvements - Gross</t>
  </si>
  <si>
    <t>Leasehold Improvements - Accumulated Depreciation &amp; Impairment</t>
  </si>
  <si>
    <t>Leasehold Improvements - Net - Balancing value</t>
  </si>
  <si>
    <t>Buildings and Sites, Net</t>
  </si>
  <si>
    <t>Buildings and Sites, Gross</t>
  </si>
  <si>
    <t>Accumulated Depreciation of Buildings and Sites</t>
  </si>
  <si>
    <t>Machinery &amp; equipment, Net</t>
  </si>
  <si>
    <t>Machinery &amp; equipment, Net -</t>
  </si>
  <si>
    <t>Machinery &amp; equipment, Gross</t>
  </si>
  <si>
    <t>Accumulated Depreciation of Machinery &amp; equipment</t>
  </si>
  <si>
    <t>Fixtures &amp; office Equipment- Net</t>
  </si>
  <si>
    <t>Fixtures &amp; office equipment -Gross</t>
  </si>
  <si>
    <t>Fixtures &amp; office equipment Gross</t>
  </si>
  <si>
    <t>Accumulated Depreciation of Fixtures &amp; office Equipment</t>
  </si>
  <si>
    <t>Computer equipments, Gross</t>
  </si>
  <si>
    <t>Accumulated Depreciation of Computer equipments</t>
  </si>
  <si>
    <t>Computer equipments, Net - Balancing value</t>
  </si>
  <si>
    <t>Total Tangible Assets, Net - Balancing value</t>
  </si>
  <si>
    <t>Total Property/Plant/Equipment, Gross</t>
  </si>
  <si>
    <t>Total Property/Plant/Equipment- Depreciation</t>
  </si>
  <si>
    <t>Right of use assets</t>
  </si>
  <si>
    <t>Right of Use Tangible Assets - Gross</t>
  </si>
  <si>
    <t>Right of Use Tangible Assets - Accumulated Depreciation</t>
  </si>
  <si>
    <t>Goodwill</t>
  </si>
  <si>
    <t>Other intangible assets</t>
  </si>
  <si>
    <t>Customer/Distribution Relationships, Net</t>
  </si>
  <si>
    <t>Customer/Distribution Relationships, Gross</t>
  </si>
  <si>
    <t>Accumulated Amortization of Customer/Distribution Relationships</t>
  </si>
  <si>
    <t>Patents, Gross</t>
  </si>
  <si>
    <t>Accumulated Amortization of Patents</t>
  </si>
  <si>
    <t>Patents, Net - Balancing value</t>
  </si>
  <si>
    <t>Trademarks, Gross</t>
  </si>
  <si>
    <t>Accumulated Amortization of Trademarks</t>
  </si>
  <si>
    <t>Trademarks Net - Balancing value</t>
  </si>
  <si>
    <t>Software and other, Gross</t>
  </si>
  <si>
    <t>Accumulated Amortization of Software and other</t>
  </si>
  <si>
    <t>Total Intangible Assets excluding Goodwill, Gross</t>
  </si>
  <si>
    <t>Accumulated Amortization of Intangible Assets excluding Goodwill</t>
  </si>
  <si>
    <t>Investment in associates</t>
  </si>
  <si>
    <t>Long term receivables.</t>
  </si>
  <si>
    <t>Restricted Cash- long term</t>
  </si>
  <si>
    <t>Other Investments Held to Maturity</t>
  </si>
  <si>
    <t>Loan and receivables</t>
  </si>
  <si>
    <t>Deferred tax assets</t>
  </si>
  <si>
    <t>Interest Swaps</t>
  </si>
  <si>
    <t>Balancing Item - Assets</t>
  </si>
  <si>
    <t>Balancing Item - Noncurrent Assets</t>
  </si>
  <si>
    <t>Non-current assets</t>
  </si>
  <si>
    <t>Total Assets</t>
  </si>
  <si>
    <t>Bank Loans</t>
  </si>
  <si>
    <t>Borrowings</t>
  </si>
  <si>
    <t>Lease liabilities</t>
  </si>
  <si>
    <t>Accounts payable</t>
  </si>
  <si>
    <t>Income tax payable</t>
  </si>
  <si>
    <t>Provisions</t>
  </si>
  <si>
    <t>Accrued salaries and related expenses</t>
  </si>
  <si>
    <t>Other financial liabilities</t>
  </si>
  <si>
    <t>Other liabilities</t>
  </si>
  <si>
    <t>Accrued royalties</t>
  </si>
  <si>
    <t>Accrued Expenses</t>
  </si>
  <si>
    <t>Sales tax and VAT</t>
  </si>
  <si>
    <t>Deferred income</t>
  </si>
  <si>
    <t>Prepayments on orders</t>
  </si>
  <si>
    <t>Payables due to Previous Acquisition</t>
  </si>
  <si>
    <t>Other liabilities - Balancing value</t>
  </si>
  <si>
    <t>Other Current Liabilities</t>
  </si>
  <si>
    <t>Tax Liability</t>
  </si>
  <si>
    <t>Balancing Item - Current Liabilities</t>
  </si>
  <si>
    <t>Current Liabilities</t>
  </si>
  <si>
    <t>Other LT Liabilities</t>
  </si>
  <si>
    <t>Deferred tax liabilities</t>
  </si>
  <si>
    <t>Deferred Income</t>
  </si>
  <si>
    <t>Defined employee benefits</t>
  </si>
  <si>
    <t>Finance Leases</t>
  </si>
  <si>
    <t>Balancing Item - Noncurrent Liabilities</t>
  </si>
  <si>
    <t>Non-current liabilities</t>
  </si>
  <si>
    <t>Total Liabilities</t>
  </si>
  <si>
    <t>Issued capital and share premium</t>
  </si>
  <si>
    <t>Share capital</t>
  </si>
  <si>
    <t>Share premium</t>
  </si>
  <si>
    <t>Other reserves</t>
  </si>
  <si>
    <t>Statutory Reserve</t>
  </si>
  <si>
    <t>Share option reserve</t>
  </si>
  <si>
    <t>Fair value reserve</t>
  </si>
  <si>
    <t>Financial Assets</t>
  </si>
  <si>
    <t>Translation Reserve</t>
  </si>
  <si>
    <t>Reserves - Balancing value</t>
  </si>
  <si>
    <t>Retained earnings</t>
  </si>
  <si>
    <t>Balancing Item - Shareholders Equity</t>
  </si>
  <si>
    <t>Shareholders equity</t>
  </si>
  <si>
    <t>Non-controlling interest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</si>
  <si>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</si>
  <si>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</si>
  <si>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</si>
  <si>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</si>
  <si>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</si>
  <si>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Reported Issued Shares- Common Iss. Pri.</t>
  </si>
  <si>
    <t>Total Equivalent No of Common Shares O/S</t>
  </si>
  <si>
    <t>Common Shares Treasury - (Company Level)</t>
  </si>
  <si>
    <t>Reported Total Capital Leases, Supplemental</t>
  </si>
  <si>
    <t>Lease Payments Within 5 Years</t>
  </si>
  <si>
    <t>Future Finance Charges</t>
  </si>
  <si>
    <t>Reported Total LT Debt, Supplemental</t>
  </si>
  <si>
    <t>Debt, Due Within 5 Years</t>
  </si>
  <si>
    <t>Reported Total LT Debt, Supplemental - Balancing value</t>
  </si>
  <si>
    <t>Debt, Due after 5 Years</t>
  </si>
  <si>
    <t>Debt, Due Within 1 Year</t>
  </si>
  <si>
    <t>Debt, Due Within 2 Years</t>
  </si>
  <si>
    <t>Debt, Due Within 3 Years</t>
  </si>
  <si>
    <t>Debt, Due Within 4 Years</t>
  </si>
  <si>
    <t>Capital Lease Maturities - Total</t>
  </si>
  <si>
    <t>Capital Lease Maturities - Interest Costs</t>
  </si>
  <si>
    <t>Lease Payments Within 1 Year</t>
  </si>
  <si>
    <t>Lease Payments Within 2 Years</t>
  </si>
  <si>
    <t>Lease Payments Within 3 Years</t>
  </si>
  <si>
    <t>Lease Payments Within 4 Years</t>
  </si>
  <si>
    <t>Capital Lease Maturities - Remaining Maturities</t>
  </si>
  <si>
    <t>Asset Allocation Factor - (Instrument Level)</t>
  </si>
  <si>
    <t>Common Shares Issued - (Instrument Level)</t>
  </si>
  <si>
    <t>T/S-Common Stock</t>
  </si>
  <si>
    <t>S/O-Common Stock</t>
  </si>
  <si>
    <t>Common Shares - Treasury - Issue Specific - DR</t>
  </si>
  <si>
    <t>Common Shares - Issued - Issue Specific - DR</t>
  </si>
  <si>
    <t>Common Shares - Outstanding - Issue Specific - DR</t>
  </si>
  <si>
    <t>Company Fundamentals - Cash Flow</t>
  </si>
  <si>
    <t>Industrial - Indirect</t>
  </si>
  <si>
    <t>Cash Flow - Company Specific (Currency: Norwegian Krone)</t>
  </si>
  <si>
    <t>Depreciation and amortization</t>
  </si>
  <si>
    <t>Impairment -Goodwill</t>
  </si>
  <si>
    <t>Change in provisions</t>
  </si>
  <si>
    <t>Other operating activities</t>
  </si>
  <si>
    <t>Cash generated from operations</t>
  </si>
  <si>
    <t>Earnings before interests and tax (EBIT)</t>
  </si>
  <si>
    <t>Amortization of intangible assets excluding Goodwill</t>
  </si>
  <si>
    <t>Amortization</t>
  </si>
  <si>
    <t>Change in inventories</t>
  </si>
  <si>
    <t>Change in receivables</t>
  </si>
  <si>
    <t>Change in payables</t>
  </si>
  <si>
    <t>Loss on disposal of assets</t>
  </si>
  <si>
    <t>Changes in operating assets and liabilities</t>
  </si>
  <si>
    <t>Interest received</t>
  </si>
  <si>
    <t>Interest paid</t>
  </si>
  <si>
    <t>Income tax paid</t>
  </si>
  <si>
    <t>Change in working capital</t>
  </si>
  <si>
    <t>Other Non-Cash Items</t>
  </si>
  <si>
    <t>Net cash generated from operating activities</t>
  </si>
  <si>
    <t>Purchase of fixed and intangible assets</t>
  </si>
  <si>
    <t>Payment of contingent consideration and deferred payments</t>
  </si>
  <si>
    <t>Disposal of subsidiaries, net of cash in disp entities</t>
  </si>
  <si>
    <t>Other investing activities</t>
  </si>
  <si>
    <t>Proceeds from sale of fixed assets</t>
  </si>
  <si>
    <t>Dividend received</t>
  </si>
  <si>
    <t>Changes in financial assets</t>
  </si>
  <si>
    <t>Sale Shares Other Company</t>
  </si>
  <si>
    <t>Share Investments</t>
  </si>
  <si>
    <t>Installments on Bonds</t>
  </si>
  <si>
    <t>Proceeds from Sale of Trading Investment</t>
  </si>
  <si>
    <t>Proceeds from Available for Sale Investment</t>
  </si>
  <si>
    <t>LT Securities</t>
  </si>
  <si>
    <t>Balancing Item - Investing</t>
  </si>
  <si>
    <t>Acquisition of subsidiaries, net of cash in acquired entities</t>
  </si>
  <si>
    <t>Cash flows used in investing activities</t>
  </si>
  <si>
    <t>Proceeds from long-term borrowings</t>
  </si>
  <si>
    <t>Repayments of long-term borrowings</t>
  </si>
  <si>
    <t>Changes in revolving credit facility</t>
  </si>
  <si>
    <t>Payments of lease liabilities</t>
  </si>
  <si>
    <t>Payment of dividends</t>
  </si>
  <si>
    <t>Increase in subsidiaries not affecting control</t>
  </si>
  <si>
    <t>Dividends from subsidiaries paid to non-controlling interests</t>
  </si>
  <si>
    <t>Purchased treasury shares</t>
  </si>
  <si>
    <t>Change in treasury shares</t>
  </si>
  <si>
    <t>Cost Due to Increasing Capital</t>
  </si>
  <si>
    <t>ST Loans Repaid</t>
  </si>
  <si>
    <t>ST Loans</t>
  </si>
  <si>
    <t>Share Options</t>
  </si>
  <si>
    <t>Balancing Item - Financing</t>
  </si>
  <si>
    <t>Increase in subsidiaries that does not affect control</t>
  </si>
  <si>
    <t>Cash flows generated from financing activities</t>
  </si>
  <si>
    <t>Other items held in foreign currencies</t>
  </si>
  <si>
    <t>Net change in cash</t>
  </si>
  <si>
    <t>Exchange rate effects on cash held in foreign currencies</t>
  </si>
  <si>
    <t>Cash and cash equivalents at beginning of period</t>
  </si>
  <si>
    <t>Cash and cash equivalents at end of period</t>
  </si>
  <si>
    <t>Net Change in Cash</t>
  </si>
  <si>
    <t>Net inc adjustment-non cash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</si>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</sst>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46094.7472778009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9632.86</v>
      </c>
      <c r="C20" s="15">
        <v>9184.75</v>
      </c>
      <c r="D20" s="15">
        <v>8290.02</v>
      </c>
      <c r="E20" s="15">
        <v>6904.38</v>
      </c>
      <c r="F20" s="15">
        <v>6176.73</v>
      </c>
      <c r="G20" s="15">
        <v>5924.16</v>
      </c>
      <c r="H20" s="15">
        <v>6037.8</v>
      </c>
      <c r="I20" s="15">
        <v>4989.16</v>
      </c>
      <c r="J20" s="15">
        <v>4700.08</v>
      </c>
      <c r="K20" s="15">
        <v>4372.31</v>
      </c>
      <c r="L20" s="15">
        <v>3894.65</v>
      </c>
      <c r="M20" s="15">
        <v>3211.87</v>
      </c>
      <c r="N20" s="15">
        <v>2564.29</v>
      </c>
      <c r="O20" s="15">
        <v>2322.66</v>
      </c>
      <c r="P20" s="15">
        <v>2231.63</v>
      </c>
      <c r="Q20" s="15">
        <v>2165.8</v>
      </c>
      <c r="R20" s="15">
        <v>2076.41</v>
      </c>
      <c r="S20" s="15">
        <v>1958.33</v>
      </c>
      <c r="T20" s="15">
        <v>1964.81</v>
      </c>
      <c r="U20" s="15">
        <v>1615.31</v>
      </c>
      <c r="V20" s="15">
        <v>1035.22</v>
      </c>
      <c r="W20" s="15">
        <v>837.9</v>
      </c>
    </row>
    <row r="21" ht="15.0" customHeight="1">
      <c r="A21" s="16" t="s">
        <v>73</v>
      </c>
      <c r="B21" s="17">
        <v>9632.86</v>
      </c>
      <c r="C21" s="17">
        <v>9184.75</v>
      </c>
      <c r="D21" s="17">
        <v>8290.02</v>
      </c>
      <c r="E21" s="17">
        <v>6904.38</v>
      </c>
      <c r="F21" s="17">
        <v>6176.73</v>
      </c>
      <c r="G21" s="17">
        <v>5924.16</v>
      </c>
      <c r="H21" s="17">
        <v>6037.8</v>
      </c>
      <c r="I21" s="17">
        <v>4989.16</v>
      </c>
      <c r="J21" s="17">
        <v>4700.08</v>
      </c>
      <c r="K21" s="17">
        <v>4372.31</v>
      </c>
      <c r="L21" s="17">
        <v>3894.65</v>
      </c>
      <c r="M21" s="17">
        <v>3211.87</v>
      </c>
      <c r="N21" s="17">
        <v>2564.29</v>
      </c>
      <c r="O21" s="17">
        <v>2322.66</v>
      </c>
      <c r="P21" s="17">
        <v>2231.63</v>
      </c>
      <c r="Q21" s="17">
        <v>2165.8</v>
      </c>
      <c r="R21" s="17">
        <v>2076.41</v>
      </c>
      <c r="S21" s="17">
        <v>1958.33</v>
      </c>
      <c r="T21" s="17">
        <v>1964.81</v>
      </c>
      <c r="U21" s="17">
        <v>1615.31</v>
      </c>
      <c r="V21" s="17">
        <v>1035.22</v>
      </c>
      <c r="W21" s="17">
        <v>837.9</v>
      </c>
    </row>
    <row r="22" ht="15.0" customHeight="1">
      <c r="A22" s="14" t="s">
        <v>74</v>
      </c>
      <c r="B22" s="15">
        <v>3631.78</v>
      </c>
      <c r="C22" s="15">
        <v>3440.04</v>
      </c>
      <c r="D22" s="15">
        <v>3166.57</v>
      </c>
      <c r="E22" s="15">
        <v>2679.53</v>
      </c>
      <c r="F22" s="15">
        <v>2262.82</v>
      </c>
      <c r="G22" s="15">
        <v>2242.3</v>
      </c>
      <c r="H22" s="15">
        <v>2178.53</v>
      </c>
      <c r="I22" s="15">
        <v>1840.36</v>
      </c>
      <c r="J22" s="15">
        <v>1767.48</v>
      </c>
      <c r="K22" s="15">
        <v>1614.67</v>
      </c>
      <c r="L22" s="15">
        <v>1450.72</v>
      </c>
      <c r="M22" s="15">
        <v>1174.32</v>
      </c>
      <c r="N22" s="15">
        <v>977.67</v>
      </c>
      <c r="O22" s="15">
        <v>880.86</v>
      </c>
      <c r="P22" s="15">
        <v>853.01</v>
      </c>
      <c r="Q22" s="15">
        <v>821.02</v>
      </c>
      <c r="R22" s="15">
        <v>808.79</v>
      </c>
      <c r="S22" s="15">
        <v>748.88</v>
      </c>
      <c r="T22" s="15">
        <v>859.17</v>
      </c>
      <c r="U22" s="15">
        <v>658.31</v>
      </c>
      <c r="V22" s="15">
        <v>427.27</v>
      </c>
      <c r="W22" s="15">
        <v>333.78</v>
      </c>
    </row>
    <row r="23" ht="15.0" customHeight="1">
      <c r="A23" s="14" t="s">
        <v>75</v>
      </c>
      <c r="B23" s="15">
        <v>101.02</v>
      </c>
      <c r="C23" s="15">
        <v>105.83</v>
      </c>
      <c r="D23" s="18">
        <v>96.32</v>
      </c>
      <c r="E23" s="18">
        <v>85.94</v>
      </c>
      <c r="F23" s="18">
        <v>73.67</v>
      </c>
      <c r="G23" s="18">
        <v>93.4</v>
      </c>
      <c r="H23" s="18">
        <v>81.85</v>
      </c>
      <c r="I23" s="18">
        <v>73.69</v>
      </c>
      <c r="J23" s="18">
        <v>69.3</v>
      </c>
      <c r="K23" s="18">
        <v>70.27</v>
      </c>
      <c r="L23" s="18">
        <v>55.84</v>
      </c>
      <c r="M23" s="18">
        <v>37.18</v>
      </c>
      <c r="N23" s="18">
        <v>28.28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76</v>
      </c>
      <c r="B24" s="15">
        <v>121.68</v>
      </c>
      <c r="C24" s="15">
        <v>108.44</v>
      </c>
      <c r="D24" s="18">
        <v>94.77</v>
      </c>
      <c r="E24" s="18">
        <v>81.38</v>
      </c>
      <c r="F24" s="18">
        <v>73.24</v>
      </c>
      <c r="G24" s="18">
        <v>69.46</v>
      </c>
      <c r="H24" s="18">
        <v>58.29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77</v>
      </c>
      <c r="B25" s="18">
        <v>9.16</v>
      </c>
      <c r="C25" s="18">
        <v>16.94</v>
      </c>
      <c r="D25" s="18">
        <v>6.63</v>
      </c>
      <c r="E25" s="18">
        <v>1.37</v>
      </c>
      <c r="F25" s="18">
        <v>1.01</v>
      </c>
      <c r="G25" s="18">
        <v>1.36</v>
      </c>
      <c r="H25" s="18">
        <v>7.16</v>
      </c>
      <c r="I25" s="18">
        <v>9.1</v>
      </c>
      <c r="J25" s="18">
        <v>10.43</v>
      </c>
      <c r="K25" s="18">
        <v>8.45</v>
      </c>
      <c r="L25" s="18">
        <v>8.51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78</v>
      </c>
      <c r="B26" s="15">
        <v>1049.17</v>
      </c>
      <c r="C26" s="19"/>
      <c r="D26" s="15">
        <v>831.17</v>
      </c>
      <c r="E26" s="15">
        <v>665.88</v>
      </c>
      <c r="F26" s="15">
        <v>577.55</v>
      </c>
      <c r="G26" s="15">
        <v>613.6</v>
      </c>
      <c r="H26" s="15">
        <v>638.22</v>
      </c>
      <c r="I26" s="15">
        <v>585.45</v>
      </c>
      <c r="J26" s="15">
        <v>557.55</v>
      </c>
      <c r="K26" s="19"/>
      <c r="L26" s="15">
        <v>355.78</v>
      </c>
      <c r="M26" s="15">
        <v>271.52</v>
      </c>
      <c r="N26" s="15">
        <v>270.93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8">
        <v>4.89</v>
      </c>
      <c r="N27" s="18">
        <v>3.26</v>
      </c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80</v>
      </c>
      <c r="B28" s="15">
        <v>2350.75</v>
      </c>
      <c r="C28" s="15">
        <v>3208.84</v>
      </c>
      <c r="D28" s="15">
        <v>2137.67</v>
      </c>
      <c r="E28" s="15">
        <v>1844.95</v>
      </c>
      <c r="F28" s="15">
        <v>1537.35</v>
      </c>
      <c r="G28" s="15">
        <v>1464.49</v>
      </c>
      <c r="H28" s="15">
        <v>1393.01</v>
      </c>
      <c r="I28" s="15">
        <v>1172.12</v>
      </c>
      <c r="J28" s="15">
        <v>1130.2</v>
      </c>
      <c r="K28" s="15">
        <v>1535.96</v>
      </c>
      <c r="L28" s="15">
        <v>1030.59</v>
      </c>
      <c r="M28" s="15">
        <v>860.73</v>
      </c>
      <c r="N28" s="15">
        <v>675.21</v>
      </c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6" t="s">
        <v>81</v>
      </c>
      <c r="B29" s="17">
        <v>3631.78</v>
      </c>
      <c r="C29" s="17">
        <v>3440.04</v>
      </c>
      <c r="D29" s="17">
        <v>3166.57</v>
      </c>
      <c r="E29" s="17">
        <v>2679.53</v>
      </c>
      <c r="F29" s="17">
        <v>2262.82</v>
      </c>
      <c r="G29" s="17">
        <v>2242.3</v>
      </c>
      <c r="H29" s="17">
        <v>2178.53</v>
      </c>
      <c r="I29" s="17">
        <v>1840.36</v>
      </c>
      <c r="J29" s="17">
        <v>1767.48</v>
      </c>
      <c r="K29" s="17">
        <v>1614.67</v>
      </c>
      <c r="L29" s="17">
        <v>1450.72</v>
      </c>
      <c r="M29" s="17">
        <v>1174.32</v>
      </c>
      <c r="N29" s="17">
        <v>977.67</v>
      </c>
      <c r="O29" s="17">
        <v>880.86</v>
      </c>
      <c r="P29" s="17">
        <v>853.01</v>
      </c>
      <c r="Q29" s="17">
        <v>821.02</v>
      </c>
      <c r="R29" s="17">
        <v>808.79</v>
      </c>
      <c r="S29" s="17">
        <v>748.88</v>
      </c>
      <c r="T29" s="17">
        <v>859.17</v>
      </c>
      <c r="U29" s="17">
        <v>658.31</v>
      </c>
      <c r="V29" s="17">
        <v>427.27</v>
      </c>
      <c r="W29" s="17">
        <v>333.78</v>
      </c>
    </row>
    <row r="30" ht="15.0" customHeight="1">
      <c r="A30" s="16" t="s">
        <v>82</v>
      </c>
      <c r="B30" s="17">
        <v>6001.08</v>
      </c>
      <c r="C30" s="17">
        <v>5744.7</v>
      </c>
      <c r="D30" s="17">
        <v>5123.45</v>
      </c>
      <c r="E30" s="17">
        <v>4224.85</v>
      </c>
      <c r="F30" s="17">
        <v>3913.91</v>
      </c>
      <c r="G30" s="17">
        <v>3681.85</v>
      </c>
      <c r="H30" s="17">
        <v>3859.28</v>
      </c>
      <c r="I30" s="17">
        <v>3148.81</v>
      </c>
      <c r="J30" s="17">
        <v>2932.6</v>
      </c>
      <c r="K30" s="17">
        <v>2757.63</v>
      </c>
      <c r="L30" s="17">
        <v>2443.94</v>
      </c>
      <c r="M30" s="17">
        <v>2037.55</v>
      </c>
      <c r="N30" s="17">
        <v>1586.62</v>
      </c>
      <c r="O30" s="17">
        <v>1441.8</v>
      </c>
      <c r="P30" s="17">
        <v>1378.61</v>
      </c>
      <c r="Q30" s="17">
        <v>1344.78</v>
      </c>
      <c r="R30" s="17">
        <v>1267.62</v>
      </c>
      <c r="S30" s="17">
        <v>1209.45</v>
      </c>
      <c r="T30" s="17">
        <v>1105.65</v>
      </c>
      <c r="U30" s="17">
        <v>956.99</v>
      </c>
      <c r="V30" s="17">
        <v>607.95</v>
      </c>
      <c r="W30" s="17">
        <v>504.12</v>
      </c>
    </row>
    <row r="31" ht="15.0" customHeight="1">
      <c r="A31" s="14" t="s">
        <v>83</v>
      </c>
      <c r="B31" s="20">
        <v>-6.31</v>
      </c>
      <c r="C31" s="20">
        <v>-4.29</v>
      </c>
      <c r="D31" s="20">
        <v>-20.33</v>
      </c>
      <c r="E31" s="18">
        <v>22.06</v>
      </c>
      <c r="F31" s="20">
        <v>-14.5</v>
      </c>
      <c r="G31" s="15">
        <v>235.06</v>
      </c>
      <c r="H31" s="20">
        <v>-1.72</v>
      </c>
      <c r="I31" s="18">
        <v>33.39</v>
      </c>
      <c r="J31" s="18">
        <v>0.32</v>
      </c>
      <c r="K31" s="20">
        <v>-1.26</v>
      </c>
      <c r="L31" s="20">
        <v>-0.81</v>
      </c>
      <c r="M31" s="20">
        <v>-1.19</v>
      </c>
      <c r="N31" s="20">
        <v>-2.13</v>
      </c>
      <c r="O31" s="20">
        <v>-0.59</v>
      </c>
      <c r="P31" s="20">
        <v>-11.78</v>
      </c>
      <c r="Q31" s="20">
        <v>-2.34</v>
      </c>
      <c r="R31" s="20">
        <v>-3.12</v>
      </c>
      <c r="S31" s="20">
        <v>-5.83</v>
      </c>
      <c r="T31" s="20">
        <v>-70.45</v>
      </c>
      <c r="U31" s="20">
        <v>-3.4</v>
      </c>
      <c r="V31" s="20">
        <v>-12.04</v>
      </c>
      <c r="W31" s="20">
        <v>-7.07</v>
      </c>
    </row>
    <row r="32" ht="15.0" customHeight="1">
      <c r="A32" s="14" t="s">
        <v>84</v>
      </c>
      <c r="B32" s="19"/>
      <c r="C32" s="19"/>
      <c r="D32" s="19">
        <v>0.0</v>
      </c>
      <c r="E32" s="19">
        <v>0.0</v>
      </c>
      <c r="F32" s="18">
        <v>0.99</v>
      </c>
      <c r="G32" s="18">
        <v>49.38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85</v>
      </c>
      <c r="B33" s="19"/>
      <c r="C33" s="19"/>
      <c r="D33" s="19"/>
      <c r="E33" s="19"/>
      <c r="F33" s="19"/>
      <c r="G33" s="15">
        <v>106.6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86</v>
      </c>
      <c r="B34" s="19"/>
      <c r="C34" s="19"/>
      <c r="D34" s="19"/>
      <c r="E34" s="19"/>
      <c r="F34" s="20">
        <v>-15.49</v>
      </c>
      <c r="G34" s="18">
        <v>79.09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>
        <v>-3.36</v>
      </c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86</v>
      </c>
      <c r="B36" s="19"/>
      <c r="C36" s="19"/>
      <c r="D36" s="20">
        <v>-20.33</v>
      </c>
      <c r="E36" s="18">
        <v>22.06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>
        <v>-6.72</v>
      </c>
      <c r="Q37" s="20">
        <v>-7.25</v>
      </c>
      <c r="R37" s="19"/>
      <c r="S37" s="20">
        <v>-47.43</v>
      </c>
      <c r="T37" s="19"/>
      <c r="U37" s="19"/>
      <c r="V37" s="19"/>
      <c r="W37" s="19"/>
    </row>
    <row r="38" ht="15.0" customHeight="1">
      <c r="A38" s="14" t="s">
        <v>89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>
        <v>-1.7</v>
      </c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90</v>
      </c>
      <c r="B39" s="15">
        <v>3466.29</v>
      </c>
      <c r="C39" s="15">
        <v>3342.94</v>
      </c>
      <c r="D39" s="15">
        <v>3092.39</v>
      </c>
      <c r="E39" s="15">
        <v>2556.11</v>
      </c>
      <c r="F39" s="15">
        <v>2182.06</v>
      </c>
      <c r="G39" s="15">
        <v>2157.77</v>
      </c>
      <c r="H39" s="15">
        <v>2056.52</v>
      </c>
      <c r="I39" s="15">
        <v>1645.26</v>
      </c>
      <c r="J39" s="15">
        <v>1548.57</v>
      </c>
      <c r="K39" s="15">
        <v>1470.65</v>
      </c>
      <c r="L39" s="15">
        <v>1272.01</v>
      </c>
      <c r="M39" s="15">
        <v>1061.23</v>
      </c>
      <c r="N39" s="15">
        <v>817.47</v>
      </c>
      <c r="O39" s="15">
        <v>703.15</v>
      </c>
      <c r="P39" s="15">
        <v>668.45</v>
      </c>
      <c r="Q39" s="15">
        <v>291.56</v>
      </c>
      <c r="R39" s="15">
        <v>581.42</v>
      </c>
      <c r="S39" s="15">
        <v>497.09</v>
      </c>
      <c r="T39" s="15">
        <v>454.15</v>
      </c>
      <c r="U39" s="15">
        <v>385.13</v>
      </c>
      <c r="V39" s="15">
        <v>226.64</v>
      </c>
      <c r="W39" s="15">
        <v>180.33</v>
      </c>
    </row>
    <row r="40" ht="15.0" customHeight="1">
      <c r="A40" s="14" t="s">
        <v>91</v>
      </c>
      <c r="B40" s="19"/>
      <c r="C40" s="19"/>
      <c r="D40" s="15">
        <v>1816.19</v>
      </c>
      <c r="E40" s="15">
        <v>1504.16</v>
      </c>
      <c r="F40" s="15">
        <v>1332.16</v>
      </c>
      <c r="G40" s="15">
        <v>1293.01</v>
      </c>
      <c r="H40" s="15">
        <v>1233.76</v>
      </c>
      <c r="I40" s="15">
        <v>945.04</v>
      </c>
      <c r="J40" s="15">
        <v>856.69</v>
      </c>
      <c r="K40" s="19"/>
      <c r="L40" s="15">
        <v>724.32</v>
      </c>
      <c r="M40" s="15">
        <v>597.86</v>
      </c>
      <c r="N40" s="15">
        <v>442.98</v>
      </c>
      <c r="O40" s="19"/>
      <c r="P40" s="19"/>
      <c r="Q40" s="15">
        <v>495.61</v>
      </c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8">
        <v>47.01</v>
      </c>
      <c r="C41" s="18">
        <v>42.14</v>
      </c>
      <c r="D41" s="18">
        <v>48.0</v>
      </c>
      <c r="E41" s="18">
        <v>46.75</v>
      </c>
      <c r="F41" s="18">
        <v>43.58</v>
      </c>
      <c r="G41" s="18">
        <v>31.32</v>
      </c>
      <c r="H41" s="18">
        <v>31.24</v>
      </c>
      <c r="I41" s="18">
        <v>25.72</v>
      </c>
      <c r="J41" s="18">
        <v>16.74</v>
      </c>
      <c r="K41" s="18">
        <v>13.7</v>
      </c>
      <c r="L41" s="18">
        <v>12.63</v>
      </c>
      <c r="M41" s="18">
        <v>9.29</v>
      </c>
      <c r="N41" s="18">
        <v>6.65</v>
      </c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8">
        <v>95.02</v>
      </c>
      <c r="C42" s="18">
        <v>54.22</v>
      </c>
      <c r="D42" s="18">
        <v>47.39</v>
      </c>
      <c r="E42" s="18">
        <v>40.69</v>
      </c>
      <c r="F42" s="18">
        <v>36.62</v>
      </c>
      <c r="G42" s="18">
        <v>34.73</v>
      </c>
      <c r="H42" s="18">
        <v>29.14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94</v>
      </c>
      <c r="B43" s="18">
        <v>70.73</v>
      </c>
      <c r="C43" s="18">
        <v>68.51</v>
      </c>
      <c r="D43" s="18">
        <v>60.4</v>
      </c>
      <c r="E43" s="18">
        <v>62.56</v>
      </c>
      <c r="F43" s="18">
        <v>57.0</v>
      </c>
      <c r="G43" s="18">
        <v>63.08</v>
      </c>
      <c r="H43" s="18">
        <v>43.32</v>
      </c>
      <c r="I43" s="18">
        <v>28.75</v>
      </c>
      <c r="J43" s="18">
        <v>37.22</v>
      </c>
      <c r="K43" s="18">
        <v>45.39</v>
      </c>
      <c r="L43" s="18">
        <v>44.32</v>
      </c>
      <c r="M43" s="18">
        <v>10.99</v>
      </c>
      <c r="N43" s="18">
        <v>8.12</v>
      </c>
      <c r="O43" s="19"/>
      <c r="P43" s="19"/>
      <c r="Q43" s="18">
        <v>25.47</v>
      </c>
      <c r="R43" s="19"/>
      <c r="S43" s="19"/>
      <c r="T43" s="19"/>
      <c r="U43" s="18">
        <v>55.22</v>
      </c>
      <c r="V43" s="18">
        <v>21.42</v>
      </c>
      <c r="W43" s="19"/>
    </row>
    <row r="44" ht="15.0" customHeight="1">
      <c r="A44" s="14" t="s">
        <v>95</v>
      </c>
      <c r="B44" s="15">
        <v>2049.54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96</v>
      </c>
      <c r="B45" s="15">
        <v>1203.99</v>
      </c>
      <c r="C45" s="15">
        <v>3178.07</v>
      </c>
      <c r="D45" s="15">
        <v>1120.42</v>
      </c>
      <c r="E45" s="15">
        <v>901.95</v>
      </c>
      <c r="F45" s="15">
        <v>712.7</v>
      </c>
      <c r="G45" s="15">
        <v>735.63</v>
      </c>
      <c r="H45" s="15">
        <v>719.05</v>
      </c>
      <c r="I45" s="15">
        <v>645.74</v>
      </c>
      <c r="J45" s="15">
        <v>637.93</v>
      </c>
      <c r="K45" s="15">
        <v>1411.55</v>
      </c>
      <c r="L45" s="15">
        <v>490.74</v>
      </c>
      <c r="M45" s="15">
        <v>422.05</v>
      </c>
      <c r="N45" s="15">
        <v>346.95</v>
      </c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97</v>
      </c>
      <c r="B46" s="15">
        <v>475.64</v>
      </c>
      <c r="C46" s="15">
        <v>438.69</v>
      </c>
      <c r="D46" s="15">
        <v>402.45</v>
      </c>
      <c r="E46" s="15">
        <v>326.88</v>
      </c>
      <c r="F46" s="15">
        <v>272.75</v>
      </c>
      <c r="G46" s="15">
        <v>291.91</v>
      </c>
      <c r="H46" s="15">
        <v>275.61</v>
      </c>
      <c r="I46" s="15">
        <v>255.26</v>
      </c>
      <c r="J46" s="15">
        <v>238.96</v>
      </c>
      <c r="K46" s="15">
        <v>194.51</v>
      </c>
      <c r="L46" s="15">
        <v>148.04</v>
      </c>
      <c r="M46" s="15">
        <v>122.51</v>
      </c>
      <c r="N46" s="15">
        <v>126.59</v>
      </c>
      <c r="O46" s="15">
        <v>128.69</v>
      </c>
      <c r="P46" s="15">
        <v>110.11</v>
      </c>
      <c r="Q46" s="18">
        <v>47.38</v>
      </c>
      <c r="R46" s="15">
        <v>119.84</v>
      </c>
      <c r="S46" s="18">
        <v>92.75</v>
      </c>
      <c r="T46" s="18">
        <v>89.18</v>
      </c>
      <c r="U46" s="18">
        <v>85.42</v>
      </c>
      <c r="V46" s="18">
        <v>69.35</v>
      </c>
      <c r="W46" s="18">
        <v>61.07</v>
      </c>
    </row>
    <row r="47" ht="15.0" customHeight="1">
      <c r="A47" s="14" t="s">
        <v>98</v>
      </c>
      <c r="B47" s="15">
        <v>294.48</v>
      </c>
      <c r="C47" s="15">
        <v>267.23</v>
      </c>
      <c r="D47" s="15">
        <v>220.23</v>
      </c>
      <c r="E47" s="15">
        <v>195.0</v>
      </c>
      <c r="F47" s="15">
        <v>186.9</v>
      </c>
      <c r="G47" s="15">
        <v>192.19</v>
      </c>
      <c r="H47" s="15">
        <v>192.16</v>
      </c>
      <c r="I47" s="15">
        <v>172.36</v>
      </c>
      <c r="J47" s="15">
        <v>159.76</v>
      </c>
      <c r="K47" s="19"/>
      <c r="L47" s="18">
        <v>84.57</v>
      </c>
      <c r="M47" s="18">
        <v>70.44</v>
      </c>
      <c r="N47" s="18">
        <v>67.43</v>
      </c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8">
        <v>13.52</v>
      </c>
      <c r="C48" s="18">
        <v>8.3</v>
      </c>
      <c r="D48" s="18">
        <v>7.1</v>
      </c>
      <c r="E48" s="18">
        <v>7.12</v>
      </c>
      <c r="F48" s="18">
        <v>7.16</v>
      </c>
      <c r="G48" s="18">
        <v>11.2</v>
      </c>
      <c r="H48" s="18">
        <v>10.72</v>
      </c>
      <c r="I48" s="18">
        <v>8.97</v>
      </c>
      <c r="J48" s="18">
        <v>6.89</v>
      </c>
      <c r="K48" s="18">
        <v>4.54</v>
      </c>
      <c r="L48" s="18">
        <v>3.63</v>
      </c>
      <c r="M48" s="18">
        <v>2.65</v>
      </c>
      <c r="N48" s="18">
        <v>2.78</v>
      </c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100</v>
      </c>
      <c r="B49" s="18">
        <v>32.66</v>
      </c>
      <c r="C49" s="18">
        <v>32.53</v>
      </c>
      <c r="D49" s="18">
        <v>28.44</v>
      </c>
      <c r="E49" s="18">
        <v>24.41</v>
      </c>
      <c r="F49" s="18">
        <v>21.98</v>
      </c>
      <c r="G49" s="18">
        <v>20.84</v>
      </c>
      <c r="H49" s="18">
        <v>17.48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101</v>
      </c>
      <c r="B50" s="18">
        <v>19.52</v>
      </c>
      <c r="C50" s="18">
        <v>18.17</v>
      </c>
      <c r="D50" s="18">
        <v>14.53</v>
      </c>
      <c r="E50" s="18">
        <v>13.11</v>
      </c>
      <c r="F50" s="18">
        <v>12.48</v>
      </c>
      <c r="G50" s="18">
        <v>13.86</v>
      </c>
      <c r="H50" s="18">
        <v>13.38</v>
      </c>
      <c r="I50" s="18">
        <v>9.68</v>
      </c>
      <c r="J50" s="18">
        <v>9.2</v>
      </c>
      <c r="K50" s="18">
        <v>4.24</v>
      </c>
      <c r="L50" s="18">
        <v>0.6</v>
      </c>
      <c r="M50" s="18">
        <v>0.66</v>
      </c>
      <c r="N50" s="18">
        <v>1.26</v>
      </c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102</v>
      </c>
      <c r="B51" s="15">
        <v>115.47</v>
      </c>
      <c r="C51" s="15">
        <v>112.46</v>
      </c>
      <c r="D51" s="15">
        <v>132.16</v>
      </c>
      <c r="E51" s="18">
        <v>87.24</v>
      </c>
      <c r="F51" s="18">
        <v>44.24</v>
      </c>
      <c r="G51" s="18">
        <v>53.82</v>
      </c>
      <c r="H51" s="18">
        <v>41.86</v>
      </c>
      <c r="I51" s="18">
        <v>64.25</v>
      </c>
      <c r="J51" s="18">
        <v>63.12</v>
      </c>
      <c r="K51" s="15">
        <v>185.72</v>
      </c>
      <c r="L51" s="18">
        <v>59.24</v>
      </c>
      <c r="M51" s="18">
        <v>48.76</v>
      </c>
      <c r="N51" s="18">
        <v>55.12</v>
      </c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103</v>
      </c>
      <c r="B52" s="15">
        <v>765.74</v>
      </c>
      <c r="C52" s="15">
        <v>751.68</v>
      </c>
      <c r="D52" s="15">
        <v>705.79</v>
      </c>
      <c r="E52" s="15">
        <v>696.82</v>
      </c>
      <c r="F52" s="15">
        <v>637.24</v>
      </c>
      <c r="G52" s="15">
        <v>730.9</v>
      </c>
      <c r="H52" s="15">
        <v>669.09</v>
      </c>
      <c r="I52" s="15">
        <v>572.48</v>
      </c>
      <c r="J52" s="15">
        <v>526.3</v>
      </c>
      <c r="K52" s="15">
        <v>487.78</v>
      </c>
      <c r="L52" s="15">
        <v>401.1</v>
      </c>
      <c r="M52" s="15">
        <v>313.09</v>
      </c>
      <c r="N52" s="15">
        <v>290.81</v>
      </c>
      <c r="O52" s="15">
        <v>280.41</v>
      </c>
      <c r="P52" s="15">
        <v>279.04</v>
      </c>
      <c r="Q52" s="18">
        <v>95.27</v>
      </c>
      <c r="R52" s="15">
        <v>266.47</v>
      </c>
      <c r="S52" s="15">
        <v>244.53</v>
      </c>
      <c r="T52" s="15">
        <v>276.16</v>
      </c>
      <c r="U52" s="15">
        <v>203.34</v>
      </c>
      <c r="V52" s="15">
        <v>145.14</v>
      </c>
      <c r="W52" s="15">
        <v>132.56</v>
      </c>
    </row>
    <row r="53" ht="15.0" customHeight="1">
      <c r="A53" s="14" t="s">
        <v>104</v>
      </c>
      <c r="B53" s="15">
        <v>441.4</v>
      </c>
      <c r="C53" s="15">
        <v>423.09</v>
      </c>
      <c r="D53" s="15">
        <v>608.68</v>
      </c>
      <c r="E53" s="15">
        <v>504.36</v>
      </c>
      <c r="F53" s="15">
        <v>420.43</v>
      </c>
      <c r="G53" s="15">
        <v>430.3</v>
      </c>
      <c r="H53" s="15">
        <v>388.07</v>
      </c>
      <c r="I53" s="15">
        <v>315.57</v>
      </c>
      <c r="J53" s="15">
        <v>284.58</v>
      </c>
      <c r="K53" s="19"/>
      <c r="L53" s="15">
        <v>221.29</v>
      </c>
      <c r="M53" s="15">
        <v>198.5</v>
      </c>
      <c r="N53" s="15">
        <v>169.04</v>
      </c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105</v>
      </c>
      <c r="B54" s="18">
        <v>39.34</v>
      </c>
      <c r="C54" s="18">
        <v>43.3</v>
      </c>
      <c r="D54" s="18">
        <v>34.56</v>
      </c>
      <c r="E54" s="18">
        <v>30.46</v>
      </c>
      <c r="F54" s="18">
        <v>35.07</v>
      </c>
      <c r="G54" s="18">
        <v>36.54</v>
      </c>
      <c r="H54" s="18">
        <v>30.12</v>
      </c>
      <c r="I54" s="18">
        <v>23.31</v>
      </c>
      <c r="J54" s="18">
        <v>20.45</v>
      </c>
      <c r="K54" s="18">
        <v>20.84</v>
      </c>
      <c r="L54" s="18">
        <v>20.87</v>
      </c>
      <c r="M54" s="18">
        <v>18.32</v>
      </c>
      <c r="N54" s="18">
        <v>18.49</v>
      </c>
      <c r="O54" s="19"/>
      <c r="P54" s="19"/>
      <c r="Q54" s="19"/>
      <c r="R54" s="19"/>
      <c r="S54" s="19"/>
      <c r="T54" s="19"/>
      <c r="U54" s="18">
        <v>21.21</v>
      </c>
      <c r="V54" s="19"/>
      <c r="W54" s="19"/>
    </row>
    <row r="55" ht="15.0" customHeight="1">
      <c r="A55" s="14" t="s">
        <v>93</v>
      </c>
      <c r="B55" s="18">
        <v>54.22</v>
      </c>
      <c r="C55" s="18">
        <v>75.9</v>
      </c>
      <c r="D55" s="18">
        <v>66.81</v>
      </c>
      <c r="E55" s="18">
        <v>56.97</v>
      </c>
      <c r="F55" s="18">
        <v>51.27</v>
      </c>
      <c r="G55" s="18">
        <v>48.65</v>
      </c>
      <c r="H55" s="18">
        <v>40.95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18">
        <v>24.89</v>
      </c>
      <c r="C56" s="18">
        <v>27.07</v>
      </c>
      <c r="D56" s="18">
        <v>21.79</v>
      </c>
      <c r="E56" s="18">
        <v>23.5</v>
      </c>
      <c r="F56" s="18">
        <v>29.78</v>
      </c>
      <c r="G56" s="18">
        <v>28.46</v>
      </c>
      <c r="H56" s="18">
        <v>19.56</v>
      </c>
      <c r="I56" s="18">
        <v>17.33</v>
      </c>
      <c r="J56" s="18">
        <v>16.21</v>
      </c>
      <c r="K56" s="18">
        <v>14.74</v>
      </c>
      <c r="L56" s="18">
        <v>16.09</v>
      </c>
      <c r="M56" s="18">
        <v>32.03</v>
      </c>
      <c r="N56" s="18">
        <v>20.9</v>
      </c>
      <c r="O56" s="19"/>
      <c r="P56" s="19"/>
      <c r="Q56" s="18">
        <v>40.39</v>
      </c>
      <c r="R56" s="19"/>
      <c r="S56" s="18">
        <v>82.92</v>
      </c>
      <c r="T56" s="18">
        <v>88.94</v>
      </c>
      <c r="U56" s="18">
        <v>82.91</v>
      </c>
      <c r="V56" s="18">
        <v>31.08</v>
      </c>
      <c r="W56" s="19"/>
    </row>
    <row r="57" ht="15.0" customHeight="1">
      <c r="A57" s="14" t="s">
        <v>107</v>
      </c>
      <c r="B57" s="15">
        <v>205.88</v>
      </c>
      <c r="C57" s="15">
        <v>182.31</v>
      </c>
      <c r="D57" s="19"/>
      <c r="E57" s="18">
        <v>81.53</v>
      </c>
      <c r="F57" s="15">
        <v>100.69</v>
      </c>
      <c r="G57" s="15">
        <v>179.42</v>
      </c>
      <c r="H57" s="15">
        <v>190.41</v>
      </c>
      <c r="I57" s="15">
        <v>216.26</v>
      </c>
      <c r="J57" s="15">
        <v>205.06</v>
      </c>
      <c r="K57" s="15">
        <v>452.19</v>
      </c>
      <c r="L57" s="15">
        <v>142.84</v>
      </c>
      <c r="M57" s="18">
        <v>85.28</v>
      </c>
      <c r="N57" s="18">
        <v>95.15</v>
      </c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108</v>
      </c>
      <c r="B58" s="19"/>
      <c r="C58" s="19"/>
      <c r="D58" s="20">
        <v>-26.04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109</v>
      </c>
      <c r="B59" s="19"/>
      <c r="C59" s="19"/>
      <c r="D59" s="19"/>
      <c r="E59" s="19"/>
      <c r="F59" s="19"/>
      <c r="G59" s="18">
        <v>7.53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110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8">
        <v>20.25</v>
      </c>
      <c r="R60" s="19"/>
      <c r="S60" s="18">
        <v>29.47</v>
      </c>
      <c r="T60" s="18">
        <v>35.14</v>
      </c>
      <c r="U60" s="18">
        <v>22.94</v>
      </c>
      <c r="V60" s="18">
        <v>12.9</v>
      </c>
      <c r="W60" s="19"/>
    </row>
    <row r="61" ht="15.0" customHeight="1">
      <c r="A61" s="14" t="s">
        <v>111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8">
        <v>54.15</v>
      </c>
      <c r="V61" s="18">
        <v>28.46</v>
      </c>
      <c r="W61" s="19">
        <v>0.0</v>
      </c>
    </row>
    <row r="62" ht="15.0" customHeight="1">
      <c r="A62" s="16" t="s">
        <v>112</v>
      </c>
      <c r="B62" s="17">
        <v>4701.37</v>
      </c>
      <c r="C62" s="17">
        <v>4529.02</v>
      </c>
      <c r="D62" s="17">
        <v>4180.3</v>
      </c>
      <c r="E62" s="17">
        <v>3601.87</v>
      </c>
      <c r="F62" s="17">
        <v>3077.55</v>
      </c>
      <c r="G62" s="17">
        <v>3415.64</v>
      </c>
      <c r="H62" s="17">
        <v>2999.49</v>
      </c>
      <c r="I62" s="17">
        <v>2506.38</v>
      </c>
      <c r="J62" s="17">
        <v>2314.15</v>
      </c>
      <c r="K62" s="17">
        <v>2151.67</v>
      </c>
      <c r="L62" s="21"/>
      <c r="M62" s="17">
        <v>1495.64</v>
      </c>
      <c r="N62" s="17">
        <v>1232.74</v>
      </c>
      <c r="O62" s="17">
        <v>1111.66</v>
      </c>
      <c r="P62" s="17">
        <v>1045.82</v>
      </c>
      <c r="Q62" s="21"/>
      <c r="R62" s="21"/>
      <c r="S62" s="21"/>
      <c r="T62" s="21"/>
      <c r="U62" s="21"/>
      <c r="V62" s="21"/>
      <c r="W62" s="21"/>
    </row>
    <row r="63" ht="15.0" customHeight="1">
      <c r="A63" s="16" t="s">
        <v>113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17">
        <v>1820.34</v>
      </c>
      <c r="M63" s="21"/>
      <c r="N63" s="21"/>
      <c r="O63" s="21"/>
      <c r="P63" s="21"/>
      <c r="Q63" s="17">
        <v>444.87</v>
      </c>
      <c r="R63" s="17">
        <v>964.62</v>
      </c>
      <c r="S63" s="17">
        <v>810.58</v>
      </c>
      <c r="T63" s="17">
        <v>784.18</v>
      </c>
      <c r="U63" s="17">
        <v>747.6</v>
      </c>
      <c r="V63" s="17">
        <v>470.44</v>
      </c>
      <c r="W63" s="17">
        <v>366.89</v>
      </c>
    </row>
    <row r="64" ht="15.0" customHeight="1">
      <c r="A64" s="14" t="s">
        <v>114</v>
      </c>
      <c r="B64" s="19"/>
      <c r="C64" s="18">
        <v>0.01</v>
      </c>
      <c r="D64" s="19"/>
      <c r="E64" s="18">
        <v>0.01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2">
        <v>-535.99</v>
      </c>
      <c r="R64" s="19"/>
      <c r="S64" s="20">
        <v>-82.92</v>
      </c>
      <c r="T64" s="19"/>
      <c r="U64" s="20">
        <v>-82.91</v>
      </c>
      <c r="V64" s="19"/>
      <c r="W64" s="19"/>
    </row>
    <row r="65" ht="15.0" customHeight="1">
      <c r="A65" s="16" t="s">
        <v>115</v>
      </c>
      <c r="B65" s="17">
        <v>1299.71</v>
      </c>
      <c r="C65" s="17">
        <v>1215.69</v>
      </c>
      <c r="D65" s="17">
        <v>943.15</v>
      </c>
      <c r="E65" s="17">
        <v>622.98</v>
      </c>
      <c r="F65" s="17">
        <v>836.36</v>
      </c>
      <c r="G65" s="17">
        <v>266.21</v>
      </c>
      <c r="H65" s="17">
        <v>859.78</v>
      </c>
      <c r="I65" s="17">
        <v>642.42</v>
      </c>
      <c r="J65" s="17">
        <v>618.44</v>
      </c>
      <c r="K65" s="17">
        <v>605.96</v>
      </c>
      <c r="L65" s="17">
        <v>623.6</v>
      </c>
      <c r="M65" s="17">
        <v>541.91</v>
      </c>
      <c r="N65" s="17">
        <v>353.88</v>
      </c>
      <c r="O65" s="17">
        <v>330.14</v>
      </c>
      <c r="P65" s="17">
        <v>332.79</v>
      </c>
      <c r="Q65" s="17">
        <v>363.92</v>
      </c>
      <c r="R65" s="17">
        <v>303.0</v>
      </c>
      <c r="S65" s="17">
        <v>315.95</v>
      </c>
      <c r="T65" s="17">
        <v>321.46</v>
      </c>
      <c r="U65" s="17">
        <v>126.48</v>
      </c>
      <c r="V65" s="17">
        <v>137.51</v>
      </c>
      <c r="W65" s="17">
        <v>137.23</v>
      </c>
    </row>
    <row r="66" ht="15.0" customHeight="1">
      <c r="A66" s="14" t="s">
        <v>116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8">
        <v>0.1</v>
      </c>
      <c r="U66" s="18">
        <v>0.57</v>
      </c>
      <c r="V66" s="18">
        <v>0.18</v>
      </c>
      <c r="W66" s="18">
        <v>0.18</v>
      </c>
    </row>
    <row r="67" ht="15.0" customHeight="1">
      <c r="A67" s="14" t="s">
        <v>117</v>
      </c>
      <c r="B67" s="22">
        <v>-249.23</v>
      </c>
      <c r="C67" s="22">
        <v>-278.59</v>
      </c>
      <c r="D67" s="22">
        <v>-177.03</v>
      </c>
      <c r="E67" s="20">
        <v>-83.32</v>
      </c>
      <c r="F67" s="20">
        <v>-91.71</v>
      </c>
      <c r="G67" s="22">
        <v>-146.51</v>
      </c>
      <c r="H67" s="20">
        <v>-67.86</v>
      </c>
      <c r="I67" s="20">
        <v>-50.49</v>
      </c>
      <c r="J67" s="20">
        <v>-51.54</v>
      </c>
      <c r="K67" s="20">
        <v>-20.83</v>
      </c>
      <c r="L67" s="20">
        <v>-63.45</v>
      </c>
      <c r="M67" s="20">
        <v>-51.15</v>
      </c>
      <c r="N67" s="20">
        <v>-21.87</v>
      </c>
      <c r="O67" s="20">
        <v>-36.95</v>
      </c>
      <c r="P67" s="20">
        <v>-71.0</v>
      </c>
      <c r="Q67" s="20">
        <v>-75.77</v>
      </c>
      <c r="R67" s="15">
        <v>113.08</v>
      </c>
      <c r="S67" s="15">
        <v>100.08</v>
      </c>
      <c r="T67" s="15">
        <v>185.37</v>
      </c>
      <c r="U67" s="15">
        <v>131.99</v>
      </c>
      <c r="V67" s="18">
        <v>27.57</v>
      </c>
      <c r="W67" s="18">
        <v>8.3</v>
      </c>
    </row>
    <row r="68" ht="15.0" customHeight="1">
      <c r="A68" s="14" t="s">
        <v>118</v>
      </c>
      <c r="B68" s="18">
        <v>21.38</v>
      </c>
      <c r="C68" s="18">
        <v>34.93</v>
      </c>
      <c r="D68" s="18">
        <v>48.62</v>
      </c>
      <c r="E68" s="18">
        <v>15.98</v>
      </c>
      <c r="F68" s="18">
        <v>8.46</v>
      </c>
      <c r="G68" s="18">
        <v>11.58</v>
      </c>
      <c r="H68" s="18">
        <v>10.09</v>
      </c>
      <c r="I68" s="18">
        <v>4.54</v>
      </c>
      <c r="J68" s="18">
        <v>7.03</v>
      </c>
      <c r="K68" s="18">
        <v>8.4</v>
      </c>
      <c r="L68" s="18">
        <v>2.77</v>
      </c>
      <c r="M68" s="18">
        <v>1.31</v>
      </c>
      <c r="N68" s="18">
        <v>1.28</v>
      </c>
      <c r="O68" s="18">
        <v>0.89</v>
      </c>
      <c r="P68" s="18">
        <v>1.25</v>
      </c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116</v>
      </c>
      <c r="B69" s="18">
        <v>15.8</v>
      </c>
      <c r="C69" s="18">
        <v>21.12</v>
      </c>
      <c r="D69" s="18">
        <v>36.38</v>
      </c>
      <c r="E69" s="18">
        <v>7.48</v>
      </c>
      <c r="F69" s="18">
        <v>1.44</v>
      </c>
      <c r="G69" s="18">
        <v>4.32</v>
      </c>
      <c r="H69" s="18">
        <v>8.98</v>
      </c>
      <c r="I69" s="18">
        <v>2.95</v>
      </c>
      <c r="J69" s="18">
        <v>3.03</v>
      </c>
      <c r="K69" s="18">
        <v>5.33</v>
      </c>
      <c r="L69" s="18">
        <v>2.3</v>
      </c>
      <c r="M69" s="18">
        <v>0.57</v>
      </c>
      <c r="N69" s="18">
        <v>0.45</v>
      </c>
      <c r="O69" s="18">
        <v>0.41</v>
      </c>
      <c r="P69" s="18">
        <v>0.44</v>
      </c>
      <c r="Q69" s="18">
        <v>1.17</v>
      </c>
      <c r="R69" s="18">
        <v>1.29</v>
      </c>
      <c r="S69" s="18">
        <v>1.15</v>
      </c>
      <c r="T69" s="18">
        <v>8.94</v>
      </c>
      <c r="U69" s="18">
        <v>0.62</v>
      </c>
      <c r="V69" s="18">
        <v>2.89</v>
      </c>
      <c r="W69" s="18">
        <v>0.36</v>
      </c>
    </row>
    <row r="70" ht="15.0" customHeight="1">
      <c r="A70" s="14" t="s">
        <v>119</v>
      </c>
      <c r="B70" s="18">
        <v>5.59</v>
      </c>
      <c r="C70" s="18">
        <v>13.81</v>
      </c>
      <c r="D70" s="18">
        <v>12.24</v>
      </c>
      <c r="E70" s="18">
        <v>5.06</v>
      </c>
      <c r="F70" s="18">
        <v>3.61</v>
      </c>
      <c r="G70" s="18">
        <v>4.53</v>
      </c>
      <c r="H70" s="18">
        <v>1.11</v>
      </c>
      <c r="I70" s="18">
        <v>1.6</v>
      </c>
      <c r="J70" s="18">
        <v>3.99</v>
      </c>
      <c r="K70" s="18">
        <v>3.07</v>
      </c>
      <c r="L70" s="18">
        <v>0.48</v>
      </c>
      <c r="M70" s="18">
        <v>0.73</v>
      </c>
      <c r="N70" s="18">
        <v>0.82</v>
      </c>
      <c r="O70" s="18">
        <v>0.48</v>
      </c>
      <c r="P70" s="18">
        <v>0.82</v>
      </c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120</v>
      </c>
      <c r="B71" s="20">
        <v>-0.01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121</v>
      </c>
      <c r="B72" s="18">
        <v>69.09</v>
      </c>
      <c r="C72" s="18">
        <v>35.88</v>
      </c>
      <c r="D72" s="18">
        <v>35.85</v>
      </c>
      <c r="E72" s="18">
        <v>3.43</v>
      </c>
      <c r="F72" s="18">
        <v>3.4</v>
      </c>
      <c r="G72" s="18">
        <v>2.73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122</v>
      </c>
      <c r="B73" s="22">
        <v>-219.02</v>
      </c>
      <c r="C73" s="22">
        <v>-265.87</v>
      </c>
      <c r="D73" s="22">
        <v>-218.62</v>
      </c>
      <c r="E73" s="22">
        <v>-124.39</v>
      </c>
      <c r="F73" s="22">
        <v>-109.79</v>
      </c>
      <c r="G73" s="22">
        <v>-102.75</v>
      </c>
      <c r="H73" s="20">
        <v>-89.12</v>
      </c>
      <c r="I73" s="20">
        <v>-39.99</v>
      </c>
      <c r="J73" s="20">
        <v>-33.05</v>
      </c>
      <c r="K73" s="20">
        <v>-31.88</v>
      </c>
      <c r="L73" s="20">
        <v>-26.87</v>
      </c>
      <c r="M73" s="20">
        <v>-25.02</v>
      </c>
      <c r="N73" s="20">
        <v>-27.15</v>
      </c>
      <c r="O73" s="20">
        <v>-39.47</v>
      </c>
      <c r="P73" s="20">
        <v>-60.76</v>
      </c>
      <c r="Q73" s="19"/>
      <c r="R73" s="19"/>
      <c r="S73" s="19"/>
      <c r="T73" s="19"/>
      <c r="U73" s="19"/>
      <c r="V73" s="19"/>
      <c r="W73" s="19"/>
    </row>
    <row r="74" ht="15.0" customHeight="1">
      <c r="A74" s="14" t="s">
        <v>123</v>
      </c>
      <c r="B74" s="22">
        <v>-127.2</v>
      </c>
      <c r="C74" s="22">
        <v>-192.13</v>
      </c>
      <c r="D74" s="22">
        <v>-138.94</v>
      </c>
      <c r="E74" s="20">
        <v>-65.92</v>
      </c>
      <c r="F74" s="20">
        <v>-43.98</v>
      </c>
      <c r="G74" s="20">
        <v>-48.54</v>
      </c>
      <c r="H74" s="20">
        <v>-38.27</v>
      </c>
      <c r="I74" s="20">
        <v>-30.6</v>
      </c>
      <c r="J74" s="20">
        <v>-26.42</v>
      </c>
      <c r="K74" s="20">
        <v>-22.93</v>
      </c>
      <c r="L74" s="20">
        <v>-20.85</v>
      </c>
      <c r="M74" s="20">
        <v>-21.4</v>
      </c>
      <c r="N74" s="20">
        <v>-23.39</v>
      </c>
      <c r="O74" s="20">
        <v>-36.16</v>
      </c>
      <c r="P74" s="20">
        <v>-56.99</v>
      </c>
      <c r="Q74" s="20">
        <v>-93.21</v>
      </c>
      <c r="R74" s="20">
        <v>-97.23</v>
      </c>
      <c r="S74" s="20">
        <v>-99.53</v>
      </c>
      <c r="T74" s="22">
        <v>-147.34</v>
      </c>
      <c r="U74" s="20">
        <v>-97.8</v>
      </c>
      <c r="V74" s="20">
        <v>-40.19</v>
      </c>
      <c r="W74" s="20">
        <v>-10.89</v>
      </c>
    </row>
    <row r="75" ht="15.0" customHeight="1">
      <c r="A75" s="14" t="s">
        <v>124</v>
      </c>
      <c r="B75" s="20">
        <v>-75.31</v>
      </c>
      <c r="C75" s="20">
        <v>-57.64</v>
      </c>
      <c r="D75" s="20">
        <v>-50.55</v>
      </c>
      <c r="E75" s="20">
        <v>-41.73</v>
      </c>
      <c r="F75" s="20">
        <v>-40.23</v>
      </c>
      <c r="G75" s="20">
        <v>-41.91</v>
      </c>
      <c r="H75" s="20">
        <v>-35.05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125</v>
      </c>
      <c r="B76" s="20">
        <v>-16.5</v>
      </c>
      <c r="C76" s="20">
        <v>-16.1</v>
      </c>
      <c r="D76" s="20">
        <v>-29.13</v>
      </c>
      <c r="E76" s="20">
        <v>-16.75</v>
      </c>
      <c r="F76" s="20">
        <v>-25.58</v>
      </c>
      <c r="G76" s="20">
        <v>-12.3</v>
      </c>
      <c r="H76" s="20">
        <v>-15.79</v>
      </c>
      <c r="I76" s="20">
        <v>-9.39</v>
      </c>
      <c r="J76" s="20">
        <v>-6.63</v>
      </c>
      <c r="K76" s="20">
        <v>-8.95</v>
      </c>
      <c r="L76" s="20">
        <v>-6.01</v>
      </c>
      <c r="M76" s="20">
        <v>-3.63</v>
      </c>
      <c r="N76" s="20">
        <v>-3.76</v>
      </c>
      <c r="O76" s="20">
        <v>-3.31</v>
      </c>
      <c r="P76" s="20">
        <v>-3.77</v>
      </c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126</v>
      </c>
      <c r="B77" s="19"/>
      <c r="C77" s="18">
        <v>0.01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127</v>
      </c>
      <c r="B78" s="20">
        <v>-51.59</v>
      </c>
      <c r="C78" s="20">
        <v>-47.65</v>
      </c>
      <c r="D78" s="20">
        <v>-7.03</v>
      </c>
      <c r="E78" s="18">
        <v>25.09</v>
      </c>
      <c r="F78" s="18">
        <v>9.62</v>
      </c>
      <c r="G78" s="20">
        <v>-55.34</v>
      </c>
      <c r="H78" s="18">
        <v>11.16</v>
      </c>
      <c r="I78" s="20">
        <v>-15.04</v>
      </c>
      <c r="J78" s="20">
        <v>-25.52</v>
      </c>
      <c r="K78" s="18">
        <v>2.64</v>
      </c>
      <c r="L78" s="20">
        <v>-39.36</v>
      </c>
      <c r="M78" s="20">
        <v>-27.44</v>
      </c>
      <c r="N78" s="18">
        <v>4.0</v>
      </c>
      <c r="O78" s="18">
        <v>1.63</v>
      </c>
      <c r="P78" s="20">
        <v>-11.5</v>
      </c>
      <c r="Q78" s="18">
        <v>18.7</v>
      </c>
      <c r="R78" s="19">
        <v>0.0</v>
      </c>
      <c r="S78" s="20">
        <v>-1.61</v>
      </c>
      <c r="T78" s="20">
        <v>-96.8</v>
      </c>
      <c r="U78" s="20">
        <v>-35.74</v>
      </c>
      <c r="V78" s="18">
        <v>8.97</v>
      </c>
      <c r="W78" s="18">
        <v>0.87</v>
      </c>
    </row>
    <row r="79" ht="15.0" customHeight="1">
      <c r="A79" s="14" t="s">
        <v>128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8">
        <v>0.76</v>
      </c>
      <c r="R79" s="18">
        <v>0.31</v>
      </c>
      <c r="S79" s="18">
        <v>0.11</v>
      </c>
      <c r="T79" s="19"/>
      <c r="U79" s="19"/>
      <c r="V79" s="19"/>
      <c r="W79" s="19"/>
    </row>
    <row r="80" ht="15.0" customHeight="1">
      <c r="A80" s="14" t="s">
        <v>129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>
        <v>-3.19</v>
      </c>
      <c r="R80" s="20">
        <v>-0.68</v>
      </c>
      <c r="S80" s="20">
        <v>-3.08</v>
      </c>
      <c r="T80" s="20">
        <v>-3.23</v>
      </c>
      <c r="U80" s="19"/>
      <c r="V80" s="19"/>
      <c r="W80" s="19"/>
    </row>
    <row r="81" ht="15.0" customHeight="1">
      <c r="A81" s="14" t="s">
        <v>130</v>
      </c>
      <c r="B81" s="19"/>
      <c r="C81" s="19"/>
      <c r="D81" s="19"/>
      <c r="E81" s="19"/>
      <c r="F81" s="19"/>
      <c r="G81" s="19"/>
      <c r="H81" s="18">
        <v>2.27</v>
      </c>
      <c r="I81" s="15">
        <v>197.08</v>
      </c>
      <c r="J81" s="18">
        <v>1.3</v>
      </c>
      <c r="K81" s="20">
        <v>-10.69</v>
      </c>
      <c r="L81" s="20">
        <v>-7.65</v>
      </c>
      <c r="M81" s="19">
        <v>0.0</v>
      </c>
      <c r="N81" s="20">
        <v>-7.04</v>
      </c>
      <c r="O81" s="18">
        <v>2.65</v>
      </c>
      <c r="P81" s="18">
        <v>0.58</v>
      </c>
      <c r="Q81" s="19"/>
      <c r="R81" s="19"/>
      <c r="S81" s="19"/>
      <c r="T81" s="19"/>
      <c r="U81" s="19"/>
      <c r="V81" s="19"/>
      <c r="W81" s="19"/>
    </row>
    <row r="82" ht="15.0" customHeight="1">
      <c r="A82" s="14" t="s">
        <v>131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>
        <v>-16.77</v>
      </c>
      <c r="S82" s="20">
        <v>-0.74</v>
      </c>
      <c r="T82" s="19">
        <v>0.0</v>
      </c>
      <c r="U82" s="19"/>
      <c r="V82" s="19"/>
      <c r="W82" s="19"/>
    </row>
    <row r="83" ht="15.0" customHeight="1">
      <c r="A83" s="14" t="s">
        <v>132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8">
        <v>3.61</v>
      </c>
      <c r="T83" s="18">
        <v>50.93</v>
      </c>
      <c r="U83" s="18">
        <v>0.04</v>
      </c>
      <c r="V83" s="19">
        <v>0.0</v>
      </c>
      <c r="W83" s="18">
        <v>0.06</v>
      </c>
    </row>
    <row r="84" ht="15.0" customHeight="1">
      <c r="A84" s="14" t="s">
        <v>133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>
        <v>0.0</v>
      </c>
      <c r="S84" s="19">
        <v>0.0</v>
      </c>
      <c r="T84" s="18">
        <v>2.03</v>
      </c>
      <c r="U84" s="18">
        <v>0.32</v>
      </c>
      <c r="V84" s="18">
        <v>0.59</v>
      </c>
      <c r="W84" s="18">
        <v>1.12</v>
      </c>
    </row>
    <row r="85" ht="15.0" customHeight="1">
      <c r="A85" s="14" t="s">
        <v>134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8">
        <v>93.21</v>
      </c>
      <c r="R85" s="18">
        <v>97.23</v>
      </c>
      <c r="S85" s="18">
        <v>99.53</v>
      </c>
      <c r="T85" s="15">
        <v>150.57</v>
      </c>
      <c r="U85" s="18">
        <v>97.8</v>
      </c>
      <c r="V85" s="18">
        <v>40.19</v>
      </c>
      <c r="W85" s="18">
        <v>10.89</v>
      </c>
    </row>
    <row r="86" ht="15.0" customHeight="1">
      <c r="A86" s="14" t="s">
        <v>135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>
        <v>-93.21</v>
      </c>
      <c r="R86" s="19"/>
      <c r="S86" s="19"/>
      <c r="T86" s="22">
        <v>-424.88</v>
      </c>
      <c r="U86" s="19"/>
      <c r="V86" s="19"/>
      <c r="W86" s="19"/>
    </row>
    <row r="87" ht="15.0" customHeight="1">
      <c r="A87" s="16" t="s">
        <v>117</v>
      </c>
      <c r="B87" s="23">
        <v>-180.14</v>
      </c>
      <c r="C87" s="23">
        <v>-242.7</v>
      </c>
      <c r="D87" s="23">
        <v>-141.18</v>
      </c>
      <c r="E87" s="24">
        <v>-83.32</v>
      </c>
      <c r="F87" s="24">
        <v>-91.71</v>
      </c>
      <c r="G87" s="23">
        <v>-146.51</v>
      </c>
      <c r="H87" s="24">
        <v>-65.59</v>
      </c>
      <c r="I87" s="17">
        <v>146.6</v>
      </c>
      <c r="J87" s="24">
        <v>-50.24</v>
      </c>
      <c r="K87" s="24">
        <v>-31.52</v>
      </c>
      <c r="L87" s="24">
        <v>-71.11</v>
      </c>
      <c r="M87" s="24">
        <v>-51.15</v>
      </c>
      <c r="N87" s="24">
        <v>-28.91</v>
      </c>
      <c r="O87" s="24">
        <v>-34.3</v>
      </c>
      <c r="P87" s="24">
        <v>-70.42</v>
      </c>
      <c r="Q87" s="25">
        <v>17.45</v>
      </c>
      <c r="R87" s="25">
        <v>97.23</v>
      </c>
      <c r="S87" s="25">
        <v>99.53</v>
      </c>
      <c r="T87" s="17">
        <v>150.57</v>
      </c>
      <c r="U87" s="25">
        <v>97.8</v>
      </c>
      <c r="V87" s="25">
        <v>40.19</v>
      </c>
      <c r="W87" s="25">
        <v>10.89</v>
      </c>
    </row>
    <row r="88" ht="15.0" customHeight="1">
      <c r="A88" s="16" t="s">
        <v>136</v>
      </c>
      <c r="B88" s="17">
        <v>1119.57</v>
      </c>
      <c r="C88" s="17">
        <v>972.99</v>
      </c>
      <c r="D88" s="17">
        <v>801.98</v>
      </c>
      <c r="E88" s="17">
        <v>539.67</v>
      </c>
      <c r="F88" s="17">
        <v>744.64</v>
      </c>
      <c r="G88" s="17">
        <v>119.71</v>
      </c>
      <c r="H88" s="17">
        <v>794.19</v>
      </c>
      <c r="I88" s="17">
        <v>789.02</v>
      </c>
      <c r="J88" s="17">
        <v>568.2</v>
      </c>
      <c r="K88" s="17">
        <v>574.44</v>
      </c>
      <c r="L88" s="17">
        <v>552.49</v>
      </c>
      <c r="M88" s="17">
        <v>490.76</v>
      </c>
      <c r="N88" s="17">
        <v>324.97</v>
      </c>
      <c r="O88" s="17">
        <v>295.85</v>
      </c>
      <c r="P88" s="17">
        <v>262.37</v>
      </c>
      <c r="Q88" s="17">
        <v>288.15</v>
      </c>
      <c r="R88" s="17">
        <v>400.23</v>
      </c>
      <c r="S88" s="17">
        <v>415.48</v>
      </c>
      <c r="T88" s="25">
        <v>47.15</v>
      </c>
      <c r="U88" s="17">
        <v>224.29</v>
      </c>
      <c r="V88" s="17">
        <v>177.7</v>
      </c>
      <c r="W88" s="17">
        <v>148.12</v>
      </c>
    </row>
    <row r="89" ht="15.0" customHeight="1">
      <c r="A89" s="14" t="s">
        <v>137</v>
      </c>
      <c r="B89" s="15">
        <v>251.96</v>
      </c>
      <c r="C89" s="15">
        <v>232.1</v>
      </c>
      <c r="D89" s="15">
        <v>181.55</v>
      </c>
      <c r="E89" s="15">
        <v>124.53</v>
      </c>
      <c r="F89" s="15">
        <v>180.35</v>
      </c>
      <c r="G89" s="18">
        <v>45.16</v>
      </c>
      <c r="H89" s="15">
        <v>188.23</v>
      </c>
      <c r="I89" s="15">
        <v>139.21</v>
      </c>
      <c r="J89" s="18">
        <v>91.59</v>
      </c>
      <c r="K89" s="15">
        <v>146.25</v>
      </c>
      <c r="L89" s="15">
        <v>139.97</v>
      </c>
      <c r="M89" s="15">
        <v>115.83</v>
      </c>
      <c r="N89" s="18">
        <v>84.26</v>
      </c>
      <c r="O89" s="18">
        <v>76.26</v>
      </c>
      <c r="P89" s="18">
        <v>68.48</v>
      </c>
      <c r="Q89" s="18">
        <v>74.54</v>
      </c>
      <c r="R89" s="18">
        <v>58.6</v>
      </c>
      <c r="S89" s="18">
        <v>55.02</v>
      </c>
      <c r="T89" s="18">
        <v>2.77</v>
      </c>
      <c r="U89" s="20">
        <v>-33.44</v>
      </c>
      <c r="V89" s="18">
        <v>3.59</v>
      </c>
      <c r="W89" s="18">
        <v>26.37</v>
      </c>
    </row>
    <row r="90" ht="15.0" customHeight="1">
      <c r="A90" s="14" t="s">
        <v>138</v>
      </c>
      <c r="B90" s="15">
        <v>310.41</v>
      </c>
      <c r="C90" s="15">
        <v>316.47</v>
      </c>
      <c r="D90" s="15">
        <v>223.13</v>
      </c>
      <c r="E90" s="15">
        <v>230.16</v>
      </c>
      <c r="F90" s="15">
        <v>167.48</v>
      </c>
      <c r="G90" s="18">
        <v>84.72</v>
      </c>
      <c r="H90" s="15">
        <v>199.19</v>
      </c>
      <c r="I90" s="15">
        <v>117.41</v>
      </c>
      <c r="J90" s="15">
        <v>130.77</v>
      </c>
      <c r="K90" s="15">
        <v>139.4</v>
      </c>
      <c r="L90" s="15">
        <v>110.68</v>
      </c>
      <c r="M90" s="15">
        <v>103.19</v>
      </c>
      <c r="N90" s="18">
        <v>55.07</v>
      </c>
      <c r="O90" s="18">
        <v>35.59</v>
      </c>
      <c r="P90" s="18">
        <v>36.56</v>
      </c>
      <c r="Q90" s="20">
        <v>-41.23</v>
      </c>
      <c r="R90" s="20">
        <v>-26.64</v>
      </c>
      <c r="S90" s="20">
        <v>-2.63</v>
      </c>
      <c r="T90" s="20">
        <v>-32.45</v>
      </c>
      <c r="U90" s="20">
        <v>-4.09</v>
      </c>
      <c r="V90" s="20">
        <v>-15.19</v>
      </c>
      <c r="W90" s="20">
        <v>-22.47</v>
      </c>
    </row>
    <row r="91" ht="15.0" customHeight="1">
      <c r="A91" s="14" t="s">
        <v>139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5">
        <v>107.85</v>
      </c>
      <c r="R91" s="18">
        <v>57.77</v>
      </c>
      <c r="S91" s="19"/>
      <c r="T91" s="19"/>
      <c r="U91" s="20">
        <v>-31.12</v>
      </c>
      <c r="V91" s="18">
        <v>0.46</v>
      </c>
      <c r="W91" s="18">
        <v>27.14</v>
      </c>
    </row>
    <row r="92" ht="15.0" customHeight="1">
      <c r="A92" s="14" t="s">
        <v>140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8">
        <v>0.55</v>
      </c>
      <c r="R92" s="19"/>
      <c r="S92" s="19"/>
      <c r="T92" s="19"/>
      <c r="U92" s="19"/>
      <c r="V92" s="19"/>
      <c r="W92" s="19"/>
    </row>
    <row r="93" ht="15.0" customHeight="1">
      <c r="A93" s="14" t="s">
        <v>141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>
        <v>-33.86</v>
      </c>
      <c r="R93" s="18">
        <v>0.82</v>
      </c>
      <c r="S93" s="20">
        <v>-52.4</v>
      </c>
      <c r="T93" s="18">
        <v>29.68</v>
      </c>
      <c r="U93" s="18">
        <v>39.85</v>
      </c>
      <c r="V93" s="18">
        <v>8.47</v>
      </c>
      <c r="W93" s="20">
        <v>-3.13</v>
      </c>
    </row>
    <row r="94" ht="15.0" customHeight="1">
      <c r="A94" s="14" t="s">
        <v>142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20">
        <v>-2.32</v>
      </c>
      <c r="V94" s="18">
        <v>3.13</v>
      </c>
      <c r="W94" s="20">
        <v>-0.77</v>
      </c>
    </row>
    <row r="95" ht="15.0" customHeight="1">
      <c r="A95" s="14" t="s">
        <v>143</v>
      </c>
      <c r="B95" s="20">
        <v>-58.45</v>
      </c>
      <c r="C95" s="20">
        <v>-84.37</v>
      </c>
      <c r="D95" s="20">
        <v>-41.58</v>
      </c>
      <c r="E95" s="22">
        <v>-105.62</v>
      </c>
      <c r="F95" s="18">
        <v>12.87</v>
      </c>
      <c r="G95" s="20">
        <v>-39.55</v>
      </c>
      <c r="H95" s="20">
        <v>-10.95</v>
      </c>
      <c r="I95" s="18">
        <v>21.8</v>
      </c>
      <c r="J95" s="20">
        <v>-39.18</v>
      </c>
      <c r="K95" s="18">
        <v>6.85</v>
      </c>
      <c r="L95" s="18">
        <v>29.29</v>
      </c>
      <c r="M95" s="18">
        <v>12.64</v>
      </c>
      <c r="N95" s="18">
        <v>29.18</v>
      </c>
      <c r="O95" s="18">
        <v>40.67</v>
      </c>
      <c r="P95" s="18">
        <v>31.92</v>
      </c>
      <c r="Q95" s="20">
        <v>-33.31</v>
      </c>
      <c r="R95" s="19"/>
      <c r="S95" s="19"/>
      <c r="T95" s="19"/>
      <c r="U95" s="19"/>
      <c r="V95" s="19"/>
      <c r="W95" s="19"/>
    </row>
    <row r="96" ht="15.0" customHeight="1">
      <c r="A96" s="16" t="s">
        <v>144</v>
      </c>
      <c r="B96" s="17">
        <v>251.96</v>
      </c>
      <c r="C96" s="17">
        <v>232.1</v>
      </c>
      <c r="D96" s="17">
        <v>181.55</v>
      </c>
      <c r="E96" s="17">
        <v>124.53</v>
      </c>
      <c r="F96" s="17">
        <v>180.35</v>
      </c>
      <c r="G96" s="25">
        <v>45.16</v>
      </c>
      <c r="H96" s="17">
        <v>188.23</v>
      </c>
      <c r="I96" s="17">
        <v>139.21</v>
      </c>
      <c r="J96" s="25">
        <v>91.59</v>
      </c>
      <c r="K96" s="17">
        <v>146.25</v>
      </c>
      <c r="L96" s="17">
        <v>139.97</v>
      </c>
      <c r="M96" s="17">
        <v>115.83</v>
      </c>
      <c r="N96" s="25">
        <v>84.26</v>
      </c>
      <c r="O96" s="25">
        <v>76.26</v>
      </c>
      <c r="P96" s="25">
        <v>68.48</v>
      </c>
      <c r="Q96" s="25">
        <v>74.54</v>
      </c>
      <c r="R96" s="25">
        <v>58.6</v>
      </c>
      <c r="S96" s="25">
        <v>55.02</v>
      </c>
      <c r="T96" s="25">
        <v>2.77</v>
      </c>
      <c r="U96" s="24">
        <v>-33.44</v>
      </c>
      <c r="V96" s="25">
        <v>3.59</v>
      </c>
      <c r="W96" s="25">
        <v>26.37</v>
      </c>
    </row>
    <row r="97" ht="15.0" customHeight="1">
      <c r="A97" s="16" t="s">
        <v>145</v>
      </c>
      <c r="B97" s="17">
        <v>867.61</v>
      </c>
      <c r="C97" s="17">
        <v>740.89</v>
      </c>
      <c r="D97" s="17">
        <v>620.43</v>
      </c>
      <c r="E97" s="17">
        <v>415.14</v>
      </c>
      <c r="F97" s="17">
        <v>564.29</v>
      </c>
      <c r="G97" s="25">
        <v>74.54</v>
      </c>
      <c r="H97" s="17">
        <v>605.96</v>
      </c>
      <c r="I97" s="17">
        <v>649.8</v>
      </c>
      <c r="J97" s="17">
        <v>476.61</v>
      </c>
      <c r="K97" s="17">
        <v>428.19</v>
      </c>
      <c r="L97" s="17">
        <v>412.52</v>
      </c>
      <c r="M97" s="17">
        <v>374.93</v>
      </c>
      <c r="N97" s="17">
        <v>240.72</v>
      </c>
      <c r="O97" s="17">
        <v>219.59</v>
      </c>
      <c r="P97" s="17">
        <v>193.89</v>
      </c>
      <c r="Q97" s="17">
        <v>213.61</v>
      </c>
      <c r="R97" s="17">
        <v>341.63</v>
      </c>
      <c r="S97" s="17">
        <v>360.46</v>
      </c>
      <c r="T97" s="25">
        <v>44.38</v>
      </c>
      <c r="U97" s="17">
        <v>257.72</v>
      </c>
      <c r="V97" s="17">
        <v>174.11</v>
      </c>
      <c r="W97" s="17">
        <v>121.75</v>
      </c>
    </row>
    <row r="98" ht="15.0" customHeight="1">
      <c r="A98" s="16" t="s">
        <v>146</v>
      </c>
      <c r="B98" s="17">
        <v>867.61</v>
      </c>
      <c r="C98" s="17">
        <v>740.89</v>
      </c>
      <c r="D98" s="17">
        <v>620.43</v>
      </c>
      <c r="E98" s="17">
        <v>415.14</v>
      </c>
      <c r="F98" s="17">
        <v>564.29</v>
      </c>
      <c r="G98" s="25">
        <v>74.54</v>
      </c>
      <c r="H98" s="17">
        <v>605.96</v>
      </c>
      <c r="I98" s="17">
        <v>649.8</v>
      </c>
      <c r="J98" s="17">
        <v>476.61</v>
      </c>
      <c r="K98" s="17">
        <v>428.19</v>
      </c>
      <c r="L98" s="17">
        <v>412.52</v>
      </c>
      <c r="M98" s="17">
        <v>374.93</v>
      </c>
      <c r="N98" s="17">
        <v>240.72</v>
      </c>
      <c r="O98" s="17">
        <v>219.59</v>
      </c>
      <c r="P98" s="17">
        <v>193.89</v>
      </c>
      <c r="Q98" s="17">
        <v>213.61</v>
      </c>
      <c r="R98" s="17">
        <v>341.63</v>
      </c>
      <c r="S98" s="17">
        <v>360.46</v>
      </c>
      <c r="T98" s="25">
        <v>44.38</v>
      </c>
      <c r="U98" s="17">
        <v>257.72</v>
      </c>
      <c r="V98" s="17">
        <v>174.11</v>
      </c>
      <c r="W98" s="17">
        <v>121.75</v>
      </c>
    </row>
    <row r="99" ht="15.0" customHeight="1">
      <c r="A99" s="14" t="s">
        <v>147</v>
      </c>
      <c r="B99" s="18">
        <v>3.21</v>
      </c>
      <c r="C99" s="18">
        <v>7.33</v>
      </c>
      <c r="D99" s="18">
        <v>4.35</v>
      </c>
      <c r="E99" s="18">
        <v>6.7</v>
      </c>
      <c r="F99" s="18">
        <v>14.28</v>
      </c>
      <c r="G99" s="18">
        <v>16.06</v>
      </c>
      <c r="H99" s="18">
        <v>24.93</v>
      </c>
      <c r="I99" s="18">
        <v>0.56</v>
      </c>
      <c r="J99" s="18">
        <v>0.13</v>
      </c>
      <c r="K99" s="20">
        <v>-0.26</v>
      </c>
      <c r="L99" s="20">
        <v>-0.65</v>
      </c>
      <c r="M99" s="18">
        <v>0.07</v>
      </c>
      <c r="N99" s="18">
        <v>2.77</v>
      </c>
      <c r="O99" s="20">
        <v>-4.0</v>
      </c>
      <c r="P99" s="18">
        <v>4.47</v>
      </c>
      <c r="Q99" s="18">
        <v>3.0</v>
      </c>
      <c r="R99" s="20">
        <v>-0.35</v>
      </c>
      <c r="S99" s="19">
        <v>0.0</v>
      </c>
      <c r="T99" s="19"/>
      <c r="U99" s="19"/>
      <c r="V99" s="19"/>
      <c r="W99" s="19"/>
    </row>
    <row r="100" ht="15.0" customHeight="1">
      <c r="A100" s="16" t="s">
        <v>148</v>
      </c>
      <c r="B100" s="25">
        <v>3.21</v>
      </c>
      <c r="C100" s="25">
        <v>7.33</v>
      </c>
      <c r="D100" s="25">
        <v>4.35</v>
      </c>
      <c r="E100" s="25">
        <v>6.7</v>
      </c>
      <c r="F100" s="25">
        <v>14.28</v>
      </c>
      <c r="G100" s="25">
        <v>16.06</v>
      </c>
      <c r="H100" s="25">
        <v>24.93</v>
      </c>
      <c r="I100" s="25">
        <v>0.56</v>
      </c>
      <c r="J100" s="25">
        <v>0.13</v>
      </c>
      <c r="K100" s="24">
        <v>-0.26</v>
      </c>
      <c r="L100" s="24">
        <v>-0.65</v>
      </c>
      <c r="M100" s="25">
        <v>0.07</v>
      </c>
      <c r="N100" s="25">
        <v>2.77</v>
      </c>
      <c r="O100" s="24">
        <v>-4.0</v>
      </c>
      <c r="P100" s="25">
        <v>4.47</v>
      </c>
      <c r="Q100" s="25">
        <v>3.0</v>
      </c>
      <c r="R100" s="24">
        <v>-0.35</v>
      </c>
      <c r="S100" s="21">
        <v>0.0</v>
      </c>
      <c r="T100" s="21"/>
      <c r="U100" s="21"/>
      <c r="V100" s="21"/>
      <c r="W100" s="21"/>
    </row>
    <row r="101" ht="15.0" customHeight="1">
      <c r="A101" s="16" t="s">
        <v>146</v>
      </c>
      <c r="B101" s="17">
        <v>864.41</v>
      </c>
      <c r="C101" s="17">
        <v>733.56</v>
      </c>
      <c r="D101" s="17">
        <v>616.08</v>
      </c>
      <c r="E101" s="17">
        <v>408.44</v>
      </c>
      <c r="F101" s="17">
        <v>550.01</v>
      </c>
      <c r="G101" s="25">
        <v>58.48</v>
      </c>
      <c r="H101" s="17">
        <v>581.02</v>
      </c>
      <c r="I101" s="17">
        <v>649.24</v>
      </c>
      <c r="J101" s="17">
        <v>476.48</v>
      </c>
      <c r="K101" s="17">
        <v>428.45</v>
      </c>
      <c r="L101" s="17">
        <v>413.17</v>
      </c>
      <c r="M101" s="17">
        <v>374.86</v>
      </c>
      <c r="N101" s="17">
        <v>237.95</v>
      </c>
      <c r="O101" s="17">
        <v>223.59</v>
      </c>
      <c r="P101" s="17">
        <v>189.42</v>
      </c>
      <c r="Q101" s="17">
        <v>210.61</v>
      </c>
      <c r="R101" s="17">
        <v>341.98</v>
      </c>
      <c r="S101" s="17">
        <v>360.46</v>
      </c>
      <c r="T101" s="25">
        <v>44.38</v>
      </c>
      <c r="U101" s="17">
        <v>257.72</v>
      </c>
      <c r="V101" s="17">
        <v>174.11</v>
      </c>
      <c r="W101" s="17">
        <v>121.75</v>
      </c>
    </row>
    <row r="102" ht="15.0" customHeight="1">
      <c r="A102" s="16" t="s">
        <v>149</v>
      </c>
      <c r="B102" s="17">
        <v>864.41</v>
      </c>
      <c r="C102" s="17">
        <v>733.56</v>
      </c>
      <c r="D102" s="17">
        <v>616.08</v>
      </c>
      <c r="E102" s="17">
        <v>408.44</v>
      </c>
      <c r="F102" s="17">
        <v>550.01</v>
      </c>
      <c r="G102" s="25">
        <v>58.48</v>
      </c>
      <c r="H102" s="17">
        <v>581.02</v>
      </c>
      <c r="I102" s="17">
        <v>649.24</v>
      </c>
      <c r="J102" s="17">
        <v>476.48</v>
      </c>
      <c r="K102" s="17">
        <v>428.45</v>
      </c>
      <c r="L102" s="17">
        <v>413.17</v>
      </c>
      <c r="M102" s="17">
        <v>374.86</v>
      </c>
      <c r="N102" s="17">
        <v>237.95</v>
      </c>
      <c r="O102" s="17">
        <v>223.59</v>
      </c>
      <c r="P102" s="17">
        <v>189.42</v>
      </c>
      <c r="Q102" s="17">
        <v>210.61</v>
      </c>
      <c r="R102" s="17">
        <v>341.98</v>
      </c>
      <c r="S102" s="17">
        <v>360.46</v>
      </c>
      <c r="T102" s="25">
        <v>44.38</v>
      </c>
      <c r="U102" s="17">
        <v>257.72</v>
      </c>
      <c r="V102" s="17">
        <v>174.11</v>
      </c>
      <c r="W102" s="17">
        <v>121.75</v>
      </c>
    </row>
    <row r="103" ht="15.0" customHeight="1">
      <c r="A103" s="16" t="s">
        <v>146</v>
      </c>
      <c r="B103" s="17">
        <v>864.41</v>
      </c>
      <c r="C103" s="17">
        <v>733.56</v>
      </c>
      <c r="D103" s="17">
        <v>616.08</v>
      </c>
      <c r="E103" s="17">
        <v>408.44</v>
      </c>
      <c r="F103" s="17">
        <v>550.01</v>
      </c>
      <c r="G103" s="25">
        <v>58.48</v>
      </c>
      <c r="H103" s="17">
        <v>581.02</v>
      </c>
      <c r="I103" s="17">
        <v>649.24</v>
      </c>
      <c r="J103" s="17">
        <v>476.48</v>
      </c>
      <c r="K103" s="17">
        <v>428.45</v>
      </c>
      <c r="L103" s="17">
        <v>413.17</v>
      </c>
      <c r="M103" s="17">
        <v>374.86</v>
      </c>
      <c r="N103" s="17">
        <v>237.95</v>
      </c>
      <c r="O103" s="17">
        <v>223.59</v>
      </c>
      <c r="P103" s="17">
        <v>189.42</v>
      </c>
      <c r="Q103" s="17">
        <v>210.61</v>
      </c>
      <c r="R103" s="17">
        <v>341.98</v>
      </c>
      <c r="S103" s="17">
        <v>360.46</v>
      </c>
      <c r="T103" s="25">
        <v>44.38</v>
      </c>
      <c r="U103" s="17">
        <v>257.72</v>
      </c>
      <c r="V103" s="17">
        <v>174.11</v>
      </c>
      <c r="W103" s="17">
        <v>121.75</v>
      </c>
    </row>
    <row r="104" ht="15.0" customHeight="1">
      <c r="A104" s="14" t="s">
        <v>150</v>
      </c>
      <c r="B104" s="15">
        <v>867.61</v>
      </c>
      <c r="C104" s="15">
        <v>740.89</v>
      </c>
      <c r="D104" s="15">
        <v>620.43</v>
      </c>
      <c r="E104" s="15">
        <v>415.14</v>
      </c>
      <c r="F104" s="15">
        <v>564.29</v>
      </c>
      <c r="G104" s="18">
        <v>74.54</v>
      </c>
      <c r="H104" s="15">
        <v>605.96</v>
      </c>
      <c r="I104" s="15">
        <v>649.8</v>
      </c>
      <c r="J104" s="15">
        <v>476.61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ht="15.0" customHeight="1">
      <c r="A105" s="14" t="s">
        <v>151</v>
      </c>
      <c r="B105" s="20">
        <v>-18.94</v>
      </c>
      <c r="C105" s="18">
        <v>19.68</v>
      </c>
      <c r="D105" s="18">
        <v>10.16</v>
      </c>
      <c r="E105" s="20">
        <v>-13.75</v>
      </c>
      <c r="F105" s="20">
        <v>-0.11</v>
      </c>
      <c r="G105" s="20">
        <v>-3.76</v>
      </c>
      <c r="H105" s="18">
        <v>12.56</v>
      </c>
      <c r="I105" s="20">
        <v>-0.7</v>
      </c>
      <c r="J105" s="20">
        <v>-6.62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ht="15.0" customHeight="1">
      <c r="A106" s="14" t="s">
        <v>152</v>
      </c>
      <c r="B106" s="15">
        <v>235.67</v>
      </c>
      <c r="C106" s="22">
        <v>-120.06</v>
      </c>
      <c r="D106" s="18">
        <v>51.06</v>
      </c>
      <c r="E106" s="22">
        <v>-230.27</v>
      </c>
      <c r="F106" s="22">
        <v>-121.17</v>
      </c>
      <c r="G106" s="18">
        <v>99.01</v>
      </c>
      <c r="H106" s="20">
        <v>-2.79</v>
      </c>
      <c r="I106" s="22">
        <v>-106.41</v>
      </c>
      <c r="J106" s="15">
        <v>152.67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137</v>
      </c>
      <c r="B107" s="18">
        <v>51.83</v>
      </c>
      <c r="C107" s="20">
        <v>-22.27</v>
      </c>
      <c r="D107" s="18">
        <v>8.56</v>
      </c>
      <c r="E107" s="20">
        <v>-2.0</v>
      </c>
      <c r="F107" s="20">
        <v>-16.14</v>
      </c>
      <c r="G107" s="18">
        <v>18.72</v>
      </c>
      <c r="H107" s="20">
        <v>-6.3</v>
      </c>
      <c r="I107" s="20">
        <v>-5.05</v>
      </c>
      <c r="J107" s="18">
        <v>7.0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153</v>
      </c>
      <c r="B108" s="19">
        <v>0.0</v>
      </c>
      <c r="C108" s="18">
        <v>0.95</v>
      </c>
      <c r="D108" s="18">
        <v>0.98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154</v>
      </c>
      <c r="B109" s="19"/>
      <c r="C109" s="19"/>
      <c r="D109" s="19"/>
      <c r="E109" s="19"/>
      <c r="F109" s="19">
        <v>0.0</v>
      </c>
      <c r="G109" s="18">
        <v>29.69</v>
      </c>
      <c r="H109" s="19">
        <v>0.0</v>
      </c>
      <c r="I109" s="20">
        <v>-15.47</v>
      </c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6" t="s">
        <v>155</v>
      </c>
      <c r="B110" s="17">
        <v>268.57</v>
      </c>
      <c r="C110" s="23">
        <v>-121.71</v>
      </c>
      <c r="D110" s="25">
        <v>70.76</v>
      </c>
      <c r="E110" s="23">
        <v>-246.02</v>
      </c>
      <c r="F110" s="23">
        <v>-137.42</v>
      </c>
      <c r="G110" s="17">
        <v>143.66</v>
      </c>
      <c r="H110" s="25">
        <v>3.48</v>
      </c>
      <c r="I110" s="23">
        <v>-127.62</v>
      </c>
      <c r="J110" s="17">
        <v>153.05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4" t="s">
        <v>156</v>
      </c>
      <c r="B111" s="15">
        <v>1132.97</v>
      </c>
      <c r="C111" s="15">
        <v>611.86</v>
      </c>
      <c r="D111" s="15">
        <v>686.84</v>
      </c>
      <c r="E111" s="15">
        <v>162.42</v>
      </c>
      <c r="F111" s="15">
        <v>412.59</v>
      </c>
      <c r="G111" s="15">
        <v>202.14</v>
      </c>
      <c r="H111" s="15">
        <v>584.5</v>
      </c>
      <c r="I111" s="15">
        <v>521.62</v>
      </c>
      <c r="J111" s="15">
        <v>629.53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157</v>
      </c>
      <c r="B112" s="18">
        <v>3.21</v>
      </c>
      <c r="C112" s="18">
        <v>7.33</v>
      </c>
      <c r="D112" s="18">
        <v>4.35</v>
      </c>
      <c r="E112" s="18">
        <v>6.7</v>
      </c>
      <c r="F112" s="18">
        <v>14.28</v>
      </c>
      <c r="G112" s="18">
        <v>16.06</v>
      </c>
      <c r="H112" s="18">
        <v>24.93</v>
      </c>
      <c r="I112" s="18">
        <v>0.56</v>
      </c>
      <c r="J112" s="18">
        <v>0.13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6" t="s">
        <v>158</v>
      </c>
      <c r="B113" s="17">
        <v>1136.18</v>
      </c>
      <c r="C113" s="17">
        <v>619.19</v>
      </c>
      <c r="D113" s="17">
        <v>691.19</v>
      </c>
      <c r="E113" s="17">
        <v>169.12</v>
      </c>
      <c r="F113" s="17">
        <v>426.87</v>
      </c>
      <c r="G113" s="17">
        <v>218.2</v>
      </c>
      <c r="H113" s="17">
        <v>609.43</v>
      </c>
      <c r="I113" s="17">
        <v>522.19</v>
      </c>
      <c r="J113" s="17">
        <v>629.66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</row>
    <row r="114" ht="15.0" customHeight="1">
      <c r="A114" s="14" t="s">
        <v>159</v>
      </c>
      <c r="B114" s="15">
        <v>426.96</v>
      </c>
      <c r="C114" s="15">
        <v>426.64</v>
      </c>
      <c r="D114" s="15">
        <v>420.3</v>
      </c>
      <c r="E114" s="15">
        <v>417.76</v>
      </c>
      <c r="F114" s="15">
        <v>422.16</v>
      </c>
      <c r="G114" s="15">
        <v>421.78</v>
      </c>
      <c r="H114" s="15">
        <v>423.38</v>
      </c>
      <c r="I114" s="15">
        <v>425.66</v>
      </c>
      <c r="J114" s="15">
        <v>430.64</v>
      </c>
      <c r="K114" s="15">
        <v>439.26</v>
      </c>
      <c r="L114" s="15">
        <v>443.62</v>
      </c>
      <c r="M114" s="15">
        <v>450.32</v>
      </c>
      <c r="N114" s="15">
        <v>449.64</v>
      </c>
      <c r="O114" s="15">
        <v>448.73</v>
      </c>
      <c r="P114" s="15">
        <v>450.88</v>
      </c>
      <c r="Q114" s="15">
        <v>453.73</v>
      </c>
      <c r="R114" s="15">
        <v>427.78</v>
      </c>
      <c r="S114" s="15">
        <v>422.98</v>
      </c>
      <c r="T114" s="15">
        <v>394.41</v>
      </c>
      <c r="U114" s="15">
        <v>384.26</v>
      </c>
      <c r="V114" s="15">
        <v>331.37</v>
      </c>
      <c r="W114" s="15">
        <v>317.0</v>
      </c>
    </row>
    <row r="115" ht="15.0" customHeight="1">
      <c r="A115" s="14" t="s">
        <v>160</v>
      </c>
      <c r="B115" s="18">
        <v>2.03</v>
      </c>
      <c r="C115" s="18">
        <v>1.74</v>
      </c>
      <c r="D115" s="18">
        <v>1.48</v>
      </c>
      <c r="E115" s="18">
        <v>0.99</v>
      </c>
      <c r="F115" s="18">
        <v>1.34</v>
      </c>
      <c r="G115" s="18">
        <v>0.18</v>
      </c>
      <c r="H115" s="18">
        <v>1.43</v>
      </c>
      <c r="I115" s="18">
        <v>1.53</v>
      </c>
      <c r="J115" s="18">
        <v>1.11</v>
      </c>
      <c r="K115" s="18">
        <v>0.97</v>
      </c>
      <c r="L115" s="18">
        <v>0.93</v>
      </c>
      <c r="M115" s="18">
        <v>0.83</v>
      </c>
      <c r="N115" s="18">
        <v>0.53</v>
      </c>
      <c r="O115" s="18">
        <v>0.5</v>
      </c>
      <c r="P115" s="18">
        <v>0.42</v>
      </c>
      <c r="Q115" s="18">
        <v>0.48</v>
      </c>
      <c r="R115" s="18">
        <v>0.8</v>
      </c>
      <c r="S115" s="18">
        <v>0.38</v>
      </c>
      <c r="T115" s="18">
        <v>0.11</v>
      </c>
      <c r="U115" s="18">
        <v>0.07</v>
      </c>
      <c r="V115" s="18">
        <v>0.23</v>
      </c>
      <c r="W115" s="18">
        <v>0.32</v>
      </c>
    </row>
    <row r="116" ht="15.0" customHeight="1">
      <c r="A116" s="14" t="s">
        <v>161</v>
      </c>
      <c r="B116" s="18">
        <v>2.03</v>
      </c>
      <c r="C116" s="18">
        <v>1.74</v>
      </c>
      <c r="D116" s="18">
        <v>1.48</v>
      </c>
      <c r="E116" s="18">
        <v>0.99</v>
      </c>
      <c r="F116" s="18">
        <v>1.34</v>
      </c>
      <c r="G116" s="18">
        <v>0.18</v>
      </c>
      <c r="H116" s="18">
        <v>1.43</v>
      </c>
      <c r="I116" s="18">
        <v>1.53</v>
      </c>
      <c r="J116" s="18">
        <v>1.11</v>
      </c>
      <c r="K116" s="18">
        <v>0.97</v>
      </c>
      <c r="L116" s="18">
        <v>0.93</v>
      </c>
      <c r="M116" s="18">
        <v>0.83</v>
      </c>
      <c r="N116" s="18">
        <v>0.53</v>
      </c>
      <c r="O116" s="18">
        <v>0.5</v>
      </c>
      <c r="P116" s="18">
        <v>0.42</v>
      </c>
      <c r="Q116" s="18">
        <v>0.46</v>
      </c>
      <c r="R116" s="18">
        <v>0.8</v>
      </c>
      <c r="S116" s="18">
        <v>0.38</v>
      </c>
      <c r="T116" s="18">
        <v>0.11</v>
      </c>
      <c r="U116" s="18">
        <v>0.07</v>
      </c>
      <c r="V116" s="18">
        <v>0.23</v>
      </c>
      <c r="W116" s="18">
        <v>0.32</v>
      </c>
    </row>
    <row r="117" ht="15.0" customHeight="1">
      <c r="A117" s="14" t="s">
        <v>162</v>
      </c>
      <c r="B117" s="15">
        <v>426.96</v>
      </c>
      <c r="C117" s="15">
        <v>426.64</v>
      </c>
      <c r="D117" s="15">
        <v>420.3</v>
      </c>
      <c r="E117" s="15">
        <v>417.83</v>
      </c>
      <c r="F117" s="15">
        <v>422.8</v>
      </c>
      <c r="G117" s="15">
        <v>422.73</v>
      </c>
      <c r="H117" s="15">
        <v>424.57</v>
      </c>
      <c r="I117" s="15">
        <v>426.48</v>
      </c>
      <c r="J117" s="15">
        <v>432.45</v>
      </c>
      <c r="K117" s="15">
        <v>440.68</v>
      </c>
      <c r="L117" s="15">
        <v>445.66</v>
      </c>
      <c r="M117" s="15">
        <v>452.71</v>
      </c>
      <c r="N117" s="15">
        <v>449.64</v>
      </c>
      <c r="O117" s="15">
        <v>448.73</v>
      </c>
      <c r="P117" s="15">
        <v>450.88</v>
      </c>
      <c r="Q117" s="15">
        <v>455.02</v>
      </c>
      <c r="R117" s="15">
        <v>429.75</v>
      </c>
      <c r="S117" s="15">
        <v>423.03</v>
      </c>
      <c r="T117" s="15">
        <v>394.41</v>
      </c>
      <c r="U117" s="15">
        <v>384.3</v>
      </c>
      <c r="V117" s="15">
        <v>331.93</v>
      </c>
      <c r="W117" s="15">
        <v>317.36</v>
      </c>
    </row>
    <row r="118" ht="15.0" customHeight="1">
      <c r="A118" s="14" t="s">
        <v>163</v>
      </c>
      <c r="B118" s="18">
        <v>2.03</v>
      </c>
      <c r="C118" s="18">
        <v>1.74</v>
      </c>
      <c r="D118" s="18">
        <v>1.48</v>
      </c>
      <c r="E118" s="18">
        <v>0.99</v>
      </c>
      <c r="F118" s="18">
        <v>1.33</v>
      </c>
      <c r="G118" s="18">
        <v>0.18</v>
      </c>
      <c r="H118" s="18">
        <v>1.43</v>
      </c>
      <c r="I118" s="18">
        <v>1.52</v>
      </c>
      <c r="J118" s="18">
        <v>1.1</v>
      </c>
      <c r="K118" s="18">
        <v>0.97</v>
      </c>
      <c r="L118" s="18">
        <v>0.93</v>
      </c>
      <c r="M118" s="18">
        <v>0.83</v>
      </c>
      <c r="N118" s="18">
        <v>0.53</v>
      </c>
      <c r="O118" s="18">
        <v>0.5</v>
      </c>
      <c r="P118" s="18">
        <v>0.42</v>
      </c>
      <c r="Q118" s="18">
        <v>0.47</v>
      </c>
      <c r="R118" s="18">
        <v>0.3</v>
      </c>
      <c r="S118" s="18">
        <v>0.38</v>
      </c>
      <c r="T118" s="18">
        <v>0.11</v>
      </c>
      <c r="U118" s="18">
        <v>0.07</v>
      </c>
      <c r="V118" s="18">
        <v>0.23</v>
      </c>
      <c r="W118" s="18">
        <v>0.32</v>
      </c>
    </row>
    <row r="119" ht="15.0" customHeight="1">
      <c r="A119" s="14" t="s">
        <v>164</v>
      </c>
      <c r="B119" s="18">
        <v>2.03</v>
      </c>
      <c r="C119" s="18">
        <v>1.74</v>
      </c>
      <c r="D119" s="18">
        <v>1.48</v>
      </c>
      <c r="E119" s="18">
        <v>0.99</v>
      </c>
      <c r="F119" s="18">
        <v>1.33</v>
      </c>
      <c r="G119" s="18">
        <v>0.18</v>
      </c>
      <c r="H119" s="18">
        <v>1.43</v>
      </c>
      <c r="I119" s="18">
        <v>1.52</v>
      </c>
      <c r="J119" s="18">
        <v>1.1</v>
      </c>
      <c r="K119" s="18">
        <v>0.97</v>
      </c>
      <c r="L119" s="18">
        <v>0.93</v>
      </c>
      <c r="M119" s="18">
        <v>0.83</v>
      </c>
      <c r="N119" s="18">
        <v>0.53</v>
      </c>
      <c r="O119" s="18">
        <v>0.5</v>
      </c>
      <c r="P119" s="18">
        <v>0.42</v>
      </c>
      <c r="Q119" s="18">
        <v>0.46</v>
      </c>
      <c r="R119" s="18">
        <v>0.3</v>
      </c>
      <c r="S119" s="18">
        <v>0.38</v>
      </c>
      <c r="T119" s="18">
        <v>0.11</v>
      </c>
      <c r="U119" s="18">
        <v>0.07</v>
      </c>
      <c r="V119" s="18">
        <v>0.23</v>
      </c>
      <c r="W119" s="18">
        <v>0.32</v>
      </c>
    </row>
    <row r="120" ht="15.0" customHeight="1">
      <c r="A120" s="14" t="s">
        <v>165</v>
      </c>
      <c r="B120" s="15">
        <v>864.41</v>
      </c>
      <c r="C120" s="15">
        <v>733.56</v>
      </c>
      <c r="D120" s="15">
        <v>616.08</v>
      </c>
      <c r="E120" s="15">
        <v>408.44</v>
      </c>
      <c r="F120" s="15">
        <v>550.01</v>
      </c>
      <c r="G120" s="18">
        <v>58.48</v>
      </c>
      <c r="H120" s="15">
        <v>581.02</v>
      </c>
      <c r="I120" s="15">
        <v>649.24</v>
      </c>
      <c r="J120" s="15">
        <v>476.48</v>
      </c>
      <c r="K120" s="15">
        <v>428.45</v>
      </c>
      <c r="L120" s="15">
        <v>413.17</v>
      </c>
      <c r="M120" s="15">
        <v>374.86</v>
      </c>
      <c r="N120" s="15">
        <v>237.95</v>
      </c>
      <c r="O120" s="15">
        <v>223.59</v>
      </c>
      <c r="P120" s="15">
        <v>189.42</v>
      </c>
      <c r="Q120" s="15">
        <v>210.61</v>
      </c>
      <c r="R120" s="15">
        <v>130.97</v>
      </c>
      <c r="S120" s="15">
        <v>160.85</v>
      </c>
      <c r="T120" s="18">
        <v>44.38</v>
      </c>
      <c r="U120" s="18">
        <v>27.94</v>
      </c>
      <c r="V120" s="18">
        <v>75.28</v>
      </c>
      <c r="W120" s="15">
        <v>102.56</v>
      </c>
    </row>
    <row r="121" ht="15.0" customHeight="1">
      <c r="A121" s="14" t="s">
        <v>166</v>
      </c>
      <c r="B121" s="15">
        <v>864.41</v>
      </c>
      <c r="C121" s="15">
        <v>733.56</v>
      </c>
      <c r="D121" s="15">
        <v>616.08</v>
      </c>
      <c r="E121" s="15">
        <v>408.44</v>
      </c>
      <c r="F121" s="15">
        <v>550.01</v>
      </c>
      <c r="G121" s="18">
        <v>58.48</v>
      </c>
      <c r="H121" s="15">
        <v>581.02</v>
      </c>
      <c r="I121" s="15">
        <v>649.24</v>
      </c>
      <c r="J121" s="15">
        <v>476.48</v>
      </c>
      <c r="K121" s="15">
        <v>428.45</v>
      </c>
      <c r="L121" s="15">
        <v>413.17</v>
      </c>
      <c r="M121" s="15">
        <v>374.86</v>
      </c>
      <c r="N121" s="15">
        <v>237.95</v>
      </c>
      <c r="O121" s="15">
        <v>223.59</v>
      </c>
      <c r="P121" s="15">
        <v>189.42</v>
      </c>
      <c r="Q121" s="15">
        <v>210.63</v>
      </c>
      <c r="R121" s="15">
        <v>130.97</v>
      </c>
      <c r="S121" s="15">
        <v>160.85</v>
      </c>
      <c r="T121" s="18">
        <v>44.38</v>
      </c>
      <c r="U121" s="18">
        <v>27.94</v>
      </c>
      <c r="V121" s="15">
        <v>174.11</v>
      </c>
      <c r="W121" s="15">
        <v>121.75</v>
      </c>
    </row>
    <row r="122" ht="15.0" customHeight="1">
      <c r="A122" s="14" t="s">
        <v>167</v>
      </c>
      <c r="B122" s="19"/>
      <c r="C122" s="19"/>
      <c r="D122" s="19"/>
      <c r="E122" s="19"/>
      <c r="F122" s="19"/>
      <c r="G122" s="19"/>
      <c r="H122" s="19"/>
      <c r="I122" s="19"/>
      <c r="J122" s="19">
        <v>0.0</v>
      </c>
      <c r="K122" s="19">
        <v>0.0</v>
      </c>
      <c r="L122" s="19"/>
      <c r="M122" s="19"/>
      <c r="N122" s="19"/>
      <c r="O122" s="19"/>
      <c r="P122" s="19"/>
      <c r="Q122" s="19"/>
      <c r="R122" s="22">
        <v>-211.01</v>
      </c>
      <c r="S122" s="22">
        <v>-199.61</v>
      </c>
      <c r="T122" s="18">
        <v>0.01</v>
      </c>
      <c r="U122" s="22">
        <v>-229.78</v>
      </c>
      <c r="V122" s="19">
        <v>0.0</v>
      </c>
      <c r="W122" s="19">
        <v>0.0</v>
      </c>
    </row>
    <row r="123" ht="15.0" customHeight="1">
      <c r="A123" s="14" t="s">
        <v>168</v>
      </c>
      <c r="B123" s="15">
        <v>628.78</v>
      </c>
      <c r="C123" s="15">
        <v>601.36</v>
      </c>
      <c r="D123" s="15">
        <v>526.72</v>
      </c>
      <c r="E123" s="15">
        <v>474.27</v>
      </c>
      <c r="F123" s="15">
        <v>442.87</v>
      </c>
      <c r="G123" s="15">
        <v>608.87</v>
      </c>
      <c r="H123" s="15">
        <v>383.21</v>
      </c>
      <c r="I123" s="15">
        <v>196.56</v>
      </c>
      <c r="J123" s="15">
        <v>186.43</v>
      </c>
      <c r="K123" s="15">
        <v>182.17</v>
      </c>
      <c r="L123" s="15">
        <v>162.49</v>
      </c>
      <c r="M123" s="15">
        <v>116.01</v>
      </c>
      <c r="N123" s="18">
        <v>89.73</v>
      </c>
      <c r="O123" s="18">
        <v>76.64</v>
      </c>
      <c r="P123" s="18">
        <v>73.99</v>
      </c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169</v>
      </c>
      <c r="B124" s="15">
        <v>504.48</v>
      </c>
      <c r="C124" s="15">
        <v>470.66</v>
      </c>
      <c r="D124" s="15">
        <v>423.38</v>
      </c>
      <c r="E124" s="15">
        <v>373.72</v>
      </c>
      <c r="F124" s="15">
        <v>342.59</v>
      </c>
      <c r="G124" s="15">
        <v>346.14</v>
      </c>
      <c r="H124" s="15">
        <v>299.79</v>
      </c>
      <c r="I124" s="15">
        <v>131.7</v>
      </c>
      <c r="J124" s="15">
        <v>113.37</v>
      </c>
      <c r="K124" s="15">
        <v>109.35</v>
      </c>
      <c r="L124" s="18">
        <v>92.97</v>
      </c>
      <c r="M124" s="18">
        <v>67.45</v>
      </c>
      <c r="N124" s="18">
        <v>56.2</v>
      </c>
      <c r="O124" s="18">
        <v>55.62</v>
      </c>
      <c r="P124" s="18">
        <v>47.7</v>
      </c>
      <c r="Q124" s="18">
        <v>44.74</v>
      </c>
      <c r="R124" s="18">
        <v>51.38</v>
      </c>
      <c r="S124" s="18">
        <v>49.28</v>
      </c>
      <c r="T124" s="18">
        <v>52.86</v>
      </c>
      <c r="U124" s="15">
        <v>126.53</v>
      </c>
      <c r="V124" s="18">
        <v>59.94</v>
      </c>
      <c r="W124" s="18">
        <v>31.46</v>
      </c>
    </row>
    <row r="125" ht="15.0" customHeight="1">
      <c r="A125" s="14" t="s">
        <v>170</v>
      </c>
      <c r="B125" s="15">
        <v>124.3</v>
      </c>
      <c r="C125" s="15">
        <v>130.7</v>
      </c>
      <c r="D125" s="15">
        <v>103.34</v>
      </c>
      <c r="E125" s="15">
        <v>100.55</v>
      </c>
      <c r="F125" s="15">
        <v>100.27</v>
      </c>
      <c r="G125" s="15">
        <v>213.35</v>
      </c>
      <c r="H125" s="18">
        <v>83.42</v>
      </c>
      <c r="I125" s="18">
        <v>64.86</v>
      </c>
      <c r="J125" s="18">
        <v>73.06</v>
      </c>
      <c r="K125" s="18">
        <v>72.82</v>
      </c>
      <c r="L125" s="18">
        <v>69.53</v>
      </c>
      <c r="M125" s="18">
        <v>48.57</v>
      </c>
      <c r="N125" s="18">
        <v>33.53</v>
      </c>
      <c r="O125" s="18">
        <v>21.02</v>
      </c>
      <c r="P125" s="18">
        <v>26.29</v>
      </c>
      <c r="Q125" s="18">
        <v>65.86</v>
      </c>
      <c r="R125" s="18">
        <v>66.38</v>
      </c>
      <c r="S125" s="18">
        <v>83.31</v>
      </c>
      <c r="T125" s="18">
        <v>91.6</v>
      </c>
      <c r="U125" s="15">
        <v>138.13</v>
      </c>
      <c r="V125" s="18">
        <v>52.49</v>
      </c>
      <c r="W125" s="18">
        <v>7.54</v>
      </c>
    </row>
    <row r="126" ht="15.0" customHeight="1">
      <c r="A126" s="14" t="s">
        <v>171</v>
      </c>
      <c r="B126" s="19"/>
      <c r="C126" s="19"/>
      <c r="D126" s="19"/>
      <c r="E126" s="19"/>
      <c r="F126" s="19"/>
      <c r="G126" s="19"/>
      <c r="H126" s="19"/>
      <c r="I126" s="15">
        <v>158.89</v>
      </c>
      <c r="J126" s="15">
        <v>149.08</v>
      </c>
      <c r="K126" s="15">
        <v>124.86</v>
      </c>
      <c r="L126" s="15">
        <v>121.67</v>
      </c>
      <c r="M126" s="18">
        <v>96.48</v>
      </c>
      <c r="N126" s="18">
        <v>83.97</v>
      </c>
      <c r="O126" s="18">
        <v>68.03</v>
      </c>
      <c r="P126" s="18">
        <v>61.25</v>
      </c>
      <c r="Q126" s="18">
        <v>51.54</v>
      </c>
      <c r="R126" s="19"/>
      <c r="S126" s="18">
        <v>43.14</v>
      </c>
      <c r="T126" s="18">
        <v>44.76</v>
      </c>
      <c r="U126" s="18">
        <v>36.77</v>
      </c>
      <c r="V126" s="18">
        <v>29.02</v>
      </c>
      <c r="W126" s="18">
        <v>22.62</v>
      </c>
    </row>
    <row r="127" ht="15.0" customHeight="1">
      <c r="A127" s="14" t="s">
        <v>110</v>
      </c>
      <c r="B127" s="15">
        <v>200.88</v>
      </c>
      <c r="C127" s="15">
        <v>199.57</v>
      </c>
      <c r="D127" s="15">
        <v>185.98</v>
      </c>
      <c r="E127" s="19"/>
      <c r="F127" s="19"/>
      <c r="G127" s="19"/>
      <c r="H127" s="19"/>
      <c r="I127" s="19"/>
      <c r="J127" s="19"/>
      <c r="K127" s="19"/>
      <c r="L127" s="18">
        <v>92.97</v>
      </c>
      <c r="M127" s="18">
        <v>67.45</v>
      </c>
      <c r="N127" s="18">
        <v>56.2</v>
      </c>
      <c r="O127" s="18">
        <v>55.62</v>
      </c>
      <c r="P127" s="18">
        <v>47.7</v>
      </c>
      <c r="Q127" s="18">
        <v>44.74</v>
      </c>
      <c r="R127" s="18">
        <v>51.38</v>
      </c>
      <c r="S127" s="18">
        <v>49.28</v>
      </c>
      <c r="T127" s="18">
        <v>52.86</v>
      </c>
      <c r="U127" s="18">
        <v>42.05</v>
      </c>
      <c r="V127" s="18">
        <v>27.81</v>
      </c>
      <c r="W127" s="18">
        <v>23.92</v>
      </c>
    </row>
    <row r="128" ht="15.0" customHeight="1">
      <c r="A128" s="14" t="s">
        <v>172</v>
      </c>
      <c r="B128" s="15">
        <v>303.59</v>
      </c>
      <c r="C128" s="15">
        <v>271.1</v>
      </c>
      <c r="D128" s="15">
        <v>237.41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173</v>
      </c>
      <c r="B129" s="18">
        <v>38.05</v>
      </c>
      <c r="C129" s="18">
        <v>36.39</v>
      </c>
      <c r="D129" s="18">
        <v>18.36</v>
      </c>
      <c r="E129" s="18">
        <v>32.16</v>
      </c>
      <c r="F129" s="18">
        <v>38.18</v>
      </c>
      <c r="G129" s="18">
        <v>39.76</v>
      </c>
      <c r="H129" s="18">
        <v>29.08</v>
      </c>
      <c r="I129" s="18">
        <v>16.65</v>
      </c>
      <c r="J129" s="18">
        <v>20.85</v>
      </c>
      <c r="K129" s="18">
        <v>27.45</v>
      </c>
      <c r="L129" s="18">
        <v>69.53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174</v>
      </c>
      <c r="B130" s="18">
        <v>23.97</v>
      </c>
      <c r="C130" s="18">
        <v>20.95</v>
      </c>
      <c r="D130" s="18">
        <v>14.52</v>
      </c>
      <c r="E130" s="18">
        <v>11.14</v>
      </c>
      <c r="F130" s="18">
        <v>9.93</v>
      </c>
      <c r="G130" s="18">
        <v>9.98</v>
      </c>
      <c r="H130" s="18">
        <v>7.87</v>
      </c>
      <c r="I130" s="18">
        <v>6.67</v>
      </c>
      <c r="J130" s="18">
        <v>6.66</v>
      </c>
      <c r="K130" s="18">
        <v>3.41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175</v>
      </c>
      <c r="B131" s="18">
        <v>1.08</v>
      </c>
      <c r="C131" s="18">
        <v>2.71</v>
      </c>
      <c r="D131" s="18">
        <v>0.91</v>
      </c>
      <c r="E131" s="18">
        <v>0.82</v>
      </c>
      <c r="F131" s="18">
        <v>0.7</v>
      </c>
      <c r="G131" s="18">
        <v>1.26</v>
      </c>
      <c r="H131" s="19">
        <v>0.0</v>
      </c>
      <c r="I131" s="18">
        <v>0.13</v>
      </c>
      <c r="J131" s="18">
        <v>1.31</v>
      </c>
      <c r="K131" s="18">
        <v>0.95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176</v>
      </c>
      <c r="B132" s="18">
        <v>61.21</v>
      </c>
      <c r="C132" s="18">
        <v>70.65</v>
      </c>
      <c r="D132" s="18">
        <v>69.55</v>
      </c>
      <c r="E132" s="18">
        <v>56.43</v>
      </c>
      <c r="F132" s="18">
        <v>51.47</v>
      </c>
      <c r="G132" s="18">
        <v>55.76</v>
      </c>
      <c r="H132" s="18">
        <v>46.47</v>
      </c>
      <c r="I132" s="18">
        <v>41.42</v>
      </c>
      <c r="J132" s="18">
        <v>44.24</v>
      </c>
      <c r="K132" s="18">
        <v>41.02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177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5">
        <v>119.19</v>
      </c>
      <c r="R133" s="19"/>
      <c r="S133" s="15">
        <v>118.18</v>
      </c>
      <c r="T133" s="15">
        <v>116.43</v>
      </c>
      <c r="U133" s="15">
        <v>114.84</v>
      </c>
      <c r="V133" s="18">
        <v>79.92</v>
      </c>
      <c r="W133" s="19"/>
    </row>
    <row r="134" ht="15.0" customHeight="1">
      <c r="A134" s="14" t="s">
        <v>178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8">
        <v>76.64</v>
      </c>
      <c r="P134" s="18">
        <v>73.99</v>
      </c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179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8">
        <v>48.57</v>
      </c>
      <c r="N135" s="18">
        <v>33.53</v>
      </c>
      <c r="O135" s="18">
        <v>21.02</v>
      </c>
      <c r="P135" s="18">
        <v>26.29</v>
      </c>
      <c r="Q135" s="18">
        <v>40.51</v>
      </c>
      <c r="R135" s="18">
        <v>66.38</v>
      </c>
      <c r="S135" s="18">
        <v>83.31</v>
      </c>
      <c r="T135" s="18">
        <v>91.6</v>
      </c>
      <c r="U135" s="18">
        <v>84.48</v>
      </c>
      <c r="V135" s="18">
        <v>32.13</v>
      </c>
      <c r="W135" s="18">
        <v>7.54</v>
      </c>
    </row>
    <row r="136" ht="15.0" customHeight="1">
      <c r="A136" s="14" t="s">
        <v>180</v>
      </c>
      <c r="B136" s="18">
        <v>18.7</v>
      </c>
      <c r="C136" s="18">
        <v>18.84</v>
      </c>
      <c r="D136" s="18">
        <v>16.97</v>
      </c>
      <c r="E136" s="18">
        <v>14.67</v>
      </c>
      <c r="F136" s="18">
        <v>15.33</v>
      </c>
      <c r="G136" s="18">
        <v>19.3</v>
      </c>
      <c r="H136" s="18">
        <v>19.49</v>
      </c>
      <c r="I136" s="18">
        <v>15.23</v>
      </c>
      <c r="J136" s="18">
        <v>12.79</v>
      </c>
      <c r="K136" s="18">
        <v>11.07</v>
      </c>
      <c r="L136" s="19"/>
      <c r="M136" s="19"/>
      <c r="N136" s="19"/>
      <c r="O136" s="18">
        <v>6.06</v>
      </c>
      <c r="P136" s="18">
        <v>7.87</v>
      </c>
      <c r="Q136" s="18">
        <v>5.34</v>
      </c>
      <c r="R136" s="19"/>
      <c r="S136" s="18">
        <v>6.76</v>
      </c>
      <c r="T136" s="18">
        <v>8.05</v>
      </c>
      <c r="U136" s="18">
        <v>8.62</v>
      </c>
      <c r="V136" s="18">
        <v>8.59</v>
      </c>
      <c r="W136" s="18">
        <v>2.73</v>
      </c>
    </row>
    <row r="137" ht="15.0" customHeight="1">
      <c r="A137" s="14" t="s">
        <v>181</v>
      </c>
      <c r="B137" s="18">
        <v>17.44</v>
      </c>
      <c r="C137" s="18">
        <v>17.88</v>
      </c>
      <c r="D137" s="18">
        <v>15.91</v>
      </c>
      <c r="E137" s="18">
        <v>13.45</v>
      </c>
      <c r="F137" s="18">
        <v>13.49</v>
      </c>
      <c r="G137" s="18">
        <v>13.73</v>
      </c>
      <c r="H137" s="18">
        <v>13.1</v>
      </c>
      <c r="I137" s="18">
        <v>10.0</v>
      </c>
      <c r="J137" s="18">
        <v>9.53</v>
      </c>
      <c r="K137" s="18">
        <v>8.12</v>
      </c>
      <c r="L137" s="19"/>
      <c r="M137" s="19"/>
      <c r="N137" s="19"/>
      <c r="O137" s="18">
        <v>4.35</v>
      </c>
      <c r="P137" s="18">
        <v>4.66</v>
      </c>
      <c r="Q137" s="18">
        <v>3.9</v>
      </c>
      <c r="R137" s="19"/>
      <c r="S137" s="18">
        <v>4.01</v>
      </c>
      <c r="T137" s="18">
        <v>4.27</v>
      </c>
      <c r="U137" s="18">
        <v>2.79</v>
      </c>
      <c r="V137" s="18">
        <v>2.07</v>
      </c>
      <c r="W137" s="18">
        <v>1.28</v>
      </c>
    </row>
    <row r="138" ht="15.0" customHeight="1">
      <c r="A138" s="14" t="s">
        <v>182</v>
      </c>
      <c r="B138" s="18">
        <v>1.27</v>
      </c>
      <c r="C138" s="18">
        <v>0.97</v>
      </c>
      <c r="D138" s="18">
        <v>1.06</v>
      </c>
      <c r="E138" s="18">
        <v>1.22</v>
      </c>
      <c r="F138" s="18">
        <v>1.85</v>
      </c>
      <c r="G138" s="18">
        <v>5.57</v>
      </c>
      <c r="H138" s="18">
        <v>6.39</v>
      </c>
      <c r="I138" s="18">
        <v>5.23</v>
      </c>
      <c r="J138" s="18">
        <v>3.26</v>
      </c>
      <c r="K138" s="18">
        <v>2.95</v>
      </c>
      <c r="L138" s="19"/>
      <c r="M138" s="19"/>
      <c r="N138" s="19"/>
      <c r="O138" s="18">
        <v>0.29</v>
      </c>
      <c r="P138" s="18">
        <v>2.21</v>
      </c>
      <c r="Q138" s="18">
        <v>0.69</v>
      </c>
      <c r="R138" s="19"/>
      <c r="S138" s="18">
        <v>1.33</v>
      </c>
      <c r="T138" s="18">
        <v>1.34</v>
      </c>
      <c r="U138" s="18">
        <v>3.97</v>
      </c>
      <c r="V138" s="18">
        <v>5.75</v>
      </c>
      <c r="W138" s="18">
        <v>0.82</v>
      </c>
    </row>
    <row r="139" ht="15.0" customHeight="1">
      <c r="A139" s="14" t="s">
        <v>183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8">
        <v>1.42</v>
      </c>
      <c r="P139" s="18">
        <v>1.0</v>
      </c>
      <c r="Q139" s="18">
        <v>0.75</v>
      </c>
      <c r="R139" s="19"/>
      <c r="S139" s="18">
        <v>1.42</v>
      </c>
      <c r="T139" s="18">
        <v>2.44</v>
      </c>
      <c r="U139" s="18">
        <v>1.85</v>
      </c>
      <c r="V139" s="18">
        <v>0.76</v>
      </c>
      <c r="W139" s="18">
        <v>0.64</v>
      </c>
    </row>
    <row r="140" ht="15.0" customHeight="1">
      <c r="A140" s="14" t="s">
        <v>184</v>
      </c>
      <c r="B140" s="18">
        <v>20.75</v>
      </c>
      <c r="C140" s="18">
        <v>6.45</v>
      </c>
      <c r="D140" s="18">
        <v>18.99</v>
      </c>
      <c r="E140" s="18">
        <v>21.14</v>
      </c>
      <c r="F140" s="18">
        <v>19.77</v>
      </c>
      <c r="G140" s="18">
        <v>12.23</v>
      </c>
      <c r="H140" s="18">
        <v>9.68</v>
      </c>
      <c r="I140" s="18">
        <v>10.58</v>
      </c>
      <c r="J140" s="18">
        <v>11.57</v>
      </c>
      <c r="K140" s="18">
        <v>9.24</v>
      </c>
      <c r="L140" s="18">
        <v>6.45</v>
      </c>
      <c r="M140" s="18">
        <v>4.41</v>
      </c>
      <c r="N140" s="18">
        <v>2.94</v>
      </c>
      <c r="O140" s="18">
        <v>5.23</v>
      </c>
      <c r="P140" s="18">
        <v>2.8</v>
      </c>
      <c r="Q140" s="18">
        <v>3.02</v>
      </c>
      <c r="R140" s="19"/>
      <c r="S140" s="19"/>
      <c r="T140" s="19"/>
      <c r="U140" s="19"/>
      <c r="V140" s="19"/>
      <c r="W140" s="19"/>
    </row>
    <row r="141" ht="15.0" customHeight="1">
      <c r="A141" s="14" t="s">
        <v>185</v>
      </c>
      <c r="B141" s="18">
        <v>75.31</v>
      </c>
      <c r="C141" s="18">
        <v>57.64</v>
      </c>
      <c r="D141" s="18">
        <v>50.55</v>
      </c>
      <c r="E141" s="18">
        <v>13.15</v>
      </c>
      <c r="F141" s="18">
        <v>32.24</v>
      </c>
      <c r="G141" s="18">
        <v>41.91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186</v>
      </c>
      <c r="B142" s="18">
        <v>5.84</v>
      </c>
      <c r="C142" s="18">
        <v>7.49</v>
      </c>
      <c r="D142" s="18">
        <v>7.57</v>
      </c>
      <c r="E142" s="18">
        <v>7.63</v>
      </c>
      <c r="F142" s="18">
        <v>5.9</v>
      </c>
      <c r="G142" s="18">
        <v>6.41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187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5">
        <v>1624.82</v>
      </c>
      <c r="L143" s="19"/>
      <c r="M143" s="19"/>
      <c r="N143" s="19"/>
      <c r="O143" s="19"/>
      <c r="P143" s="19"/>
      <c r="Q143" s="15">
        <v>719.34</v>
      </c>
      <c r="R143" s="19"/>
      <c r="S143" s="19"/>
      <c r="T143" s="19"/>
      <c r="U143" s="19"/>
      <c r="V143" s="19"/>
      <c r="W143" s="19"/>
    </row>
    <row r="144" ht="15.0" customHeight="1">
      <c r="A144" s="14" t="s">
        <v>188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8">
        <v>21.02</v>
      </c>
      <c r="P144" s="19"/>
      <c r="Q144" s="18">
        <v>40.51</v>
      </c>
      <c r="R144" s="18">
        <v>66.38</v>
      </c>
      <c r="S144" s="18">
        <v>83.31</v>
      </c>
      <c r="T144" s="18">
        <v>91.6</v>
      </c>
      <c r="U144" s="19"/>
      <c r="V144" s="19"/>
      <c r="W144" s="19"/>
    </row>
    <row r="145" ht="15.0" customHeight="1">
      <c r="A145" s="14" t="s">
        <v>189</v>
      </c>
      <c r="B145" s="19"/>
      <c r="C145" s="19"/>
      <c r="D145" s="19"/>
      <c r="E145" s="19"/>
      <c r="F145" s="19"/>
      <c r="G145" s="19"/>
      <c r="H145" s="20">
        <v>-73.02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190</v>
      </c>
      <c r="B146" s="18">
        <v>2.03</v>
      </c>
      <c r="C146" s="18">
        <v>1.74</v>
      </c>
      <c r="D146" s="18">
        <v>1.48</v>
      </c>
      <c r="E146" s="18">
        <v>0.99</v>
      </c>
      <c r="F146" s="18">
        <v>1.33</v>
      </c>
      <c r="G146" s="18">
        <v>0.18</v>
      </c>
      <c r="H146" s="18">
        <v>1.43</v>
      </c>
      <c r="I146" s="18">
        <v>1.52</v>
      </c>
      <c r="J146" s="18">
        <v>1.1</v>
      </c>
      <c r="K146" s="18">
        <v>0.97</v>
      </c>
      <c r="L146" s="18">
        <v>0.93</v>
      </c>
      <c r="M146" s="18">
        <v>0.83</v>
      </c>
      <c r="N146" s="18">
        <v>0.53</v>
      </c>
      <c r="O146" s="18">
        <v>0.5</v>
      </c>
      <c r="P146" s="18">
        <v>0.42</v>
      </c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191</v>
      </c>
      <c r="B147" s="18">
        <v>2.03</v>
      </c>
      <c r="C147" s="18">
        <v>1.74</v>
      </c>
      <c r="D147" s="18">
        <v>1.48</v>
      </c>
      <c r="E147" s="18">
        <v>0.99</v>
      </c>
      <c r="F147" s="18">
        <v>1.34</v>
      </c>
      <c r="G147" s="18">
        <v>0.18</v>
      </c>
      <c r="H147" s="18">
        <v>1.43</v>
      </c>
      <c r="I147" s="18">
        <v>1.53</v>
      </c>
      <c r="J147" s="18">
        <v>1.11</v>
      </c>
      <c r="K147" s="18">
        <v>0.97</v>
      </c>
      <c r="L147" s="18">
        <v>0.93</v>
      </c>
      <c r="M147" s="18">
        <v>0.83</v>
      </c>
      <c r="N147" s="18">
        <v>0.53</v>
      </c>
      <c r="O147" s="18">
        <v>0.5</v>
      </c>
      <c r="P147" s="18">
        <v>0.42</v>
      </c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192</v>
      </c>
      <c r="B148" s="18">
        <v>2.03</v>
      </c>
      <c r="C148" s="18">
        <v>1.74</v>
      </c>
      <c r="D148" s="18">
        <v>1.48</v>
      </c>
      <c r="E148" s="18">
        <v>0.99</v>
      </c>
      <c r="F148" s="18">
        <v>1.33</v>
      </c>
      <c r="G148" s="18">
        <v>0.18</v>
      </c>
      <c r="H148" s="18">
        <v>1.43</v>
      </c>
      <c r="I148" s="18">
        <v>1.52</v>
      </c>
      <c r="J148" s="18">
        <v>1.1</v>
      </c>
      <c r="K148" s="18">
        <v>0.97</v>
      </c>
      <c r="L148" s="18">
        <v>0.93</v>
      </c>
      <c r="M148" s="18">
        <v>0.83</v>
      </c>
      <c r="N148" s="18">
        <v>0.53</v>
      </c>
      <c r="O148" s="18">
        <v>0.5</v>
      </c>
      <c r="P148" s="18">
        <v>0.42</v>
      </c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193</v>
      </c>
      <c r="B149" s="15">
        <v>426.96</v>
      </c>
      <c r="C149" s="15">
        <v>426.64</v>
      </c>
      <c r="D149" s="15">
        <v>420.3</v>
      </c>
      <c r="E149" s="15">
        <v>417.76</v>
      </c>
      <c r="F149" s="15">
        <v>422.16</v>
      </c>
      <c r="G149" s="15">
        <v>421.78</v>
      </c>
      <c r="H149" s="15">
        <v>423.38</v>
      </c>
      <c r="I149" s="15">
        <v>425.66</v>
      </c>
      <c r="J149" s="15">
        <v>430.64</v>
      </c>
      <c r="K149" s="15">
        <v>439.26</v>
      </c>
      <c r="L149" s="15">
        <v>443.62</v>
      </c>
      <c r="M149" s="15">
        <v>450.32</v>
      </c>
      <c r="N149" s="15">
        <v>449.64</v>
      </c>
      <c r="O149" s="15">
        <v>448.73</v>
      </c>
      <c r="P149" s="15">
        <v>450.88</v>
      </c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194</v>
      </c>
      <c r="B150" s="15">
        <v>426.96</v>
      </c>
      <c r="C150" s="15">
        <v>426.64</v>
      </c>
      <c r="D150" s="15">
        <v>420.3</v>
      </c>
      <c r="E150" s="15">
        <v>417.83</v>
      </c>
      <c r="F150" s="15">
        <v>422.8</v>
      </c>
      <c r="G150" s="15">
        <v>422.73</v>
      </c>
      <c r="H150" s="15">
        <v>424.57</v>
      </c>
      <c r="I150" s="15">
        <v>426.48</v>
      </c>
      <c r="J150" s="15">
        <v>432.45</v>
      </c>
      <c r="K150" s="15">
        <v>440.68</v>
      </c>
      <c r="L150" s="15">
        <v>445.66</v>
      </c>
      <c r="M150" s="15">
        <v>452.71</v>
      </c>
      <c r="N150" s="15">
        <v>449.64</v>
      </c>
      <c r="O150" s="15">
        <v>448.73</v>
      </c>
      <c r="P150" s="15">
        <v>450.88</v>
      </c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195</v>
      </c>
      <c r="B151" s="18">
        <v>2.03</v>
      </c>
      <c r="C151" s="18">
        <v>1.74</v>
      </c>
      <c r="D151" s="18">
        <v>1.48</v>
      </c>
      <c r="E151" s="18">
        <v>0.99</v>
      </c>
      <c r="F151" s="18">
        <v>1.34</v>
      </c>
      <c r="G151" s="18">
        <v>0.18</v>
      </c>
      <c r="H151" s="18">
        <v>1.43</v>
      </c>
      <c r="I151" s="18">
        <v>1.53</v>
      </c>
      <c r="J151" s="18">
        <v>1.11</v>
      </c>
      <c r="K151" s="18">
        <v>0.97</v>
      </c>
      <c r="L151" s="18">
        <v>0.93</v>
      </c>
      <c r="M151" s="18">
        <v>0.83</v>
      </c>
      <c r="N151" s="18">
        <v>0.53</v>
      </c>
      <c r="O151" s="18">
        <v>0.5</v>
      </c>
      <c r="P151" s="18">
        <v>0.42</v>
      </c>
      <c r="Q151" s="19"/>
      <c r="R151" s="19"/>
      <c r="S151" s="19"/>
      <c r="T151" s="19"/>
      <c r="U151" s="19"/>
      <c r="V151" s="19"/>
      <c r="W151" s="19"/>
    </row>
    <row r="152" ht="15.0" customHeight="1">
      <c r="A152" s="14" t="s">
        <v>196</v>
      </c>
      <c r="B152" s="15">
        <v>864.41</v>
      </c>
      <c r="C152" s="15">
        <v>733.56</v>
      </c>
      <c r="D152" s="15">
        <v>616.08</v>
      </c>
      <c r="E152" s="15">
        <v>408.44</v>
      </c>
      <c r="F152" s="15">
        <v>550.01</v>
      </c>
      <c r="G152" s="18">
        <v>58.48</v>
      </c>
      <c r="H152" s="15">
        <v>581.02</v>
      </c>
      <c r="I152" s="15">
        <v>649.24</v>
      </c>
      <c r="J152" s="15">
        <v>476.48</v>
      </c>
      <c r="K152" s="15">
        <v>428.45</v>
      </c>
      <c r="L152" s="15">
        <v>413.17</v>
      </c>
      <c r="M152" s="15">
        <v>374.86</v>
      </c>
      <c r="N152" s="15">
        <v>237.95</v>
      </c>
      <c r="O152" s="15">
        <v>223.59</v>
      </c>
      <c r="P152" s="15">
        <v>189.42</v>
      </c>
      <c r="Q152" s="19"/>
      <c r="R152" s="19"/>
      <c r="S152" s="19"/>
      <c r="T152" s="19"/>
      <c r="U152" s="19"/>
      <c r="V152" s="19"/>
      <c r="W152" s="19"/>
    </row>
    <row r="153" ht="15.0" customHeight="1">
      <c r="A153" s="14" t="s">
        <v>197</v>
      </c>
      <c r="B153" s="15">
        <v>864.41</v>
      </c>
      <c r="C153" s="15">
        <v>733.56</v>
      </c>
      <c r="D153" s="15">
        <v>616.08</v>
      </c>
      <c r="E153" s="15">
        <v>408.44</v>
      </c>
      <c r="F153" s="15">
        <v>550.01</v>
      </c>
      <c r="G153" s="18">
        <v>58.48</v>
      </c>
      <c r="H153" s="15">
        <v>581.02</v>
      </c>
      <c r="I153" s="15">
        <v>649.24</v>
      </c>
      <c r="J153" s="15">
        <v>476.48</v>
      </c>
      <c r="K153" s="15">
        <v>428.45</v>
      </c>
      <c r="L153" s="15">
        <v>413.17</v>
      </c>
      <c r="M153" s="15">
        <v>374.86</v>
      </c>
      <c r="N153" s="15">
        <v>237.95</v>
      </c>
      <c r="O153" s="15">
        <v>223.59</v>
      </c>
      <c r="P153" s="15">
        <v>189.42</v>
      </c>
      <c r="Q153" s="19"/>
      <c r="R153" s="19"/>
      <c r="S153" s="19"/>
      <c r="T153" s="19"/>
      <c r="U153" s="19"/>
      <c r="V153" s="19"/>
      <c r="W153" s="19"/>
    </row>
    <row r="154" ht="15.0" customHeight="1">
      <c r="A154" s="14" t="s">
        <v>198</v>
      </c>
      <c r="B154" s="15">
        <v>864.41</v>
      </c>
      <c r="C154" s="15">
        <v>733.56</v>
      </c>
      <c r="D154" s="15">
        <v>616.08</v>
      </c>
      <c r="E154" s="15">
        <v>408.44</v>
      </c>
      <c r="F154" s="15">
        <v>550.01</v>
      </c>
      <c r="G154" s="18">
        <v>58.48</v>
      </c>
      <c r="H154" s="15">
        <v>581.02</v>
      </c>
      <c r="I154" s="15">
        <v>649.24</v>
      </c>
      <c r="J154" s="15">
        <v>476.48</v>
      </c>
      <c r="K154" s="15">
        <v>428.45</v>
      </c>
      <c r="L154" s="15">
        <v>413.17</v>
      </c>
      <c r="M154" s="15">
        <v>374.86</v>
      </c>
      <c r="N154" s="15">
        <v>237.95</v>
      </c>
      <c r="O154" s="15">
        <v>223.59</v>
      </c>
      <c r="P154" s="15">
        <v>189.42</v>
      </c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199</v>
      </c>
      <c r="B155" s="15">
        <v>864.41</v>
      </c>
      <c r="C155" s="15">
        <v>733.56</v>
      </c>
      <c r="D155" s="15">
        <v>616.08</v>
      </c>
      <c r="E155" s="15">
        <v>408.44</v>
      </c>
      <c r="F155" s="15">
        <v>550.01</v>
      </c>
      <c r="G155" s="18">
        <v>58.48</v>
      </c>
      <c r="H155" s="15">
        <v>581.02</v>
      </c>
      <c r="I155" s="15">
        <v>649.24</v>
      </c>
      <c r="J155" s="15">
        <v>476.48</v>
      </c>
      <c r="K155" s="15">
        <v>428.45</v>
      </c>
      <c r="L155" s="15">
        <v>413.17</v>
      </c>
      <c r="M155" s="15">
        <v>374.86</v>
      </c>
      <c r="N155" s="15">
        <v>237.95</v>
      </c>
      <c r="O155" s="15">
        <v>223.59</v>
      </c>
      <c r="P155" s="15">
        <v>189.42</v>
      </c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200</v>
      </c>
      <c r="B156" s="18">
        <v>1.0</v>
      </c>
      <c r="C156" s="18">
        <v>1.0</v>
      </c>
      <c r="D156" s="18">
        <v>1.0</v>
      </c>
      <c r="E156" s="18">
        <v>1.0</v>
      </c>
      <c r="F156" s="18">
        <v>1.0</v>
      </c>
      <c r="G156" s="18">
        <v>1.0</v>
      </c>
      <c r="H156" s="18">
        <v>1.0</v>
      </c>
      <c r="I156" s="18">
        <v>1.0</v>
      </c>
      <c r="J156" s="18">
        <v>1.0</v>
      </c>
      <c r="K156" s="18">
        <v>1.0</v>
      </c>
      <c r="L156" s="18">
        <v>1.0</v>
      </c>
      <c r="M156" s="18">
        <v>1.0</v>
      </c>
      <c r="N156" s="18">
        <v>1.0</v>
      </c>
      <c r="O156" s="18">
        <v>1.0</v>
      </c>
      <c r="P156" s="18">
        <v>1.0</v>
      </c>
      <c r="Q156" s="19"/>
      <c r="R156" s="19"/>
      <c r="S156" s="19"/>
      <c r="T156" s="19"/>
      <c r="U156" s="19"/>
      <c r="V156" s="19"/>
      <c r="W156" s="19"/>
    </row>
    <row r="157" ht="15.0" customHeight="1">
      <c r="A157" s="14" t="s">
        <v>201</v>
      </c>
      <c r="B157" s="18">
        <v>1.0</v>
      </c>
      <c r="C157" s="18">
        <v>1.0</v>
      </c>
      <c r="D157" s="18">
        <v>1.0</v>
      </c>
      <c r="E157" s="18">
        <v>1.0</v>
      </c>
      <c r="F157" s="18">
        <v>1.0</v>
      </c>
      <c r="G157" s="18">
        <v>1.0</v>
      </c>
      <c r="H157" s="18">
        <v>1.0</v>
      </c>
      <c r="I157" s="18">
        <v>1.0</v>
      </c>
      <c r="J157" s="18">
        <v>1.0</v>
      </c>
      <c r="K157" s="18">
        <v>1.0</v>
      </c>
      <c r="L157" s="18">
        <v>1.0</v>
      </c>
      <c r="M157" s="18">
        <v>1.0</v>
      </c>
      <c r="N157" s="18">
        <v>1.0</v>
      </c>
      <c r="O157" s="18">
        <v>1.0</v>
      </c>
      <c r="P157" s="18">
        <v>1.0</v>
      </c>
      <c r="Q157" s="19"/>
      <c r="R157" s="19"/>
      <c r="S157" s="19"/>
      <c r="T157" s="19"/>
      <c r="U157" s="19"/>
      <c r="V157" s="19"/>
      <c r="W157" s="19"/>
    </row>
    <row r="158" ht="15.0" customHeight="1">
      <c r="A158" s="14" t="s">
        <v>202</v>
      </c>
      <c r="B158" s="18">
        <v>2.03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ht="15.0" customHeight="1">
      <c r="A159" s="14" t="s">
        <v>203</v>
      </c>
      <c r="B159" s="18">
        <v>2.03</v>
      </c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204</v>
      </c>
      <c r="B160" s="15">
        <v>426.96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ht="15.0" customHeight="1">
      <c r="A161" s="14" t="s">
        <v>205</v>
      </c>
      <c r="B161" s="18">
        <v>2.03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206</v>
      </c>
      <c r="B162" s="15">
        <v>426.96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ht="15.0" customHeight="1">
      <c r="A163" s="14" t="s">
        <v>207</v>
      </c>
      <c r="B163" s="18">
        <v>2.03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46094.7472785301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209</v>
      </c>
      <c r="C15" s="10" t="s">
        <v>209</v>
      </c>
      <c r="D15" s="10" t="s">
        <v>209</v>
      </c>
      <c r="E15" s="10" t="s">
        <v>209</v>
      </c>
      <c r="F15" s="10" t="s">
        <v>209</v>
      </c>
      <c r="G15" s="10" t="s">
        <v>209</v>
      </c>
      <c r="H15" s="10" t="s">
        <v>209</v>
      </c>
      <c r="I15" s="10" t="s">
        <v>209</v>
      </c>
      <c r="J15" s="10" t="s">
        <v>209</v>
      </c>
      <c r="K15" s="10" t="s">
        <v>209</v>
      </c>
      <c r="L15" s="10" t="s">
        <v>209</v>
      </c>
      <c r="M15" s="10" t="s">
        <v>209</v>
      </c>
      <c r="N15" s="10" t="s">
        <v>209</v>
      </c>
      <c r="O15" s="10" t="s">
        <v>209</v>
      </c>
      <c r="P15" s="10" t="s">
        <v>209</v>
      </c>
      <c r="Q15" s="10" t="s">
        <v>209</v>
      </c>
      <c r="R15" s="10" t="s">
        <v>209</v>
      </c>
      <c r="S15" s="10" t="s">
        <v>209</v>
      </c>
      <c r="T15" s="10" t="s">
        <v>209</v>
      </c>
      <c r="U15" s="10" t="s">
        <v>209</v>
      </c>
      <c r="V15" s="10" t="s">
        <v>209</v>
      </c>
      <c r="W15" s="10" t="s">
        <v>209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211</v>
      </c>
      <c r="B20" s="15">
        <v>1665.91</v>
      </c>
      <c r="C20" s="15">
        <v>1626.45</v>
      </c>
      <c r="D20" s="15">
        <v>1380.66</v>
      </c>
      <c r="E20" s="15">
        <v>1294.38</v>
      </c>
      <c r="F20" s="15">
        <v>915.76</v>
      </c>
      <c r="G20" s="15">
        <v>799.73</v>
      </c>
      <c r="H20" s="15">
        <v>983.29</v>
      </c>
      <c r="I20" s="15">
        <v>828.13</v>
      </c>
      <c r="J20" s="15">
        <v>675.36</v>
      </c>
      <c r="K20" s="15">
        <v>650.33</v>
      </c>
      <c r="L20" s="15">
        <v>573.54</v>
      </c>
      <c r="M20" s="15">
        <v>479.88</v>
      </c>
      <c r="N20" s="15">
        <v>405.38</v>
      </c>
      <c r="O20" s="15">
        <v>315.74</v>
      </c>
      <c r="P20" s="15">
        <v>311.81</v>
      </c>
      <c r="Q20" s="15">
        <v>269.32</v>
      </c>
      <c r="R20" s="15">
        <v>252.16</v>
      </c>
      <c r="S20" s="15">
        <v>387.67</v>
      </c>
      <c r="T20" s="15">
        <v>294.98</v>
      </c>
      <c r="U20" s="15">
        <v>295.29</v>
      </c>
      <c r="V20" s="15">
        <v>172.15</v>
      </c>
      <c r="W20" s="18">
        <v>91.78</v>
      </c>
    </row>
    <row r="21" ht="15.0" customHeight="1">
      <c r="A21" s="14" t="s">
        <v>212</v>
      </c>
      <c r="B21" s="15">
        <v>527.68</v>
      </c>
      <c r="C21" s="15">
        <v>503.14</v>
      </c>
      <c r="D21" s="15">
        <v>445.06</v>
      </c>
      <c r="E21" s="15">
        <v>383.82</v>
      </c>
      <c r="F21" s="15">
        <v>265.91</v>
      </c>
      <c r="G21" s="15">
        <v>206.9</v>
      </c>
      <c r="H21" s="15">
        <v>257.03</v>
      </c>
      <c r="I21" s="15">
        <v>211.67</v>
      </c>
      <c r="J21" s="15">
        <v>159.26</v>
      </c>
      <c r="K21" s="15">
        <v>141.11</v>
      </c>
      <c r="L21" s="15">
        <v>129.99</v>
      </c>
      <c r="M21" s="15">
        <v>110.49</v>
      </c>
      <c r="N21" s="18">
        <v>89.7</v>
      </c>
      <c r="O21" s="18">
        <v>79.41</v>
      </c>
      <c r="P21" s="18">
        <v>76.74</v>
      </c>
      <c r="Q21" s="18">
        <v>75.59</v>
      </c>
      <c r="R21" s="18">
        <v>83.41</v>
      </c>
      <c r="S21" s="15">
        <v>116.38</v>
      </c>
      <c r="T21" s="18">
        <v>98.65</v>
      </c>
      <c r="U21" s="15">
        <v>109.7</v>
      </c>
      <c r="V21" s="18">
        <v>67.86</v>
      </c>
      <c r="W21" s="18">
        <v>39.43</v>
      </c>
    </row>
    <row r="22" ht="15.0" customHeight="1">
      <c r="A22" s="14" t="s">
        <v>213</v>
      </c>
      <c r="B22" s="15">
        <v>307.98</v>
      </c>
      <c r="C22" s="15">
        <v>263.31</v>
      </c>
      <c r="D22" s="15">
        <v>194.61</v>
      </c>
      <c r="E22" s="15">
        <v>168.87</v>
      </c>
      <c r="F22" s="15">
        <v>100.78</v>
      </c>
      <c r="G22" s="15">
        <v>101.32</v>
      </c>
      <c r="H22" s="15">
        <v>106.2</v>
      </c>
      <c r="I22" s="18">
        <v>63.3</v>
      </c>
      <c r="J22" s="18">
        <v>46.32</v>
      </c>
      <c r="K22" s="18">
        <v>43.38</v>
      </c>
      <c r="L22" s="18">
        <v>48.5</v>
      </c>
      <c r="M22" s="18">
        <v>47.09</v>
      </c>
      <c r="N22" s="18">
        <v>32.44</v>
      </c>
      <c r="O22" s="18">
        <v>14.64</v>
      </c>
      <c r="P22" s="18">
        <v>16.51</v>
      </c>
      <c r="Q22" s="18">
        <v>20.77</v>
      </c>
      <c r="R22" s="18">
        <v>18.37</v>
      </c>
      <c r="S22" s="18">
        <v>36.05</v>
      </c>
      <c r="T22" s="18">
        <v>24.44</v>
      </c>
      <c r="U22" s="18">
        <v>15.01</v>
      </c>
      <c r="V22" s="18">
        <v>12.76</v>
      </c>
      <c r="W22" s="18">
        <v>3.79</v>
      </c>
    </row>
    <row r="23" ht="15.0" customHeight="1">
      <c r="A23" s="14" t="s">
        <v>214</v>
      </c>
      <c r="B23" s="15">
        <v>830.24</v>
      </c>
      <c r="C23" s="15">
        <v>860.01</v>
      </c>
      <c r="D23" s="15">
        <v>741.0</v>
      </c>
      <c r="E23" s="15">
        <v>741.69</v>
      </c>
      <c r="F23" s="15">
        <v>549.08</v>
      </c>
      <c r="G23" s="15">
        <v>491.51</v>
      </c>
      <c r="H23" s="15">
        <v>620.06</v>
      </c>
      <c r="I23" s="15">
        <v>553.17</v>
      </c>
      <c r="J23" s="15">
        <v>469.79</v>
      </c>
      <c r="K23" s="15">
        <v>465.85</v>
      </c>
      <c r="L23" s="15">
        <v>395.06</v>
      </c>
      <c r="M23" s="15">
        <v>322.15</v>
      </c>
      <c r="N23" s="15">
        <v>283.24</v>
      </c>
      <c r="O23" s="15">
        <v>221.69</v>
      </c>
      <c r="P23" s="15">
        <v>218.56</v>
      </c>
      <c r="Q23" s="15">
        <v>172.96</v>
      </c>
      <c r="R23" s="15">
        <v>150.39</v>
      </c>
      <c r="S23" s="15">
        <v>235.24</v>
      </c>
      <c r="T23" s="15">
        <v>171.89</v>
      </c>
      <c r="U23" s="15">
        <v>170.57</v>
      </c>
      <c r="V23" s="18">
        <v>91.54</v>
      </c>
      <c r="W23" s="18">
        <v>48.56</v>
      </c>
    </row>
    <row r="24" ht="15.0" customHeight="1">
      <c r="A24" s="14" t="s">
        <v>215</v>
      </c>
      <c r="B24" s="19"/>
      <c r="C24" s="19"/>
      <c r="D24" s="20">
        <v>-0.01</v>
      </c>
      <c r="E24" s="19"/>
      <c r="F24" s="19"/>
      <c r="G24" s="19"/>
      <c r="H24" s="19"/>
      <c r="I24" s="19"/>
      <c r="J24" s="19"/>
      <c r="K24" s="19"/>
      <c r="L24" s="19"/>
      <c r="M24" s="18">
        <v>0.16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216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8">
        <v>3.87</v>
      </c>
      <c r="U25" s="19">
        <v>0.0</v>
      </c>
      <c r="V25" s="19"/>
      <c r="W25" s="19">
        <v>0.0</v>
      </c>
    </row>
    <row r="26" ht="15.0" customHeight="1">
      <c r="A26" s="14" t="s">
        <v>217</v>
      </c>
      <c r="B26" s="15">
        <v>1456.33</v>
      </c>
      <c r="C26" s="15">
        <v>1385.65</v>
      </c>
      <c r="D26" s="15">
        <v>1295.71</v>
      </c>
      <c r="E26" s="15">
        <v>1100.85</v>
      </c>
      <c r="F26" s="15">
        <v>905.05</v>
      </c>
      <c r="G26" s="15">
        <v>843.66</v>
      </c>
      <c r="H26" s="15">
        <v>935.67</v>
      </c>
      <c r="I26" s="15">
        <v>897.76</v>
      </c>
      <c r="J26" s="15">
        <v>763.73</v>
      </c>
      <c r="K26" s="15">
        <v>709.18</v>
      </c>
      <c r="L26" s="15">
        <v>647.68</v>
      </c>
      <c r="M26" s="15">
        <v>519.11</v>
      </c>
      <c r="N26" s="15">
        <v>432.16</v>
      </c>
      <c r="O26" s="15">
        <v>292.98</v>
      </c>
      <c r="P26" s="15">
        <v>314.06</v>
      </c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218</v>
      </c>
      <c r="B27" s="15">
        <v>1501.8</v>
      </c>
      <c r="C27" s="15">
        <v>1431.5</v>
      </c>
      <c r="D27" s="15">
        <v>1347.16</v>
      </c>
      <c r="E27" s="15">
        <v>1149.36</v>
      </c>
      <c r="F27" s="15">
        <v>951.48</v>
      </c>
      <c r="G27" s="15">
        <v>883.69</v>
      </c>
      <c r="H27" s="15">
        <v>968.97</v>
      </c>
      <c r="I27" s="15">
        <v>957.0</v>
      </c>
      <c r="J27" s="15">
        <v>805.03</v>
      </c>
      <c r="K27" s="15">
        <v>749.47</v>
      </c>
      <c r="L27" s="15">
        <v>675.32</v>
      </c>
      <c r="M27" s="15">
        <v>538.68</v>
      </c>
      <c r="N27" s="15">
        <v>449.59</v>
      </c>
      <c r="O27" s="15">
        <v>309.37</v>
      </c>
      <c r="P27" s="15">
        <v>329.01</v>
      </c>
      <c r="Q27" s="15">
        <v>318.98</v>
      </c>
      <c r="R27" s="15">
        <v>277.74</v>
      </c>
      <c r="S27" s="15">
        <v>330.26</v>
      </c>
      <c r="T27" s="15">
        <v>282.14</v>
      </c>
      <c r="U27" s="15">
        <v>318.02</v>
      </c>
      <c r="V27" s="15">
        <v>202.16</v>
      </c>
      <c r="W27" s="15">
        <v>105.22</v>
      </c>
    </row>
    <row r="28" ht="15.0" customHeight="1">
      <c r="A28" s="14" t="s">
        <v>219</v>
      </c>
      <c r="B28" s="20">
        <v>-45.48</v>
      </c>
      <c r="C28" s="20">
        <v>-45.85</v>
      </c>
      <c r="D28" s="20">
        <v>-51.45</v>
      </c>
      <c r="E28" s="20">
        <v>-48.51</v>
      </c>
      <c r="F28" s="20">
        <v>-46.44</v>
      </c>
      <c r="G28" s="20">
        <v>-40.02</v>
      </c>
      <c r="H28" s="20">
        <v>-33.3</v>
      </c>
      <c r="I28" s="20">
        <v>-44.19</v>
      </c>
      <c r="J28" s="20">
        <v>-32.48</v>
      </c>
      <c r="K28" s="20">
        <v>-30.76</v>
      </c>
      <c r="L28" s="20">
        <v>-19.3</v>
      </c>
      <c r="M28" s="20">
        <v>-12.44</v>
      </c>
      <c r="N28" s="20">
        <v>-11.73</v>
      </c>
      <c r="O28" s="20">
        <v>-10.49</v>
      </c>
      <c r="P28" s="20">
        <v>-8.48</v>
      </c>
      <c r="Q28" s="20">
        <v>-9.43</v>
      </c>
      <c r="R28" s="20">
        <v>-20.4</v>
      </c>
      <c r="S28" s="20">
        <v>-20.95</v>
      </c>
      <c r="T28" s="20">
        <v>-20.62</v>
      </c>
      <c r="U28" s="20">
        <v>-7.24</v>
      </c>
      <c r="V28" s="20">
        <v>-6.49</v>
      </c>
      <c r="W28" s="20">
        <v>-4.37</v>
      </c>
    </row>
    <row r="29" ht="15.0" customHeight="1">
      <c r="A29" s="14" t="s">
        <v>220</v>
      </c>
      <c r="B29" s="18">
        <v>0.01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221</v>
      </c>
      <c r="B30" s="19"/>
      <c r="C30" s="19"/>
      <c r="D30" s="19"/>
      <c r="E30" s="19"/>
      <c r="F30" s="19"/>
      <c r="G30" s="19"/>
      <c r="H30" s="19">
        <v>0.0</v>
      </c>
      <c r="I30" s="20">
        <v>-15.06</v>
      </c>
      <c r="J30" s="20">
        <v>-8.82</v>
      </c>
      <c r="K30" s="20">
        <v>-9.54</v>
      </c>
      <c r="L30" s="20">
        <v>-8.34</v>
      </c>
      <c r="M30" s="20">
        <v>-7.13</v>
      </c>
      <c r="N30" s="20">
        <v>-5.7</v>
      </c>
      <c r="O30" s="20">
        <v>-5.9</v>
      </c>
      <c r="P30" s="20">
        <v>-6.46</v>
      </c>
      <c r="Q30" s="20">
        <v>-4.94</v>
      </c>
      <c r="R30" s="20">
        <v>-4.21</v>
      </c>
      <c r="S30" s="20">
        <v>-4.97</v>
      </c>
      <c r="T30" s="20">
        <v>-3.89</v>
      </c>
      <c r="U30" s="20">
        <v>-4.46</v>
      </c>
      <c r="V30" s="20">
        <v>-4.73</v>
      </c>
      <c r="W30" s="20">
        <v>-3.48</v>
      </c>
    </row>
    <row r="31" ht="15.0" customHeight="1">
      <c r="A31" s="14" t="s">
        <v>222</v>
      </c>
      <c r="B31" s="19">
        <v>0.0</v>
      </c>
      <c r="C31" s="18">
        <v>16.76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223</v>
      </c>
      <c r="B32" s="15">
        <v>453.57</v>
      </c>
      <c r="C32" s="15">
        <v>503.5</v>
      </c>
      <c r="D32" s="15">
        <v>397.83</v>
      </c>
      <c r="E32" s="15">
        <v>271.53</v>
      </c>
      <c r="F32" s="15">
        <v>231.45</v>
      </c>
      <c r="G32" s="15">
        <v>278.88</v>
      </c>
      <c r="H32" s="15">
        <v>264.83</v>
      </c>
      <c r="I32" s="15">
        <v>159.95</v>
      </c>
      <c r="J32" s="15">
        <v>160.67</v>
      </c>
      <c r="K32" s="15">
        <v>157.48</v>
      </c>
      <c r="L32" s="15">
        <v>119.89</v>
      </c>
      <c r="M32" s="15">
        <v>115.98</v>
      </c>
      <c r="N32" s="18">
        <v>84.55</v>
      </c>
      <c r="O32" s="18">
        <v>49.58</v>
      </c>
      <c r="P32" s="15">
        <v>102.73</v>
      </c>
      <c r="Q32" s="18">
        <v>20.29</v>
      </c>
      <c r="R32" s="18">
        <v>20.05</v>
      </c>
      <c r="S32" s="18">
        <v>25.48</v>
      </c>
      <c r="T32" s="19"/>
      <c r="U32" s="19"/>
      <c r="V32" s="19"/>
      <c r="W32" s="19"/>
    </row>
    <row r="33" ht="15.0" customHeight="1">
      <c r="A33" s="14" t="s">
        <v>224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8">
        <v>14.42</v>
      </c>
      <c r="Q33" s="19">
        <v>0.0</v>
      </c>
      <c r="R33" s="19"/>
      <c r="S33" s="19">
        <v>0.0</v>
      </c>
      <c r="T33" s="18">
        <v>29.61</v>
      </c>
      <c r="U33" s="18">
        <v>56.96</v>
      </c>
      <c r="V33" s="18">
        <v>22.42</v>
      </c>
      <c r="W33" s="18">
        <v>15.86</v>
      </c>
    </row>
    <row r="34" ht="15.0" customHeight="1">
      <c r="A34" s="14" t="s">
        <v>225</v>
      </c>
      <c r="B34" s="19"/>
      <c r="C34" s="19"/>
      <c r="D34" s="19"/>
      <c r="E34" s="19"/>
      <c r="F34" s="19"/>
      <c r="G34" s="19"/>
      <c r="H34" s="19"/>
      <c r="I34" s="19"/>
      <c r="J34" s="18">
        <v>0.33</v>
      </c>
      <c r="K34" s="18">
        <v>2.17</v>
      </c>
      <c r="L34" s="18">
        <v>15.35</v>
      </c>
      <c r="M34" s="18">
        <v>0.34</v>
      </c>
      <c r="N34" s="18">
        <v>2.59</v>
      </c>
      <c r="O34" s="19"/>
      <c r="P34" s="19"/>
      <c r="Q34" s="18">
        <v>12.58</v>
      </c>
      <c r="R34" s="18">
        <v>10.31</v>
      </c>
      <c r="S34" s="18">
        <v>6.01</v>
      </c>
      <c r="T34" s="19"/>
      <c r="U34" s="19"/>
      <c r="V34" s="19"/>
      <c r="W34" s="19"/>
    </row>
    <row r="35" ht="15.0" customHeight="1">
      <c r="A35" s="14" t="s">
        <v>226</v>
      </c>
      <c r="B35" s="15">
        <v>193.88</v>
      </c>
      <c r="C35" s="15">
        <v>257.21</v>
      </c>
      <c r="D35" s="15">
        <v>178.99</v>
      </c>
      <c r="E35" s="15">
        <v>142.02</v>
      </c>
      <c r="F35" s="15">
        <v>123.69</v>
      </c>
      <c r="G35" s="15">
        <v>110.17</v>
      </c>
      <c r="H35" s="15">
        <v>129.58</v>
      </c>
      <c r="I35" s="18">
        <v>91.94</v>
      </c>
      <c r="J35" s="15">
        <v>103.36</v>
      </c>
      <c r="K35" s="18">
        <v>94.65</v>
      </c>
      <c r="L35" s="18">
        <v>57.75</v>
      </c>
      <c r="M35" s="18">
        <v>63.76</v>
      </c>
      <c r="N35" s="18">
        <v>47.31</v>
      </c>
      <c r="O35" s="18">
        <v>25.5</v>
      </c>
      <c r="P35" s="18">
        <v>25.61</v>
      </c>
      <c r="Q35" s="18">
        <v>33.21</v>
      </c>
      <c r="R35" s="18">
        <v>29.98</v>
      </c>
      <c r="S35" s="18">
        <v>38.18</v>
      </c>
      <c r="T35" s="18">
        <v>28.57</v>
      </c>
      <c r="U35" s="18">
        <v>34.87</v>
      </c>
      <c r="V35" s="18">
        <v>27.18</v>
      </c>
      <c r="W35" s="18">
        <v>17.81</v>
      </c>
    </row>
    <row r="36" ht="15.0" customHeight="1">
      <c r="A36" s="14" t="s">
        <v>227</v>
      </c>
      <c r="B36" s="18">
        <v>88.09</v>
      </c>
      <c r="C36" s="18">
        <v>83.66</v>
      </c>
      <c r="D36" s="18">
        <v>55.99</v>
      </c>
      <c r="E36" s="18">
        <v>42.75</v>
      </c>
      <c r="F36" s="18">
        <v>24.27</v>
      </c>
      <c r="G36" s="18">
        <v>23.32</v>
      </c>
      <c r="H36" s="18">
        <v>84.89</v>
      </c>
      <c r="I36" s="18">
        <v>33.06</v>
      </c>
      <c r="J36" s="18">
        <v>22.5</v>
      </c>
      <c r="K36" s="18">
        <v>25.18</v>
      </c>
      <c r="L36" s="18">
        <v>23.09</v>
      </c>
      <c r="M36" s="18">
        <v>26.95</v>
      </c>
      <c r="N36" s="18">
        <v>21.86</v>
      </c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228</v>
      </c>
      <c r="B37" s="19"/>
      <c r="C37" s="19"/>
      <c r="D37" s="19"/>
      <c r="E37" s="19"/>
      <c r="F37" s="18">
        <v>10.0</v>
      </c>
      <c r="G37" s="18">
        <v>93.7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229</v>
      </c>
      <c r="B38" s="15">
        <v>171.59</v>
      </c>
      <c r="C38" s="15">
        <v>162.63</v>
      </c>
      <c r="D38" s="15">
        <v>162.86</v>
      </c>
      <c r="E38" s="18">
        <v>86.76</v>
      </c>
      <c r="F38" s="18">
        <v>73.49</v>
      </c>
      <c r="G38" s="18">
        <v>51.67</v>
      </c>
      <c r="H38" s="18">
        <v>50.36</v>
      </c>
      <c r="I38" s="18">
        <v>34.94</v>
      </c>
      <c r="J38" s="18">
        <v>34.49</v>
      </c>
      <c r="K38" s="18">
        <v>35.48</v>
      </c>
      <c r="L38" s="18">
        <v>23.71</v>
      </c>
      <c r="M38" s="18">
        <v>24.93</v>
      </c>
      <c r="N38" s="18">
        <v>12.79</v>
      </c>
      <c r="O38" s="18">
        <v>8.97</v>
      </c>
      <c r="P38" s="18">
        <v>62.7</v>
      </c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230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8">
        <v>15.11</v>
      </c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231</v>
      </c>
      <c r="B40" s="15">
        <v>1031.1</v>
      </c>
      <c r="C40" s="15">
        <v>979.3</v>
      </c>
      <c r="D40" s="15">
        <v>736.35</v>
      </c>
      <c r="E40" s="15">
        <v>750.72</v>
      </c>
      <c r="F40" s="15">
        <v>750.3</v>
      </c>
      <c r="G40" s="15">
        <v>878.06</v>
      </c>
      <c r="H40" s="15">
        <v>514.51</v>
      </c>
      <c r="I40" s="15">
        <v>481.23</v>
      </c>
      <c r="J40" s="15">
        <v>305.89</v>
      </c>
      <c r="K40" s="15">
        <v>303.08</v>
      </c>
      <c r="L40" s="15">
        <v>227.24</v>
      </c>
      <c r="M40" s="15">
        <v>212.83</v>
      </c>
      <c r="N40" s="15">
        <v>253.38</v>
      </c>
      <c r="O40" s="15">
        <v>121.71</v>
      </c>
      <c r="P40" s="15">
        <v>117.48</v>
      </c>
      <c r="Q40" s="15">
        <v>316.7</v>
      </c>
      <c r="R40" s="19">
        <f t="shared" ref="R40:W40" si="1">R41+R43</f>
        <v>462.49</v>
      </c>
      <c r="S40" s="19">
        <f t="shared" si="1"/>
        <v>214.65</v>
      </c>
      <c r="T40" s="19">
        <f t="shared" si="1"/>
        <v>86.35</v>
      </c>
      <c r="U40" s="19">
        <f t="shared" si="1"/>
        <v>75.9</v>
      </c>
      <c r="V40" s="19">
        <f t="shared" si="1"/>
        <v>141.03</v>
      </c>
      <c r="W40" s="19">
        <f t="shared" si="1"/>
        <v>26.11</v>
      </c>
    </row>
    <row r="41" ht="15.0" customHeight="1">
      <c r="A41" s="14" t="s">
        <v>232</v>
      </c>
      <c r="B41" s="19"/>
      <c r="C41" s="19"/>
      <c r="D41" s="19"/>
      <c r="E41" s="19"/>
      <c r="F41" s="19"/>
      <c r="G41" s="15">
        <v>876.97</v>
      </c>
      <c r="H41" s="15">
        <v>511.69</v>
      </c>
      <c r="I41" s="15">
        <v>449.61</v>
      </c>
      <c r="J41" s="15">
        <v>275.62</v>
      </c>
      <c r="K41" s="15">
        <v>277.86</v>
      </c>
      <c r="L41" s="15">
        <v>196.09</v>
      </c>
      <c r="M41" s="15">
        <v>186.03</v>
      </c>
      <c r="N41" s="15">
        <v>235.69</v>
      </c>
      <c r="O41" s="19"/>
      <c r="P41" s="19"/>
      <c r="Q41" s="15">
        <v>297.19</v>
      </c>
      <c r="R41" s="15">
        <v>443.88</v>
      </c>
      <c r="S41" s="15">
        <v>193.33</v>
      </c>
      <c r="T41" s="19"/>
      <c r="U41" s="19"/>
      <c r="V41" s="19"/>
      <c r="W41" s="19"/>
    </row>
    <row r="42" ht="15.0" customHeight="1">
      <c r="A42" s="14" t="s">
        <v>233</v>
      </c>
      <c r="B42" s="19"/>
      <c r="C42" s="19"/>
      <c r="D42" s="19"/>
      <c r="E42" s="19"/>
      <c r="F42" s="19"/>
      <c r="G42" s="19"/>
      <c r="H42" s="19">
        <v>0.0</v>
      </c>
      <c r="I42" s="18">
        <v>30.03</v>
      </c>
      <c r="J42" s="18">
        <v>29.02</v>
      </c>
      <c r="K42" s="18">
        <v>24.76</v>
      </c>
      <c r="L42" s="18">
        <v>30.23</v>
      </c>
      <c r="M42" s="18">
        <v>26.27</v>
      </c>
      <c r="N42" s="18">
        <v>17.33</v>
      </c>
      <c r="O42" s="19"/>
      <c r="P42" s="19"/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234</v>
      </c>
      <c r="B43" s="19"/>
      <c r="C43" s="19"/>
      <c r="D43" s="19"/>
      <c r="E43" s="19"/>
      <c r="F43" s="19"/>
      <c r="G43" s="18">
        <v>1.09</v>
      </c>
      <c r="H43" s="18">
        <v>2.82</v>
      </c>
      <c r="I43" s="18">
        <v>1.59</v>
      </c>
      <c r="J43" s="18">
        <v>1.25</v>
      </c>
      <c r="K43" s="18">
        <v>0.46</v>
      </c>
      <c r="L43" s="18">
        <v>0.92</v>
      </c>
      <c r="M43" s="18">
        <v>0.53</v>
      </c>
      <c r="N43" s="18">
        <v>0.36</v>
      </c>
      <c r="O43" s="18">
        <v>0.09</v>
      </c>
      <c r="P43" s="18">
        <v>0.36</v>
      </c>
      <c r="Q43" s="18">
        <v>19.51</v>
      </c>
      <c r="R43" s="18">
        <v>18.61</v>
      </c>
      <c r="S43" s="18">
        <v>21.32</v>
      </c>
      <c r="T43" s="18">
        <v>86.35</v>
      </c>
      <c r="U43" s="18">
        <v>75.9</v>
      </c>
      <c r="V43" s="15">
        <v>141.03</v>
      </c>
      <c r="W43" s="18">
        <v>26.11</v>
      </c>
    </row>
    <row r="44" ht="15.0" customHeight="1">
      <c r="A44" s="14" t="s">
        <v>235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5">
        <v>121.61</v>
      </c>
      <c r="P44" s="15">
        <v>117.11</v>
      </c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236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8">
        <v>6.98</v>
      </c>
      <c r="R45" s="18">
        <v>13.37</v>
      </c>
      <c r="S45" s="19"/>
      <c r="T45" s="19"/>
      <c r="U45" s="19"/>
      <c r="V45" s="19"/>
      <c r="W45" s="19"/>
    </row>
    <row r="46" ht="15.0" customHeight="1">
      <c r="A46" s="14" t="s">
        <v>237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8">
        <v>13.37</v>
      </c>
      <c r="S46" s="19">
        <v>0.0</v>
      </c>
      <c r="T46" s="19"/>
      <c r="U46" s="19"/>
      <c r="V46" s="19"/>
      <c r="W46" s="19"/>
    </row>
    <row r="47" ht="15.0" customHeight="1">
      <c r="A47" s="14" t="s">
        <v>141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8">
        <v>17.76</v>
      </c>
      <c r="U47" s="19">
        <v>0.0</v>
      </c>
      <c r="V47" s="19"/>
      <c r="W47" s="19"/>
    </row>
    <row r="48" ht="15.0" customHeight="1">
      <c r="A48" s="16" t="s">
        <v>238</v>
      </c>
      <c r="B48" s="17">
        <v>4606.91</v>
      </c>
      <c r="C48" s="17">
        <v>4511.67</v>
      </c>
      <c r="D48" s="17">
        <v>3810.55</v>
      </c>
      <c r="E48" s="17">
        <v>3417.48</v>
      </c>
      <c r="F48" s="17">
        <v>2802.56</v>
      </c>
      <c r="G48" s="17">
        <v>2800.32</v>
      </c>
      <c r="H48" s="17">
        <v>2698.3</v>
      </c>
      <c r="I48" s="17">
        <v>2367.06</v>
      </c>
      <c r="J48" s="17">
        <v>1905.65</v>
      </c>
      <c r="K48" s="17">
        <v>1820.07</v>
      </c>
      <c r="L48" s="17">
        <v>1568.37</v>
      </c>
      <c r="M48" s="17">
        <v>1327.8</v>
      </c>
      <c r="N48" s="17">
        <v>1175.47</v>
      </c>
      <c r="O48" s="17">
        <v>780.01</v>
      </c>
      <c r="P48" s="17">
        <v>846.07</v>
      </c>
      <c r="Q48" s="17">
        <v>963.68</v>
      </c>
      <c r="R48" s="17">
        <v>1041.49</v>
      </c>
      <c r="S48" s="17">
        <v>976.34</v>
      </c>
      <c r="T48" s="17">
        <v>718.78</v>
      </c>
      <c r="U48" s="17">
        <v>769.33</v>
      </c>
      <c r="V48" s="17">
        <v>553.73</v>
      </c>
      <c r="W48" s="17">
        <v>248.94</v>
      </c>
    </row>
    <row r="49" ht="15.0" customHeight="1">
      <c r="A49" s="14" t="s">
        <v>239</v>
      </c>
      <c r="B49" s="15">
        <v>806.87</v>
      </c>
      <c r="C49" s="15">
        <v>816.33</v>
      </c>
      <c r="D49" s="15">
        <v>652.56</v>
      </c>
      <c r="E49" s="15">
        <v>530.86</v>
      </c>
      <c r="F49" s="15">
        <v>487.44</v>
      </c>
      <c r="G49" s="15">
        <v>501.52</v>
      </c>
      <c r="H49" s="15">
        <v>572.3</v>
      </c>
      <c r="I49" s="15">
        <v>544.51</v>
      </c>
      <c r="J49" s="15">
        <v>459.44</v>
      </c>
      <c r="K49" s="15">
        <v>456.35</v>
      </c>
      <c r="L49" s="15">
        <v>393.69</v>
      </c>
      <c r="M49" s="15">
        <v>298.1</v>
      </c>
      <c r="N49" s="15">
        <v>244.84</v>
      </c>
      <c r="O49" s="15">
        <v>197.43</v>
      </c>
      <c r="P49" s="15">
        <v>216.59</v>
      </c>
      <c r="Q49" s="15">
        <v>186.82</v>
      </c>
      <c r="R49" s="19">
        <f t="shared" ref="R49:S49" si="2">R53+R56+R60</f>
        <v>187.04</v>
      </c>
      <c r="S49" s="19">
        <f t="shared" si="2"/>
        <v>228.69</v>
      </c>
      <c r="T49" s="19">
        <f>T67</f>
        <v>195.49</v>
      </c>
      <c r="U49" s="19">
        <f>U53+U56+U60</f>
        <v>231.07</v>
      </c>
      <c r="V49" s="19">
        <f>V54+V58+V62+V69</f>
        <v>149.24</v>
      </c>
      <c r="W49" s="19">
        <f>W53+W56+W60</f>
        <v>97.19</v>
      </c>
    </row>
    <row r="50" ht="15.0" customHeight="1">
      <c r="A50" s="14" t="s">
        <v>240</v>
      </c>
      <c r="B50" s="15">
        <v>631.14</v>
      </c>
      <c r="C50" s="15">
        <v>582.75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5"/>
      <c r="R50" s="19"/>
      <c r="S50" s="19"/>
      <c r="T50" s="19"/>
      <c r="U50" s="19"/>
      <c r="V50" s="19"/>
      <c r="W50" s="19"/>
    </row>
    <row r="51" ht="15.0" customHeight="1">
      <c r="A51" s="14" t="s">
        <v>241</v>
      </c>
      <c r="B51" s="22">
        <v>-272.45</v>
      </c>
      <c r="C51" s="22">
        <v>-223.38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242</v>
      </c>
      <c r="B52" s="18">
        <v>0.01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243</v>
      </c>
      <c r="B53" s="19"/>
      <c r="C53" s="19"/>
      <c r="D53" s="18">
        <v>4.59</v>
      </c>
      <c r="E53" s="18">
        <v>17.47</v>
      </c>
      <c r="F53" s="18">
        <v>10.52</v>
      </c>
      <c r="G53" s="18">
        <v>17.31</v>
      </c>
      <c r="H53" s="18">
        <v>25.76</v>
      </c>
      <c r="I53" s="18">
        <v>28.05</v>
      </c>
      <c r="J53" s="18">
        <v>30.87</v>
      </c>
      <c r="K53" s="18">
        <v>31.08</v>
      </c>
      <c r="L53" s="18">
        <v>34.22</v>
      </c>
      <c r="M53" s="18">
        <v>35.39</v>
      </c>
      <c r="N53" s="18">
        <v>34.77</v>
      </c>
      <c r="O53" s="18">
        <v>30.16</v>
      </c>
      <c r="P53" s="18">
        <v>33.7</v>
      </c>
      <c r="Q53" s="18">
        <v>34.98</v>
      </c>
      <c r="R53" s="18">
        <v>39.46</v>
      </c>
      <c r="S53" s="18">
        <v>59.4</v>
      </c>
      <c r="T53" s="19"/>
      <c r="U53" s="18">
        <v>53.71</v>
      </c>
      <c r="V53" s="19"/>
      <c r="W53" s="18">
        <v>16.16</v>
      </c>
    </row>
    <row r="54" ht="15.0" customHeight="1">
      <c r="A54" s="14" t="s">
        <v>244</v>
      </c>
      <c r="B54" s="19"/>
      <c r="C54" s="19"/>
      <c r="D54" s="18">
        <v>6.04</v>
      </c>
      <c r="E54" s="18">
        <v>22.11</v>
      </c>
      <c r="F54" s="18">
        <v>14.14</v>
      </c>
      <c r="G54" s="18">
        <v>19.31</v>
      </c>
      <c r="H54" s="15">
        <v>109.71</v>
      </c>
      <c r="I54" s="15">
        <v>109.81</v>
      </c>
      <c r="J54" s="15">
        <v>107.86</v>
      </c>
      <c r="K54" s="18">
        <v>99.56</v>
      </c>
      <c r="L54" s="15">
        <v>104.17</v>
      </c>
      <c r="M54" s="18">
        <v>98.22</v>
      </c>
      <c r="N54" s="18">
        <v>92.11</v>
      </c>
      <c r="O54" s="18">
        <v>78.74</v>
      </c>
      <c r="P54" s="18">
        <v>82.87</v>
      </c>
      <c r="Q54" s="18">
        <v>82.13</v>
      </c>
      <c r="R54" s="18">
        <v>87.23</v>
      </c>
      <c r="S54" s="15">
        <v>118.58</v>
      </c>
      <c r="T54" s="19"/>
      <c r="U54" s="18">
        <v>97.76</v>
      </c>
      <c r="V54" s="18">
        <v>21.32</v>
      </c>
      <c r="W54" s="18">
        <v>19.21</v>
      </c>
    </row>
    <row r="55" ht="15.0" customHeight="1">
      <c r="A55" s="14" t="s">
        <v>245</v>
      </c>
      <c r="B55" s="19"/>
      <c r="C55" s="19"/>
      <c r="D55" s="20">
        <v>-1.45</v>
      </c>
      <c r="E55" s="20">
        <v>-4.64</v>
      </c>
      <c r="F55" s="20">
        <v>-3.63</v>
      </c>
      <c r="G55" s="20">
        <v>-2.0</v>
      </c>
      <c r="H55" s="20">
        <v>-83.95</v>
      </c>
      <c r="I55" s="20">
        <v>-81.76</v>
      </c>
      <c r="J55" s="20">
        <v>-76.99</v>
      </c>
      <c r="K55" s="20">
        <v>-68.48</v>
      </c>
      <c r="L55" s="20">
        <v>-69.95</v>
      </c>
      <c r="M55" s="20">
        <v>-62.83</v>
      </c>
      <c r="N55" s="20">
        <v>-57.34</v>
      </c>
      <c r="O55" s="20">
        <v>-48.59</v>
      </c>
      <c r="P55" s="20">
        <v>-49.16</v>
      </c>
      <c r="Q55" s="20">
        <v>-47.14</v>
      </c>
      <c r="R55" s="20">
        <v>-47.76</v>
      </c>
      <c r="S55" s="20">
        <v>-59.18</v>
      </c>
      <c r="T55" s="19"/>
      <c r="U55" s="20">
        <v>-44.05</v>
      </c>
      <c r="V55" s="19"/>
      <c r="W55" s="20">
        <v>-3.05</v>
      </c>
    </row>
    <row r="56" ht="15.0" customHeight="1">
      <c r="A56" s="14" t="s">
        <v>246</v>
      </c>
      <c r="B56" s="15">
        <v>336.14</v>
      </c>
      <c r="C56" s="15">
        <v>336.62</v>
      </c>
      <c r="D56" s="15">
        <v>276.07</v>
      </c>
      <c r="E56" s="15">
        <v>269.67</v>
      </c>
      <c r="F56" s="15">
        <v>246.63</v>
      </c>
      <c r="G56" s="15">
        <v>244.38</v>
      </c>
      <c r="H56" s="15">
        <v>298.73</v>
      </c>
      <c r="I56" s="15">
        <v>292.89</v>
      </c>
      <c r="J56" s="15">
        <v>270.61</v>
      </c>
      <c r="K56" s="15">
        <v>268.81</v>
      </c>
      <c r="L56" s="15">
        <v>234.41</v>
      </c>
      <c r="M56" s="15">
        <v>165.76</v>
      </c>
      <c r="N56" s="15">
        <v>118.69</v>
      </c>
      <c r="O56" s="18">
        <v>96.89</v>
      </c>
      <c r="P56" s="15">
        <v>104.61</v>
      </c>
      <c r="Q56" s="18">
        <v>93.43</v>
      </c>
      <c r="R56" s="18">
        <v>85.28</v>
      </c>
      <c r="S56" s="18">
        <v>89.59</v>
      </c>
      <c r="T56" s="19"/>
      <c r="U56" s="18">
        <v>87.6</v>
      </c>
      <c r="V56" s="19"/>
      <c r="W56" s="18">
        <v>52.84</v>
      </c>
    </row>
    <row r="57" ht="15.0" customHeight="1">
      <c r="A57" s="14" t="s">
        <v>247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8">
        <v>0.01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248</v>
      </c>
      <c r="B58" s="15">
        <v>927.7</v>
      </c>
      <c r="C58" s="15">
        <v>910.57</v>
      </c>
      <c r="D58" s="15">
        <v>726.7</v>
      </c>
      <c r="E58" s="15">
        <v>680.14</v>
      </c>
      <c r="F58" s="15">
        <v>637.0</v>
      </c>
      <c r="G58" s="15">
        <v>597.49</v>
      </c>
      <c r="H58" s="15">
        <v>786.9</v>
      </c>
      <c r="I58" s="15">
        <v>807.17</v>
      </c>
      <c r="J58" s="15">
        <v>697.22</v>
      </c>
      <c r="K58" s="15">
        <v>672.2</v>
      </c>
      <c r="L58" s="15">
        <v>576.94</v>
      </c>
      <c r="M58" s="15">
        <v>458.99</v>
      </c>
      <c r="N58" s="15">
        <v>351.98</v>
      </c>
      <c r="O58" s="15">
        <v>236.23</v>
      </c>
      <c r="P58" s="15">
        <v>232.83</v>
      </c>
      <c r="Q58" s="15">
        <v>201.9</v>
      </c>
      <c r="R58" s="15">
        <v>233.69</v>
      </c>
      <c r="S58" s="15">
        <v>236.34</v>
      </c>
      <c r="T58" s="19"/>
      <c r="U58" s="15">
        <v>191.93</v>
      </c>
      <c r="V58" s="15">
        <v>145.83</v>
      </c>
      <c r="W58" s="15">
        <v>102.35</v>
      </c>
    </row>
    <row r="59" ht="15.0" customHeight="1">
      <c r="A59" s="14" t="s">
        <v>249</v>
      </c>
      <c r="B59" s="22">
        <v>-591.56</v>
      </c>
      <c r="C59" s="22">
        <v>-573.96</v>
      </c>
      <c r="D59" s="22">
        <v>-450.63</v>
      </c>
      <c r="E59" s="22">
        <v>-410.47</v>
      </c>
      <c r="F59" s="22">
        <v>-390.37</v>
      </c>
      <c r="G59" s="22">
        <v>-353.11</v>
      </c>
      <c r="H59" s="22">
        <v>-488.17</v>
      </c>
      <c r="I59" s="22">
        <v>-514.28</v>
      </c>
      <c r="J59" s="22">
        <v>-426.61</v>
      </c>
      <c r="K59" s="22">
        <v>-403.39</v>
      </c>
      <c r="L59" s="22">
        <v>-342.52</v>
      </c>
      <c r="M59" s="22">
        <v>-293.24</v>
      </c>
      <c r="N59" s="22">
        <v>-233.29</v>
      </c>
      <c r="O59" s="22">
        <v>-139.34</v>
      </c>
      <c r="P59" s="22">
        <v>-128.22</v>
      </c>
      <c r="Q59" s="22">
        <v>-108.47</v>
      </c>
      <c r="R59" s="22">
        <v>-148.4</v>
      </c>
      <c r="S59" s="22">
        <v>-146.75</v>
      </c>
      <c r="T59" s="19"/>
      <c r="U59" s="22">
        <v>-104.33</v>
      </c>
      <c r="V59" s="19"/>
      <c r="W59" s="20">
        <v>-49.51</v>
      </c>
    </row>
    <row r="60" ht="15.0" customHeight="1">
      <c r="A60" s="14" t="s">
        <v>250</v>
      </c>
      <c r="B60" s="18">
        <v>57.21</v>
      </c>
      <c r="C60" s="18">
        <v>57.84</v>
      </c>
      <c r="D60" s="15">
        <v>310.93</v>
      </c>
      <c r="E60" s="15">
        <v>198.15</v>
      </c>
      <c r="F60" s="15">
        <v>182.48</v>
      </c>
      <c r="G60" s="15">
        <v>197.27</v>
      </c>
      <c r="H60" s="15">
        <v>196.85</v>
      </c>
      <c r="I60" s="15">
        <v>174.23</v>
      </c>
      <c r="J60" s="15">
        <v>118.65</v>
      </c>
      <c r="K60" s="15">
        <v>124.22</v>
      </c>
      <c r="L60" s="15">
        <v>104.83</v>
      </c>
      <c r="M60" s="18">
        <v>96.96</v>
      </c>
      <c r="N60" s="18">
        <v>91.37</v>
      </c>
      <c r="O60" s="18">
        <v>70.38</v>
      </c>
      <c r="P60" s="18">
        <v>78.27</v>
      </c>
      <c r="Q60" s="18">
        <v>58.4</v>
      </c>
      <c r="R60" s="18">
        <v>62.3</v>
      </c>
      <c r="S60" s="18">
        <v>79.7</v>
      </c>
      <c r="T60" s="19"/>
      <c r="U60" s="18">
        <v>89.76</v>
      </c>
      <c r="V60" s="19"/>
      <c r="W60" s="18">
        <v>28.19</v>
      </c>
    </row>
    <row r="61" ht="15.0" customHeight="1">
      <c r="A61" s="14" t="s">
        <v>251</v>
      </c>
      <c r="B61" s="18">
        <v>0.01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8">
        <v>0.01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252</v>
      </c>
      <c r="B62" s="15">
        <v>179.67</v>
      </c>
      <c r="C62" s="15">
        <v>169.79</v>
      </c>
      <c r="D62" s="15">
        <v>580.24</v>
      </c>
      <c r="E62" s="15">
        <v>454.13</v>
      </c>
      <c r="F62" s="15">
        <v>405.82</v>
      </c>
      <c r="G62" s="15">
        <v>387.66</v>
      </c>
      <c r="H62" s="15">
        <v>428.99</v>
      </c>
      <c r="I62" s="15">
        <v>390.57</v>
      </c>
      <c r="J62" s="15">
        <v>281.26</v>
      </c>
      <c r="K62" s="15">
        <v>261.33</v>
      </c>
      <c r="L62" s="15">
        <v>235.26</v>
      </c>
      <c r="M62" s="15">
        <v>230.57</v>
      </c>
      <c r="N62" s="15">
        <v>202.01</v>
      </c>
      <c r="O62" s="15">
        <v>149.97</v>
      </c>
      <c r="P62" s="15">
        <v>152.22</v>
      </c>
      <c r="Q62" s="15">
        <v>121.1</v>
      </c>
      <c r="R62" s="15">
        <v>195.05</v>
      </c>
      <c r="S62" s="15">
        <v>207.16</v>
      </c>
      <c r="T62" s="19"/>
      <c r="U62" s="15">
        <v>148.22</v>
      </c>
      <c r="V62" s="18">
        <v>93.61</v>
      </c>
      <c r="W62" s="18">
        <v>55.27</v>
      </c>
    </row>
    <row r="63" ht="15.0" customHeight="1">
      <c r="A63" s="14" t="s">
        <v>253</v>
      </c>
      <c r="B63" s="22">
        <v>-122.47</v>
      </c>
      <c r="C63" s="22">
        <v>-111.95</v>
      </c>
      <c r="D63" s="22">
        <v>-269.31</v>
      </c>
      <c r="E63" s="22">
        <v>-255.97</v>
      </c>
      <c r="F63" s="22">
        <v>-223.34</v>
      </c>
      <c r="G63" s="22">
        <v>-190.4</v>
      </c>
      <c r="H63" s="22">
        <v>-232.14</v>
      </c>
      <c r="I63" s="22">
        <v>-216.34</v>
      </c>
      <c r="J63" s="22">
        <v>-162.61</v>
      </c>
      <c r="K63" s="22">
        <v>-137.11</v>
      </c>
      <c r="L63" s="22">
        <v>-130.43</v>
      </c>
      <c r="M63" s="22">
        <v>-133.62</v>
      </c>
      <c r="N63" s="22">
        <v>-110.64</v>
      </c>
      <c r="O63" s="20">
        <v>-79.6</v>
      </c>
      <c r="P63" s="20">
        <v>-73.95</v>
      </c>
      <c r="Q63" s="20">
        <v>-62.7</v>
      </c>
      <c r="R63" s="22">
        <v>-132.75</v>
      </c>
      <c r="S63" s="22">
        <v>-127.46</v>
      </c>
      <c r="T63" s="19"/>
      <c r="U63" s="20">
        <v>-58.46</v>
      </c>
      <c r="V63" s="19"/>
      <c r="W63" s="20">
        <v>-27.09</v>
      </c>
    </row>
    <row r="64" ht="15.0" customHeight="1">
      <c r="A64" s="14" t="s">
        <v>254</v>
      </c>
      <c r="B64" s="15">
        <v>158.57</v>
      </c>
      <c r="C64" s="15">
        <v>158.45</v>
      </c>
      <c r="D64" s="15">
        <v>151.43</v>
      </c>
      <c r="E64" s="15">
        <v>136.45</v>
      </c>
      <c r="F64" s="15">
        <v>152.88</v>
      </c>
      <c r="G64" s="15">
        <v>134.68</v>
      </c>
      <c r="H64" s="15">
        <v>141.24</v>
      </c>
      <c r="I64" s="15">
        <v>140.92</v>
      </c>
      <c r="J64" s="15">
        <v>111.03</v>
      </c>
      <c r="K64" s="15">
        <v>113.85</v>
      </c>
      <c r="L64" s="18">
        <v>90.6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255</v>
      </c>
      <c r="B65" s="22">
        <v>-103.76</v>
      </c>
      <c r="C65" s="20">
        <v>-95.95</v>
      </c>
      <c r="D65" s="20">
        <v>-90.47</v>
      </c>
      <c r="E65" s="20">
        <v>-90.87</v>
      </c>
      <c r="F65" s="22">
        <v>-105.06</v>
      </c>
      <c r="G65" s="20">
        <v>-92.12</v>
      </c>
      <c r="H65" s="20">
        <v>-90.27</v>
      </c>
      <c r="I65" s="20">
        <v>-91.57</v>
      </c>
      <c r="J65" s="20">
        <v>-71.72</v>
      </c>
      <c r="K65" s="20">
        <v>-81.6</v>
      </c>
      <c r="L65" s="20">
        <v>-70.37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256</v>
      </c>
      <c r="B66" s="19"/>
      <c r="C66" s="19"/>
      <c r="D66" s="19"/>
      <c r="E66" s="19"/>
      <c r="F66" s="19"/>
      <c r="G66" s="19"/>
      <c r="H66" s="19"/>
      <c r="I66" s="19"/>
      <c r="J66" s="20">
        <v>-0.01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257</v>
      </c>
      <c r="B67" s="19"/>
      <c r="C67" s="19"/>
      <c r="D67" s="19"/>
      <c r="E67" s="19"/>
      <c r="F67" s="19"/>
      <c r="G67" s="19"/>
      <c r="H67" s="20">
        <v>-0.01</v>
      </c>
      <c r="I67" s="20">
        <v>-0.01</v>
      </c>
      <c r="J67" s="19"/>
      <c r="K67" s="19"/>
      <c r="L67" s="19"/>
      <c r="M67" s="20">
        <v>-0.01</v>
      </c>
      <c r="N67" s="19"/>
      <c r="O67" s="19"/>
      <c r="P67" s="19"/>
      <c r="Q67" s="19"/>
      <c r="R67" s="19"/>
      <c r="S67" s="19"/>
      <c r="T67" s="15">
        <v>195.49</v>
      </c>
      <c r="U67" s="19"/>
      <c r="V67" s="19"/>
      <c r="W67" s="19"/>
    </row>
    <row r="68" ht="15.0" customHeight="1">
      <c r="A68" s="14" t="s">
        <v>258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5">
        <v>1006.97</v>
      </c>
      <c r="M68" s="15">
        <v>787.78</v>
      </c>
      <c r="N68" s="15">
        <v>646.1</v>
      </c>
      <c r="O68" s="15">
        <v>464.94</v>
      </c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259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2">
        <v>-613.28</v>
      </c>
      <c r="M69" s="22">
        <v>-489.68</v>
      </c>
      <c r="N69" s="22">
        <v>-401.27</v>
      </c>
      <c r="O69" s="22">
        <v>-267.52</v>
      </c>
      <c r="P69" s="19"/>
      <c r="Q69" s="19"/>
      <c r="R69" s="22">
        <v>-328.91</v>
      </c>
      <c r="S69" s="22">
        <v>-333.4</v>
      </c>
      <c r="T69" s="19"/>
      <c r="U69" s="22">
        <v>-206.84</v>
      </c>
      <c r="V69" s="22">
        <v>-111.52</v>
      </c>
      <c r="W69" s="20">
        <v>-79.65</v>
      </c>
    </row>
    <row r="70" ht="15.0" customHeight="1">
      <c r="A70" s="14" t="s">
        <v>260</v>
      </c>
      <c r="B70" s="15">
        <v>1634.7</v>
      </c>
      <c r="C70" s="15">
        <v>1452.56</v>
      </c>
      <c r="D70" s="15">
        <v>1233.17</v>
      </c>
      <c r="E70" s="15">
        <v>1225.85</v>
      </c>
      <c r="F70" s="15">
        <v>1116.08</v>
      </c>
      <c r="G70" s="15">
        <v>968.52</v>
      </c>
      <c r="H70" s="15">
        <v>862.2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261</v>
      </c>
      <c r="B71" s="19"/>
      <c r="C71" s="19"/>
      <c r="D71" s="19"/>
      <c r="E71" s="19"/>
      <c r="F71" s="19"/>
      <c r="G71" s="15">
        <v>1261.97</v>
      </c>
      <c r="H71" s="15">
        <v>1008.43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262</v>
      </c>
      <c r="B72" s="19"/>
      <c r="C72" s="19"/>
      <c r="D72" s="19"/>
      <c r="E72" s="19"/>
      <c r="F72" s="19"/>
      <c r="G72" s="22">
        <v>-293.45</v>
      </c>
      <c r="H72" s="22">
        <v>-146.23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263</v>
      </c>
      <c r="B73" s="15">
        <v>8404.73</v>
      </c>
      <c r="C73" s="15">
        <v>8823.26</v>
      </c>
      <c r="D73" s="15">
        <v>7001.88</v>
      </c>
      <c r="E73" s="15">
        <v>6665.54</v>
      </c>
      <c r="F73" s="15">
        <v>5672.86</v>
      </c>
      <c r="G73" s="15">
        <v>5251.31</v>
      </c>
      <c r="H73" s="15">
        <v>4573.95</v>
      </c>
      <c r="I73" s="15">
        <v>4326.62</v>
      </c>
      <c r="J73" s="15">
        <v>3403.14</v>
      </c>
      <c r="K73" s="15">
        <v>3404.04</v>
      </c>
      <c r="L73" s="15">
        <v>3263.99</v>
      </c>
      <c r="M73" s="15">
        <v>2899.88</v>
      </c>
      <c r="N73" s="15">
        <v>2405.9</v>
      </c>
      <c r="O73" s="15">
        <v>1941.13</v>
      </c>
      <c r="P73" s="15">
        <v>1993.1</v>
      </c>
      <c r="Q73" s="15">
        <v>1974.48</v>
      </c>
      <c r="R73" s="15">
        <v>1939.89</v>
      </c>
      <c r="S73" s="15">
        <v>2239.03</v>
      </c>
      <c r="T73" s="15">
        <v>1860.62</v>
      </c>
      <c r="U73" s="15">
        <v>1973.26</v>
      </c>
      <c r="V73" s="15">
        <v>1565.4</v>
      </c>
      <c r="W73" s="15">
        <v>152.48</v>
      </c>
    </row>
    <row r="74" ht="15.0" customHeight="1">
      <c r="A74" s="14" t="s">
        <v>264</v>
      </c>
      <c r="B74" s="15">
        <v>1075.37</v>
      </c>
      <c r="C74" s="15">
        <v>1098.44</v>
      </c>
      <c r="D74" s="15">
        <v>667.31</v>
      </c>
      <c r="E74" s="15">
        <v>607.41</v>
      </c>
      <c r="F74" s="15">
        <v>518.15</v>
      </c>
      <c r="G74" s="15">
        <v>510.4</v>
      </c>
      <c r="H74" s="15">
        <v>550.04</v>
      </c>
      <c r="I74" s="15">
        <v>424.25</v>
      </c>
      <c r="J74" s="15">
        <v>369.42</v>
      </c>
      <c r="K74" s="15">
        <v>393.78</v>
      </c>
      <c r="L74" s="15">
        <v>310.44</v>
      </c>
      <c r="M74" s="15">
        <v>306.64</v>
      </c>
      <c r="N74" s="15">
        <v>290.4</v>
      </c>
      <c r="O74" s="15">
        <v>184.34</v>
      </c>
      <c r="P74" s="15">
        <v>178.83</v>
      </c>
      <c r="Q74" s="15">
        <v>174.51</v>
      </c>
      <c r="R74" s="19"/>
      <c r="S74" s="19"/>
      <c r="T74" s="15">
        <v>335.85</v>
      </c>
      <c r="U74" s="19"/>
      <c r="V74" s="19"/>
      <c r="W74" s="19"/>
    </row>
    <row r="75" ht="15.0" customHeight="1">
      <c r="A75" s="14" t="s">
        <v>265</v>
      </c>
      <c r="B75" s="15">
        <v>342.19</v>
      </c>
      <c r="C75" s="15">
        <v>310.37</v>
      </c>
      <c r="D75" s="18">
        <v>86.94</v>
      </c>
      <c r="E75" s="18">
        <v>96.99</v>
      </c>
      <c r="F75" s="15">
        <v>114.13</v>
      </c>
      <c r="G75" s="15">
        <v>132.85</v>
      </c>
      <c r="H75" s="15">
        <v>122.25</v>
      </c>
      <c r="I75" s="18">
        <v>56.14</v>
      </c>
      <c r="J75" s="18">
        <v>60.4</v>
      </c>
      <c r="K75" s="18">
        <v>78.15</v>
      </c>
      <c r="L75" s="18">
        <v>65.79</v>
      </c>
      <c r="M75" s="18">
        <v>90.19</v>
      </c>
      <c r="N75" s="15">
        <v>108.75</v>
      </c>
      <c r="O75" s="18">
        <v>50.37</v>
      </c>
      <c r="P75" s="18">
        <v>65.8</v>
      </c>
      <c r="Q75" s="19"/>
      <c r="R75" s="19"/>
      <c r="S75" s="18">
        <v>43.24</v>
      </c>
      <c r="T75" s="19"/>
      <c r="U75" s="19">
        <v>0.0</v>
      </c>
      <c r="V75" s="19"/>
      <c r="W75" s="19"/>
    </row>
    <row r="76" ht="15.0" customHeight="1">
      <c r="A76" s="14" t="s">
        <v>266</v>
      </c>
      <c r="B76" s="15">
        <v>478.39</v>
      </c>
      <c r="C76" s="15">
        <v>417.13</v>
      </c>
      <c r="D76" s="15">
        <v>347.17</v>
      </c>
      <c r="E76" s="15">
        <v>361.87</v>
      </c>
      <c r="F76" s="15">
        <v>337.1</v>
      </c>
      <c r="G76" s="15">
        <v>343.34</v>
      </c>
      <c r="H76" s="15">
        <v>377.32</v>
      </c>
      <c r="I76" s="15">
        <v>325.83</v>
      </c>
      <c r="J76" s="15">
        <v>308.97</v>
      </c>
      <c r="K76" s="15">
        <v>298.14</v>
      </c>
      <c r="L76" s="15">
        <v>268.93</v>
      </c>
      <c r="M76" s="15">
        <v>245.93</v>
      </c>
      <c r="N76" s="15">
        <v>220.86</v>
      </c>
      <c r="O76" s="15">
        <v>133.87</v>
      </c>
      <c r="P76" s="15">
        <v>139.87</v>
      </c>
      <c r="Q76" s="19"/>
      <c r="R76" s="19"/>
      <c r="S76" s="15">
        <v>196.1</v>
      </c>
      <c r="T76" s="19"/>
      <c r="U76" s="19"/>
      <c r="V76" s="19"/>
      <c r="W76" s="19"/>
    </row>
    <row r="77" ht="15.0" customHeight="1">
      <c r="A77" s="14" t="s">
        <v>267</v>
      </c>
      <c r="B77" s="22">
        <v>-136.2</v>
      </c>
      <c r="C77" s="22">
        <v>-106.76</v>
      </c>
      <c r="D77" s="22">
        <v>-260.23</v>
      </c>
      <c r="E77" s="22">
        <v>-264.89</v>
      </c>
      <c r="F77" s="22">
        <v>-222.98</v>
      </c>
      <c r="G77" s="22">
        <v>-210.49</v>
      </c>
      <c r="H77" s="22">
        <v>-255.07</v>
      </c>
      <c r="I77" s="22">
        <v>-269.68</v>
      </c>
      <c r="J77" s="22">
        <v>-248.57</v>
      </c>
      <c r="K77" s="22">
        <v>-219.99</v>
      </c>
      <c r="L77" s="22">
        <v>-203.15</v>
      </c>
      <c r="M77" s="22">
        <v>-155.73</v>
      </c>
      <c r="N77" s="22">
        <v>-112.11</v>
      </c>
      <c r="O77" s="20">
        <v>-83.51</v>
      </c>
      <c r="P77" s="20">
        <v>-74.07</v>
      </c>
      <c r="Q77" s="19"/>
      <c r="R77" s="19"/>
      <c r="S77" s="22">
        <v>-152.86</v>
      </c>
      <c r="T77" s="19"/>
      <c r="U77" s="19">
        <v>0.0</v>
      </c>
      <c r="V77" s="19"/>
      <c r="W77" s="19"/>
    </row>
    <row r="78" ht="15.0" customHeight="1">
      <c r="A78" s="14" t="s">
        <v>268</v>
      </c>
      <c r="B78" s="15">
        <v>343.64</v>
      </c>
      <c r="C78" s="15">
        <v>366.13</v>
      </c>
      <c r="D78" s="15">
        <v>287.26</v>
      </c>
      <c r="E78" s="15">
        <v>245.0</v>
      </c>
      <c r="F78" s="15">
        <v>171.38</v>
      </c>
      <c r="G78" s="15">
        <v>157.52</v>
      </c>
      <c r="H78" s="15">
        <v>142.71</v>
      </c>
      <c r="I78" s="15">
        <v>121.02</v>
      </c>
      <c r="J78" s="15">
        <v>119.09</v>
      </c>
      <c r="K78" s="15">
        <v>114.47</v>
      </c>
      <c r="L78" s="18">
        <v>36.48</v>
      </c>
      <c r="M78" s="18">
        <v>27.96</v>
      </c>
      <c r="N78" s="18">
        <v>26.01</v>
      </c>
      <c r="O78" s="18">
        <v>26.74</v>
      </c>
      <c r="P78" s="18">
        <v>65.1</v>
      </c>
      <c r="Q78" s="19"/>
      <c r="R78" s="19"/>
      <c r="S78" s="15">
        <v>110.13</v>
      </c>
      <c r="T78" s="19"/>
      <c r="U78" s="19"/>
      <c r="V78" s="19"/>
      <c r="W78" s="19"/>
    </row>
    <row r="79" ht="15.0" customHeight="1">
      <c r="A79" s="14" t="s">
        <v>269</v>
      </c>
      <c r="B79" s="22">
        <v>-124.52</v>
      </c>
      <c r="C79" s="22">
        <v>-111.26</v>
      </c>
      <c r="D79" s="20">
        <v>-78.85</v>
      </c>
      <c r="E79" s="20">
        <v>-67.17</v>
      </c>
      <c r="F79" s="20">
        <v>-52.72</v>
      </c>
      <c r="G79" s="20">
        <v>-42.19</v>
      </c>
      <c r="H79" s="20">
        <v>-35.99</v>
      </c>
      <c r="I79" s="20">
        <v>-30.3</v>
      </c>
      <c r="J79" s="20">
        <v>-22.87</v>
      </c>
      <c r="K79" s="20">
        <v>-16.0</v>
      </c>
      <c r="L79" s="20">
        <v>-14.97</v>
      </c>
      <c r="M79" s="20">
        <v>-12.28</v>
      </c>
      <c r="N79" s="20">
        <v>-13.29</v>
      </c>
      <c r="O79" s="20">
        <v>-23.03</v>
      </c>
      <c r="P79" s="20">
        <v>-60.79</v>
      </c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270</v>
      </c>
      <c r="B80" s="19"/>
      <c r="C80" s="19"/>
      <c r="D80" s="19"/>
      <c r="E80" s="19"/>
      <c r="F80" s="19"/>
      <c r="G80" s="19"/>
      <c r="H80" s="19"/>
      <c r="I80" s="19"/>
      <c r="J80" s="19"/>
      <c r="K80" s="18">
        <v>0.01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271</v>
      </c>
      <c r="B81" s="18">
        <v>86.78</v>
      </c>
      <c r="C81" s="18">
        <v>92.7</v>
      </c>
      <c r="D81" s="18">
        <v>29.1</v>
      </c>
      <c r="E81" s="18">
        <v>27.46</v>
      </c>
      <c r="F81" s="18">
        <v>16.41</v>
      </c>
      <c r="G81" s="18">
        <v>22.1</v>
      </c>
      <c r="H81" s="15">
        <v>121.19</v>
      </c>
      <c r="I81" s="15">
        <v>141.42</v>
      </c>
      <c r="J81" s="15">
        <v>118.62</v>
      </c>
      <c r="K81" s="15">
        <v>109.04</v>
      </c>
      <c r="L81" s="15">
        <v>115.72</v>
      </c>
      <c r="M81" s="15">
        <v>109.38</v>
      </c>
      <c r="N81" s="15">
        <v>100.94</v>
      </c>
      <c r="O81" s="18">
        <v>88.04</v>
      </c>
      <c r="P81" s="18">
        <v>92.27</v>
      </c>
      <c r="Q81" s="19"/>
      <c r="R81" s="19"/>
      <c r="S81" s="15">
        <v>241.3</v>
      </c>
      <c r="T81" s="19"/>
      <c r="U81" s="19"/>
      <c r="V81" s="19"/>
      <c r="W81" s="19"/>
    </row>
    <row r="82" ht="15.0" customHeight="1">
      <c r="A82" s="14" t="s">
        <v>272</v>
      </c>
      <c r="B82" s="20">
        <v>-3.5</v>
      </c>
      <c r="C82" s="20">
        <v>-5.94</v>
      </c>
      <c r="D82" s="20">
        <v>-5.96</v>
      </c>
      <c r="E82" s="20">
        <v>-4.91</v>
      </c>
      <c r="F82" s="20">
        <v>-2.64</v>
      </c>
      <c r="G82" s="20">
        <v>-5.46</v>
      </c>
      <c r="H82" s="20">
        <v>-3.47</v>
      </c>
      <c r="I82" s="20">
        <v>-2.89</v>
      </c>
      <c r="J82" s="20">
        <v>-4.89</v>
      </c>
      <c r="K82" s="20">
        <v>-1.74</v>
      </c>
      <c r="L82" s="20">
        <v>-4.13</v>
      </c>
      <c r="M82" s="20">
        <v>-4.45</v>
      </c>
      <c r="N82" s="20">
        <v>-4.65</v>
      </c>
      <c r="O82" s="20">
        <v>-3.94</v>
      </c>
      <c r="P82" s="20">
        <v>-3.54</v>
      </c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273</v>
      </c>
      <c r="B83" s="18">
        <v>0.01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ht="15.0" customHeight="1">
      <c r="A84" s="14" t="s">
        <v>274</v>
      </c>
      <c r="B84" s="15">
        <v>698.56</v>
      </c>
      <c r="C84" s="15">
        <v>718.03</v>
      </c>
      <c r="D84" s="15">
        <v>549.79</v>
      </c>
      <c r="E84" s="15">
        <v>492.2</v>
      </c>
      <c r="F84" s="15">
        <v>430.11</v>
      </c>
      <c r="G84" s="15">
        <v>381.86</v>
      </c>
      <c r="H84" s="15">
        <v>422.0</v>
      </c>
      <c r="I84" s="15">
        <v>406.83</v>
      </c>
      <c r="J84" s="15">
        <v>318.84</v>
      </c>
      <c r="K84" s="15">
        <v>304.77</v>
      </c>
      <c r="L84" s="15">
        <v>274.65</v>
      </c>
      <c r="M84" s="15">
        <v>205.41</v>
      </c>
      <c r="N84" s="15">
        <v>147.5</v>
      </c>
      <c r="O84" s="18">
        <v>99.86</v>
      </c>
      <c r="P84" s="18">
        <v>82.11</v>
      </c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275</v>
      </c>
      <c r="B85" s="22">
        <v>-267.8</v>
      </c>
      <c r="C85" s="22">
        <v>-271.59</v>
      </c>
      <c r="D85" s="22">
        <v>-200.97</v>
      </c>
      <c r="E85" s="22">
        <v>-182.15</v>
      </c>
      <c r="F85" s="22">
        <v>-158.51</v>
      </c>
      <c r="G85" s="22">
        <v>-136.28</v>
      </c>
      <c r="H85" s="22">
        <v>-218.66</v>
      </c>
      <c r="I85" s="22">
        <v>-267.97</v>
      </c>
      <c r="J85" s="22">
        <v>-219.77</v>
      </c>
      <c r="K85" s="22">
        <v>-194.93</v>
      </c>
      <c r="L85" s="22">
        <v>-163.1</v>
      </c>
      <c r="M85" s="22">
        <v>-109.56</v>
      </c>
      <c r="N85" s="20">
        <v>-74.86</v>
      </c>
      <c r="O85" s="20">
        <v>-53.7</v>
      </c>
      <c r="P85" s="20">
        <v>-62.11</v>
      </c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276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5">
        <v>695.79</v>
      </c>
      <c r="M86" s="15">
        <v>588.67</v>
      </c>
      <c r="N86" s="15">
        <v>495.31</v>
      </c>
      <c r="O86" s="15">
        <v>348.51</v>
      </c>
      <c r="P86" s="19"/>
      <c r="Q86" s="19"/>
      <c r="R86" s="15">
        <v>540.23</v>
      </c>
      <c r="S86" s="15">
        <v>116.57</v>
      </c>
      <c r="T86" s="19"/>
      <c r="U86" s="15">
        <v>567.91</v>
      </c>
      <c r="V86" s="15">
        <v>364.3</v>
      </c>
      <c r="W86" s="18">
        <v>46.43</v>
      </c>
    </row>
    <row r="87" ht="15.0" customHeight="1">
      <c r="A87" s="14" t="s">
        <v>277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2">
        <v>-385.34</v>
      </c>
      <c r="M87" s="22">
        <v>-282.02</v>
      </c>
      <c r="N87" s="22">
        <v>-204.91</v>
      </c>
      <c r="O87" s="22">
        <v>-164.18</v>
      </c>
      <c r="P87" s="19"/>
      <c r="Q87" s="19"/>
      <c r="R87" s="22">
        <v>-348.62</v>
      </c>
      <c r="S87" s="22">
        <v>-350.35</v>
      </c>
      <c r="T87" s="19"/>
      <c r="U87" s="22">
        <v>-131.87</v>
      </c>
      <c r="V87" s="20">
        <v>-49.42</v>
      </c>
      <c r="W87" s="20">
        <v>-13.77</v>
      </c>
    </row>
    <row r="88" ht="15.0" customHeight="1">
      <c r="A88" s="14" t="s">
        <v>278</v>
      </c>
      <c r="B88" s="15">
        <v>281.14</v>
      </c>
      <c r="C88" s="15">
        <v>231.45</v>
      </c>
      <c r="D88" s="15">
        <v>208.09</v>
      </c>
      <c r="E88" s="15">
        <v>134.71</v>
      </c>
      <c r="F88" s="15">
        <v>120.19</v>
      </c>
      <c r="G88" s="15">
        <v>114.53</v>
      </c>
      <c r="H88" s="18">
        <v>53.54</v>
      </c>
      <c r="I88" s="18">
        <v>51.81</v>
      </c>
      <c r="J88" s="15">
        <v>120.97</v>
      </c>
      <c r="K88" s="15">
        <v>111.52</v>
      </c>
      <c r="L88" s="18">
        <v>73.86</v>
      </c>
      <c r="M88" s="18">
        <v>55.93</v>
      </c>
      <c r="N88" s="18">
        <v>15.12</v>
      </c>
      <c r="O88" s="18">
        <v>23.05</v>
      </c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222</v>
      </c>
      <c r="B89" s="18">
        <v>39.89</v>
      </c>
      <c r="C89" s="18">
        <v>30.73</v>
      </c>
      <c r="D89" s="18">
        <v>45.91</v>
      </c>
      <c r="E89" s="18">
        <v>36.43</v>
      </c>
      <c r="F89" s="18">
        <v>25.75</v>
      </c>
      <c r="G89" s="18">
        <v>33.81</v>
      </c>
      <c r="H89" s="18">
        <v>26.32</v>
      </c>
      <c r="I89" s="18">
        <v>23.56</v>
      </c>
      <c r="J89" s="18">
        <v>58.43</v>
      </c>
      <c r="K89" s="15">
        <v>167.35</v>
      </c>
      <c r="L89" s="18">
        <v>86.44</v>
      </c>
      <c r="M89" s="18">
        <v>74.77</v>
      </c>
      <c r="N89" s="18">
        <v>33.28</v>
      </c>
      <c r="O89" s="18">
        <v>37.96</v>
      </c>
      <c r="P89" s="18">
        <v>40.69</v>
      </c>
      <c r="Q89" s="18">
        <v>24.22</v>
      </c>
      <c r="R89" s="18">
        <v>20.67</v>
      </c>
      <c r="S89" s="18">
        <v>8.03</v>
      </c>
      <c r="T89" s="18">
        <v>6.97</v>
      </c>
      <c r="U89" s="18">
        <v>9.51</v>
      </c>
      <c r="V89" s="18">
        <v>5.26</v>
      </c>
      <c r="W89" s="18">
        <v>5.01</v>
      </c>
    </row>
    <row r="90" ht="15.0" customHeight="1">
      <c r="A90" s="14" t="s">
        <v>279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8">
        <v>17.37</v>
      </c>
      <c r="R90" s="19"/>
      <c r="S90" s="19"/>
      <c r="T90" s="19"/>
      <c r="U90" s="19"/>
      <c r="V90" s="19"/>
      <c r="W90" s="19"/>
    </row>
    <row r="91" ht="15.0" customHeight="1">
      <c r="A91" s="14" t="s">
        <v>280</v>
      </c>
      <c r="B91" s="18">
        <v>6.13</v>
      </c>
      <c r="C91" s="18">
        <v>6.07</v>
      </c>
      <c r="D91" s="18">
        <v>4.98</v>
      </c>
      <c r="E91" s="18">
        <v>3.85</v>
      </c>
      <c r="F91" s="18">
        <v>4.2</v>
      </c>
      <c r="G91" s="18">
        <v>3.61</v>
      </c>
      <c r="H91" s="18">
        <v>10.4</v>
      </c>
      <c r="I91" s="18">
        <v>9.03</v>
      </c>
      <c r="J91" s="18">
        <v>8.4</v>
      </c>
      <c r="K91" s="18">
        <v>7.83</v>
      </c>
      <c r="L91" s="18">
        <v>8.73</v>
      </c>
      <c r="M91" s="18">
        <v>9.44</v>
      </c>
      <c r="N91" s="18">
        <v>9.81</v>
      </c>
      <c r="O91" s="18">
        <v>6.56</v>
      </c>
      <c r="P91" s="19"/>
      <c r="Q91" s="18">
        <v>6.73</v>
      </c>
      <c r="R91" s="19"/>
      <c r="S91" s="19"/>
      <c r="T91" s="19"/>
      <c r="U91" s="19"/>
      <c r="V91" s="19"/>
      <c r="W91" s="19"/>
    </row>
    <row r="92" ht="15.0" customHeight="1">
      <c r="A92" s="14" t="s">
        <v>281</v>
      </c>
      <c r="B92" s="18">
        <v>33.77</v>
      </c>
      <c r="C92" s="18">
        <v>24.66</v>
      </c>
      <c r="D92" s="18">
        <v>40.94</v>
      </c>
      <c r="E92" s="18">
        <v>32.58</v>
      </c>
      <c r="F92" s="18">
        <v>21.55</v>
      </c>
      <c r="G92" s="18">
        <v>30.19</v>
      </c>
      <c r="H92" s="18">
        <v>15.92</v>
      </c>
      <c r="I92" s="18">
        <v>14.53</v>
      </c>
      <c r="J92" s="19"/>
      <c r="K92" s="19"/>
      <c r="L92" s="19"/>
      <c r="M92" s="19"/>
      <c r="N92" s="19"/>
      <c r="O92" s="19"/>
      <c r="P92" s="19"/>
      <c r="Q92" s="18">
        <v>0.12</v>
      </c>
      <c r="R92" s="19"/>
      <c r="S92" s="19"/>
      <c r="T92" s="19">
        <v>0.0</v>
      </c>
      <c r="U92" s="18">
        <v>4.25</v>
      </c>
      <c r="V92" s="18">
        <v>4.0</v>
      </c>
      <c r="W92" s="18">
        <v>2.5</v>
      </c>
    </row>
    <row r="93" ht="15.0" customHeight="1">
      <c r="A93" s="14" t="s">
        <v>282</v>
      </c>
      <c r="B93" s="19"/>
      <c r="C93" s="19"/>
      <c r="D93" s="19"/>
      <c r="E93" s="19"/>
      <c r="F93" s="19"/>
      <c r="G93" s="19"/>
      <c r="H93" s="19"/>
      <c r="I93" s="19"/>
      <c r="J93" s="18">
        <v>50.03</v>
      </c>
      <c r="K93" s="18">
        <v>48.0</v>
      </c>
      <c r="L93" s="18">
        <v>3.85</v>
      </c>
      <c r="M93" s="18">
        <v>9.41</v>
      </c>
      <c r="N93" s="18">
        <v>8.35</v>
      </c>
      <c r="O93" s="18">
        <v>8.34</v>
      </c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283</v>
      </c>
      <c r="B94" s="15">
        <v>557.06</v>
      </c>
      <c r="C94" s="15">
        <v>526.97</v>
      </c>
      <c r="D94" s="15">
        <v>424.54</v>
      </c>
      <c r="E94" s="15">
        <v>365.61</v>
      </c>
      <c r="F94" s="15">
        <v>238.17</v>
      </c>
      <c r="G94" s="15">
        <v>236.0</v>
      </c>
      <c r="H94" s="15">
        <v>237.73</v>
      </c>
      <c r="I94" s="15">
        <v>154.11</v>
      </c>
      <c r="J94" s="15">
        <v>191.4</v>
      </c>
      <c r="K94" s="15">
        <v>205.03</v>
      </c>
      <c r="L94" s="15">
        <v>153.16</v>
      </c>
      <c r="M94" s="15">
        <v>157.2</v>
      </c>
      <c r="N94" s="15">
        <v>134.42</v>
      </c>
      <c r="O94" s="15">
        <v>147.78</v>
      </c>
      <c r="P94" s="15">
        <v>190.96</v>
      </c>
      <c r="Q94" s="15">
        <v>210.58</v>
      </c>
      <c r="R94" s="15">
        <v>245.45</v>
      </c>
      <c r="S94" s="15">
        <v>427.57</v>
      </c>
      <c r="T94" s="15">
        <v>334.79</v>
      </c>
      <c r="U94" s="15">
        <v>395.69</v>
      </c>
      <c r="V94" s="15">
        <v>158.76</v>
      </c>
      <c r="W94" s="15">
        <v>123.01</v>
      </c>
    </row>
    <row r="95" ht="15.0" customHeight="1">
      <c r="A95" s="14" t="s">
        <v>284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8">
        <v>3.0</v>
      </c>
      <c r="U95" s="19">
        <v>0.0</v>
      </c>
      <c r="V95" s="19"/>
      <c r="W95" s="19"/>
    </row>
    <row r="96" ht="15.0" customHeight="1">
      <c r="A96" s="14" t="s">
        <v>285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8">
        <v>0.01</v>
      </c>
      <c r="V96" s="19"/>
      <c r="W96" s="19"/>
    </row>
    <row r="97" ht="15.0" customHeight="1">
      <c r="A97" s="14" t="s">
        <v>286</v>
      </c>
      <c r="B97" s="19"/>
      <c r="C97" s="19"/>
      <c r="D97" s="18">
        <v>0.01</v>
      </c>
      <c r="E97" s="18">
        <v>0.01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ht="15.0" customHeight="1">
      <c r="A98" s="16" t="s">
        <v>287</v>
      </c>
      <c r="B98" s="21">
        <v>12799.75</v>
      </c>
      <c r="C98" s="21">
        <v>12979.74</v>
      </c>
      <c r="D98" s="21">
        <v>10233.47</v>
      </c>
      <c r="E98" s="17">
        <v>9566.42</v>
      </c>
      <c r="F98" s="17">
        <v>8178.64</v>
      </c>
      <c r="G98" s="17">
        <v>7616.09</v>
      </c>
      <c r="H98" s="17">
        <v>6876.07</v>
      </c>
      <c r="I98" s="17">
        <v>5524.86</v>
      </c>
      <c r="J98" s="17">
        <v>4602.8</v>
      </c>
      <c r="K98" s="17">
        <v>4626.56</v>
      </c>
      <c r="L98" s="17">
        <v>4207.73</v>
      </c>
      <c r="M98" s="17">
        <v>3736.59</v>
      </c>
      <c r="N98" s="17">
        <v>3108.84</v>
      </c>
      <c r="O98" s="17">
        <v>2508.63</v>
      </c>
      <c r="P98" s="17">
        <v>2620.17</v>
      </c>
      <c r="Q98" s="17">
        <v>2570.6</v>
      </c>
      <c r="R98" s="17">
        <v>2598.03</v>
      </c>
      <c r="S98" s="17">
        <v>3217.08</v>
      </c>
      <c r="T98" s="17">
        <v>2736.72</v>
      </c>
      <c r="U98" s="17">
        <v>3049.82</v>
      </c>
      <c r="V98" s="17">
        <v>2197.52</v>
      </c>
      <c r="W98" s="17">
        <v>412.83</v>
      </c>
    </row>
    <row r="99" ht="15.0" customHeight="1">
      <c r="A99" s="16" t="s">
        <v>288</v>
      </c>
      <c r="B99" s="21">
        <v>17406.66</v>
      </c>
      <c r="C99" s="21">
        <v>17491.41</v>
      </c>
      <c r="D99" s="21">
        <v>14044.03</v>
      </c>
      <c r="E99" s="21">
        <v>12983.9</v>
      </c>
      <c r="F99" s="21">
        <v>10981.21</v>
      </c>
      <c r="G99" s="21">
        <v>10416.41</v>
      </c>
      <c r="H99" s="17">
        <v>9574.37</v>
      </c>
      <c r="I99" s="17">
        <v>7891.93</v>
      </c>
      <c r="J99" s="17">
        <v>6508.45</v>
      </c>
      <c r="K99" s="17">
        <v>6446.62</v>
      </c>
      <c r="L99" s="17">
        <v>5776.09</v>
      </c>
      <c r="M99" s="17">
        <v>5064.39</v>
      </c>
      <c r="N99" s="17">
        <v>4284.31</v>
      </c>
      <c r="O99" s="17">
        <v>3288.64</v>
      </c>
      <c r="P99" s="17">
        <v>3466.24</v>
      </c>
      <c r="Q99" s="17">
        <v>3534.29</v>
      </c>
      <c r="R99" s="17">
        <v>3639.52</v>
      </c>
      <c r="S99" s="17">
        <v>4193.42</v>
      </c>
      <c r="T99" s="17">
        <v>3455.5</v>
      </c>
      <c r="U99" s="17">
        <v>3819.16</v>
      </c>
      <c r="V99" s="17">
        <v>2751.25</v>
      </c>
      <c r="W99" s="17">
        <v>661.77</v>
      </c>
    </row>
    <row r="100" ht="15.0" customHeight="1">
      <c r="A100" s="14" t="s">
        <v>289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8">
        <v>0.13</v>
      </c>
      <c r="S100" s="15">
        <v>425.3</v>
      </c>
      <c r="T100" s="15">
        <v>410.34</v>
      </c>
      <c r="U100" s="15">
        <v>925.47</v>
      </c>
      <c r="V100" s="19"/>
      <c r="W100" s="19"/>
    </row>
    <row r="101" ht="15.0" customHeight="1">
      <c r="A101" s="14" t="s">
        <v>290</v>
      </c>
      <c r="B101" s="15">
        <v>680.76</v>
      </c>
      <c r="C101" s="15">
        <v>325.29</v>
      </c>
      <c r="D101" s="15">
        <v>218.24</v>
      </c>
      <c r="E101" s="15">
        <v>608.05</v>
      </c>
      <c r="F101" s="15">
        <v>405.49</v>
      </c>
      <c r="G101" s="15">
        <v>150.5</v>
      </c>
      <c r="H101" s="18">
        <v>63.14</v>
      </c>
      <c r="I101" s="15">
        <v>116.05</v>
      </c>
      <c r="J101" s="15">
        <v>206.8</v>
      </c>
      <c r="K101" s="15">
        <v>211.0</v>
      </c>
      <c r="L101" s="18">
        <v>0.51</v>
      </c>
      <c r="M101" s="18">
        <v>0.75</v>
      </c>
      <c r="N101" s="15">
        <v>121.31</v>
      </c>
      <c r="O101" s="15">
        <v>113.23</v>
      </c>
      <c r="P101" s="15">
        <v>125.25</v>
      </c>
      <c r="Q101" s="15">
        <v>167.88</v>
      </c>
      <c r="R101" s="15">
        <v>157.34</v>
      </c>
      <c r="S101" s="15">
        <v>144.7</v>
      </c>
      <c r="T101" s="18">
        <v>87.36</v>
      </c>
      <c r="U101" s="18">
        <v>95.56</v>
      </c>
      <c r="V101" s="18">
        <v>74.5</v>
      </c>
      <c r="W101" s="18">
        <v>15.53</v>
      </c>
    </row>
    <row r="102" ht="15.0" customHeight="1">
      <c r="A102" s="14" t="s">
        <v>291</v>
      </c>
      <c r="B102" s="15">
        <v>283.84</v>
      </c>
      <c r="C102" s="15">
        <v>274.32</v>
      </c>
      <c r="D102" s="15">
        <v>220.87</v>
      </c>
      <c r="E102" s="15">
        <v>242.66</v>
      </c>
      <c r="F102" s="15">
        <v>187.09</v>
      </c>
      <c r="G102" s="15">
        <v>153.18</v>
      </c>
      <c r="H102" s="15">
        <v>141.24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ht="15.0" customHeight="1">
      <c r="A103" s="14" t="s">
        <v>292</v>
      </c>
      <c r="B103" s="15">
        <v>330.18</v>
      </c>
      <c r="C103" s="15">
        <v>310.0</v>
      </c>
      <c r="D103" s="15">
        <v>311.64</v>
      </c>
      <c r="E103" s="15">
        <v>280.7</v>
      </c>
      <c r="F103" s="15">
        <v>235.32</v>
      </c>
      <c r="G103" s="15">
        <v>171.76</v>
      </c>
      <c r="H103" s="15">
        <v>234.16</v>
      </c>
      <c r="I103" s="15">
        <v>243.11</v>
      </c>
      <c r="J103" s="15">
        <v>192.44</v>
      </c>
      <c r="K103" s="15">
        <v>153.82</v>
      </c>
      <c r="L103" s="15">
        <v>142.03</v>
      </c>
      <c r="M103" s="15">
        <v>130.79</v>
      </c>
      <c r="N103" s="15">
        <v>127.82</v>
      </c>
      <c r="O103" s="18">
        <v>95.24</v>
      </c>
      <c r="P103" s="15">
        <v>121.35</v>
      </c>
      <c r="Q103" s="18">
        <v>90.02</v>
      </c>
      <c r="R103" s="18">
        <v>77.36</v>
      </c>
      <c r="S103" s="18">
        <v>94.41</v>
      </c>
      <c r="T103" s="18">
        <v>82.87</v>
      </c>
      <c r="U103" s="15">
        <v>137.94</v>
      </c>
      <c r="V103" s="18">
        <v>59.64</v>
      </c>
      <c r="W103" s="18">
        <v>20.76</v>
      </c>
    </row>
    <row r="104" ht="15.0" customHeight="1">
      <c r="A104" s="14" t="s">
        <v>293</v>
      </c>
      <c r="B104" s="15">
        <v>214.47</v>
      </c>
      <c r="C104" s="15">
        <v>208.05</v>
      </c>
      <c r="D104" s="15">
        <v>123.02</v>
      </c>
      <c r="E104" s="15">
        <v>107.88</v>
      </c>
      <c r="F104" s="18">
        <v>64.73</v>
      </c>
      <c r="G104" s="18">
        <v>35.68</v>
      </c>
      <c r="H104" s="15">
        <v>114.59</v>
      </c>
      <c r="I104" s="18">
        <v>53.18</v>
      </c>
      <c r="J104" s="18">
        <v>83.02</v>
      </c>
      <c r="K104" s="18">
        <v>70.41</v>
      </c>
      <c r="L104" s="18">
        <v>98.08</v>
      </c>
      <c r="M104" s="18">
        <v>94.53</v>
      </c>
      <c r="N104" s="18">
        <v>38.47</v>
      </c>
      <c r="O104" s="18">
        <v>4.27</v>
      </c>
      <c r="P104" s="18">
        <v>23.4</v>
      </c>
      <c r="Q104" s="18">
        <v>19.44</v>
      </c>
      <c r="R104" s="18">
        <v>14.21</v>
      </c>
      <c r="S104" s="18">
        <v>9.96</v>
      </c>
      <c r="T104" s="18">
        <v>19.38</v>
      </c>
      <c r="U104" s="18">
        <v>14.34</v>
      </c>
      <c r="V104" s="18">
        <v>6.18</v>
      </c>
      <c r="W104" s="18">
        <v>14.73</v>
      </c>
    </row>
    <row r="105" ht="15.0" customHeight="1">
      <c r="A105" s="14" t="s">
        <v>294</v>
      </c>
      <c r="B105" s="15">
        <v>164.11</v>
      </c>
      <c r="C105" s="15">
        <v>143.38</v>
      </c>
      <c r="D105" s="15">
        <v>114.75</v>
      </c>
      <c r="E105" s="15">
        <v>189.32</v>
      </c>
      <c r="F105" s="18">
        <v>94.0</v>
      </c>
      <c r="G105" s="18">
        <v>97.52</v>
      </c>
      <c r="H105" s="18">
        <v>82.85</v>
      </c>
      <c r="I105" s="18">
        <v>52.72</v>
      </c>
      <c r="J105" s="18">
        <v>35.4</v>
      </c>
      <c r="K105" s="18">
        <v>49.59</v>
      </c>
      <c r="L105" s="18">
        <v>25.98</v>
      </c>
      <c r="M105" s="18">
        <v>28.17</v>
      </c>
      <c r="N105" s="18">
        <v>27.24</v>
      </c>
      <c r="O105" s="18">
        <v>26.49</v>
      </c>
      <c r="P105" s="18">
        <v>21.72</v>
      </c>
      <c r="Q105" s="18">
        <v>15.03</v>
      </c>
      <c r="R105" s="18">
        <v>15.56</v>
      </c>
      <c r="S105" s="18">
        <v>53.19</v>
      </c>
      <c r="T105" s="18">
        <v>37.62</v>
      </c>
      <c r="U105" s="18">
        <v>68.26</v>
      </c>
      <c r="V105" s="18">
        <v>36.95</v>
      </c>
      <c r="W105" s="18">
        <v>3.74</v>
      </c>
    </row>
    <row r="106" ht="15.0" customHeight="1">
      <c r="A106" s="14" t="s">
        <v>295</v>
      </c>
      <c r="B106" s="15">
        <v>599.0</v>
      </c>
      <c r="C106" s="15">
        <v>553.68</v>
      </c>
      <c r="D106" s="15">
        <v>507.44</v>
      </c>
      <c r="E106" s="15">
        <v>411.5</v>
      </c>
      <c r="F106" s="15">
        <v>372.88</v>
      </c>
      <c r="G106" s="15">
        <v>327.9</v>
      </c>
      <c r="H106" s="15">
        <v>362.06</v>
      </c>
      <c r="I106" s="15">
        <v>337.23</v>
      </c>
      <c r="J106" s="15">
        <v>288.76</v>
      </c>
      <c r="K106" s="15">
        <v>266.4</v>
      </c>
      <c r="L106" s="15">
        <v>246.72</v>
      </c>
      <c r="M106" s="15">
        <v>209.97</v>
      </c>
      <c r="N106" s="15">
        <v>157.43</v>
      </c>
      <c r="O106" s="18">
        <v>93.98</v>
      </c>
      <c r="P106" s="15">
        <v>108.73</v>
      </c>
      <c r="Q106" s="18">
        <v>93.18</v>
      </c>
      <c r="R106" s="18">
        <v>85.51</v>
      </c>
      <c r="S106" s="18">
        <v>89.79</v>
      </c>
      <c r="T106" s="19"/>
      <c r="U106" s="19"/>
      <c r="V106" s="19"/>
      <c r="W106" s="19"/>
    </row>
    <row r="107" ht="15.0" customHeight="1">
      <c r="A107" s="14" t="s">
        <v>296</v>
      </c>
      <c r="B107" s="15">
        <v>358.83</v>
      </c>
      <c r="C107" s="15">
        <v>116.59</v>
      </c>
      <c r="D107" s="18">
        <v>97.12</v>
      </c>
      <c r="E107" s="15">
        <v>181.47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297</v>
      </c>
      <c r="B108" s="15">
        <v>482.71</v>
      </c>
      <c r="C108" s="15">
        <v>447.37</v>
      </c>
      <c r="D108" s="15">
        <v>395.39</v>
      </c>
      <c r="E108" s="15">
        <v>300.27</v>
      </c>
      <c r="F108" s="15">
        <v>282.55</v>
      </c>
      <c r="G108" s="15">
        <v>327.02</v>
      </c>
      <c r="H108" s="15">
        <v>240.38</v>
      </c>
      <c r="I108" s="15">
        <v>213.31</v>
      </c>
      <c r="J108" s="15">
        <v>234.56</v>
      </c>
      <c r="K108" s="15">
        <v>233.1</v>
      </c>
      <c r="L108" s="15">
        <v>197.21</v>
      </c>
      <c r="M108" s="15">
        <v>172.57</v>
      </c>
      <c r="N108" s="15">
        <v>143.6</v>
      </c>
      <c r="O108" s="18">
        <v>84.08</v>
      </c>
      <c r="P108" s="18">
        <v>92.05</v>
      </c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298</v>
      </c>
      <c r="B109" s="19"/>
      <c r="C109" s="19"/>
      <c r="D109" s="19"/>
      <c r="E109" s="19"/>
      <c r="F109" s="19"/>
      <c r="G109" s="19"/>
      <c r="H109" s="18">
        <v>4.93</v>
      </c>
      <c r="I109" s="18">
        <v>6.95</v>
      </c>
      <c r="J109" s="18">
        <v>6.51</v>
      </c>
      <c r="K109" s="18">
        <v>5.91</v>
      </c>
      <c r="L109" s="18">
        <v>7.86</v>
      </c>
      <c r="M109" s="18">
        <v>7.27</v>
      </c>
      <c r="N109" s="18">
        <v>5.87</v>
      </c>
      <c r="O109" s="19"/>
      <c r="P109" s="19"/>
      <c r="Q109" s="19"/>
      <c r="R109" s="18">
        <v>69.52</v>
      </c>
      <c r="S109" s="18">
        <v>50.55</v>
      </c>
      <c r="T109" s="19"/>
      <c r="U109" s="19"/>
      <c r="V109" s="19"/>
      <c r="W109" s="19"/>
    </row>
    <row r="110" ht="15.0" customHeight="1">
      <c r="A110" s="14" t="s">
        <v>299</v>
      </c>
      <c r="B110" s="15">
        <v>252.53</v>
      </c>
      <c r="C110" s="15">
        <v>261.79</v>
      </c>
      <c r="D110" s="15">
        <v>243.2</v>
      </c>
      <c r="E110" s="15">
        <v>168.7</v>
      </c>
      <c r="F110" s="15">
        <v>132.9</v>
      </c>
      <c r="G110" s="15">
        <v>152.44</v>
      </c>
      <c r="H110" s="15">
        <v>118.62</v>
      </c>
      <c r="I110" s="15">
        <v>126.72</v>
      </c>
      <c r="J110" s="15">
        <v>165.1</v>
      </c>
      <c r="K110" s="15">
        <v>150.46</v>
      </c>
      <c r="L110" s="15">
        <v>114.08</v>
      </c>
      <c r="M110" s="18">
        <v>77.99</v>
      </c>
      <c r="N110" s="18">
        <v>67.34</v>
      </c>
      <c r="O110" s="19"/>
      <c r="P110" s="19"/>
      <c r="Q110" s="18">
        <v>54.75</v>
      </c>
      <c r="R110" s="18">
        <v>76.38</v>
      </c>
      <c r="S110" s="18">
        <v>59.82</v>
      </c>
      <c r="T110" s="19"/>
      <c r="U110" s="19"/>
      <c r="V110" s="19"/>
      <c r="W110" s="19"/>
    </row>
    <row r="111" ht="15.0" customHeight="1">
      <c r="A111" s="14" t="s">
        <v>300</v>
      </c>
      <c r="B111" s="18">
        <v>69.01</v>
      </c>
      <c r="C111" s="18">
        <v>56.59</v>
      </c>
      <c r="D111" s="18">
        <v>48.63</v>
      </c>
      <c r="E111" s="18">
        <v>40.37</v>
      </c>
      <c r="F111" s="18">
        <v>35.45</v>
      </c>
      <c r="G111" s="18">
        <v>40.2</v>
      </c>
      <c r="H111" s="18">
        <v>36.38</v>
      </c>
      <c r="I111" s="18">
        <v>36.99</v>
      </c>
      <c r="J111" s="18">
        <v>39.3</v>
      </c>
      <c r="K111" s="18">
        <v>29.87</v>
      </c>
      <c r="L111" s="18">
        <v>25.89</v>
      </c>
      <c r="M111" s="18">
        <v>26.0</v>
      </c>
      <c r="N111" s="18">
        <v>37.13</v>
      </c>
      <c r="O111" s="18">
        <v>11.74</v>
      </c>
      <c r="P111" s="19"/>
      <c r="Q111" s="19"/>
      <c r="R111" s="19"/>
      <c r="S111" s="19"/>
      <c r="T111" s="19"/>
      <c r="U111" s="19"/>
      <c r="V111" s="19"/>
      <c r="W111" s="19"/>
    </row>
    <row r="112" ht="15.0" customHeight="1">
      <c r="A112" s="14" t="s">
        <v>301</v>
      </c>
      <c r="B112" s="18">
        <v>30.27</v>
      </c>
      <c r="C112" s="18">
        <v>30.94</v>
      </c>
      <c r="D112" s="18">
        <v>28.8</v>
      </c>
      <c r="E112" s="18">
        <v>32.49</v>
      </c>
      <c r="F112" s="18">
        <v>29.69</v>
      </c>
      <c r="G112" s="18">
        <v>26.55</v>
      </c>
      <c r="H112" s="18">
        <v>18.58</v>
      </c>
      <c r="I112" s="18">
        <v>6.97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302</v>
      </c>
      <c r="B113" s="18">
        <v>46.02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4" t="s">
        <v>303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8">
        <v>20.54</v>
      </c>
      <c r="M114" s="18">
        <v>17.36</v>
      </c>
      <c r="N114" s="18">
        <v>14.1</v>
      </c>
      <c r="O114" s="18">
        <v>12.93</v>
      </c>
      <c r="P114" s="18">
        <v>13.89</v>
      </c>
      <c r="Q114" s="18">
        <v>13.53</v>
      </c>
      <c r="R114" s="18">
        <v>13.46</v>
      </c>
      <c r="S114" s="18">
        <v>16.14</v>
      </c>
      <c r="T114" s="19"/>
      <c r="U114" s="19"/>
      <c r="V114" s="19"/>
      <c r="W114" s="19"/>
    </row>
    <row r="115" ht="15.0" customHeight="1">
      <c r="A115" s="14" t="s">
        <v>304</v>
      </c>
      <c r="B115" s="18">
        <v>42.33</v>
      </c>
      <c r="C115" s="18">
        <v>44.67</v>
      </c>
      <c r="D115" s="18">
        <v>28.66</v>
      </c>
      <c r="E115" s="18">
        <v>18.11</v>
      </c>
      <c r="F115" s="18">
        <v>16.77</v>
      </c>
      <c r="G115" s="18">
        <v>16.67</v>
      </c>
      <c r="H115" s="18">
        <v>16.15</v>
      </c>
      <c r="I115" s="19"/>
      <c r="J115" s="19"/>
      <c r="K115" s="19"/>
      <c r="L115" s="19"/>
      <c r="M115" s="19"/>
      <c r="N115" s="19"/>
      <c r="O115" s="18">
        <v>46.61</v>
      </c>
      <c r="P115" s="19"/>
      <c r="Q115" s="15">
        <v>111.48</v>
      </c>
      <c r="R115" s="19"/>
      <c r="S115" s="19"/>
      <c r="T115" s="19"/>
      <c r="U115" s="19"/>
      <c r="V115" s="19"/>
      <c r="W115" s="19"/>
    </row>
    <row r="116" ht="15.0" customHeight="1">
      <c r="A116" s="14" t="s">
        <v>305</v>
      </c>
      <c r="B116" s="18">
        <v>42.56</v>
      </c>
      <c r="C116" s="18">
        <v>53.38</v>
      </c>
      <c r="D116" s="18">
        <v>46.09</v>
      </c>
      <c r="E116" s="18">
        <v>40.6</v>
      </c>
      <c r="F116" s="18">
        <v>67.75</v>
      </c>
      <c r="G116" s="18">
        <v>91.17</v>
      </c>
      <c r="H116" s="18">
        <v>45.72</v>
      </c>
      <c r="I116" s="18">
        <v>35.68</v>
      </c>
      <c r="J116" s="18">
        <v>23.65</v>
      </c>
      <c r="K116" s="18">
        <v>46.86</v>
      </c>
      <c r="L116" s="18">
        <v>28.84</v>
      </c>
      <c r="M116" s="18">
        <v>43.96</v>
      </c>
      <c r="N116" s="18">
        <v>19.16</v>
      </c>
      <c r="O116" s="18">
        <v>12.8</v>
      </c>
      <c r="P116" s="18">
        <v>78.16</v>
      </c>
      <c r="Q116" s="18">
        <v>43.2</v>
      </c>
      <c r="R116" s="18">
        <v>17.43</v>
      </c>
      <c r="S116" s="18">
        <v>15.75</v>
      </c>
      <c r="T116" s="15">
        <v>147.19</v>
      </c>
      <c r="U116" s="15">
        <v>108.29</v>
      </c>
      <c r="V116" s="18">
        <v>91.09</v>
      </c>
      <c r="W116" s="18">
        <v>58.08</v>
      </c>
    </row>
    <row r="117" ht="15.0" customHeight="1">
      <c r="A117" s="14" t="s">
        <v>306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8">
        <v>9.66</v>
      </c>
      <c r="U117" s="19">
        <v>0.0</v>
      </c>
      <c r="V117" s="19"/>
      <c r="W117" s="19"/>
    </row>
    <row r="118" ht="15.0" customHeight="1">
      <c r="A118" s="14" t="s">
        <v>307</v>
      </c>
      <c r="B118" s="18">
        <v>0.01</v>
      </c>
      <c r="C118" s="20">
        <v>-0.01</v>
      </c>
      <c r="D118" s="19"/>
      <c r="E118" s="20">
        <v>-0.01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6" t="s">
        <v>308</v>
      </c>
      <c r="B119" s="17">
        <v>3113.91</v>
      </c>
      <c r="C119" s="17">
        <v>2378.66</v>
      </c>
      <c r="D119" s="17">
        <v>1988.49</v>
      </c>
      <c r="E119" s="17">
        <v>2321.84</v>
      </c>
      <c r="F119" s="17">
        <v>1642.06</v>
      </c>
      <c r="G119" s="17">
        <v>1263.57</v>
      </c>
      <c r="H119" s="17">
        <v>1238.42</v>
      </c>
      <c r="I119" s="17">
        <v>1015.6</v>
      </c>
      <c r="J119" s="17">
        <v>1040.99</v>
      </c>
      <c r="K119" s="17">
        <v>984.32</v>
      </c>
      <c r="L119" s="17">
        <v>710.53</v>
      </c>
      <c r="M119" s="17">
        <v>636.79</v>
      </c>
      <c r="N119" s="17">
        <v>615.87</v>
      </c>
      <c r="O119" s="17">
        <v>417.29</v>
      </c>
      <c r="P119" s="17">
        <v>492.49</v>
      </c>
      <c r="Q119" s="17">
        <v>497.04</v>
      </c>
      <c r="R119" s="17">
        <v>457.39</v>
      </c>
      <c r="S119" s="17">
        <v>909.06</v>
      </c>
      <c r="T119" s="17">
        <v>794.43</v>
      </c>
      <c r="U119" s="17">
        <v>1349.87</v>
      </c>
      <c r="V119" s="17">
        <v>268.36</v>
      </c>
      <c r="W119" s="17">
        <v>112.85</v>
      </c>
    </row>
    <row r="120" ht="15.0" customHeight="1">
      <c r="A120" s="14" t="s">
        <v>290</v>
      </c>
      <c r="B120" s="15">
        <v>2938.92</v>
      </c>
      <c r="C120" s="15">
        <v>3736.52</v>
      </c>
      <c r="D120" s="15">
        <v>3160.14</v>
      </c>
      <c r="E120" s="15">
        <v>2720.58</v>
      </c>
      <c r="F120" s="15">
        <v>2309.03</v>
      </c>
      <c r="G120" s="15">
        <v>2916.3</v>
      </c>
      <c r="H120" s="15">
        <v>2141.3</v>
      </c>
      <c r="I120" s="15">
        <v>1918.21</v>
      </c>
      <c r="J120" s="15">
        <v>1095.53</v>
      </c>
      <c r="K120" s="15">
        <v>1123.63</v>
      </c>
      <c r="L120" s="15">
        <v>742.53</v>
      </c>
      <c r="M120" s="15">
        <v>909.48</v>
      </c>
      <c r="N120" s="15">
        <v>785.93</v>
      </c>
      <c r="O120" s="15">
        <v>465.86</v>
      </c>
      <c r="P120" s="15">
        <v>658.1</v>
      </c>
      <c r="Q120" s="15">
        <v>922.05</v>
      </c>
      <c r="R120" s="19"/>
      <c r="S120" s="19"/>
      <c r="T120" s="19"/>
      <c r="U120" s="19"/>
      <c r="V120" s="19"/>
      <c r="W120" s="19"/>
    </row>
    <row r="121" ht="15.0" customHeight="1">
      <c r="A121" s="14" t="s">
        <v>290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5">
        <v>898.33</v>
      </c>
      <c r="R121" s="15">
        <v>1202.75</v>
      </c>
      <c r="S121" s="15">
        <v>1271.51</v>
      </c>
      <c r="T121" s="15">
        <v>1126.71</v>
      </c>
      <c r="U121" s="15">
        <v>1237.93</v>
      </c>
      <c r="V121" s="15">
        <v>1248.54</v>
      </c>
      <c r="W121" s="15">
        <v>195.57</v>
      </c>
    </row>
    <row r="122" ht="15.0" customHeight="1">
      <c r="A122" s="14" t="s">
        <v>309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8">
        <v>23.72</v>
      </c>
      <c r="R122" s="18">
        <v>15.5</v>
      </c>
      <c r="S122" s="18">
        <v>0.29</v>
      </c>
      <c r="T122" s="18">
        <v>0.54</v>
      </c>
      <c r="U122" s="18">
        <v>16.95</v>
      </c>
      <c r="V122" s="18">
        <v>15.85</v>
      </c>
      <c r="W122" s="18">
        <v>2.02</v>
      </c>
    </row>
    <row r="123" ht="15.0" customHeight="1">
      <c r="A123" s="14" t="s">
        <v>291</v>
      </c>
      <c r="B123" s="15">
        <v>1544.02</v>
      </c>
      <c r="C123" s="15">
        <v>1344.32</v>
      </c>
      <c r="D123" s="15">
        <v>1141.26</v>
      </c>
      <c r="E123" s="15">
        <v>1140.08</v>
      </c>
      <c r="F123" s="15">
        <v>1045.13</v>
      </c>
      <c r="G123" s="15">
        <v>926.52</v>
      </c>
      <c r="H123" s="15">
        <v>816.48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ht="15.0" customHeight="1">
      <c r="A124" s="14" t="s">
        <v>310</v>
      </c>
      <c r="B124" s="15">
        <v>400.22</v>
      </c>
      <c r="C124" s="15">
        <v>425.96</v>
      </c>
      <c r="D124" s="15">
        <v>291.66</v>
      </c>
      <c r="E124" s="15">
        <v>289.94</v>
      </c>
      <c r="F124" s="15">
        <v>255.63</v>
      </c>
      <c r="G124" s="15">
        <v>223.48</v>
      </c>
      <c r="H124" s="15">
        <v>260.46</v>
      </c>
      <c r="I124" s="15">
        <v>197.88</v>
      </c>
      <c r="J124" s="15">
        <v>183.08</v>
      </c>
      <c r="K124" s="15">
        <v>247.24</v>
      </c>
      <c r="L124" s="15">
        <v>185.21</v>
      </c>
      <c r="M124" s="15">
        <v>159.42</v>
      </c>
      <c r="N124" s="15">
        <v>128.1</v>
      </c>
      <c r="O124" s="18">
        <v>98.39</v>
      </c>
      <c r="P124" s="18">
        <v>95.69</v>
      </c>
      <c r="Q124" s="18">
        <v>79.71</v>
      </c>
      <c r="R124" s="18">
        <v>63.87</v>
      </c>
      <c r="S124" s="15">
        <v>188.05</v>
      </c>
      <c r="T124" s="15">
        <v>156.66</v>
      </c>
      <c r="U124" s="15">
        <v>206.95</v>
      </c>
      <c r="V124" s="15">
        <v>187.69</v>
      </c>
      <c r="W124" s="18">
        <v>17.4</v>
      </c>
    </row>
    <row r="125" ht="15.0" customHeight="1">
      <c r="A125" s="14" t="s">
        <v>294</v>
      </c>
      <c r="B125" s="18">
        <v>87.74</v>
      </c>
      <c r="C125" s="18">
        <v>90.21</v>
      </c>
      <c r="D125" s="18">
        <v>67.56</v>
      </c>
      <c r="E125" s="18">
        <v>56.9</v>
      </c>
      <c r="F125" s="18">
        <v>77.39</v>
      </c>
      <c r="G125" s="18">
        <v>68.24</v>
      </c>
      <c r="H125" s="18">
        <v>57.37</v>
      </c>
      <c r="I125" s="18">
        <v>65.62</v>
      </c>
      <c r="J125" s="18">
        <v>55.12</v>
      </c>
      <c r="K125" s="18">
        <v>56.3</v>
      </c>
      <c r="L125" s="18">
        <v>44.36</v>
      </c>
      <c r="M125" s="18">
        <v>49.53</v>
      </c>
      <c r="N125" s="18">
        <v>28.82</v>
      </c>
      <c r="O125" s="18">
        <v>26.91</v>
      </c>
      <c r="P125" s="18">
        <v>26.85</v>
      </c>
      <c r="Q125" s="18">
        <v>27.47</v>
      </c>
      <c r="R125" s="18">
        <v>33.28</v>
      </c>
      <c r="S125" s="18">
        <v>24.83</v>
      </c>
      <c r="T125" s="18">
        <v>16.95</v>
      </c>
      <c r="U125" s="19">
        <v>0.0</v>
      </c>
      <c r="V125" s="19"/>
      <c r="W125" s="19"/>
    </row>
    <row r="126" ht="15.0" customHeight="1">
      <c r="A126" s="14" t="s">
        <v>311</v>
      </c>
      <c r="B126" s="15">
        <v>114.13</v>
      </c>
      <c r="C126" s="18">
        <v>97.62</v>
      </c>
      <c r="D126" s="18">
        <v>73.75</v>
      </c>
      <c r="E126" s="18">
        <v>59.19</v>
      </c>
      <c r="F126" s="18">
        <v>55.04</v>
      </c>
      <c r="G126" s="18">
        <v>57.81</v>
      </c>
      <c r="H126" s="18">
        <v>59.7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ht="15.0" customHeight="1">
      <c r="A127" s="14" t="s">
        <v>296</v>
      </c>
      <c r="B127" s="15">
        <v>197.03</v>
      </c>
      <c r="C127" s="15">
        <v>544.94</v>
      </c>
      <c r="D127" s="15">
        <v>175.85</v>
      </c>
      <c r="E127" s="15">
        <v>169.62</v>
      </c>
      <c r="F127" s="18">
        <v>78.69</v>
      </c>
      <c r="G127" s="18">
        <v>9.42</v>
      </c>
      <c r="H127" s="18">
        <v>6.13</v>
      </c>
      <c r="I127" s="18">
        <v>50.99</v>
      </c>
      <c r="J127" s="18">
        <v>26.44</v>
      </c>
      <c r="K127" s="19">
        <v>0.0</v>
      </c>
      <c r="L127" s="18">
        <v>0.4</v>
      </c>
      <c r="M127" s="18">
        <v>3.52</v>
      </c>
      <c r="N127" s="18">
        <v>7.67</v>
      </c>
      <c r="O127" s="18">
        <v>11.97</v>
      </c>
      <c r="P127" s="18">
        <v>13.24</v>
      </c>
      <c r="Q127" s="18">
        <v>7.91</v>
      </c>
      <c r="R127" s="18">
        <v>57.91</v>
      </c>
      <c r="S127" s="18">
        <v>65.8</v>
      </c>
      <c r="T127" s="19">
        <v>0.0</v>
      </c>
      <c r="U127" s="19"/>
      <c r="V127" s="19"/>
      <c r="W127" s="19"/>
    </row>
    <row r="128" ht="15.0" customHeight="1">
      <c r="A128" s="14" t="s">
        <v>312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>
        <v>0.0</v>
      </c>
      <c r="M128" s="18">
        <v>2.11</v>
      </c>
      <c r="N128" s="19">
        <v>0.0</v>
      </c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313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8">
        <v>0.22</v>
      </c>
      <c r="W129" s="18">
        <v>1.46</v>
      </c>
    </row>
    <row r="130" ht="15.0" customHeight="1">
      <c r="A130" s="14" t="s">
        <v>314</v>
      </c>
      <c r="B130" s="20">
        <v>-0.01</v>
      </c>
      <c r="C130" s="20">
        <v>-0.01</v>
      </c>
      <c r="D130" s="19"/>
      <c r="E130" s="20">
        <v>-0.01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6" t="s">
        <v>315</v>
      </c>
      <c r="B131" s="17">
        <v>5282.05</v>
      </c>
      <c r="C131" s="17">
        <v>6239.56</v>
      </c>
      <c r="D131" s="17">
        <v>4910.23</v>
      </c>
      <c r="E131" s="17">
        <v>4436.29</v>
      </c>
      <c r="F131" s="17">
        <v>3820.91</v>
      </c>
      <c r="G131" s="17">
        <v>4201.76</v>
      </c>
      <c r="H131" s="17">
        <v>3341.43</v>
      </c>
      <c r="I131" s="17">
        <v>2232.71</v>
      </c>
      <c r="J131" s="17">
        <v>1360.17</v>
      </c>
      <c r="K131" s="17">
        <v>1427.18</v>
      </c>
      <c r="L131" s="17">
        <v>972.5</v>
      </c>
      <c r="M131" s="17">
        <v>1124.06</v>
      </c>
      <c r="N131" s="17">
        <v>950.52</v>
      </c>
      <c r="O131" s="17">
        <v>603.13</v>
      </c>
      <c r="P131" s="17">
        <v>793.88</v>
      </c>
      <c r="Q131" s="17">
        <v>1037.12</v>
      </c>
      <c r="R131" s="17">
        <v>1373.3</v>
      </c>
      <c r="S131" s="17">
        <v>1550.48</v>
      </c>
      <c r="T131" s="17">
        <v>1300.86</v>
      </c>
      <c r="U131" s="17">
        <v>1461.83</v>
      </c>
      <c r="V131" s="17">
        <v>1452.29</v>
      </c>
      <c r="W131" s="17">
        <v>216.44</v>
      </c>
    </row>
    <row r="132" ht="15.0" customHeight="1">
      <c r="A132" s="16" t="s">
        <v>316</v>
      </c>
      <c r="B132" s="17">
        <v>8395.96</v>
      </c>
      <c r="C132" s="17">
        <v>8618.22</v>
      </c>
      <c r="D132" s="17">
        <v>6898.72</v>
      </c>
      <c r="E132" s="17">
        <v>6758.13</v>
      </c>
      <c r="F132" s="17">
        <v>5462.97</v>
      </c>
      <c r="G132" s="17">
        <v>5465.33</v>
      </c>
      <c r="H132" s="17">
        <v>4579.85</v>
      </c>
      <c r="I132" s="17">
        <v>3248.31</v>
      </c>
      <c r="J132" s="17">
        <v>2401.16</v>
      </c>
      <c r="K132" s="17">
        <v>2411.49</v>
      </c>
      <c r="L132" s="17">
        <v>1683.03</v>
      </c>
      <c r="M132" s="17">
        <v>1760.84</v>
      </c>
      <c r="N132" s="17">
        <v>1566.39</v>
      </c>
      <c r="O132" s="17">
        <v>1020.42</v>
      </c>
      <c r="P132" s="17">
        <v>1286.37</v>
      </c>
      <c r="Q132" s="17">
        <v>1534.16</v>
      </c>
      <c r="R132" s="17">
        <v>1830.69</v>
      </c>
      <c r="S132" s="17">
        <v>2459.55</v>
      </c>
      <c r="T132" s="17">
        <v>2095.29</v>
      </c>
      <c r="U132" s="17">
        <v>2811.7</v>
      </c>
      <c r="V132" s="17">
        <v>1720.65</v>
      </c>
      <c r="W132" s="17">
        <v>329.29</v>
      </c>
    </row>
    <row r="133" ht="15.0" customHeight="1">
      <c r="A133" s="14" t="s">
        <v>317</v>
      </c>
      <c r="B133" s="15">
        <v>990.49</v>
      </c>
      <c r="C133" s="15">
        <v>1062.28</v>
      </c>
      <c r="D133" s="15">
        <v>671.55</v>
      </c>
      <c r="E133" s="15">
        <v>648.64</v>
      </c>
      <c r="F133" s="15">
        <v>665.53</v>
      </c>
      <c r="G133" s="15">
        <v>642.24</v>
      </c>
      <c r="H133" s="15">
        <v>683.07</v>
      </c>
      <c r="I133" s="15">
        <v>810.02</v>
      </c>
      <c r="J133" s="15">
        <v>931.69</v>
      </c>
      <c r="K133" s="15">
        <v>1292.15</v>
      </c>
      <c r="L133" s="15">
        <v>1542.76</v>
      </c>
      <c r="M133" s="15">
        <v>1264.25</v>
      </c>
      <c r="N133" s="15">
        <v>1203.34</v>
      </c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318</v>
      </c>
      <c r="B134" s="18">
        <v>48.64</v>
      </c>
      <c r="C134" s="18">
        <v>54.88</v>
      </c>
      <c r="D134" s="18">
        <v>48.46</v>
      </c>
      <c r="E134" s="18">
        <v>46.84</v>
      </c>
      <c r="F134" s="18">
        <v>42.23</v>
      </c>
      <c r="G134" s="18">
        <v>41.12</v>
      </c>
      <c r="H134" s="18">
        <v>42.08</v>
      </c>
      <c r="I134" s="18">
        <v>41.56</v>
      </c>
      <c r="J134" s="18">
        <v>39.8</v>
      </c>
      <c r="K134" s="18">
        <v>42.61</v>
      </c>
      <c r="L134" s="18">
        <v>44.08</v>
      </c>
      <c r="M134" s="18">
        <v>37.12</v>
      </c>
      <c r="N134" s="18">
        <v>30.62</v>
      </c>
      <c r="O134" s="18">
        <v>27.95</v>
      </c>
      <c r="P134" s="18">
        <v>30.03</v>
      </c>
      <c r="Q134" s="18">
        <v>29.5</v>
      </c>
      <c r="R134" s="18">
        <v>29.36</v>
      </c>
      <c r="S134" s="18">
        <v>33.48</v>
      </c>
      <c r="T134" s="18">
        <v>26.2</v>
      </c>
      <c r="U134" s="18">
        <v>25.99</v>
      </c>
      <c r="V134" s="18">
        <v>28.05</v>
      </c>
      <c r="W134" s="18">
        <v>18.48</v>
      </c>
    </row>
    <row r="135" ht="15.0" customHeight="1">
      <c r="A135" s="14" t="s">
        <v>319</v>
      </c>
      <c r="B135" s="15">
        <v>941.85</v>
      </c>
      <c r="C135" s="15">
        <v>1007.4</v>
      </c>
      <c r="D135" s="15">
        <v>623.1</v>
      </c>
      <c r="E135" s="15">
        <v>601.8</v>
      </c>
      <c r="F135" s="15">
        <v>623.3</v>
      </c>
      <c r="G135" s="15">
        <v>601.11</v>
      </c>
      <c r="H135" s="15">
        <v>640.99</v>
      </c>
      <c r="I135" s="15">
        <v>768.46</v>
      </c>
      <c r="J135" s="15">
        <v>891.9</v>
      </c>
      <c r="K135" s="15">
        <v>1249.54</v>
      </c>
      <c r="L135" s="15">
        <v>1498.68</v>
      </c>
      <c r="M135" s="15">
        <v>1227.13</v>
      </c>
      <c r="N135" s="15">
        <v>1172.72</v>
      </c>
      <c r="O135" s="15">
        <v>1050.11</v>
      </c>
      <c r="P135" s="15">
        <v>1128.18</v>
      </c>
      <c r="Q135" s="15">
        <v>1146.48</v>
      </c>
      <c r="R135" s="15">
        <v>1140.89</v>
      </c>
      <c r="S135" s="15">
        <v>1167.37</v>
      </c>
      <c r="T135" s="15">
        <v>915.62</v>
      </c>
      <c r="U135" s="15">
        <v>644.37</v>
      </c>
      <c r="V135" s="15">
        <v>702.42</v>
      </c>
      <c r="W135" s="15">
        <v>107.83</v>
      </c>
    </row>
    <row r="136" ht="15.0" customHeight="1">
      <c r="A136" s="14" t="s">
        <v>320</v>
      </c>
      <c r="B136" s="22">
        <v>-507.91</v>
      </c>
      <c r="C136" s="22">
        <v>-856.86</v>
      </c>
      <c r="D136" s="22">
        <v>-649.1</v>
      </c>
      <c r="E136" s="22">
        <v>-690.33</v>
      </c>
      <c r="F136" s="22">
        <v>-404.38</v>
      </c>
      <c r="G136" s="22">
        <v>-270.32</v>
      </c>
      <c r="H136" s="22">
        <v>-413.53</v>
      </c>
      <c r="I136" s="22">
        <v>-400.8</v>
      </c>
      <c r="J136" s="22">
        <v>-270.31</v>
      </c>
      <c r="K136" s="19"/>
      <c r="L136" s="19"/>
      <c r="M136" s="22">
        <v>-160.06</v>
      </c>
      <c r="N136" s="18">
        <v>24.77</v>
      </c>
      <c r="O136" s="18">
        <v>5.33</v>
      </c>
      <c r="P136" s="18">
        <v>16.26</v>
      </c>
      <c r="Q136" s="18">
        <v>18.69</v>
      </c>
      <c r="R136" s="18">
        <v>32.34</v>
      </c>
      <c r="S136" s="20">
        <v>-29.57</v>
      </c>
      <c r="T136" s="15">
        <v>132.1</v>
      </c>
      <c r="U136" s="18">
        <v>56.03</v>
      </c>
      <c r="V136" s="18">
        <v>25.43</v>
      </c>
      <c r="W136" s="18">
        <v>28.17</v>
      </c>
    </row>
    <row r="137" ht="15.0" customHeight="1">
      <c r="A137" s="14" t="s">
        <v>321</v>
      </c>
      <c r="B137" s="18">
        <v>12.74</v>
      </c>
      <c r="C137" s="18">
        <v>14.4</v>
      </c>
      <c r="D137" s="18">
        <v>12.84</v>
      </c>
      <c r="E137" s="18">
        <v>12.41</v>
      </c>
      <c r="F137" s="18">
        <v>11.16</v>
      </c>
      <c r="G137" s="18">
        <v>10.87</v>
      </c>
      <c r="H137" s="18">
        <v>11.12</v>
      </c>
      <c r="I137" s="18">
        <v>10.95</v>
      </c>
      <c r="J137" s="18">
        <v>10.4</v>
      </c>
      <c r="K137" s="18">
        <v>10.94</v>
      </c>
      <c r="L137" s="18">
        <v>11.2</v>
      </c>
      <c r="M137" s="18">
        <v>9.47</v>
      </c>
      <c r="N137" s="18">
        <v>7.69</v>
      </c>
      <c r="O137" s="18">
        <v>7.05</v>
      </c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322</v>
      </c>
      <c r="B138" s="18">
        <v>40.12</v>
      </c>
      <c r="C138" s="18">
        <v>56.66</v>
      </c>
      <c r="D138" s="18">
        <v>57.68</v>
      </c>
      <c r="E138" s="18">
        <v>50.45</v>
      </c>
      <c r="F138" s="18">
        <v>36.05</v>
      </c>
      <c r="G138" s="18">
        <v>21.5</v>
      </c>
      <c r="H138" s="18">
        <v>19.12</v>
      </c>
      <c r="I138" s="18">
        <v>28.38</v>
      </c>
      <c r="J138" s="18">
        <v>24.36</v>
      </c>
      <c r="K138" s="18">
        <v>13.41</v>
      </c>
      <c r="L138" s="18">
        <v>7.57</v>
      </c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323</v>
      </c>
      <c r="B139" s="20">
        <v>-2.54</v>
      </c>
      <c r="C139" s="18">
        <v>13.73</v>
      </c>
      <c r="D139" s="20">
        <v>-2.61</v>
      </c>
      <c r="E139" s="20">
        <v>-10.07</v>
      </c>
      <c r="F139" s="18">
        <v>1.0</v>
      </c>
      <c r="G139" s="18">
        <v>1.68</v>
      </c>
      <c r="H139" s="18">
        <v>4.53</v>
      </c>
      <c r="I139" s="20">
        <v>-5.42</v>
      </c>
      <c r="J139" s="20">
        <v>-5.89</v>
      </c>
      <c r="K139" s="18">
        <v>0.72</v>
      </c>
      <c r="L139" s="18">
        <v>0.45</v>
      </c>
      <c r="M139" s="20">
        <v>-6.4</v>
      </c>
      <c r="N139" s="20">
        <v>-4.46</v>
      </c>
      <c r="O139" s="20">
        <v>-8.83</v>
      </c>
      <c r="P139" s="20">
        <v>-17.8</v>
      </c>
      <c r="Q139" s="20">
        <v>-23.42</v>
      </c>
      <c r="R139" s="19"/>
      <c r="S139" s="19"/>
      <c r="T139" s="19"/>
      <c r="U139" s="19"/>
      <c r="V139" s="19"/>
      <c r="W139" s="19"/>
    </row>
    <row r="140" ht="15.0" customHeight="1">
      <c r="A140" s="14" t="s">
        <v>324</v>
      </c>
      <c r="B140" s="19">
        <v>0.0</v>
      </c>
      <c r="C140" s="19">
        <v>0.0</v>
      </c>
      <c r="D140" s="20">
        <v>-7.65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325</v>
      </c>
      <c r="B141" s="22">
        <v>-558.23</v>
      </c>
      <c r="C141" s="22">
        <v>-941.65</v>
      </c>
      <c r="D141" s="22">
        <v>-709.36</v>
      </c>
      <c r="E141" s="22">
        <v>-743.12</v>
      </c>
      <c r="F141" s="22">
        <v>-452.58</v>
      </c>
      <c r="G141" s="22">
        <v>-304.38</v>
      </c>
      <c r="H141" s="22">
        <v>-448.3</v>
      </c>
      <c r="I141" s="22">
        <v>-434.71</v>
      </c>
      <c r="J141" s="22">
        <v>-299.17</v>
      </c>
      <c r="K141" s="22">
        <v>-481.69</v>
      </c>
      <c r="L141" s="22">
        <v>-389.55</v>
      </c>
      <c r="M141" s="22">
        <v>-174.86</v>
      </c>
      <c r="N141" s="18">
        <v>13.53</v>
      </c>
      <c r="O141" s="18">
        <v>2.52</v>
      </c>
      <c r="P141" s="20">
        <v>-21.41</v>
      </c>
      <c r="Q141" s="18">
        <v>12.99</v>
      </c>
      <c r="R141" s="19"/>
      <c r="S141" s="19"/>
      <c r="T141" s="19"/>
      <c r="U141" s="19"/>
      <c r="V141" s="19"/>
      <c r="W141" s="19"/>
    </row>
    <row r="142" ht="15.0" customHeight="1">
      <c r="A142" s="14" t="s">
        <v>326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8">
        <v>11.74</v>
      </c>
      <c r="N142" s="18">
        <v>8.01</v>
      </c>
      <c r="O142" s="19"/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327</v>
      </c>
      <c r="B143" s="15">
        <v>8475.26</v>
      </c>
      <c r="C143" s="15">
        <v>8627.84</v>
      </c>
      <c r="D143" s="15">
        <v>7091.2</v>
      </c>
      <c r="E143" s="15">
        <v>6269.38</v>
      </c>
      <c r="F143" s="15">
        <v>5212.97</v>
      </c>
      <c r="G143" s="15">
        <v>4539.04</v>
      </c>
      <c r="H143" s="15">
        <v>4684.69</v>
      </c>
      <c r="I143" s="15">
        <v>4207.82</v>
      </c>
      <c r="J143" s="15">
        <v>3441.47</v>
      </c>
      <c r="K143" s="15">
        <v>3193.0</v>
      </c>
      <c r="L143" s="15">
        <v>2911.05</v>
      </c>
      <c r="M143" s="15">
        <v>2189.71</v>
      </c>
      <c r="N143" s="15">
        <v>1481.4</v>
      </c>
      <c r="O143" s="19"/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327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5">
        <v>1179.19</v>
      </c>
      <c r="P144" s="15">
        <v>1034.67</v>
      </c>
      <c r="Q144" s="15">
        <v>806.39</v>
      </c>
      <c r="R144" s="15">
        <v>600.47</v>
      </c>
      <c r="S144" s="15">
        <v>562.59</v>
      </c>
      <c r="T144" s="15">
        <v>286.28</v>
      </c>
      <c r="U144" s="15">
        <v>281.07</v>
      </c>
      <c r="V144" s="15">
        <v>274.7</v>
      </c>
      <c r="W144" s="15">
        <v>178.0</v>
      </c>
    </row>
    <row r="145" ht="15.0" customHeight="1">
      <c r="A145" s="14" t="s">
        <v>328</v>
      </c>
      <c r="B145" s="18">
        <v>0.01</v>
      </c>
      <c r="C145" s="19"/>
      <c r="D145" s="18">
        <v>0.01</v>
      </c>
      <c r="E145" s="20">
        <v>-0.01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6" t="s">
        <v>329</v>
      </c>
      <c r="B146" s="17">
        <v>8957.85</v>
      </c>
      <c r="C146" s="17">
        <v>8833.26</v>
      </c>
      <c r="D146" s="17">
        <v>7113.65</v>
      </c>
      <c r="E146" s="17">
        <v>6227.67</v>
      </c>
      <c r="F146" s="17">
        <v>5474.12</v>
      </c>
      <c r="G146" s="17">
        <v>4910.95</v>
      </c>
      <c r="H146" s="17">
        <v>4954.23</v>
      </c>
      <c r="I146" s="17">
        <v>4617.05</v>
      </c>
      <c r="J146" s="17">
        <v>4102.86</v>
      </c>
      <c r="K146" s="17">
        <v>4028.54</v>
      </c>
      <c r="L146" s="17">
        <v>4083.47</v>
      </c>
      <c r="M146" s="17">
        <v>3293.9</v>
      </c>
      <c r="N146" s="17">
        <v>2709.51</v>
      </c>
      <c r="O146" s="17">
        <v>2263.32</v>
      </c>
      <c r="P146" s="17">
        <v>2169.92</v>
      </c>
      <c r="Q146" s="17">
        <v>1990.65</v>
      </c>
      <c r="R146" s="17">
        <v>1803.06</v>
      </c>
      <c r="S146" s="17">
        <v>1733.88</v>
      </c>
      <c r="T146" s="17">
        <v>1360.2</v>
      </c>
      <c r="U146" s="17">
        <v>1007.46</v>
      </c>
      <c r="V146" s="17">
        <v>1030.6</v>
      </c>
      <c r="W146" s="17">
        <v>332.48</v>
      </c>
    </row>
    <row r="147" ht="15.0" customHeight="1">
      <c r="A147" s="14" t="s">
        <v>330</v>
      </c>
      <c r="B147" s="18">
        <v>52.85</v>
      </c>
      <c r="C147" s="18">
        <v>39.93</v>
      </c>
      <c r="D147" s="18">
        <v>31.65</v>
      </c>
      <c r="E147" s="20">
        <v>-1.9</v>
      </c>
      <c r="F147" s="18">
        <v>44.11</v>
      </c>
      <c r="G147" s="18">
        <v>40.13</v>
      </c>
      <c r="H147" s="18">
        <v>40.29</v>
      </c>
      <c r="I147" s="18">
        <v>26.57</v>
      </c>
      <c r="J147" s="18">
        <v>4.42</v>
      </c>
      <c r="K147" s="18">
        <v>6.59</v>
      </c>
      <c r="L147" s="18">
        <v>9.59</v>
      </c>
      <c r="M147" s="18">
        <v>9.65</v>
      </c>
      <c r="N147" s="18">
        <v>8.41</v>
      </c>
      <c r="O147" s="18">
        <v>4.9</v>
      </c>
      <c r="P147" s="18">
        <v>9.94</v>
      </c>
      <c r="Q147" s="18">
        <v>9.48</v>
      </c>
      <c r="R147" s="18">
        <v>5.78</v>
      </c>
      <c r="S147" s="19">
        <v>0.0</v>
      </c>
      <c r="T147" s="19"/>
      <c r="U147" s="19"/>
      <c r="V147" s="19"/>
      <c r="W147" s="19"/>
    </row>
    <row r="148" ht="15.0" customHeight="1">
      <c r="A148" s="16" t="s">
        <v>331</v>
      </c>
      <c r="B148" s="25">
        <v>52.85</v>
      </c>
      <c r="C148" s="25">
        <v>39.93</v>
      </c>
      <c r="D148" s="25">
        <v>31.65</v>
      </c>
      <c r="E148" s="24">
        <v>-1.9</v>
      </c>
      <c r="F148" s="25">
        <v>44.11</v>
      </c>
      <c r="G148" s="25">
        <v>40.13</v>
      </c>
      <c r="H148" s="25">
        <v>40.29</v>
      </c>
      <c r="I148" s="25">
        <v>26.57</v>
      </c>
      <c r="J148" s="25">
        <v>4.42</v>
      </c>
      <c r="K148" s="25">
        <v>6.59</v>
      </c>
      <c r="L148" s="25">
        <v>9.59</v>
      </c>
      <c r="M148" s="25">
        <v>9.65</v>
      </c>
      <c r="N148" s="25">
        <v>8.41</v>
      </c>
      <c r="O148" s="25">
        <v>4.9</v>
      </c>
      <c r="P148" s="25">
        <v>9.94</v>
      </c>
      <c r="Q148" s="21"/>
      <c r="R148" s="21"/>
      <c r="S148" s="21"/>
      <c r="T148" s="21"/>
      <c r="U148" s="21"/>
      <c r="V148" s="21"/>
      <c r="W148" s="21"/>
    </row>
    <row r="149" ht="15.0" customHeight="1">
      <c r="A149" s="14" t="s">
        <v>332</v>
      </c>
      <c r="B149" s="19"/>
      <c r="C149" s="19"/>
      <c r="D149" s="20">
        <v>-0.01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6" t="s">
        <v>333</v>
      </c>
      <c r="B150" s="17">
        <v>9010.7</v>
      </c>
      <c r="C150" s="17">
        <v>8873.19</v>
      </c>
      <c r="D150" s="17">
        <v>7145.3</v>
      </c>
      <c r="E150" s="17">
        <v>6225.77</v>
      </c>
      <c r="F150" s="17">
        <v>5518.23</v>
      </c>
      <c r="G150" s="17">
        <v>4951.08</v>
      </c>
      <c r="H150" s="17">
        <v>4994.52</v>
      </c>
      <c r="I150" s="17">
        <v>4643.62</v>
      </c>
      <c r="J150" s="17">
        <v>4107.28</v>
      </c>
      <c r="K150" s="17">
        <v>4035.13</v>
      </c>
      <c r="L150" s="17">
        <v>4093.07</v>
      </c>
      <c r="M150" s="17">
        <v>3303.55</v>
      </c>
      <c r="N150" s="17">
        <v>2717.93</v>
      </c>
      <c r="O150" s="17">
        <v>2268.22</v>
      </c>
      <c r="P150" s="17">
        <v>2179.86</v>
      </c>
      <c r="Q150" s="17">
        <v>2000.13</v>
      </c>
      <c r="R150" s="17">
        <v>1808.83</v>
      </c>
      <c r="S150" s="17">
        <v>1733.88</v>
      </c>
      <c r="T150" s="17">
        <v>1360.2</v>
      </c>
      <c r="U150" s="17">
        <v>1007.46</v>
      </c>
      <c r="V150" s="17">
        <v>1030.6</v>
      </c>
      <c r="W150" s="17">
        <v>332.48</v>
      </c>
    </row>
    <row r="151" ht="15.0" customHeight="1">
      <c r="A151" s="14" t="s">
        <v>334</v>
      </c>
      <c r="B151" s="19"/>
      <c r="C151" s="19"/>
      <c r="D151" s="18">
        <v>0.01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20">
        <v>-0.01</v>
      </c>
      <c r="T151" s="18">
        <v>0.01</v>
      </c>
      <c r="U151" s="19"/>
      <c r="V151" s="19"/>
      <c r="W151" s="19"/>
    </row>
    <row r="152" ht="15.0" customHeight="1">
      <c r="A152" s="16" t="s">
        <v>335</v>
      </c>
      <c r="B152" s="21">
        <v>17406.66</v>
      </c>
      <c r="C152" s="21">
        <v>17491.41</v>
      </c>
      <c r="D152" s="21">
        <v>14044.03</v>
      </c>
      <c r="E152" s="21">
        <v>12983.9</v>
      </c>
      <c r="F152" s="21">
        <v>10981.21</v>
      </c>
      <c r="G152" s="21">
        <v>10416.41</v>
      </c>
      <c r="H152" s="17">
        <v>9574.37</v>
      </c>
      <c r="I152" s="17">
        <v>7891.93</v>
      </c>
      <c r="J152" s="17">
        <v>6508.45</v>
      </c>
      <c r="K152" s="17">
        <v>6446.62</v>
      </c>
      <c r="L152" s="17">
        <v>5776.09</v>
      </c>
      <c r="M152" s="17">
        <v>5064.39</v>
      </c>
      <c r="N152" s="17">
        <v>4284.31</v>
      </c>
      <c r="O152" s="17">
        <v>3288.64</v>
      </c>
      <c r="P152" s="17">
        <v>3466.24</v>
      </c>
      <c r="Q152" s="17">
        <v>3534.29</v>
      </c>
      <c r="R152" s="17">
        <v>3639.52</v>
      </c>
      <c r="S152" s="17">
        <v>4193.42</v>
      </c>
      <c r="T152" s="17">
        <v>3455.5</v>
      </c>
      <c r="U152" s="17">
        <v>3819.16</v>
      </c>
      <c r="V152" s="17">
        <v>2751.25</v>
      </c>
      <c r="W152" s="17">
        <v>661.77</v>
      </c>
    </row>
    <row r="153" ht="15.0" customHeight="1">
      <c r="A153" s="14" t="s">
        <v>336</v>
      </c>
      <c r="B153" s="15">
        <v>430.44</v>
      </c>
      <c r="C153" s="15">
        <v>427.64</v>
      </c>
      <c r="D153" s="15">
        <v>421.0</v>
      </c>
      <c r="E153" s="15">
        <v>423.0</v>
      </c>
      <c r="F153" s="15">
        <v>423.0</v>
      </c>
      <c r="G153" s="15">
        <v>423.0</v>
      </c>
      <c r="H153" s="15">
        <v>425.38</v>
      </c>
      <c r="I153" s="15">
        <v>430.81</v>
      </c>
      <c r="J153" s="15">
        <v>437.16</v>
      </c>
      <c r="K153" s="15">
        <v>443.0</v>
      </c>
      <c r="L153" s="15">
        <v>446.29</v>
      </c>
      <c r="M153" s="15">
        <v>453.75</v>
      </c>
      <c r="N153" s="15">
        <v>453.75</v>
      </c>
      <c r="O153" s="15">
        <v>453.75</v>
      </c>
      <c r="P153" s="15">
        <v>453.75</v>
      </c>
      <c r="Q153" s="15">
        <v>453.75</v>
      </c>
      <c r="R153" s="15">
        <v>453.75</v>
      </c>
      <c r="S153" s="15">
        <v>423.0</v>
      </c>
      <c r="T153" s="15">
        <v>423.0</v>
      </c>
      <c r="U153" s="15">
        <v>384.94</v>
      </c>
      <c r="V153" s="15">
        <v>383.94</v>
      </c>
      <c r="W153" s="15">
        <v>318.44</v>
      </c>
    </row>
    <row r="154" ht="15.0" customHeight="1">
      <c r="A154" s="14" t="s">
        <v>337</v>
      </c>
      <c r="B154" s="15">
        <v>427.77</v>
      </c>
      <c r="C154" s="15">
        <v>426.94</v>
      </c>
      <c r="D154" s="15">
        <v>420.3</v>
      </c>
      <c r="E154" s="15">
        <v>420.29</v>
      </c>
      <c r="F154" s="15">
        <v>422.26</v>
      </c>
      <c r="G154" s="15">
        <v>421.7</v>
      </c>
      <c r="H154" s="15">
        <v>420.59</v>
      </c>
      <c r="I154" s="15">
        <v>424.1</v>
      </c>
      <c r="J154" s="15">
        <v>428.08</v>
      </c>
      <c r="K154" s="15">
        <v>437.16</v>
      </c>
      <c r="L154" s="15">
        <v>443.7</v>
      </c>
      <c r="M154" s="15">
        <v>441.64</v>
      </c>
      <c r="N154" s="15">
        <v>451.51</v>
      </c>
      <c r="O154" s="15">
        <v>448.73</v>
      </c>
      <c r="P154" s="15">
        <v>448.73</v>
      </c>
      <c r="Q154" s="15">
        <v>453.73</v>
      </c>
      <c r="R154" s="15">
        <v>453.73</v>
      </c>
      <c r="S154" s="15">
        <v>422.98</v>
      </c>
      <c r="T154" s="15">
        <v>422.98</v>
      </c>
      <c r="U154" s="15">
        <v>384.92</v>
      </c>
      <c r="V154" s="15">
        <v>382.98</v>
      </c>
      <c r="W154" s="15">
        <v>313.94</v>
      </c>
    </row>
    <row r="155" ht="15.0" customHeight="1">
      <c r="A155" s="14" t="s">
        <v>338</v>
      </c>
      <c r="B155" s="18">
        <v>2.67</v>
      </c>
      <c r="C155" s="18">
        <v>0.7</v>
      </c>
      <c r="D155" s="18">
        <v>0.7</v>
      </c>
      <c r="E155" s="18">
        <v>2.71</v>
      </c>
      <c r="F155" s="18">
        <v>0.74</v>
      </c>
      <c r="G155" s="18">
        <v>1.3</v>
      </c>
      <c r="H155" s="18">
        <v>4.78</v>
      </c>
      <c r="I155" s="18">
        <v>6.71</v>
      </c>
      <c r="J155" s="18">
        <v>9.08</v>
      </c>
      <c r="K155" s="18">
        <v>5.84</v>
      </c>
      <c r="L155" s="18">
        <v>2.59</v>
      </c>
      <c r="M155" s="18">
        <v>12.11</v>
      </c>
      <c r="N155" s="18">
        <v>2.24</v>
      </c>
      <c r="O155" s="18">
        <v>5.02</v>
      </c>
      <c r="P155" s="18">
        <v>5.02</v>
      </c>
      <c r="Q155" s="18">
        <v>0.02</v>
      </c>
      <c r="R155" s="18">
        <v>0.02</v>
      </c>
      <c r="S155" s="18">
        <v>0.02</v>
      </c>
      <c r="T155" s="18">
        <v>0.02</v>
      </c>
      <c r="U155" s="18">
        <v>0.02</v>
      </c>
      <c r="V155" s="18">
        <v>0.96</v>
      </c>
      <c r="W155" s="18">
        <v>4.5</v>
      </c>
    </row>
    <row r="156" ht="15.0" customHeight="1">
      <c r="A156" s="14" t="s">
        <v>339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8">
        <v>0.92</v>
      </c>
      <c r="V156" s="18">
        <v>1.49</v>
      </c>
      <c r="W156" s="18">
        <v>3.36</v>
      </c>
    </row>
    <row r="157" ht="15.0" customHeight="1">
      <c r="A157" s="14" t="s">
        <v>340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8">
        <v>0.02</v>
      </c>
      <c r="V157" s="19">
        <v>0.0</v>
      </c>
      <c r="W157" s="19"/>
    </row>
    <row r="158" ht="15.0" customHeight="1">
      <c r="A158" s="14" t="s">
        <v>341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20">
        <v>-0.03</v>
      </c>
      <c r="V158" s="20">
        <v>-0.04</v>
      </c>
      <c r="W158" s="20">
        <v>-0.15</v>
      </c>
    </row>
    <row r="159" ht="15.0" customHeight="1">
      <c r="A159" s="14" t="s">
        <v>342</v>
      </c>
      <c r="B159" s="19"/>
      <c r="C159" s="15">
        <v>4061.81</v>
      </c>
      <c r="D159" s="15">
        <v>3378.38</v>
      </c>
      <c r="E159" s="15">
        <v>3328.63</v>
      </c>
      <c r="F159" s="15">
        <v>2714.52</v>
      </c>
      <c r="G159" s="15">
        <v>3066.8</v>
      </c>
      <c r="H159" s="15">
        <v>2204.44</v>
      </c>
      <c r="I159" s="15">
        <v>2034.27</v>
      </c>
      <c r="J159" s="15">
        <v>1302.33</v>
      </c>
      <c r="K159" s="15">
        <v>1334.63</v>
      </c>
      <c r="L159" s="15">
        <v>743.05</v>
      </c>
      <c r="M159" s="15">
        <v>910.23</v>
      </c>
      <c r="N159" s="15">
        <v>907.24</v>
      </c>
      <c r="O159" s="15">
        <v>579.09</v>
      </c>
      <c r="P159" s="15">
        <v>783.35</v>
      </c>
      <c r="Q159" s="15">
        <v>1089.93</v>
      </c>
      <c r="R159" s="15">
        <v>1360.09</v>
      </c>
      <c r="S159" s="15">
        <v>1416.5</v>
      </c>
      <c r="T159" s="15">
        <v>1970.85</v>
      </c>
      <c r="U159" s="15">
        <v>2909.3</v>
      </c>
      <c r="V159" s="15">
        <v>1337.61</v>
      </c>
      <c r="W159" s="15">
        <v>211.21</v>
      </c>
    </row>
    <row r="160" ht="15.0" customHeight="1">
      <c r="A160" s="14" t="s">
        <v>343</v>
      </c>
      <c r="B160" s="19"/>
      <c r="C160" s="19"/>
      <c r="D160" s="19">
        <v>0.0</v>
      </c>
      <c r="E160" s="15">
        <v>735.79</v>
      </c>
      <c r="F160" s="15">
        <v>1160.89</v>
      </c>
      <c r="G160" s="15">
        <v>1179.67</v>
      </c>
      <c r="H160" s="15">
        <v>492.65</v>
      </c>
      <c r="I160" s="15">
        <v>111.4</v>
      </c>
      <c r="J160" s="15">
        <v>197.02</v>
      </c>
      <c r="K160" s="15">
        <v>273.5</v>
      </c>
      <c r="L160" s="19">
        <v>0.0</v>
      </c>
      <c r="M160" s="15">
        <v>546.73</v>
      </c>
      <c r="N160" s="19">
        <v>0.0</v>
      </c>
      <c r="O160" s="19"/>
      <c r="P160" s="15">
        <v>162.09</v>
      </c>
      <c r="Q160" s="15">
        <v>473.56</v>
      </c>
      <c r="R160" s="19"/>
      <c r="S160" s="19"/>
      <c r="T160" s="15">
        <v>1077.4</v>
      </c>
      <c r="U160" s="15">
        <v>810.28</v>
      </c>
      <c r="V160" s="15">
        <v>130.45</v>
      </c>
      <c r="W160" s="18">
        <v>6.23</v>
      </c>
    </row>
    <row r="161" ht="15.0" customHeight="1">
      <c r="A161" s="14" t="s">
        <v>344</v>
      </c>
      <c r="B161" s="19"/>
      <c r="C161" s="18">
        <v>0.02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ht="15.0" customHeight="1">
      <c r="A162" s="14" t="s">
        <v>345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5">
        <v>297.15</v>
      </c>
      <c r="U162" s="15">
        <v>942.21</v>
      </c>
      <c r="V162" s="15">
        <v>797.53</v>
      </c>
      <c r="W162" s="18">
        <v>2.98</v>
      </c>
    </row>
    <row r="163" ht="15.0" customHeight="1">
      <c r="A163" s="14" t="s">
        <v>346</v>
      </c>
      <c r="B163" s="15">
        <v>680.76</v>
      </c>
      <c r="C163" s="15">
        <v>325.29</v>
      </c>
      <c r="D163" s="15">
        <v>218.24</v>
      </c>
      <c r="E163" s="15">
        <v>608.05</v>
      </c>
      <c r="F163" s="15">
        <v>405.49</v>
      </c>
      <c r="G163" s="15">
        <v>150.5</v>
      </c>
      <c r="H163" s="18">
        <v>63.14</v>
      </c>
      <c r="I163" s="15">
        <v>116.05</v>
      </c>
      <c r="J163" s="15">
        <v>206.8</v>
      </c>
      <c r="K163" s="15">
        <v>211.0</v>
      </c>
      <c r="L163" s="18">
        <v>0.51</v>
      </c>
      <c r="M163" s="18">
        <v>0.75</v>
      </c>
      <c r="N163" s="15">
        <v>121.31</v>
      </c>
      <c r="O163" s="15">
        <v>113.23</v>
      </c>
      <c r="P163" s="15">
        <v>125.25</v>
      </c>
      <c r="Q163" s="15">
        <v>167.88</v>
      </c>
      <c r="R163" s="15">
        <v>157.34</v>
      </c>
      <c r="S163" s="15">
        <v>144.7</v>
      </c>
      <c r="T163" s="15">
        <v>596.3</v>
      </c>
      <c r="U163" s="15">
        <v>1156.81</v>
      </c>
      <c r="V163" s="18">
        <v>73.23</v>
      </c>
      <c r="W163" s="18">
        <v>13.63</v>
      </c>
    </row>
    <row r="164" ht="15.0" customHeight="1">
      <c r="A164" s="14" t="s">
        <v>347</v>
      </c>
      <c r="B164" s="15">
        <v>2400.29</v>
      </c>
      <c r="C164" s="15">
        <v>582.2</v>
      </c>
      <c r="D164" s="18">
        <v>1.78</v>
      </c>
      <c r="E164" s="19">
        <v>0.0</v>
      </c>
      <c r="F164" s="15">
        <v>1143.91</v>
      </c>
      <c r="G164" s="15">
        <v>123.27</v>
      </c>
      <c r="H164" s="18">
        <v>80.93</v>
      </c>
      <c r="I164" s="15">
        <v>112.96</v>
      </c>
      <c r="J164" s="15">
        <v>703.35</v>
      </c>
      <c r="K164" s="15">
        <v>212.73</v>
      </c>
      <c r="L164" s="15">
        <v>221.07</v>
      </c>
      <c r="M164" s="18">
        <v>5.93</v>
      </c>
      <c r="N164" s="15">
        <v>123.38</v>
      </c>
      <c r="O164" s="15">
        <v>114.03</v>
      </c>
      <c r="P164" s="15">
        <v>119.01</v>
      </c>
      <c r="Q164" s="15">
        <v>166.83</v>
      </c>
      <c r="R164" s="15">
        <v>602.55</v>
      </c>
      <c r="S164" s="15">
        <v>145.06</v>
      </c>
      <c r="T164" s="19"/>
      <c r="U164" s="19"/>
      <c r="V164" s="15">
        <v>104.23</v>
      </c>
      <c r="W164" s="18">
        <v>7.11</v>
      </c>
    </row>
    <row r="165" ht="15.0" customHeight="1">
      <c r="A165" s="14" t="s">
        <v>348</v>
      </c>
      <c r="B165" s="15">
        <v>107.14</v>
      </c>
      <c r="C165" s="15">
        <v>3154.3</v>
      </c>
      <c r="D165" s="15">
        <v>2399.68</v>
      </c>
      <c r="E165" s="15">
        <v>1461.62</v>
      </c>
      <c r="F165" s="18">
        <v>2.18</v>
      </c>
      <c r="G165" s="15">
        <v>1603.31</v>
      </c>
      <c r="H165" s="15">
        <v>1294.11</v>
      </c>
      <c r="I165" s="15">
        <v>1589.1</v>
      </c>
      <c r="J165" s="18">
        <v>97.78</v>
      </c>
      <c r="K165" s="15">
        <v>549.95</v>
      </c>
      <c r="L165" s="15">
        <v>220.43</v>
      </c>
      <c r="M165" s="15">
        <v>178.41</v>
      </c>
      <c r="N165" s="15">
        <v>662.55</v>
      </c>
      <c r="O165" s="15">
        <v>108.72</v>
      </c>
      <c r="P165" s="15">
        <v>122.07</v>
      </c>
      <c r="Q165" s="15">
        <v>162.05</v>
      </c>
      <c r="R165" s="15">
        <v>600.2</v>
      </c>
      <c r="S165" s="15">
        <v>525.09</v>
      </c>
      <c r="T165" s="19"/>
      <c r="U165" s="19"/>
      <c r="V165" s="15">
        <v>101.45</v>
      </c>
      <c r="W165" s="18">
        <v>6.26</v>
      </c>
    </row>
    <row r="166" ht="15.0" customHeight="1">
      <c r="A166" s="14" t="s">
        <v>349</v>
      </c>
      <c r="B166" s="15">
        <v>107.04</v>
      </c>
      <c r="C166" s="19">
        <v>0.0</v>
      </c>
      <c r="D166" s="15">
        <v>758.68</v>
      </c>
      <c r="E166" s="15">
        <v>523.17</v>
      </c>
      <c r="F166" s="18">
        <v>2.04</v>
      </c>
      <c r="G166" s="18">
        <v>10.04</v>
      </c>
      <c r="H166" s="15">
        <v>273.61</v>
      </c>
      <c r="I166" s="15">
        <v>104.75</v>
      </c>
      <c r="J166" s="18">
        <v>97.38</v>
      </c>
      <c r="K166" s="18">
        <v>87.45</v>
      </c>
      <c r="L166" s="15">
        <v>301.04</v>
      </c>
      <c r="M166" s="15">
        <v>178.41</v>
      </c>
      <c r="N166" s="19">
        <v>0.0</v>
      </c>
      <c r="O166" s="15">
        <v>243.1</v>
      </c>
      <c r="P166" s="15">
        <v>254.93</v>
      </c>
      <c r="Q166" s="15">
        <v>119.61</v>
      </c>
      <c r="R166" s="19">
        <v>0.0</v>
      </c>
      <c r="S166" s="15">
        <v>601.65</v>
      </c>
      <c r="T166" s="19"/>
      <c r="U166" s="19"/>
      <c r="V166" s="15">
        <v>130.73</v>
      </c>
      <c r="W166" s="15">
        <v>175.0</v>
      </c>
    </row>
    <row r="167" ht="15.0" customHeight="1">
      <c r="A167" s="14" t="s">
        <v>350</v>
      </c>
      <c r="B167" s="19"/>
      <c r="C167" s="15">
        <v>1618.65</v>
      </c>
      <c r="D167" s="15">
        <v>1362.13</v>
      </c>
      <c r="E167" s="15">
        <v>1382.74</v>
      </c>
      <c r="F167" s="15">
        <v>1232.22</v>
      </c>
      <c r="G167" s="15">
        <v>1079.7</v>
      </c>
      <c r="H167" s="15">
        <v>957.71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ht="15.0" customHeight="1">
      <c r="A168" s="14" t="s">
        <v>351</v>
      </c>
      <c r="B168" s="19"/>
      <c r="C168" s="22">
        <v>-297.95</v>
      </c>
      <c r="D168" s="22">
        <v>-255.69</v>
      </c>
      <c r="E168" s="22">
        <v>-257.56</v>
      </c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ht="15.0" customHeight="1">
      <c r="A169" s="14" t="s">
        <v>352</v>
      </c>
      <c r="B169" s="15">
        <v>354.34</v>
      </c>
      <c r="C169" s="15">
        <v>333.09</v>
      </c>
      <c r="D169" s="15">
        <v>268.04</v>
      </c>
      <c r="E169" s="15">
        <v>289.96</v>
      </c>
      <c r="F169" s="15">
        <v>187.09</v>
      </c>
      <c r="G169" s="15">
        <v>153.18</v>
      </c>
      <c r="H169" s="15">
        <v>141.24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8">
        <v>0.37</v>
      </c>
      <c r="V169" s="18">
        <v>1.3</v>
      </c>
      <c r="W169" s="18">
        <v>2.01</v>
      </c>
    </row>
    <row r="170" ht="15.0" customHeight="1">
      <c r="A170" s="14" t="s">
        <v>353</v>
      </c>
      <c r="B170" s="15">
        <v>312.72</v>
      </c>
      <c r="C170" s="15">
        <v>282.22</v>
      </c>
      <c r="D170" s="15">
        <v>234.67</v>
      </c>
      <c r="E170" s="15">
        <v>223.76</v>
      </c>
      <c r="F170" s="15">
        <v>207.44</v>
      </c>
      <c r="G170" s="15">
        <v>150.18</v>
      </c>
      <c r="H170" s="15">
        <v>133.04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8">
        <v>0.17</v>
      </c>
      <c r="V170" s="18">
        <v>0.23</v>
      </c>
      <c r="W170" s="18">
        <v>1.31</v>
      </c>
    </row>
    <row r="171" ht="15.0" customHeight="1">
      <c r="A171" s="14" t="s">
        <v>354</v>
      </c>
      <c r="B171" s="15">
        <v>266.12</v>
      </c>
      <c r="C171" s="15">
        <v>232.29</v>
      </c>
      <c r="D171" s="15">
        <v>189.61</v>
      </c>
      <c r="E171" s="15">
        <v>194.0</v>
      </c>
      <c r="F171" s="15">
        <v>185.36</v>
      </c>
      <c r="G171" s="15">
        <v>142.17</v>
      </c>
      <c r="H171" s="15">
        <v>121.16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8">
        <v>0.19</v>
      </c>
      <c r="V171" s="19">
        <v>0.0</v>
      </c>
      <c r="W171" s="18">
        <v>0.19</v>
      </c>
    </row>
    <row r="172" ht="15.0" customHeight="1">
      <c r="A172" s="14" t="s">
        <v>355</v>
      </c>
      <c r="B172" s="15">
        <v>218.91</v>
      </c>
      <c r="C172" s="15">
        <v>193.05</v>
      </c>
      <c r="D172" s="15">
        <v>153.89</v>
      </c>
      <c r="E172" s="15">
        <v>158.71</v>
      </c>
      <c r="F172" s="15">
        <v>153.03</v>
      </c>
      <c r="G172" s="15">
        <v>135.28</v>
      </c>
      <c r="H172" s="15">
        <v>114.29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8">
        <v>0.19</v>
      </c>
      <c r="V172" s="19">
        <v>0.0</v>
      </c>
      <c r="W172" s="19"/>
    </row>
    <row r="173" ht="15.0" customHeight="1">
      <c r="A173" s="14" t="s">
        <v>356</v>
      </c>
      <c r="B173" s="15">
        <v>1072.58</v>
      </c>
      <c r="C173" s="15">
        <v>875.94</v>
      </c>
      <c r="D173" s="15">
        <v>771.61</v>
      </c>
      <c r="E173" s="15">
        <v>773.86</v>
      </c>
      <c r="F173" s="15">
        <v>499.3</v>
      </c>
      <c r="G173" s="15">
        <v>498.89</v>
      </c>
      <c r="H173" s="15">
        <v>448.0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ht="15.0" customHeight="1">
      <c r="A174" s="14" t="s">
        <v>357</v>
      </c>
      <c r="B174" s="18">
        <v>1.0</v>
      </c>
      <c r="C174" s="18">
        <v>1.0</v>
      </c>
      <c r="D174" s="18">
        <v>1.0</v>
      </c>
      <c r="E174" s="18">
        <v>1.0</v>
      </c>
      <c r="F174" s="18">
        <v>1.0</v>
      </c>
      <c r="G174" s="18">
        <v>1.0</v>
      </c>
      <c r="H174" s="18">
        <v>1.0</v>
      </c>
      <c r="I174" s="18">
        <v>1.0</v>
      </c>
      <c r="J174" s="18">
        <v>1.0</v>
      </c>
      <c r="K174" s="18">
        <v>1.0</v>
      </c>
      <c r="L174" s="18">
        <v>1.0</v>
      </c>
      <c r="M174" s="18">
        <v>1.0</v>
      </c>
      <c r="N174" s="18">
        <v>1.0</v>
      </c>
      <c r="O174" s="18">
        <v>1.0</v>
      </c>
      <c r="P174" s="18">
        <v>1.0</v>
      </c>
      <c r="Q174" s="18">
        <v>1.0</v>
      </c>
      <c r="R174" s="18">
        <v>1.0</v>
      </c>
      <c r="S174" s="18">
        <v>1.0</v>
      </c>
      <c r="T174" s="18">
        <v>1.0</v>
      </c>
      <c r="U174" s="18">
        <v>1.0</v>
      </c>
      <c r="V174" s="18">
        <v>1.0</v>
      </c>
      <c r="W174" s="18">
        <v>1.0</v>
      </c>
    </row>
    <row r="175" ht="15.0" customHeight="1">
      <c r="A175" s="14" t="s">
        <v>358</v>
      </c>
      <c r="B175" s="15">
        <v>430.44</v>
      </c>
      <c r="C175" s="15">
        <v>427.64</v>
      </c>
      <c r="D175" s="15">
        <v>421.0</v>
      </c>
      <c r="E175" s="15">
        <v>423.0</v>
      </c>
      <c r="F175" s="15">
        <v>423.0</v>
      </c>
      <c r="G175" s="15">
        <v>423.0</v>
      </c>
      <c r="H175" s="15">
        <v>425.38</v>
      </c>
      <c r="I175" s="15">
        <v>430.81</v>
      </c>
      <c r="J175" s="15">
        <v>437.16</v>
      </c>
      <c r="K175" s="15">
        <v>443.0</v>
      </c>
      <c r="L175" s="15">
        <v>446.29</v>
      </c>
      <c r="M175" s="15">
        <v>453.75</v>
      </c>
      <c r="N175" s="15">
        <v>453.75</v>
      </c>
      <c r="O175" s="15">
        <v>453.75</v>
      </c>
      <c r="P175" s="15">
        <v>453.75</v>
      </c>
      <c r="Q175" s="15">
        <v>453.75</v>
      </c>
      <c r="R175" s="15">
        <v>453.75</v>
      </c>
      <c r="S175" s="15">
        <v>423.0</v>
      </c>
      <c r="T175" s="15">
        <v>423.0</v>
      </c>
      <c r="U175" s="15">
        <v>384.94</v>
      </c>
      <c r="V175" s="15">
        <v>383.94</v>
      </c>
      <c r="W175" s="15">
        <v>318.44</v>
      </c>
    </row>
    <row r="176" ht="15.0" customHeight="1">
      <c r="A176" s="14" t="s">
        <v>359</v>
      </c>
      <c r="B176" s="18">
        <v>2.67</v>
      </c>
      <c r="C176" s="18">
        <v>0.7</v>
      </c>
      <c r="D176" s="18">
        <v>0.7</v>
      </c>
      <c r="E176" s="18">
        <v>2.71</v>
      </c>
      <c r="F176" s="18">
        <v>0.74</v>
      </c>
      <c r="G176" s="18">
        <v>1.3</v>
      </c>
      <c r="H176" s="18">
        <v>4.78</v>
      </c>
      <c r="I176" s="18">
        <v>6.71</v>
      </c>
      <c r="J176" s="18">
        <v>9.08</v>
      </c>
      <c r="K176" s="18">
        <v>5.84</v>
      </c>
      <c r="L176" s="18">
        <v>2.59</v>
      </c>
      <c r="M176" s="18">
        <v>12.11</v>
      </c>
      <c r="N176" s="18">
        <v>2.24</v>
      </c>
      <c r="O176" s="18">
        <v>5.02</v>
      </c>
      <c r="P176" s="18">
        <v>5.02</v>
      </c>
      <c r="Q176" s="18">
        <v>0.02</v>
      </c>
      <c r="R176" s="18">
        <v>0.02</v>
      </c>
      <c r="S176" s="18">
        <v>0.02</v>
      </c>
      <c r="T176" s="18">
        <v>0.02</v>
      </c>
      <c r="U176" s="18">
        <v>0.02</v>
      </c>
      <c r="V176" s="18">
        <v>0.96</v>
      </c>
      <c r="W176" s="18">
        <v>4.5</v>
      </c>
    </row>
    <row r="177" ht="15.0" customHeight="1">
      <c r="A177" s="14" t="s">
        <v>360</v>
      </c>
      <c r="B177" s="15">
        <v>427.77</v>
      </c>
      <c r="C177" s="15">
        <v>426.94</v>
      </c>
      <c r="D177" s="15">
        <v>420.3</v>
      </c>
      <c r="E177" s="15">
        <v>420.29</v>
      </c>
      <c r="F177" s="15">
        <v>422.26</v>
      </c>
      <c r="G177" s="15">
        <v>421.7</v>
      </c>
      <c r="H177" s="15">
        <v>420.59</v>
      </c>
      <c r="I177" s="15">
        <v>424.1</v>
      </c>
      <c r="J177" s="15">
        <v>428.08</v>
      </c>
      <c r="K177" s="15">
        <v>437.16</v>
      </c>
      <c r="L177" s="15">
        <v>443.7</v>
      </c>
      <c r="M177" s="15">
        <v>441.64</v>
      </c>
      <c r="N177" s="15">
        <v>451.51</v>
      </c>
      <c r="O177" s="15">
        <v>448.73</v>
      </c>
      <c r="P177" s="15">
        <v>448.73</v>
      </c>
      <c r="Q177" s="15">
        <v>453.73</v>
      </c>
      <c r="R177" s="15">
        <v>453.73</v>
      </c>
      <c r="S177" s="15">
        <v>422.98</v>
      </c>
      <c r="T177" s="15">
        <v>422.98</v>
      </c>
      <c r="U177" s="15">
        <v>384.92</v>
      </c>
      <c r="V177" s="15">
        <v>382.98</v>
      </c>
      <c r="W177" s="15">
        <v>313.94</v>
      </c>
    </row>
    <row r="178" ht="15.0" customHeight="1">
      <c r="A178" s="14" t="s">
        <v>361</v>
      </c>
      <c r="B178" s="18">
        <v>2.67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ht="15.0" customHeight="1">
      <c r="A179" s="14" t="s">
        <v>362</v>
      </c>
      <c r="B179" s="15">
        <v>430.44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ht="15.0" customHeight="1">
      <c r="A180" s="14" t="s">
        <v>363</v>
      </c>
      <c r="B180" s="15">
        <v>427.77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46094.7472793519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365</v>
      </c>
      <c r="C15" s="10" t="s">
        <v>365</v>
      </c>
      <c r="D15" s="10" t="s">
        <v>365</v>
      </c>
      <c r="E15" s="10" t="s">
        <v>365</v>
      </c>
      <c r="F15" s="10" t="s">
        <v>365</v>
      </c>
      <c r="G15" s="10" t="s">
        <v>365</v>
      </c>
      <c r="H15" s="10" t="s">
        <v>365</v>
      </c>
      <c r="I15" s="10" t="s">
        <v>365</v>
      </c>
      <c r="J15" s="10" t="s">
        <v>365</v>
      </c>
      <c r="K15" s="10" t="s">
        <v>365</v>
      </c>
      <c r="L15" s="10" t="s">
        <v>365</v>
      </c>
      <c r="M15" s="10" t="s">
        <v>365</v>
      </c>
      <c r="N15" s="10" t="s">
        <v>365</v>
      </c>
      <c r="O15" s="10" t="s">
        <v>365</v>
      </c>
      <c r="P15" s="10" t="s">
        <v>365</v>
      </c>
      <c r="Q15" s="10" t="s">
        <v>365</v>
      </c>
      <c r="R15" s="10" t="s">
        <v>365</v>
      </c>
      <c r="S15" s="10" t="s">
        <v>365</v>
      </c>
      <c r="T15" s="10" t="s">
        <v>365</v>
      </c>
      <c r="U15" s="10" t="s">
        <v>365</v>
      </c>
      <c r="V15" s="10" t="s">
        <v>365</v>
      </c>
      <c r="W15" s="10" t="s">
        <v>365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</row>
    <row r="18">
      <c r="A18" s="12" t="s">
        <v>366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367</v>
      </c>
      <c r="B20" s="19"/>
      <c r="C20" s="19"/>
      <c r="D20" s="15">
        <v>526.72</v>
      </c>
      <c r="E20" s="15">
        <v>474.27</v>
      </c>
      <c r="F20" s="15">
        <v>443.86</v>
      </c>
      <c r="G20" s="15">
        <v>608.87</v>
      </c>
      <c r="H20" s="19"/>
      <c r="I20" s="15">
        <v>231.12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368</v>
      </c>
      <c r="B21" s="19"/>
      <c r="C21" s="19"/>
      <c r="D21" s="19">
        <v>0.0</v>
      </c>
      <c r="E21" s="19">
        <v>0.0</v>
      </c>
      <c r="F21" s="18">
        <v>0.99</v>
      </c>
      <c r="G21" s="18">
        <v>49.38</v>
      </c>
      <c r="H21" s="19"/>
      <c r="I21" s="18">
        <v>34.56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369</v>
      </c>
      <c r="B22" s="18">
        <v>40.02</v>
      </c>
      <c r="C22" s="18">
        <v>34.1</v>
      </c>
      <c r="D22" s="20">
        <v>-77.71</v>
      </c>
      <c r="E22" s="15">
        <v>111.28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370</v>
      </c>
      <c r="B23" s="20">
        <v>-24.93</v>
      </c>
      <c r="C23" s="18">
        <v>19.64</v>
      </c>
      <c r="D23" s="20">
        <v>-23.36</v>
      </c>
      <c r="E23" s="20">
        <v>-25.86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371</v>
      </c>
      <c r="B24" s="19"/>
      <c r="C24" s="15">
        <v>1723.27</v>
      </c>
      <c r="D24" s="15">
        <v>1329.32</v>
      </c>
      <c r="E24" s="15">
        <v>883.55</v>
      </c>
      <c r="F24" s="15">
        <v>1100.96</v>
      </c>
      <c r="G24" s="15">
        <v>1115.52</v>
      </c>
      <c r="H24" s="15">
        <v>1055.58</v>
      </c>
      <c r="I24" s="15">
        <v>749.94</v>
      </c>
      <c r="J24" s="15">
        <v>741.78</v>
      </c>
      <c r="K24" s="15">
        <v>736.61</v>
      </c>
      <c r="L24" s="15">
        <v>673.4</v>
      </c>
      <c r="M24" s="15">
        <v>617.12</v>
      </c>
      <c r="N24" s="15">
        <v>426.89</v>
      </c>
      <c r="O24" s="15">
        <v>410.25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372</v>
      </c>
      <c r="B25" s="15">
        <v>1299.71</v>
      </c>
      <c r="C25" s="15">
        <v>1215.69</v>
      </c>
      <c r="D25" s="15">
        <v>943.15</v>
      </c>
      <c r="E25" s="15">
        <v>622.98</v>
      </c>
      <c r="F25" s="15">
        <v>836.36</v>
      </c>
      <c r="G25" s="15">
        <v>266.21</v>
      </c>
      <c r="H25" s="15">
        <v>859.78</v>
      </c>
      <c r="I25" s="15">
        <v>642.42</v>
      </c>
      <c r="J25" s="15">
        <v>618.44</v>
      </c>
      <c r="K25" s="15">
        <v>605.96</v>
      </c>
      <c r="L25" s="15">
        <v>623.6</v>
      </c>
      <c r="M25" s="15">
        <v>541.91</v>
      </c>
      <c r="N25" s="15">
        <v>353.88</v>
      </c>
      <c r="O25" s="15">
        <v>330.14</v>
      </c>
      <c r="P25" s="15">
        <v>349.6</v>
      </c>
      <c r="Q25" s="15">
        <v>363.92</v>
      </c>
      <c r="R25" s="15">
        <v>303.0</v>
      </c>
      <c r="S25" s="15">
        <v>315.95</v>
      </c>
      <c r="T25" s="15">
        <v>232.52</v>
      </c>
      <c r="U25" s="15">
        <v>126.48</v>
      </c>
      <c r="V25" s="15">
        <v>106.43</v>
      </c>
      <c r="W25" s="15">
        <v>137.23</v>
      </c>
    </row>
    <row r="26" ht="15.0" customHeight="1">
      <c r="A26" s="14" t="s">
        <v>367</v>
      </c>
      <c r="B26" s="15">
        <v>628.77</v>
      </c>
      <c r="C26" s="15">
        <v>601.36</v>
      </c>
      <c r="D26" s="19"/>
      <c r="E26" s="19"/>
      <c r="F26" s="19"/>
      <c r="G26" s="19"/>
      <c r="H26" s="15">
        <v>383.21</v>
      </c>
      <c r="I26" s="19"/>
      <c r="J26" s="15">
        <v>186.43</v>
      </c>
      <c r="K26" s="15">
        <v>182.17</v>
      </c>
      <c r="L26" s="15">
        <v>162.49</v>
      </c>
      <c r="M26" s="15">
        <v>116.01</v>
      </c>
      <c r="N26" s="18">
        <v>89.73</v>
      </c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110</v>
      </c>
      <c r="B27" s="15">
        <v>504.47</v>
      </c>
      <c r="C27" s="15">
        <v>470.66</v>
      </c>
      <c r="D27" s="15">
        <v>423.38</v>
      </c>
      <c r="E27" s="15">
        <v>373.72</v>
      </c>
      <c r="F27" s="15">
        <v>342.59</v>
      </c>
      <c r="G27" s="15">
        <v>346.14</v>
      </c>
      <c r="H27" s="15">
        <v>299.79</v>
      </c>
      <c r="I27" s="15">
        <v>131.7</v>
      </c>
      <c r="J27" s="15">
        <v>113.37</v>
      </c>
      <c r="K27" s="15">
        <v>109.35</v>
      </c>
      <c r="L27" s="18">
        <v>92.97</v>
      </c>
      <c r="M27" s="19"/>
      <c r="N27" s="18">
        <v>56.2</v>
      </c>
      <c r="O27" s="18">
        <v>55.62</v>
      </c>
      <c r="P27" s="18">
        <v>47.7</v>
      </c>
      <c r="Q27" s="18">
        <v>44.74</v>
      </c>
      <c r="R27" s="18">
        <v>51.38</v>
      </c>
      <c r="S27" s="18">
        <v>49.28</v>
      </c>
      <c r="T27" s="18">
        <v>52.86</v>
      </c>
      <c r="U27" s="15">
        <v>126.53</v>
      </c>
      <c r="V27" s="18">
        <v>59.94</v>
      </c>
      <c r="W27" s="18">
        <v>31.46</v>
      </c>
    </row>
    <row r="28" ht="15.0" customHeight="1">
      <c r="A28" s="14" t="s">
        <v>373</v>
      </c>
      <c r="B28" s="15">
        <v>124.3</v>
      </c>
      <c r="C28" s="15">
        <v>130.7</v>
      </c>
      <c r="D28" s="15">
        <v>103.34</v>
      </c>
      <c r="E28" s="15">
        <v>100.55</v>
      </c>
      <c r="F28" s="15">
        <v>100.27</v>
      </c>
      <c r="G28" s="15">
        <v>213.35</v>
      </c>
      <c r="H28" s="18">
        <v>83.42</v>
      </c>
      <c r="I28" s="18">
        <v>64.86</v>
      </c>
      <c r="J28" s="18">
        <v>73.06</v>
      </c>
      <c r="K28" s="18">
        <v>72.82</v>
      </c>
      <c r="L28" s="18">
        <v>69.53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374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8">
        <v>33.53</v>
      </c>
      <c r="O29" s="18">
        <v>21.02</v>
      </c>
      <c r="P29" s="18">
        <v>26.29</v>
      </c>
      <c r="Q29" s="18">
        <v>40.51</v>
      </c>
      <c r="R29" s="18">
        <v>66.38</v>
      </c>
      <c r="S29" s="18">
        <v>83.31</v>
      </c>
      <c r="T29" s="18">
        <v>91.6</v>
      </c>
      <c r="U29" s="19"/>
      <c r="V29" s="19"/>
      <c r="W29" s="19"/>
    </row>
    <row r="30" ht="15.0" customHeight="1">
      <c r="A30" s="14" t="s">
        <v>375</v>
      </c>
      <c r="B30" s="20">
        <v>-89.14</v>
      </c>
      <c r="C30" s="20">
        <v>-63.69</v>
      </c>
      <c r="D30" s="20">
        <v>-23.93</v>
      </c>
      <c r="E30" s="22">
        <v>-274.96</v>
      </c>
      <c r="F30" s="22">
        <v>-135.65</v>
      </c>
      <c r="G30" s="15">
        <v>119.99</v>
      </c>
      <c r="H30" s="22">
        <v>-129.04</v>
      </c>
      <c r="I30" s="22">
        <v>-113.24</v>
      </c>
      <c r="J30" s="20">
        <v>-23.92</v>
      </c>
      <c r="K30" s="20">
        <v>-54.05</v>
      </c>
      <c r="L30" s="20">
        <v>-39.9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376</v>
      </c>
      <c r="B31" s="22">
        <v>-127.8</v>
      </c>
      <c r="C31" s="20">
        <v>-59.35</v>
      </c>
      <c r="D31" s="22">
        <v>-172.73</v>
      </c>
      <c r="E31" s="22">
        <v>-129.29</v>
      </c>
      <c r="F31" s="22">
        <v>-113.31</v>
      </c>
      <c r="G31" s="15">
        <v>173.58</v>
      </c>
      <c r="H31" s="20">
        <v>-98.77</v>
      </c>
      <c r="I31" s="20">
        <v>-14.46</v>
      </c>
      <c r="J31" s="20">
        <v>-46.52</v>
      </c>
      <c r="K31" s="20">
        <v>-22.87</v>
      </c>
      <c r="L31" s="20">
        <v>-30.75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377</v>
      </c>
      <c r="B32" s="15">
        <v>117.48</v>
      </c>
      <c r="C32" s="20">
        <v>-24.49</v>
      </c>
      <c r="D32" s="15">
        <v>157.17</v>
      </c>
      <c r="E32" s="15">
        <v>105.12</v>
      </c>
      <c r="F32" s="18">
        <v>66.68</v>
      </c>
      <c r="G32" s="20">
        <v>-74.39</v>
      </c>
      <c r="H32" s="18">
        <v>7.9</v>
      </c>
      <c r="I32" s="20">
        <v>-13.37</v>
      </c>
      <c r="J32" s="18">
        <v>13.98</v>
      </c>
      <c r="K32" s="18">
        <v>12.49</v>
      </c>
      <c r="L32" s="20">
        <v>-26.95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370</v>
      </c>
      <c r="B33" s="19"/>
      <c r="C33" s="19"/>
      <c r="D33" s="19"/>
      <c r="E33" s="19"/>
      <c r="F33" s="18">
        <v>3.03</v>
      </c>
      <c r="G33" s="18">
        <v>21.26</v>
      </c>
      <c r="H33" s="18">
        <v>29.79</v>
      </c>
      <c r="I33" s="18">
        <v>16.0</v>
      </c>
      <c r="J33" s="20">
        <v>-7.23</v>
      </c>
      <c r="K33" s="18">
        <v>12.43</v>
      </c>
      <c r="L33" s="20">
        <v>-17.09</v>
      </c>
      <c r="M33" s="20">
        <v>-0.95</v>
      </c>
      <c r="N33" s="20">
        <v>-2.4</v>
      </c>
      <c r="O33" s="18">
        <v>8.11</v>
      </c>
      <c r="P33" s="18">
        <v>4.83</v>
      </c>
      <c r="Q33" s="20">
        <v>-5.88</v>
      </c>
      <c r="R33" s="20">
        <v>-17.66</v>
      </c>
      <c r="S33" s="19"/>
      <c r="T33" s="19"/>
      <c r="U33" s="19"/>
      <c r="V33" s="19"/>
      <c r="W33" s="19"/>
    </row>
    <row r="34" ht="15.0" customHeight="1">
      <c r="A34" s="14" t="s">
        <v>378</v>
      </c>
      <c r="B34" s="19"/>
      <c r="C34" s="19"/>
      <c r="D34" s="19"/>
      <c r="E34" s="19"/>
      <c r="F34" s="19"/>
      <c r="G34" s="19"/>
      <c r="H34" s="18">
        <v>2.71</v>
      </c>
      <c r="I34" s="18">
        <v>1.47</v>
      </c>
      <c r="J34" s="18">
        <v>0.6</v>
      </c>
      <c r="K34" s="18">
        <v>0.48</v>
      </c>
      <c r="L34" s="18">
        <v>2.0</v>
      </c>
      <c r="M34" s="18">
        <v>0.44</v>
      </c>
      <c r="N34" s="18">
        <v>0.7</v>
      </c>
      <c r="O34" s="18">
        <v>0.74</v>
      </c>
      <c r="P34" s="20">
        <v>-7.59</v>
      </c>
      <c r="Q34" s="20">
        <v>-5.93</v>
      </c>
      <c r="R34" s="18">
        <v>3.34</v>
      </c>
      <c r="S34" s="18">
        <v>0.23</v>
      </c>
      <c r="T34" s="18">
        <v>0.66</v>
      </c>
      <c r="U34" s="20">
        <v>-0.18</v>
      </c>
      <c r="V34" s="20">
        <v>-2.4</v>
      </c>
      <c r="W34" s="20">
        <v>-2.92</v>
      </c>
    </row>
    <row r="35" ht="15.0" customHeight="1">
      <c r="A35" s="14" t="s">
        <v>379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0">
        <v>-40.29</v>
      </c>
      <c r="N35" s="20">
        <v>-15.02</v>
      </c>
      <c r="O35" s="20">
        <v>-5.37</v>
      </c>
      <c r="P35" s="20">
        <v>-37.74</v>
      </c>
      <c r="Q35" s="20">
        <v>-48.76</v>
      </c>
      <c r="R35" s="15">
        <v>132.29</v>
      </c>
      <c r="S35" s="20">
        <v>-45.28</v>
      </c>
      <c r="T35" s="20">
        <v>-17.43</v>
      </c>
      <c r="U35" s="20">
        <v>-43.43</v>
      </c>
      <c r="V35" s="18">
        <v>3.39</v>
      </c>
      <c r="W35" s="20">
        <v>-36.64</v>
      </c>
    </row>
    <row r="36" ht="15.0" customHeight="1">
      <c r="A36" s="14" t="s">
        <v>380</v>
      </c>
      <c r="B36" s="18">
        <v>20.58</v>
      </c>
      <c r="C36" s="18">
        <v>34.79</v>
      </c>
      <c r="D36" s="18">
        <v>49.94</v>
      </c>
      <c r="E36" s="18">
        <v>15.19</v>
      </c>
      <c r="F36" s="18">
        <v>7.56</v>
      </c>
      <c r="G36" s="18">
        <v>10.22</v>
      </c>
      <c r="H36" s="18">
        <v>13.49</v>
      </c>
      <c r="I36" s="18">
        <v>17.46</v>
      </c>
      <c r="J36" s="18">
        <v>14.4</v>
      </c>
      <c r="K36" s="18">
        <v>6.32</v>
      </c>
      <c r="L36" s="18">
        <v>3.02</v>
      </c>
      <c r="M36" s="18">
        <v>1.95</v>
      </c>
      <c r="N36" s="18">
        <v>1.17</v>
      </c>
      <c r="O36" s="18">
        <v>0.74</v>
      </c>
      <c r="P36" s="18">
        <v>0.99</v>
      </c>
      <c r="Q36" s="18">
        <v>1.45</v>
      </c>
      <c r="R36" s="18">
        <v>1.9</v>
      </c>
      <c r="S36" s="18">
        <v>1.6</v>
      </c>
      <c r="T36" s="18">
        <v>61.79</v>
      </c>
      <c r="U36" s="18">
        <v>1.33</v>
      </c>
      <c r="V36" s="18">
        <v>3.13</v>
      </c>
      <c r="W36" s="18">
        <v>0.51</v>
      </c>
    </row>
    <row r="37" ht="15.0" customHeight="1">
      <c r="A37" s="14" t="s">
        <v>381</v>
      </c>
      <c r="B37" s="22">
        <v>-213.17</v>
      </c>
      <c r="C37" s="22">
        <v>-258.73</v>
      </c>
      <c r="D37" s="22">
        <v>-169.31</v>
      </c>
      <c r="E37" s="22">
        <v>-125.97</v>
      </c>
      <c r="F37" s="22">
        <v>-104.43</v>
      </c>
      <c r="G37" s="20">
        <v>-98.26</v>
      </c>
      <c r="H37" s="20">
        <v>-89.12</v>
      </c>
      <c r="I37" s="20">
        <v>-50.42</v>
      </c>
      <c r="J37" s="20">
        <v>-38.33</v>
      </c>
      <c r="K37" s="20">
        <v>-27.0</v>
      </c>
      <c r="L37" s="20">
        <v>-28.21</v>
      </c>
      <c r="M37" s="20">
        <v>-19.48</v>
      </c>
      <c r="N37" s="20">
        <v>-20.14</v>
      </c>
      <c r="O37" s="20">
        <v>-26.96</v>
      </c>
      <c r="P37" s="20">
        <v>-69.71</v>
      </c>
      <c r="Q37" s="22">
        <v>-108.88</v>
      </c>
      <c r="R37" s="20">
        <v>-66.39</v>
      </c>
      <c r="S37" s="20">
        <v>-95.69</v>
      </c>
      <c r="T37" s="22">
        <v>-136.85</v>
      </c>
      <c r="U37" s="20">
        <v>-95.57</v>
      </c>
      <c r="V37" s="20">
        <v>-34.87</v>
      </c>
      <c r="W37" s="20">
        <v>-10.1</v>
      </c>
    </row>
    <row r="38" ht="15.0" customHeight="1">
      <c r="A38" s="14" t="s">
        <v>382</v>
      </c>
      <c r="B38" s="22">
        <v>-275.94</v>
      </c>
      <c r="C38" s="22">
        <v>-252.34</v>
      </c>
      <c r="D38" s="22">
        <v>-214.71</v>
      </c>
      <c r="E38" s="22">
        <v>-188.91</v>
      </c>
      <c r="F38" s="22">
        <v>-140.08</v>
      </c>
      <c r="G38" s="22">
        <v>-159.42</v>
      </c>
      <c r="H38" s="22">
        <v>-141.68</v>
      </c>
      <c r="I38" s="22">
        <v>-151.7</v>
      </c>
      <c r="J38" s="22">
        <v>-107.14</v>
      </c>
      <c r="K38" s="22">
        <v>-159.16</v>
      </c>
      <c r="L38" s="22">
        <v>-120.1</v>
      </c>
      <c r="M38" s="20">
        <v>-62.76</v>
      </c>
      <c r="N38" s="20">
        <v>-19.09</v>
      </c>
      <c r="O38" s="20">
        <v>-49.28</v>
      </c>
      <c r="P38" s="20">
        <v>-42.94</v>
      </c>
      <c r="Q38" s="20">
        <v>-39.57</v>
      </c>
      <c r="R38" s="20">
        <v>-39.87</v>
      </c>
      <c r="S38" s="20">
        <v>-11.07</v>
      </c>
      <c r="T38" s="20">
        <v>-17.59</v>
      </c>
      <c r="U38" s="20">
        <v>-12.74</v>
      </c>
      <c r="V38" s="20">
        <v>-29.48</v>
      </c>
      <c r="W38" s="20">
        <v>-7.74</v>
      </c>
    </row>
    <row r="39" ht="15.0" customHeight="1">
      <c r="A39" s="14" t="s">
        <v>383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>
        <v>-48.76</v>
      </c>
      <c r="R39" s="15">
        <v>132.29</v>
      </c>
      <c r="S39" s="20">
        <v>-45.28</v>
      </c>
      <c r="T39" s="20">
        <v>-17.43</v>
      </c>
      <c r="U39" s="20">
        <v>-43.43</v>
      </c>
      <c r="V39" s="18">
        <v>3.39</v>
      </c>
      <c r="W39" s="20">
        <v>-36.64</v>
      </c>
    </row>
    <row r="40" ht="15.0" customHeight="1">
      <c r="A40" s="14" t="s">
        <v>384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0.0</v>
      </c>
      <c r="V40" s="20">
        <v>-6.44</v>
      </c>
      <c r="W40" s="19">
        <v>0.0</v>
      </c>
    </row>
    <row r="41" ht="15.0" customHeight="1">
      <c r="A41" s="16" t="s">
        <v>385</v>
      </c>
      <c r="B41" s="17">
        <v>1375.59</v>
      </c>
      <c r="C41" s="17">
        <v>1246.99</v>
      </c>
      <c r="D41" s="17">
        <v>995.25</v>
      </c>
      <c r="E41" s="17">
        <v>583.85</v>
      </c>
      <c r="F41" s="17">
        <v>864.02</v>
      </c>
      <c r="G41" s="17">
        <v>868.07</v>
      </c>
      <c r="H41" s="17">
        <v>838.27</v>
      </c>
      <c r="I41" s="17">
        <v>565.28</v>
      </c>
      <c r="J41" s="17">
        <v>610.71</v>
      </c>
      <c r="K41" s="17">
        <v>556.77</v>
      </c>
      <c r="L41" s="17">
        <v>528.12</v>
      </c>
      <c r="M41" s="17">
        <v>536.83</v>
      </c>
      <c r="N41" s="17">
        <v>388.83</v>
      </c>
      <c r="O41" s="17">
        <v>334.75</v>
      </c>
      <c r="P41" s="17">
        <v>271.43</v>
      </c>
      <c r="Q41" s="17">
        <v>241.6</v>
      </c>
      <c r="R41" s="17">
        <v>566.66</v>
      </c>
      <c r="S41" s="17">
        <v>298.32</v>
      </c>
      <c r="T41" s="17">
        <v>267.56</v>
      </c>
      <c r="U41" s="17">
        <v>102.43</v>
      </c>
      <c r="V41" s="25">
        <v>99.71</v>
      </c>
      <c r="W41" s="25">
        <v>75.18</v>
      </c>
    </row>
    <row r="42" ht="15.0" customHeight="1">
      <c r="A42" s="14" t="s">
        <v>386</v>
      </c>
      <c r="B42" s="19"/>
      <c r="C42" s="19"/>
      <c r="D42" s="19"/>
      <c r="E42" s="19"/>
      <c r="F42" s="19"/>
      <c r="G42" s="19"/>
      <c r="H42" s="22">
        <v>-280.22</v>
      </c>
      <c r="I42" s="22">
        <v>-251.22</v>
      </c>
      <c r="J42" s="22">
        <v>-158.31</v>
      </c>
      <c r="K42" s="22">
        <v>-206.4</v>
      </c>
      <c r="L42" s="22">
        <v>-192.23</v>
      </c>
      <c r="M42" s="22">
        <v>-105.75</v>
      </c>
      <c r="N42" s="22">
        <v>-100.23</v>
      </c>
      <c r="O42" s="20">
        <v>-83.26</v>
      </c>
      <c r="P42" s="20">
        <v>-90.44</v>
      </c>
      <c r="Q42" s="20">
        <v>-56.23</v>
      </c>
      <c r="R42" s="20">
        <v>-60.79</v>
      </c>
      <c r="S42" s="20">
        <v>-43.78</v>
      </c>
      <c r="T42" s="20">
        <v>-41.72</v>
      </c>
      <c r="U42" s="20">
        <v>-70.17</v>
      </c>
      <c r="V42" s="20">
        <v>-51.46</v>
      </c>
      <c r="W42" s="20">
        <v>-44.52</v>
      </c>
    </row>
    <row r="43" ht="15.0" customHeight="1">
      <c r="A43" s="14" t="s">
        <v>386</v>
      </c>
      <c r="B43" s="22">
        <v>-335.36</v>
      </c>
      <c r="C43" s="22">
        <v>-421.45</v>
      </c>
      <c r="D43" s="22">
        <v>-446.09</v>
      </c>
      <c r="E43" s="22">
        <v>-249.24</v>
      </c>
      <c r="F43" s="22">
        <v>-229.37</v>
      </c>
      <c r="G43" s="22">
        <v>-226.07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387</v>
      </c>
      <c r="B44" s="22">
        <v>-109.98</v>
      </c>
      <c r="C44" s="22">
        <v>-752.84</v>
      </c>
      <c r="D44" s="22">
        <v>-125.59</v>
      </c>
      <c r="E44" s="22">
        <v>-401.44</v>
      </c>
      <c r="F44" s="22">
        <v>-291.7</v>
      </c>
      <c r="G44" s="22">
        <v>-717.92</v>
      </c>
      <c r="H44" s="22">
        <v>-267.88</v>
      </c>
      <c r="I44" s="22">
        <v>-534.94</v>
      </c>
      <c r="J44" s="20">
        <v>-5.51</v>
      </c>
      <c r="K44" s="19"/>
      <c r="L44" s="19">
        <v>0.0</v>
      </c>
      <c r="M44" s="22">
        <v>-118.34</v>
      </c>
      <c r="N44" s="22">
        <v>-377.57</v>
      </c>
      <c r="O44" s="20">
        <v>-66.54</v>
      </c>
      <c r="P44" s="19">
        <v>0.0</v>
      </c>
      <c r="Q44" s="20">
        <v>-61.85</v>
      </c>
      <c r="R44" s="20">
        <v>-37.04</v>
      </c>
      <c r="S44" s="19">
        <v>0.0</v>
      </c>
      <c r="T44" s="20">
        <v>-63.47</v>
      </c>
      <c r="U44" s="22">
        <v>-1085.38</v>
      </c>
      <c r="V44" s="22">
        <v>-1564.91</v>
      </c>
      <c r="W44" s="20">
        <v>-6.14</v>
      </c>
    </row>
    <row r="45" ht="15.0" customHeight="1">
      <c r="A45" s="14" t="s">
        <v>388</v>
      </c>
      <c r="B45" s="19"/>
      <c r="C45" s="19"/>
      <c r="D45" s="19"/>
      <c r="E45" s="19"/>
      <c r="F45" s="19"/>
      <c r="G45" s="19"/>
      <c r="H45" s="19"/>
      <c r="I45" s="19"/>
      <c r="J45" s="19"/>
      <c r="K45" s="22">
        <v>-432.84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389</v>
      </c>
      <c r="B46" s="20">
        <v>-33.05</v>
      </c>
      <c r="C46" s="18">
        <v>48.66</v>
      </c>
      <c r="D46" s="20">
        <v>-31.3</v>
      </c>
      <c r="E46" s="18">
        <v>14.07</v>
      </c>
      <c r="F46" s="18">
        <v>10.15</v>
      </c>
      <c r="G46" s="20">
        <v>-57.79</v>
      </c>
      <c r="H46" s="20">
        <v>-1.77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390</v>
      </c>
      <c r="B47" s="19"/>
      <c r="C47" s="19"/>
      <c r="D47" s="19"/>
      <c r="E47" s="19"/>
      <c r="F47" s="19"/>
      <c r="G47" s="19"/>
      <c r="H47" s="19"/>
      <c r="I47" s="18">
        <v>0.39</v>
      </c>
      <c r="J47" s="18">
        <v>0.28</v>
      </c>
      <c r="K47" s="18">
        <v>0.6</v>
      </c>
      <c r="L47" s="18">
        <v>2.54</v>
      </c>
      <c r="M47" s="18">
        <v>0.3</v>
      </c>
      <c r="N47" s="18">
        <v>0.61</v>
      </c>
      <c r="O47" s="18">
        <v>0.35</v>
      </c>
      <c r="P47" s="18">
        <v>1.06</v>
      </c>
      <c r="Q47" s="18">
        <v>16.33</v>
      </c>
      <c r="R47" s="18">
        <v>4.79</v>
      </c>
      <c r="S47" s="18">
        <v>5.41</v>
      </c>
      <c r="T47" s="18">
        <v>1.56</v>
      </c>
      <c r="U47" s="18">
        <v>1.65</v>
      </c>
      <c r="V47" s="18">
        <v>0.91</v>
      </c>
      <c r="W47" s="18">
        <v>5.48</v>
      </c>
    </row>
    <row r="48" ht="15.0" customHeight="1">
      <c r="A48" s="14" t="s">
        <v>391</v>
      </c>
      <c r="B48" s="18">
        <v>42.35</v>
      </c>
      <c r="C48" s="19"/>
      <c r="D48" s="19"/>
      <c r="E48" s="19"/>
      <c r="F48" s="19"/>
      <c r="G48" s="19">
        <v>0.0</v>
      </c>
      <c r="H48" s="18">
        <v>1.18</v>
      </c>
      <c r="I48" s="18">
        <v>39.46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392</v>
      </c>
      <c r="B49" s="19"/>
      <c r="C49" s="19"/>
      <c r="D49" s="19"/>
      <c r="E49" s="19"/>
      <c r="F49" s="19"/>
      <c r="G49" s="19"/>
      <c r="H49" s="19"/>
      <c r="I49" s="20">
        <v>-3.79</v>
      </c>
      <c r="J49" s="18">
        <v>2.84</v>
      </c>
      <c r="K49" s="20">
        <v>-91.35</v>
      </c>
      <c r="L49" s="20">
        <v>-8.88</v>
      </c>
      <c r="M49" s="20">
        <v>-33.63</v>
      </c>
      <c r="N49" s="18">
        <v>1.92</v>
      </c>
      <c r="O49" s="20">
        <v>-5.42</v>
      </c>
      <c r="P49" s="20">
        <v>-14.74</v>
      </c>
      <c r="Q49" s="20">
        <v>-12.94</v>
      </c>
      <c r="R49" s="20">
        <v>-10.11</v>
      </c>
      <c r="S49" s="18">
        <v>0.83</v>
      </c>
      <c r="T49" s="20">
        <v>-0.46</v>
      </c>
      <c r="U49" s="19"/>
      <c r="V49" s="19"/>
      <c r="W49" s="19"/>
    </row>
    <row r="50" ht="15.0" customHeight="1">
      <c r="A50" s="14" t="s">
        <v>393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0.0</v>
      </c>
      <c r="V50" s="18">
        <v>5.5</v>
      </c>
      <c r="W50" s="18">
        <v>10.59</v>
      </c>
    </row>
    <row r="51" ht="15.0" customHeight="1">
      <c r="A51" s="14" t="s">
        <v>394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>
        <v>-2.36</v>
      </c>
      <c r="V51" s="20">
        <v>-0.16</v>
      </c>
      <c r="W51" s="20">
        <v>-2.44</v>
      </c>
    </row>
    <row r="52" ht="15.0" customHeight="1">
      <c r="A52" s="14" t="s">
        <v>395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8">
        <v>2.9</v>
      </c>
      <c r="V52" s="18">
        <v>1.19</v>
      </c>
      <c r="W52" s="18">
        <v>0.68</v>
      </c>
    </row>
    <row r="53" ht="15.0" customHeight="1">
      <c r="A53" s="14" t="s">
        <v>396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0.0</v>
      </c>
      <c r="V53" s="19">
        <v>0.0</v>
      </c>
      <c r="W53" s="18">
        <v>2.75</v>
      </c>
    </row>
    <row r="54" ht="15.0" customHeight="1">
      <c r="A54" s="14" t="s">
        <v>397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0.0</v>
      </c>
      <c r="V54" s="18">
        <v>0.93</v>
      </c>
      <c r="W54" s="18">
        <v>0.79</v>
      </c>
    </row>
    <row r="55" ht="15.0" customHeight="1">
      <c r="A55" s="14" t="s">
        <v>398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8">
        <v>6.25</v>
      </c>
      <c r="V55" s="19">
        <v>0.0</v>
      </c>
      <c r="W55" s="20">
        <v>-0.92</v>
      </c>
    </row>
    <row r="56" ht="15.0" customHeight="1">
      <c r="A56" s="14" t="s">
        <v>399</v>
      </c>
      <c r="B56" s="20">
        <v>-0.01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400</v>
      </c>
      <c r="B57" s="20">
        <v>-42.39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6" t="s">
        <v>401</v>
      </c>
      <c r="B58" s="23">
        <v>-478.44</v>
      </c>
      <c r="C58" s="23">
        <v>-1125.63</v>
      </c>
      <c r="D58" s="23">
        <v>-602.98</v>
      </c>
      <c r="E58" s="23">
        <v>-636.6</v>
      </c>
      <c r="F58" s="23">
        <v>-510.93</v>
      </c>
      <c r="G58" s="23">
        <v>-1001.78</v>
      </c>
      <c r="H58" s="23">
        <v>-548.68</v>
      </c>
      <c r="I58" s="23">
        <v>-750.1</v>
      </c>
      <c r="J58" s="23">
        <v>-160.7</v>
      </c>
      <c r="K58" s="23">
        <v>-730.0</v>
      </c>
      <c r="L58" s="23">
        <v>-198.56</v>
      </c>
      <c r="M58" s="23">
        <v>-257.41</v>
      </c>
      <c r="N58" s="23">
        <v>-475.28</v>
      </c>
      <c r="O58" s="23">
        <v>-154.87</v>
      </c>
      <c r="P58" s="23">
        <v>-104.12</v>
      </c>
      <c r="Q58" s="23">
        <v>-114.69</v>
      </c>
      <c r="R58" s="23">
        <v>-103.15</v>
      </c>
      <c r="S58" s="24">
        <v>-37.54</v>
      </c>
      <c r="T58" s="23">
        <v>-104.1</v>
      </c>
      <c r="U58" s="23">
        <v>-1147.11</v>
      </c>
      <c r="V58" s="23">
        <v>-1608.0</v>
      </c>
      <c r="W58" s="24">
        <v>-33.73</v>
      </c>
    </row>
    <row r="59" ht="15.0" customHeight="1">
      <c r="A59" s="14" t="s">
        <v>402</v>
      </c>
      <c r="B59" s="15">
        <v>596.04</v>
      </c>
      <c r="C59" s="19"/>
      <c r="D59" s="19">
        <v>0.0</v>
      </c>
      <c r="E59" s="15">
        <v>507.59</v>
      </c>
      <c r="F59" s="18">
        <v>14.55</v>
      </c>
      <c r="G59" s="15">
        <v>704.69</v>
      </c>
      <c r="H59" s="15">
        <v>485.67</v>
      </c>
      <c r="I59" s="15">
        <v>452.68</v>
      </c>
      <c r="J59" s="18">
        <v>6.4</v>
      </c>
      <c r="K59" s="15">
        <v>448.0</v>
      </c>
      <c r="L59" s="18">
        <v>27.57</v>
      </c>
      <c r="M59" s="15">
        <v>327.08</v>
      </c>
      <c r="N59" s="18">
        <v>5.09</v>
      </c>
      <c r="O59" s="19">
        <v>0.0</v>
      </c>
      <c r="P59" s="19"/>
      <c r="Q59" s="19"/>
      <c r="R59" s="19"/>
      <c r="S59" s="19">
        <v>0.0</v>
      </c>
      <c r="T59" s="18">
        <v>91.36</v>
      </c>
      <c r="U59" s="15">
        <v>101.41</v>
      </c>
      <c r="V59" s="15">
        <v>1314.03</v>
      </c>
      <c r="W59" s="15">
        <v>138.89</v>
      </c>
    </row>
    <row r="60" ht="15.0" customHeight="1">
      <c r="A60" s="14" t="s">
        <v>403</v>
      </c>
      <c r="B60" s="22">
        <v>-612.09</v>
      </c>
      <c r="C60" s="19">
        <v>0.0</v>
      </c>
      <c r="D60" s="22">
        <v>-139.3</v>
      </c>
      <c r="E60" s="22">
        <v>-632.14</v>
      </c>
      <c r="F60" s="22">
        <v>-149.13</v>
      </c>
      <c r="G60" s="22">
        <v>-288.24</v>
      </c>
      <c r="H60" s="22">
        <v>-189.86</v>
      </c>
      <c r="I60" s="22">
        <v>-244.67</v>
      </c>
      <c r="J60" s="22">
        <v>-211.69</v>
      </c>
      <c r="K60" s="20">
        <v>-62.89</v>
      </c>
      <c r="L60" s="20">
        <v>-5.72</v>
      </c>
      <c r="M60" s="22">
        <v>-438.14</v>
      </c>
      <c r="N60" s="22">
        <v>-125.92</v>
      </c>
      <c r="O60" s="22">
        <v>-126.29</v>
      </c>
      <c r="P60" s="22">
        <v>-1094.88</v>
      </c>
      <c r="Q60" s="22">
        <v>-264.04</v>
      </c>
      <c r="R60" s="22">
        <v>-162.76</v>
      </c>
      <c r="S60" s="20">
        <v>-90.02</v>
      </c>
      <c r="T60" s="22">
        <v>-110.91</v>
      </c>
      <c r="U60" s="20">
        <v>-95.96</v>
      </c>
      <c r="V60" s="22">
        <v>-260.08</v>
      </c>
      <c r="W60" s="22">
        <v>-170.72</v>
      </c>
    </row>
    <row r="61" ht="15.0" customHeight="1">
      <c r="A61" s="14" t="s">
        <v>404</v>
      </c>
      <c r="B61" s="22">
        <v>-319.71</v>
      </c>
      <c r="C61" s="15">
        <v>427.46</v>
      </c>
      <c r="D61" s="20">
        <v>-16.62</v>
      </c>
      <c r="E61" s="15">
        <v>466.81</v>
      </c>
      <c r="F61" s="22">
        <v>-120.65</v>
      </c>
      <c r="G61" s="15">
        <v>220.41</v>
      </c>
      <c r="H61" s="22">
        <v>-278.77</v>
      </c>
      <c r="I61" s="15">
        <v>388.15</v>
      </c>
      <c r="J61" s="15">
        <v>109.87</v>
      </c>
      <c r="K61" s="15">
        <v>183.86</v>
      </c>
      <c r="L61" s="22">
        <v>-276.96</v>
      </c>
      <c r="M61" s="20">
        <v>-5.92</v>
      </c>
      <c r="N61" s="15">
        <v>362.24</v>
      </c>
      <c r="O61" s="20">
        <v>-39.77</v>
      </c>
      <c r="P61" s="15">
        <v>133.02</v>
      </c>
      <c r="Q61" s="19">
        <v>0.0</v>
      </c>
      <c r="R61" s="19"/>
      <c r="S61" s="19"/>
      <c r="T61" s="19"/>
      <c r="U61" s="19"/>
      <c r="V61" s="19"/>
      <c r="W61" s="19"/>
    </row>
    <row r="62" ht="15.0" customHeight="1">
      <c r="A62" s="14" t="s">
        <v>405</v>
      </c>
      <c r="B62" s="22">
        <v>-285.24</v>
      </c>
      <c r="C62" s="22">
        <v>-261.92</v>
      </c>
      <c r="D62" s="22">
        <v>-268.25</v>
      </c>
      <c r="E62" s="22">
        <v>-204.29</v>
      </c>
      <c r="F62" s="22">
        <v>-172.29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406</v>
      </c>
      <c r="B63" s="19"/>
      <c r="C63" s="19"/>
      <c r="D63" s="19"/>
      <c r="E63" s="19"/>
      <c r="F63" s="19">
        <v>0.0</v>
      </c>
      <c r="G63" s="20">
        <v>-87.29</v>
      </c>
      <c r="H63" s="20">
        <v>-79.69</v>
      </c>
      <c r="I63" s="20">
        <v>-74.76</v>
      </c>
      <c r="J63" s="20">
        <v>-60.67</v>
      </c>
      <c r="K63" s="20">
        <v>-65.6</v>
      </c>
      <c r="L63" s="20">
        <v>-60.76</v>
      </c>
      <c r="M63" s="20">
        <v>-52.97</v>
      </c>
      <c r="N63" s="20">
        <v>-46.2</v>
      </c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407</v>
      </c>
      <c r="B64" s="19"/>
      <c r="C64" s="22">
        <v>-103.66</v>
      </c>
      <c r="D64" s="19"/>
      <c r="E64" s="19"/>
      <c r="F64" s="19">
        <v>0.0</v>
      </c>
      <c r="G64" s="20">
        <v>-23.96</v>
      </c>
      <c r="H64" s="20">
        <v>-2.27</v>
      </c>
      <c r="I64" s="20">
        <v>-3.44</v>
      </c>
      <c r="J64" s="20">
        <v>-11.73</v>
      </c>
      <c r="K64" s="20">
        <v>-2.54</v>
      </c>
      <c r="L64" s="20">
        <v>-3.61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408</v>
      </c>
      <c r="B65" s="20">
        <v>-0.36</v>
      </c>
      <c r="C65" s="19">
        <v>0.0</v>
      </c>
      <c r="D65" s="20">
        <v>-8.01</v>
      </c>
      <c r="E65" s="20">
        <v>-6.05</v>
      </c>
      <c r="F65" s="20">
        <v>-11.43</v>
      </c>
      <c r="G65" s="20">
        <v>-0.45</v>
      </c>
      <c r="H65" s="20">
        <v>-11.6</v>
      </c>
      <c r="I65" s="19"/>
      <c r="J65" s="19"/>
      <c r="K65" s="19">
        <v>0.0</v>
      </c>
      <c r="L65" s="20">
        <v>-1.02</v>
      </c>
      <c r="M65" s="19">
        <v>0.0</v>
      </c>
      <c r="N65" s="20">
        <v>-2.52</v>
      </c>
      <c r="O65" s="20">
        <v>-3.58</v>
      </c>
      <c r="P65" s="20">
        <v>-4.27</v>
      </c>
      <c r="Q65" s="20">
        <v>-3.5</v>
      </c>
      <c r="R65" s="19"/>
      <c r="S65" s="19"/>
      <c r="T65" s="19"/>
      <c r="U65" s="19"/>
      <c r="V65" s="19"/>
      <c r="W65" s="19"/>
    </row>
    <row r="66" ht="15.0" customHeight="1">
      <c r="A66" s="14" t="s">
        <v>409</v>
      </c>
      <c r="B66" s="22">
        <v>-101.15</v>
      </c>
      <c r="C66" s="19"/>
      <c r="D66" s="19">
        <v>0.0</v>
      </c>
      <c r="E66" s="20">
        <v>-95.51</v>
      </c>
      <c r="F66" s="19">
        <v>0.0</v>
      </c>
      <c r="G66" s="20">
        <v>-37.11</v>
      </c>
      <c r="H66" s="22">
        <v>-181.25</v>
      </c>
      <c r="I66" s="22">
        <v>-156.75</v>
      </c>
      <c r="J66" s="22">
        <v>-298.25</v>
      </c>
      <c r="K66" s="22">
        <v>-232.99</v>
      </c>
      <c r="L66" s="20">
        <v>-21.48</v>
      </c>
      <c r="M66" s="22">
        <v>-183.92</v>
      </c>
      <c r="N66" s="19"/>
      <c r="O66" s="19">
        <v>0.0</v>
      </c>
      <c r="P66" s="20">
        <v>-45.97</v>
      </c>
      <c r="Q66" s="19">
        <v>0.0</v>
      </c>
      <c r="R66" s="19"/>
      <c r="S66" s="19"/>
      <c r="T66" s="19">
        <v>0.0</v>
      </c>
      <c r="U66" s="20">
        <v>-4.56</v>
      </c>
      <c r="V66" s="19">
        <v>0.0</v>
      </c>
      <c r="W66" s="20">
        <v>-48.87</v>
      </c>
    </row>
    <row r="67" ht="15.0" customHeight="1">
      <c r="A67" s="14" t="s">
        <v>410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>
        <v>0.0</v>
      </c>
      <c r="R67" s="15">
        <v>182.91</v>
      </c>
      <c r="S67" s="19">
        <v>0.0</v>
      </c>
      <c r="T67" s="15">
        <v>384.9</v>
      </c>
      <c r="U67" s="19">
        <v>0.0</v>
      </c>
      <c r="V67" s="15">
        <v>536.88</v>
      </c>
      <c r="W67" s="19">
        <v>0.0</v>
      </c>
    </row>
    <row r="68" ht="15.0" customHeight="1">
      <c r="A68" s="14" t="s">
        <v>411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20">
        <v>-2.24</v>
      </c>
      <c r="T68" s="19">
        <v>0.0</v>
      </c>
      <c r="U68" s="19"/>
      <c r="V68" s="19"/>
      <c r="W68" s="19"/>
    </row>
    <row r="69" ht="15.0" customHeight="1">
      <c r="A69" s="14" t="s">
        <v>412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5">
        <v>650.72</v>
      </c>
      <c r="Q69" s="20">
        <v>-7.88</v>
      </c>
      <c r="R69" s="20">
        <v>-47.06</v>
      </c>
      <c r="S69" s="20">
        <v>-80.58</v>
      </c>
      <c r="T69" s="22">
        <v>-513.4</v>
      </c>
      <c r="U69" s="19"/>
      <c r="V69" s="19"/>
      <c r="W69" s="19"/>
    </row>
    <row r="70" ht="15.0" customHeight="1">
      <c r="A70" s="14" t="s">
        <v>413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>
        <v>0.0</v>
      </c>
      <c r="U70" s="15">
        <v>980.67</v>
      </c>
      <c r="V70" s="19">
        <v>0.0</v>
      </c>
      <c r="W70" s="19"/>
    </row>
    <row r="71" ht="15.0" customHeight="1">
      <c r="A71" s="14" t="s">
        <v>414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>
        <v>0.0</v>
      </c>
      <c r="U71" s="18">
        <v>6.32</v>
      </c>
      <c r="V71" s="18">
        <v>25.31</v>
      </c>
      <c r="W71" s="18">
        <v>2.29</v>
      </c>
    </row>
    <row r="72" ht="15.0" customHeight="1">
      <c r="A72" s="14" t="s">
        <v>415</v>
      </c>
      <c r="B72" s="19"/>
      <c r="C72" s="18">
        <v>0.01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ht="15.0" customHeight="1">
      <c r="A73" s="14" t="s">
        <v>416</v>
      </c>
      <c r="B73" s="20">
        <v>-53.14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417</v>
      </c>
      <c r="B74" s="23">
        <v>-775.67</v>
      </c>
      <c r="C74" s="25">
        <v>61.89</v>
      </c>
      <c r="D74" s="23">
        <v>-432.17</v>
      </c>
      <c r="E74" s="25">
        <v>36.4</v>
      </c>
      <c r="F74" s="23">
        <v>-438.96</v>
      </c>
      <c r="G74" s="17">
        <v>488.05</v>
      </c>
      <c r="H74" s="23">
        <v>-257.77</v>
      </c>
      <c r="I74" s="17">
        <v>361.21</v>
      </c>
      <c r="J74" s="23">
        <v>-466.07</v>
      </c>
      <c r="K74" s="17">
        <v>267.84</v>
      </c>
      <c r="L74" s="23">
        <v>-342.0</v>
      </c>
      <c r="M74" s="23">
        <v>-353.88</v>
      </c>
      <c r="N74" s="17">
        <v>192.69</v>
      </c>
      <c r="O74" s="23">
        <v>-169.64</v>
      </c>
      <c r="P74" s="23">
        <v>-361.4</v>
      </c>
      <c r="Q74" s="23">
        <v>-275.42</v>
      </c>
      <c r="R74" s="24">
        <v>-26.91</v>
      </c>
      <c r="S74" s="23">
        <v>-172.83</v>
      </c>
      <c r="T74" s="23">
        <v>-148.05</v>
      </c>
      <c r="U74" s="17">
        <v>987.87</v>
      </c>
      <c r="V74" s="17">
        <v>1616.14</v>
      </c>
      <c r="W74" s="24">
        <v>-78.41</v>
      </c>
    </row>
    <row r="75" ht="15.0" customHeight="1">
      <c r="A75" s="14" t="s">
        <v>418</v>
      </c>
      <c r="B75" s="19"/>
      <c r="C75" s="19"/>
      <c r="D75" s="19"/>
      <c r="E75" s="19"/>
      <c r="F75" s="19"/>
      <c r="G75" s="18">
        <v>38.91</v>
      </c>
      <c r="H75" s="20">
        <v>-0.31</v>
      </c>
      <c r="I75" s="20">
        <v>-12.06</v>
      </c>
      <c r="J75" s="18">
        <v>10.65</v>
      </c>
      <c r="K75" s="20">
        <v>-21.47</v>
      </c>
      <c r="L75" s="18">
        <v>9.89</v>
      </c>
      <c r="M75" s="18">
        <v>15.16</v>
      </c>
      <c r="N75" s="18">
        <v>12.98</v>
      </c>
      <c r="O75" s="18">
        <v>4.07</v>
      </c>
      <c r="P75" s="20">
        <v>-0.55</v>
      </c>
      <c r="Q75" s="20">
        <v>-5.11</v>
      </c>
      <c r="R75" s="18">
        <v>3.0</v>
      </c>
      <c r="S75" s="20">
        <v>-3.16</v>
      </c>
      <c r="T75" s="18">
        <v>6.32</v>
      </c>
      <c r="U75" s="18">
        <v>0.84</v>
      </c>
      <c r="V75" s="20">
        <v>-0.82</v>
      </c>
      <c r="W75" s="18">
        <v>0.13</v>
      </c>
    </row>
    <row r="76" ht="15.0" customHeight="1">
      <c r="A76" s="14" t="s">
        <v>419</v>
      </c>
      <c r="B76" s="15">
        <v>121.46</v>
      </c>
      <c r="C76" s="15">
        <v>183.25</v>
      </c>
      <c r="D76" s="20">
        <v>-39.91</v>
      </c>
      <c r="E76" s="20">
        <v>-16.35</v>
      </c>
      <c r="F76" s="20">
        <v>-85.86</v>
      </c>
      <c r="G76" s="15">
        <v>354.34</v>
      </c>
      <c r="H76" s="18">
        <v>31.82</v>
      </c>
      <c r="I76" s="15">
        <v>176.39</v>
      </c>
      <c r="J76" s="20">
        <v>-16.07</v>
      </c>
      <c r="K76" s="18">
        <v>94.61</v>
      </c>
      <c r="L76" s="20">
        <v>-12.44</v>
      </c>
      <c r="M76" s="20">
        <v>-74.46</v>
      </c>
      <c r="N76" s="15">
        <v>106.25</v>
      </c>
      <c r="O76" s="18">
        <v>10.25</v>
      </c>
      <c r="P76" s="19"/>
      <c r="Q76" s="19"/>
      <c r="R76" s="19"/>
      <c r="S76" s="19"/>
      <c r="T76" s="19"/>
      <c r="U76" s="19"/>
      <c r="V76" s="19"/>
      <c r="W76" s="19"/>
    </row>
    <row r="77" ht="15.0" customHeight="1">
      <c r="A77" s="14" t="s">
        <v>420</v>
      </c>
      <c r="B77" s="18">
        <v>48.07</v>
      </c>
      <c r="C77" s="20">
        <v>-38.09</v>
      </c>
      <c r="D77" s="20">
        <v>-2.07</v>
      </c>
      <c r="E77" s="20">
        <v>-65.95</v>
      </c>
      <c r="F77" s="20">
        <v>-61.68</v>
      </c>
      <c r="G77" s="18">
        <v>18.49</v>
      </c>
      <c r="H77" s="20">
        <v>-5.96</v>
      </c>
      <c r="I77" s="20">
        <v>-14.27</v>
      </c>
      <c r="J77" s="18">
        <v>23.45</v>
      </c>
      <c r="K77" s="18">
        <v>5.65</v>
      </c>
      <c r="L77" s="20">
        <v>-19.84</v>
      </c>
      <c r="M77" s="20">
        <v>-24.47</v>
      </c>
      <c r="N77" s="20">
        <v>-2.31</v>
      </c>
      <c r="O77" s="20">
        <v>-1.4</v>
      </c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421</v>
      </c>
      <c r="B78" s="15">
        <v>866.7</v>
      </c>
      <c r="C78" s="15">
        <v>825.75</v>
      </c>
      <c r="D78" s="15">
        <v>776.66</v>
      </c>
      <c r="E78" s="15">
        <v>834.63</v>
      </c>
      <c r="F78" s="15">
        <v>901.48</v>
      </c>
      <c r="G78" s="15">
        <v>502.76</v>
      </c>
      <c r="H78" s="15">
        <v>489.01</v>
      </c>
      <c r="I78" s="15">
        <v>321.98</v>
      </c>
      <c r="J78" s="15">
        <v>287.99</v>
      </c>
      <c r="K78" s="15">
        <v>222.03</v>
      </c>
      <c r="L78" s="15">
        <v>251.79</v>
      </c>
      <c r="M78" s="15">
        <v>312.1</v>
      </c>
      <c r="N78" s="15">
        <v>132.72</v>
      </c>
      <c r="O78" s="15">
        <v>109.35</v>
      </c>
      <c r="P78" s="15">
        <v>325.12</v>
      </c>
      <c r="Q78" s="15">
        <v>464.76</v>
      </c>
      <c r="R78" s="15">
        <v>179.05</v>
      </c>
      <c r="S78" s="15">
        <v>110.35</v>
      </c>
      <c r="T78" s="18">
        <v>66.18</v>
      </c>
      <c r="U78" s="15">
        <v>130.35</v>
      </c>
      <c r="V78" s="18">
        <v>28.98</v>
      </c>
      <c r="W78" s="18">
        <v>26.29</v>
      </c>
    </row>
    <row r="79" ht="15.0" customHeight="1">
      <c r="A79" s="14" t="s">
        <v>422</v>
      </c>
      <c r="B79" s="15">
        <v>1031.1</v>
      </c>
      <c r="C79" s="15">
        <v>979.3</v>
      </c>
      <c r="D79" s="15">
        <v>736.35</v>
      </c>
      <c r="E79" s="15">
        <v>750.72</v>
      </c>
      <c r="F79" s="15">
        <v>750.3</v>
      </c>
      <c r="G79" s="15">
        <v>878.06</v>
      </c>
      <c r="H79" s="15">
        <v>514.51</v>
      </c>
      <c r="I79" s="15">
        <v>481.23</v>
      </c>
      <c r="J79" s="15">
        <v>305.89</v>
      </c>
      <c r="K79" s="15">
        <v>303.08</v>
      </c>
      <c r="L79" s="15">
        <v>227.24</v>
      </c>
      <c r="M79" s="15">
        <v>212.83</v>
      </c>
      <c r="N79" s="15">
        <v>253.38</v>
      </c>
      <c r="O79" s="15">
        <v>121.71</v>
      </c>
      <c r="P79" s="15">
        <v>117.48</v>
      </c>
      <c r="Q79" s="15">
        <v>316.7</v>
      </c>
      <c r="R79" s="15">
        <v>462.49</v>
      </c>
      <c r="S79" s="15">
        <v>214.65</v>
      </c>
      <c r="T79" s="18">
        <v>86.35</v>
      </c>
      <c r="U79" s="18">
        <v>75.9</v>
      </c>
      <c r="V79" s="15">
        <v>141.03</v>
      </c>
      <c r="W79" s="18">
        <v>26.11</v>
      </c>
    </row>
    <row r="80" ht="15.0" customHeight="1">
      <c r="A80" s="16" t="s">
        <v>423</v>
      </c>
      <c r="B80" s="17">
        <v>169.54</v>
      </c>
      <c r="C80" s="17">
        <v>145.17</v>
      </c>
      <c r="D80" s="24">
        <v>-41.97</v>
      </c>
      <c r="E80" s="24">
        <v>-82.29</v>
      </c>
      <c r="F80" s="23">
        <v>-147.54</v>
      </c>
      <c r="G80" s="17">
        <v>411.74</v>
      </c>
      <c r="H80" s="25">
        <v>25.56</v>
      </c>
      <c r="I80" s="17">
        <v>150.06</v>
      </c>
      <c r="J80" s="25">
        <v>18.03</v>
      </c>
      <c r="K80" s="25">
        <v>78.79</v>
      </c>
      <c r="L80" s="24">
        <v>-22.39</v>
      </c>
      <c r="M80" s="24">
        <v>-83.77</v>
      </c>
      <c r="N80" s="17">
        <v>116.91</v>
      </c>
      <c r="O80" s="25">
        <v>12.92</v>
      </c>
      <c r="P80" s="23">
        <v>-194.65</v>
      </c>
      <c r="Q80" s="23">
        <v>-153.63</v>
      </c>
      <c r="R80" s="17">
        <v>439.6</v>
      </c>
      <c r="S80" s="25">
        <v>84.79</v>
      </c>
      <c r="T80" s="25">
        <v>21.73</v>
      </c>
      <c r="U80" s="24">
        <v>-55.97</v>
      </c>
      <c r="V80" s="17">
        <v>107.03</v>
      </c>
      <c r="W80" s="24">
        <v>-36.84</v>
      </c>
    </row>
    <row r="81" ht="15.0" customHeight="1">
      <c r="A81" s="14" t="s">
        <v>424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5">
        <v>290.36</v>
      </c>
      <c r="R81" s="15">
        <v>302.08</v>
      </c>
      <c r="S81" s="15">
        <v>343.6</v>
      </c>
      <c r="T81" s="15">
        <v>284.98</v>
      </c>
      <c r="U81" s="15">
        <v>145.86</v>
      </c>
      <c r="V81" s="18">
        <v>96.32</v>
      </c>
      <c r="W81" s="19"/>
    </row>
    <row r="82" ht="15.0" customHeight="1">
      <c r="A82" s="14" t="s">
        <v>425</v>
      </c>
      <c r="B82" s="15">
        <v>1037.25</v>
      </c>
      <c r="C82" s="15">
        <v>827.27</v>
      </c>
      <c r="D82" s="15">
        <v>548.67</v>
      </c>
      <c r="E82" s="15">
        <v>336.26</v>
      </c>
      <c r="F82" s="15">
        <v>636.01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46094.7472796296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427</v>
      </c>
      <c r="Y11" s="7" t="s">
        <v>428</v>
      </c>
      <c r="Z11" s="7" t="s">
        <v>429</v>
      </c>
      <c r="AA11" s="7" t="s">
        <v>430</v>
      </c>
      <c r="AB11" s="7" t="s">
        <v>431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37894.0</v>
      </c>
      <c r="Z13" s="9">
        <v>37621.0</v>
      </c>
      <c r="AA13" s="9">
        <v>37256.0</v>
      </c>
      <c r="AB13" s="9">
        <v>36891.0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/>
      <c r="AA16" s="11"/>
      <c r="AB16" s="11"/>
    </row>
    <row r="18">
      <c r="A18" s="12" t="s">
        <v>432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433</v>
      </c>
      <c r="Y19" s="13" t="s">
        <v>434</v>
      </c>
      <c r="Z19" s="13" t="s">
        <v>435</v>
      </c>
      <c r="AA19" s="13" t="s">
        <v>436</v>
      </c>
      <c r="AB19" s="13" t="s">
        <v>437</v>
      </c>
    </row>
    <row r="20" ht="15.0" customHeight="1">
      <c r="A20" s="26" t="s">
        <v>438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438</v>
      </c>
      <c r="B21" s="29">
        <v>26598.96</v>
      </c>
      <c r="C21" s="29">
        <v>28748.87</v>
      </c>
      <c r="D21" s="29">
        <v>21377.0</v>
      </c>
      <c r="E21" s="29">
        <v>23972.35</v>
      </c>
      <c r="F21" s="29">
        <v>27333.1</v>
      </c>
      <c r="G21" s="29">
        <v>32163.94</v>
      </c>
      <c r="H21" s="29">
        <v>32002.76</v>
      </c>
      <c r="I21" s="29">
        <v>19356.88</v>
      </c>
      <c r="J21" s="29">
        <v>16389.27</v>
      </c>
      <c r="K21" s="29">
        <v>14487.05</v>
      </c>
      <c r="L21" s="29">
        <v>14116.47</v>
      </c>
      <c r="M21" s="29">
        <v>10409.2</v>
      </c>
      <c r="N21" s="30">
        <v>5962.34</v>
      </c>
      <c r="O21" s="30">
        <v>3797.33</v>
      </c>
      <c r="P21" s="30">
        <v>4668.53</v>
      </c>
      <c r="Q21" s="30">
        <v>5240.44</v>
      </c>
      <c r="R21" s="30">
        <v>3630.53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15.0" customHeight="1">
      <c r="A22" s="28" t="s">
        <v>439</v>
      </c>
      <c r="B22" s="29">
        <v>25818.32</v>
      </c>
      <c r="C22" s="29">
        <v>31685.25</v>
      </c>
      <c r="D22" s="29">
        <v>30517.12</v>
      </c>
      <c r="E22" s="29">
        <v>29755.25</v>
      </c>
      <c r="F22" s="29">
        <v>25956.21</v>
      </c>
      <c r="G22" s="29">
        <v>22834.85</v>
      </c>
      <c r="H22" s="29">
        <v>19589.13</v>
      </c>
      <c r="I22" s="29">
        <v>15385.6</v>
      </c>
      <c r="J22" s="29">
        <v>12552.1</v>
      </c>
      <c r="K22" s="29">
        <v>10939.29</v>
      </c>
      <c r="L22" s="30">
        <v>9611.72</v>
      </c>
      <c r="M22" s="30">
        <v>7083.21</v>
      </c>
      <c r="N22" s="30">
        <v>4820.78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26" t="s">
        <v>440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440</v>
      </c>
      <c r="B24" s="29">
        <v>22129.68</v>
      </c>
      <c r="C24" s="29">
        <v>24024.56</v>
      </c>
      <c r="D24" s="29">
        <v>17341.18</v>
      </c>
      <c r="E24" s="29">
        <v>20013.6</v>
      </c>
      <c r="F24" s="29">
        <v>24092.56</v>
      </c>
      <c r="G24" s="29">
        <v>28855.37</v>
      </c>
      <c r="H24" s="29">
        <v>29314.82</v>
      </c>
      <c r="I24" s="29">
        <v>17777.26</v>
      </c>
      <c r="J24" s="29">
        <v>15388.41</v>
      </c>
      <c r="K24" s="29">
        <v>13448.91</v>
      </c>
      <c r="L24" s="29">
        <v>13591.07</v>
      </c>
      <c r="M24" s="30">
        <v>9702.14</v>
      </c>
      <c r="N24" s="30">
        <v>5300.07</v>
      </c>
      <c r="O24" s="30">
        <v>3335.05</v>
      </c>
      <c r="P24" s="30">
        <v>3992.72</v>
      </c>
      <c r="Q24" s="30">
        <v>4457.73</v>
      </c>
      <c r="R24" s="30">
        <v>2711.53</v>
      </c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15.0" customHeight="1">
      <c r="A25" s="28" t="s">
        <v>441</v>
      </c>
      <c r="B25" s="29">
        <v>21733.95</v>
      </c>
      <c r="C25" s="29">
        <v>27203.44</v>
      </c>
      <c r="D25" s="29">
        <v>26742.46</v>
      </c>
      <c r="E25" s="29">
        <v>26528.63</v>
      </c>
      <c r="F25" s="29">
        <v>23552.56</v>
      </c>
      <c r="G25" s="29">
        <v>20918.71</v>
      </c>
      <c r="H25" s="29">
        <v>18201.03</v>
      </c>
      <c r="I25" s="29">
        <v>14385.13</v>
      </c>
      <c r="J25" s="29">
        <v>11722.56</v>
      </c>
      <c r="K25" s="29">
        <v>10133.41</v>
      </c>
      <c r="L25" s="30">
        <v>8799.51</v>
      </c>
      <c r="M25" s="30">
        <v>6284.58</v>
      </c>
      <c r="N25" s="30">
        <v>4094.74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26" t="s">
        <v>442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443</v>
      </c>
      <c r="B27" s="31">
        <v>51.41</v>
      </c>
      <c r="C27" s="31">
        <v>56.18</v>
      </c>
      <c r="D27" s="31">
        <v>41.19</v>
      </c>
      <c r="E27" s="31">
        <v>47.31</v>
      </c>
      <c r="F27" s="31">
        <v>56.96</v>
      </c>
      <c r="G27" s="31">
        <v>68.22</v>
      </c>
      <c r="H27" s="31">
        <v>68.91</v>
      </c>
      <c r="I27" s="31">
        <v>41.26</v>
      </c>
      <c r="J27" s="31">
        <v>35.2</v>
      </c>
      <c r="K27" s="31">
        <v>30.75</v>
      </c>
      <c r="L27" s="31">
        <v>30.49</v>
      </c>
      <c r="M27" s="31">
        <v>21.49</v>
      </c>
      <c r="N27" s="31">
        <v>11.74</v>
      </c>
      <c r="O27" s="31">
        <v>7.43</v>
      </c>
      <c r="P27" s="31">
        <v>8.9</v>
      </c>
      <c r="Q27" s="31">
        <v>9.82</v>
      </c>
      <c r="R27" s="31">
        <v>6.41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5.0" customHeight="1">
      <c r="A28" s="28" t="s">
        <v>444</v>
      </c>
      <c r="B28" s="31">
        <v>51.13</v>
      </c>
      <c r="C28" s="31">
        <v>64.23</v>
      </c>
      <c r="D28" s="31">
        <v>63.17</v>
      </c>
      <c r="E28" s="31">
        <v>62.46</v>
      </c>
      <c r="F28" s="31">
        <v>55.19</v>
      </c>
      <c r="G28" s="31">
        <v>48.77</v>
      </c>
      <c r="H28" s="31">
        <v>42.01</v>
      </c>
      <c r="I28" s="31">
        <v>32.74</v>
      </c>
      <c r="J28" s="31">
        <v>26.44</v>
      </c>
      <c r="K28" s="31">
        <v>22.73</v>
      </c>
      <c r="L28" s="31">
        <v>19.6</v>
      </c>
      <c r="M28" s="31">
        <v>13.93</v>
      </c>
      <c r="N28" s="31">
        <v>9.16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26" t="s">
        <v>445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446</v>
      </c>
      <c r="B30" s="32">
        <v>4.78</v>
      </c>
      <c r="C30" s="32">
        <v>3.64</v>
      </c>
      <c r="D30" s="32">
        <v>3.05</v>
      </c>
      <c r="E30" s="32">
        <v>1.73</v>
      </c>
      <c r="F30" s="32">
        <v>2.7</v>
      </c>
      <c r="G30" s="32">
        <v>2.03</v>
      </c>
      <c r="H30" s="32">
        <v>1.91</v>
      </c>
      <c r="I30" s="32">
        <v>2.13</v>
      </c>
      <c r="J30" s="32">
        <v>2.95</v>
      </c>
      <c r="K30" s="32">
        <v>2.66</v>
      </c>
      <c r="L30" s="32">
        <v>2.71</v>
      </c>
      <c r="M30" s="32">
        <v>5.25</v>
      </c>
      <c r="N30" s="32">
        <v>5.64</v>
      </c>
      <c r="O30" s="32">
        <v>7.21</v>
      </c>
      <c r="P30" s="32">
        <v>4.81</v>
      </c>
      <c r="Q30" s="32">
        <v>4.0</v>
      </c>
      <c r="R30" s="32">
        <v>16.94</v>
      </c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5.0" customHeight="1">
      <c r="A31" s="28" t="s">
        <v>447</v>
      </c>
      <c r="B31" s="32">
        <v>3.17</v>
      </c>
      <c r="C31" s="32">
        <v>2.56</v>
      </c>
      <c r="D31" s="32">
        <v>2.22</v>
      </c>
      <c r="E31" s="32">
        <v>2.1</v>
      </c>
      <c r="F31" s="32">
        <v>2.28</v>
      </c>
      <c r="G31" s="32">
        <v>2.23</v>
      </c>
      <c r="H31" s="32">
        <v>2.37</v>
      </c>
      <c r="I31" s="32">
        <v>2.99</v>
      </c>
      <c r="J31" s="32">
        <v>3.57</v>
      </c>
      <c r="K31" s="32">
        <v>4.14</v>
      </c>
      <c r="L31" s="32">
        <v>4.71</v>
      </c>
      <c r="M31" s="32">
        <v>5.32</v>
      </c>
      <c r="N31" s="32">
        <v>7.04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5.0" customHeight="1">
      <c r="A32" s="26" t="s">
        <v>448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449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0.29</v>
      </c>
      <c r="H33" s="32">
        <v>0.27</v>
      </c>
      <c r="I33" s="32">
        <v>0.43</v>
      </c>
      <c r="J33" s="32">
        <v>0.34</v>
      </c>
      <c r="K33" s="32">
        <v>0.4</v>
      </c>
      <c r="L33" s="32">
        <v>0.41</v>
      </c>
      <c r="M33" s="32">
        <v>0.5</v>
      </c>
      <c r="N33" s="32">
        <v>0.75</v>
      </c>
      <c r="O33" s="32">
        <v>0.0</v>
      </c>
      <c r="P33" s="32">
        <v>0.0</v>
      </c>
      <c r="Q33" s="32">
        <v>0.0</v>
      </c>
      <c r="R33" s="32">
        <v>0.0</v>
      </c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5.0" customHeight="1">
      <c r="A34" s="28" t="s">
        <v>450</v>
      </c>
      <c r="B34" s="32">
        <v>0.0</v>
      </c>
      <c r="C34" s="32">
        <v>0.08</v>
      </c>
      <c r="D34" s="32">
        <v>0.14</v>
      </c>
      <c r="E34" s="32">
        <v>0.2</v>
      </c>
      <c r="F34" s="32">
        <v>0.25</v>
      </c>
      <c r="G34" s="32">
        <v>0.33</v>
      </c>
      <c r="H34" s="32">
        <v>0.35</v>
      </c>
      <c r="I34" s="32">
        <v>0.41</v>
      </c>
      <c r="J34" s="32">
        <v>0.45</v>
      </c>
      <c r="K34" s="32">
        <v>0.44</v>
      </c>
      <c r="L34" s="32">
        <v>0.39</v>
      </c>
      <c r="M34" s="32">
        <v>0.31</v>
      </c>
      <c r="N34" s="32">
        <v>0.19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5.0" customHeight="1">
      <c r="A35" s="28" t="s">
        <v>451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0.29</v>
      </c>
      <c r="H35" s="32">
        <v>0.27</v>
      </c>
      <c r="I35" s="32">
        <v>0.43</v>
      </c>
      <c r="J35" s="32">
        <v>0.42</v>
      </c>
      <c r="K35" s="32">
        <v>0.5</v>
      </c>
      <c r="L35" s="32">
        <v>0.52</v>
      </c>
      <c r="M35" s="32">
        <v>0.62</v>
      </c>
      <c r="N35" s="32">
        <v>0.92</v>
      </c>
      <c r="O35" s="32">
        <v>0.0</v>
      </c>
      <c r="P35" s="32">
        <v>0.0</v>
      </c>
      <c r="Q35" s="32">
        <v>0.0</v>
      </c>
      <c r="R35" s="32">
        <v>0.0</v>
      </c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5.0" customHeight="1">
      <c r="A36" s="28" t="s">
        <v>452</v>
      </c>
      <c r="B36" s="32">
        <v>0.0</v>
      </c>
      <c r="C36" s="32">
        <v>0.08</v>
      </c>
      <c r="D36" s="32">
        <v>0.14</v>
      </c>
      <c r="E36" s="32">
        <v>0.2</v>
      </c>
      <c r="F36" s="32">
        <v>0.26</v>
      </c>
      <c r="G36" s="32">
        <v>0.35</v>
      </c>
      <c r="H36" s="32">
        <v>0.4</v>
      </c>
      <c r="I36" s="32">
        <v>0.49</v>
      </c>
      <c r="J36" s="32">
        <v>0.56</v>
      </c>
      <c r="K36" s="32">
        <v>0.54</v>
      </c>
      <c r="L36" s="32">
        <v>0.48</v>
      </c>
      <c r="M36" s="32">
        <v>0.38</v>
      </c>
      <c r="N36" s="32">
        <v>0.24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5.0" customHeight="1">
      <c r="A37" s="26" t="s">
        <v>453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454</v>
      </c>
      <c r="B38" s="31">
        <v>2.46</v>
      </c>
      <c r="C38" s="31">
        <v>2.72</v>
      </c>
      <c r="D38" s="31">
        <v>2.43</v>
      </c>
      <c r="E38" s="31">
        <v>3.19</v>
      </c>
      <c r="F38" s="31">
        <v>4.39</v>
      </c>
      <c r="G38" s="31">
        <v>5.86</v>
      </c>
      <c r="H38" s="31">
        <v>5.85</v>
      </c>
      <c r="I38" s="31">
        <v>3.79</v>
      </c>
      <c r="J38" s="31">
        <v>3.67</v>
      </c>
      <c r="K38" s="31">
        <v>3.34</v>
      </c>
      <c r="L38" s="31">
        <v>3.31</v>
      </c>
      <c r="M38" s="31">
        <v>2.88</v>
      </c>
      <c r="N38" s="31">
        <v>1.96</v>
      </c>
      <c r="O38" s="31">
        <v>1.47</v>
      </c>
      <c r="P38" s="31">
        <v>1.84</v>
      </c>
      <c r="Q38" s="31">
        <v>2.24</v>
      </c>
      <c r="R38" s="31">
        <v>1.61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5.0" customHeight="1">
      <c r="A39" s="28" t="s">
        <v>455</v>
      </c>
      <c r="B39" s="31">
        <v>2.97</v>
      </c>
      <c r="C39" s="31">
        <v>3.61</v>
      </c>
      <c r="D39" s="31">
        <v>4.24</v>
      </c>
      <c r="E39" s="31">
        <v>4.59</v>
      </c>
      <c r="F39" s="31">
        <v>4.75</v>
      </c>
      <c r="G39" s="31">
        <v>4.59</v>
      </c>
      <c r="H39" s="31">
        <v>4.07</v>
      </c>
      <c r="I39" s="31">
        <v>3.42</v>
      </c>
      <c r="J39" s="31">
        <v>3.06</v>
      </c>
      <c r="K39" s="31">
        <v>2.63</v>
      </c>
      <c r="L39" s="31">
        <v>2.34</v>
      </c>
      <c r="M39" s="31">
        <v>2.09</v>
      </c>
      <c r="N39" s="31">
        <v>1.82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0" customHeight="1">
      <c r="A40" s="26" t="s">
        <v>456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457</v>
      </c>
      <c r="B41" s="29"/>
      <c r="C41" s="29"/>
      <c r="D41" s="29"/>
      <c r="E41" s="29"/>
      <c r="F41" s="29"/>
      <c r="G41" s="29"/>
      <c r="H41" s="29"/>
      <c r="I41" s="29"/>
      <c r="J41" s="31">
        <v>45.62</v>
      </c>
      <c r="K41" s="31">
        <v>58.27</v>
      </c>
      <c r="L41" s="31">
        <v>26.57</v>
      </c>
      <c r="M41" s="30">
        <v>108.62</v>
      </c>
      <c r="N41" s="30">
        <v>401.14</v>
      </c>
      <c r="O41" s="31">
        <v>24.19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5.0" customHeight="1">
      <c r="A42" s="28" t="s">
        <v>458</v>
      </c>
      <c r="B42" s="29"/>
      <c r="C42" s="29"/>
      <c r="D42" s="29"/>
      <c r="E42" s="29"/>
      <c r="F42" s="29"/>
      <c r="G42" s="29"/>
      <c r="H42" s="30">
        <v>118.21</v>
      </c>
      <c r="I42" s="31">
        <v>68.95</v>
      </c>
      <c r="J42" s="31">
        <v>50.95</v>
      </c>
      <c r="K42" s="31">
        <v>47.42</v>
      </c>
      <c r="L42" s="31">
        <v>51.42</v>
      </c>
      <c r="M42" s="30">
        <v>360.84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0" customHeight="1">
      <c r="A43" s="26" t="s">
        <v>459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460</v>
      </c>
      <c r="B44" s="31">
        <v>2.35</v>
      </c>
      <c r="C44" s="31">
        <v>2.47</v>
      </c>
      <c r="D44" s="31">
        <v>2.17</v>
      </c>
      <c r="E44" s="31">
        <v>2.81</v>
      </c>
      <c r="F44" s="31">
        <v>3.8</v>
      </c>
      <c r="G44" s="31">
        <v>5.34</v>
      </c>
      <c r="H44" s="31">
        <v>4.86</v>
      </c>
      <c r="I44" s="31">
        <v>3.32</v>
      </c>
      <c r="J44" s="31">
        <v>3.26</v>
      </c>
      <c r="K44" s="31">
        <v>3.01</v>
      </c>
      <c r="L44" s="31">
        <v>3.18</v>
      </c>
      <c r="M44" s="31">
        <v>2.56</v>
      </c>
      <c r="N44" s="31">
        <v>1.99</v>
      </c>
      <c r="O44" s="31">
        <v>1.5</v>
      </c>
      <c r="P44" s="31">
        <v>1.69</v>
      </c>
      <c r="Q44" s="31">
        <v>2.14</v>
      </c>
      <c r="R44" s="31">
        <v>1.44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5.0" customHeight="1">
      <c r="A45" s="28" t="s">
        <v>461</v>
      </c>
      <c r="B45" s="31">
        <v>2.68</v>
      </c>
      <c r="C45" s="31">
        <v>3.22</v>
      </c>
      <c r="D45" s="31">
        <v>3.71</v>
      </c>
      <c r="E45" s="31">
        <v>4.0</v>
      </c>
      <c r="F45" s="31">
        <v>4.15</v>
      </c>
      <c r="G45" s="31">
        <v>4.04</v>
      </c>
      <c r="H45" s="31">
        <v>3.61</v>
      </c>
      <c r="I45" s="31">
        <v>3.09</v>
      </c>
      <c r="J45" s="31">
        <v>2.84</v>
      </c>
      <c r="K45" s="31">
        <v>2.51</v>
      </c>
      <c r="L45" s="31">
        <v>2.24</v>
      </c>
      <c r="M45" s="31">
        <v>2.0</v>
      </c>
      <c r="N45" s="31">
        <v>1.76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0" customHeight="1">
      <c r="A46" s="26" t="s">
        <v>462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463</v>
      </c>
      <c r="B47" s="31">
        <v>20.91</v>
      </c>
      <c r="C47" s="31">
        <v>27.45</v>
      </c>
      <c r="D47" s="31">
        <v>32.82</v>
      </c>
      <c r="E47" s="31">
        <v>57.94</v>
      </c>
      <c r="F47" s="31">
        <v>37.03</v>
      </c>
      <c r="G47" s="31">
        <v>49.28</v>
      </c>
      <c r="H47" s="31">
        <v>52.44</v>
      </c>
      <c r="I47" s="31">
        <v>46.91</v>
      </c>
      <c r="J47" s="31">
        <v>33.89</v>
      </c>
      <c r="K47" s="31">
        <v>37.6</v>
      </c>
      <c r="L47" s="31">
        <v>36.9</v>
      </c>
      <c r="M47" s="31">
        <v>19.04</v>
      </c>
      <c r="N47" s="31">
        <v>17.72</v>
      </c>
      <c r="O47" s="31">
        <v>13.86</v>
      </c>
      <c r="P47" s="31">
        <v>20.78</v>
      </c>
      <c r="Q47" s="31">
        <v>25.02</v>
      </c>
      <c r="R47" s="31">
        <v>5.9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5.0" customHeight="1">
      <c r="A48" s="28" t="s">
        <v>464</v>
      </c>
      <c r="B48" s="31">
        <v>31.52</v>
      </c>
      <c r="C48" s="31">
        <v>39.07</v>
      </c>
      <c r="D48" s="31">
        <v>44.97</v>
      </c>
      <c r="E48" s="31">
        <v>47.51</v>
      </c>
      <c r="F48" s="31">
        <v>43.88</v>
      </c>
      <c r="G48" s="31">
        <v>44.83</v>
      </c>
      <c r="H48" s="31">
        <v>42.25</v>
      </c>
      <c r="I48" s="31">
        <v>33.39</v>
      </c>
      <c r="J48" s="31">
        <v>28.02</v>
      </c>
      <c r="K48" s="31">
        <v>24.15</v>
      </c>
      <c r="L48" s="31">
        <v>21.25</v>
      </c>
      <c r="M48" s="31">
        <v>18.81</v>
      </c>
      <c r="N48" s="31">
        <v>14.2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26" t="s">
        <v>465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466</v>
      </c>
      <c r="B50" s="31">
        <v>15.13</v>
      </c>
      <c r="C50" s="31">
        <v>16.88</v>
      </c>
      <c r="D50" s="31">
        <v>15.71</v>
      </c>
      <c r="E50" s="31">
        <v>21.8</v>
      </c>
      <c r="F50" s="31">
        <v>23.33</v>
      </c>
      <c r="G50" s="31">
        <v>46.29</v>
      </c>
      <c r="H50" s="31">
        <v>29.65</v>
      </c>
      <c r="I50" s="31">
        <v>19.59</v>
      </c>
      <c r="J50" s="31">
        <v>23.12</v>
      </c>
      <c r="K50" s="31">
        <v>21.58</v>
      </c>
      <c r="L50" s="31">
        <v>21.55</v>
      </c>
      <c r="M50" s="31">
        <v>16.72</v>
      </c>
      <c r="N50" s="31">
        <v>15.48</v>
      </c>
      <c r="O50" s="31">
        <v>11.77</v>
      </c>
      <c r="P50" s="31">
        <v>14.04</v>
      </c>
      <c r="Q50" s="31">
        <v>20.68</v>
      </c>
      <c r="R50" s="31">
        <v>6.9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ht="15.0" customHeight="1">
      <c r="A51" s="28" t="s">
        <v>467</v>
      </c>
      <c r="B51" s="31">
        <v>18.31</v>
      </c>
      <c r="C51" s="31">
        <v>23.12</v>
      </c>
      <c r="D51" s="31">
        <v>26.1</v>
      </c>
      <c r="E51" s="31">
        <v>27.03</v>
      </c>
      <c r="F51" s="31">
        <v>27.41</v>
      </c>
      <c r="G51" s="31">
        <v>27.58</v>
      </c>
      <c r="H51" s="31">
        <v>23.48</v>
      </c>
      <c r="I51" s="31">
        <v>20.46</v>
      </c>
      <c r="J51" s="31">
        <v>19.95</v>
      </c>
      <c r="K51" s="31">
        <v>17.89</v>
      </c>
      <c r="L51" s="31">
        <v>16.38</v>
      </c>
      <c r="M51" s="31">
        <v>15.59</v>
      </c>
      <c r="N51" s="31">
        <v>12.88</v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26" t="s">
        <v>468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469</v>
      </c>
      <c r="B53" s="31">
        <v>26.19</v>
      </c>
      <c r="C53" s="31">
        <v>30.89</v>
      </c>
      <c r="D53" s="31">
        <v>29.26</v>
      </c>
      <c r="E53" s="31">
        <v>47.47</v>
      </c>
      <c r="F53" s="31">
        <v>42.73</v>
      </c>
      <c r="G53" s="30">
        <v>540.99</v>
      </c>
      <c r="H53" s="31">
        <v>50.47</v>
      </c>
      <c r="I53" s="31">
        <v>25.54</v>
      </c>
      <c r="J53" s="31">
        <v>32.18</v>
      </c>
      <c r="K53" s="31">
        <v>30.75</v>
      </c>
      <c r="L53" s="31">
        <v>30.0</v>
      </c>
      <c r="M53" s="31">
        <v>21.9</v>
      </c>
      <c r="N53" s="31">
        <v>21.49</v>
      </c>
      <c r="O53" s="31">
        <v>15.59</v>
      </c>
      <c r="P53" s="31">
        <v>19.85</v>
      </c>
      <c r="Q53" s="31">
        <v>22.02</v>
      </c>
      <c r="R53" s="31">
        <v>22.8</v>
      </c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5.0" customHeight="1">
      <c r="A54" s="28" t="s">
        <v>470</v>
      </c>
      <c r="B54" s="31">
        <v>34.01</v>
      </c>
      <c r="C54" s="31">
        <v>49.86</v>
      </c>
      <c r="D54" s="31">
        <v>55.42</v>
      </c>
      <c r="E54" s="31">
        <v>52.23</v>
      </c>
      <c r="F54" s="31">
        <v>48.82</v>
      </c>
      <c r="G54" s="31">
        <v>46.89</v>
      </c>
      <c r="H54" s="31">
        <v>33.86</v>
      </c>
      <c r="I54" s="31">
        <v>27.77</v>
      </c>
      <c r="J54" s="31">
        <v>27.52</v>
      </c>
      <c r="K54" s="31">
        <v>24.46</v>
      </c>
      <c r="L54" s="31">
        <v>22.3</v>
      </c>
      <c r="M54" s="31">
        <v>20.33</v>
      </c>
      <c r="N54" s="31">
        <v>20.1</v>
      </c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26" t="s">
        <v>471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472</v>
      </c>
      <c r="B56" s="31">
        <v>26.19</v>
      </c>
      <c r="C56" s="31">
        <v>30.89</v>
      </c>
      <c r="D56" s="31">
        <v>29.26</v>
      </c>
      <c r="E56" s="31">
        <v>47.47</v>
      </c>
      <c r="F56" s="31">
        <v>42.65</v>
      </c>
      <c r="G56" s="30">
        <v>142.52</v>
      </c>
      <c r="H56" s="31">
        <v>44.84</v>
      </c>
      <c r="I56" s="31">
        <v>25.54</v>
      </c>
      <c r="J56" s="31">
        <v>32.18</v>
      </c>
      <c r="K56" s="31">
        <v>30.75</v>
      </c>
      <c r="L56" s="31">
        <v>30.0</v>
      </c>
      <c r="M56" s="31">
        <v>21.9</v>
      </c>
      <c r="N56" s="31">
        <v>21.49</v>
      </c>
      <c r="O56" s="31">
        <v>15.59</v>
      </c>
      <c r="P56" s="31">
        <v>20.21</v>
      </c>
      <c r="Q56" s="31">
        <v>34.09</v>
      </c>
      <c r="R56" s="31">
        <v>8.99</v>
      </c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5.0" customHeight="1">
      <c r="A57" s="28" t="s">
        <v>473</v>
      </c>
      <c r="B57" s="31">
        <v>2.97</v>
      </c>
      <c r="C57" s="31">
        <v>3.61</v>
      </c>
      <c r="D57" s="31">
        <v>4.24</v>
      </c>
      <c r="E57" s="31">
        <v>4.59</v>
      </c>
      <c r="F57" s="31">
        <v>4.75</v>
      </c>
      <c r="G57" s="31">
        <v>4.59</v>
      </c>
      <c r="H57" s="31">
        <v>4.07</v>
      </c>
      <c r="I57" s="31">
        <v>3.42</v>
      </c>
      <c r="J57" s="31">
        <v>3.06</v>
      </c>
      <c r="K57" s="31">
        <v>2.63</v>
      </c>
      <c r="L57" s="31">
        <v>2.34</v>
      </c>
      <c r="M57" s="31">
        <v>2.09</v>
      </c>
      <c r="N57" s="31">
        <v>1.82</v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26" t="s">
        <v>474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475</v>
      </c>
      <c r="B59" s="31">
        <v>1.19</v>
      </c>
      <c r="C59" s="31">
        <v>2.03</v>
      </c>
      <c r="D59" s="31">
        <v>0.8</v>
      </c>
      <c r="E59" s="33">
        <v>-1.45</v>
      </c>
      <c r="F59" s="31">
        <v>0.05</v>
      </c>
      <c r="G59" s="33">
        <v>-5.97</v>
      </c>
      <c r="H59" s="33">
        <v>-3.0</v>
      </c>
      <c r="I59" s="31">
        <v>0.63</v>
      </c>
      <c r="J59" s="31">
        <v>2.13</v>
      </c>
      <c r="K59" s="31">
        <v>43.11</v>
      </c>
      <c r="L59" s="33">
        <v>-2.41</v>
      </c>
      <c r="M59" s="31">
        <v>0.48</v>
      </c>
      <c r="N59" s="31">
        <v>4.24</v>
      </c>
      <c r="O59" s="31">
        <v>1.09</v>
      </c>
      <c r="P59" s="33">
        <v>-9.28</v>
      </c>
      <c r="Q59" s="31">
        <v>0.38</v>
      </c>
      <c r="R59" s="33">
        <v>-0.82</v>
      </c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0" customHeight="1">
      <c r="A60" s="28" t="s">
        <v>476</v>
      </c>
      <c r="B60" s="31">
        <v>0.5</v>
      </c>
      <c r="C60" s="31">
        <v>87.35</v>
      </c>
      <c r="D60" s="33">
        <v>-9.6</v>
      </c>
      <c r="E60" s="33">
        <v>-9.93</v>
      </c>
      <c r="F60" s="31">
        <v>8.87</v>
      </c>
      <c r="G60" s="33">
        <v>-1.39</v>
      </c>
      <c r="H60" s="31">
        <v>9.82</v>
      </c>
      <c r="I60" s="31">
        <v>1.76</v>
      </c>
      <c r="J60" s="31">
        <v>2.98</v>
      </c>
      <c r="K60" s="31">
        <v>2.69</v>
      </c>
      <c r="L60" s="31">
        <v>2.64</v>
      </c>
      <c r="M60" s="31">
        <v>0.92</v>
      </c>
      <c r="N60" s="31">
        <v>3.36</v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0" customHeight="1">
      <c r="A61" s="26" t="s">
        <v>477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478</v>
      </c>
      <c r="B62" s="31">
        <v>2.85</v>
      </c>
      <c r="C62" s="31">
        <v>2.96</v>
      </c>
      <c r="D62" s="31">
        <v>2.68</v>
      </c>
      <c r="E62" s="31">
        <v>3.41</v>
      </c>
      <c r="F62" s="31">
        <v>4.32</v>
      </c>
      <c r="G62" s="31">
        <v>5.96</v>
      </c>
      <c r="H62" s="31">
        <v>5.31</v>
      </c>
      <c r="I62" s="31">
        <v>3.66</v>
      </c>
      <c r="J62" s="31">
        <v>3.51</v>
      </c>
      <c r="K62" s="31">
        <v>3.22</v>
      </c>
      <c r="L62" s="31">
        <v>3.31</v>
      </c>
      <c r="M62" s="31">
        <v>2.74</v>
      </c>
      <c r="N62" s="31">
        <v>2.25</v>
      </c>
      <c r="O62" s="31">
        <v>1.71</v>
      </c>
      <c r="P62" s="31">
        <v>1.96</v>
      </c>
      <c r="Q62" s="31">
        <v>2.51</v>
      </c>
      <c r="R62" s="31">
        <v>1.9</v>
      </c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5.0" customHeight="1">
      <c r="A63" s="28" t="s">
        <v>479</v>
      </c>
      <c r="B63" s="31">
        <v>3.2</v>
      </c>
      <c r="C63" s="31">
        <v>3.76</v>
      </c>
      <c r="D63" s="31">
        <v>4.25</v>
      </c>
      <c r="E63" s="31">
        <v>4.51</v>
      </c>
      <c r="F63" s="31">
        <v>4.58</v>
      </c>
      <c r="G63" s="31">
        <v>4.41</v>
      </c>
      <c r="H63" s="31">
        <v>3.89</v>
      </c>
      <c r="I63" s="31">
        <v>3.3</v>
      </c>
      <c r="J63" s="31">
        <v>3.04</v>
      </c>
      <c r="K63" s="31">
        <v>2.7</v>
      </c>
      <c r="L63" s="31">
        <v>2.44</v>
      </c>
      <c r="M63" s="31">
        <v>2.25</v>
      </c>
      <c r="N63" s="31">
        <v>2.07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0" customHeight="1">
      <c r="A64" s="26" t="s">
        <v>480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481</v>
      </c>
      <c r="B65" s="31">
        <v>14.22</v>
      </c>
      <c r="C65" s="31">
        <v>14.96</v>
      </c>
      <c r="D65" s="31">
        <v>15.14</v>
      </c>
      <c r="E65" s="31">
        <v>21.43</v>
      </c>
      <c r="F65" s="31">
        <v>20.84</v>
      </c>
      <c r="G65" s="31">
        <v>33.98</v>
      </c>
      <c r="H65" s="31">
        <v>24.37</v>
      </c>
      <c r="I65" s="31">
        <v>21.74</v>
      </c>
      <c r="J65" s="31">
        <v>20.51</v>
      </c>
      <c r="K65" s="31">
        <v>17.87</v>
      </c>
      <c r="L65" s="31">
        <v>16.38</v>
      </c>
      <c r="M65" s="31">
        <v>13.35</v>
      </c>
      <c r="N65" s="31">
        <v>13.02</v>
      </c>
      <c r="O65" s="31">
        <v>9.76</v>
      </c>
      <c r="P65" s="31">
        <v>11.03</v>
      </c>
      <c r="Q65" s="31">
        <v>5.42</v>
      </c>
      <c r="R65" s="31">
        <v>9.35</v>
      </c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0" customHeight="1">
      <c r="A66" s="28" t="s">
        <v>482</v>
      </c>
      <c r="B66" s="31">
        <v>16.94</v>
      </c>
      <c r="C66" s="31">
        <v>20.44</v>
      </c>
      <c r="D66" s="31">
        <v>22.73</v>
      </c>
      <c r="E66" s="31">
        <v>24.25</v>
      </c>
      <c r="F66" s="31">
        <v>24.18</v>
      </c>
      <c r="G66" s="31">
        <v>24.02</v>
      </c>
      <c r="H66" s="31">
        <v>20.61</v>
      </c>
      <c r="I66" s="31">
        <v>17.95</v>
      </c>
      <c r="J66" s="31">
        <v>16.32</v>
      </c>
      <c r="K66" s="31">
        <v>14.36</v>
      </c>
      <c r="L66" s="31">
        <v>13.0</v>
      </c>
      <c r="M66" s="31">
        <v>9.74</v>
      </c>
      <c r="N66" s="31">
        <v>8.84</v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5.0" customHeight="1">
      <c r="A67" s="26" t="s">
        <v>483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484</v>
      </c>
      <c r="B68" s="31">
        <v>19.34</v>
      </c>
      <c r="C68" s="31">
        <v>21.79</v>
      </c>
      <c r="D68" s="31">
        <v>22.36</v>
      </c>
      <c r="E68" s="31">
        <v>40.27</v>
      </c>
      <c r="F68" s="31">
        <v>30.87</v>
      </c>
      <c r="G68" s="31">
        <v>40.65</v>
      </c>
      <c r="H68" s="31">
        <v>38.21</v>
      </c>
      <c r="I68" s="31">
        <v>30.16</v>
      </c>
      <c r="J68" s="31">
        <v>27.03</v>
      </c>
      <c r="K68" s="31">
        <v>25.29</v>
      </c>
      <c r="L68" s="31">
        <v>24.38</v>
      </c>
      <c r="M68" s="31">
        <v>16.36</v>
      </c>
      <c r="N68" s="31">
        <v>14.86</v>
      </c>
      <c r="O68" s="31">
        <v>11.86</v>
      </c>
      <c r="P68" s="31">
        <v>16.12</v>
      </c>
      <c r="Q68" s="31">
        <v>22.51</v>
      </c>
      <c r="R68" s="31">
        <v>6.95</v>
      </c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5.0" customHeight="1">
      <c r="A69" s="28" t="s">
        <v>485</v>
      </c>
      <c r="B69" s="31">
        <v>25.24</v>
      </c>
      <c r="C69" s="31">
        <v>30.05</v>
      </c>
      <c r="D69" s="31">
        <v>33.96</v>
      </c>
      <c r="E69" s="31">
        <v>35.88</v>
      </c>
      <c r="F69" s="31">
        <v>33.77</v>
      </c>
      <c r="G69" s="31">
        <v>33.1</v>
      </c>
      <c r="H69" s="31">
        <v>29.72</v>
      </c>
      <c r="I69" s="31">
        <v>24.39</v>
      </c>
      <c r="J69" s="31">
        <v>21.42</v>
      </c>
      <c r="K69" s="31">
        <v>18.59</v>
      </c>
      <c r="L69" s="31">
        <v>16.84</v>
      </c>
      <c r="M69" s="31">
        <v>15.94</v>
      </c>
      <c r="N69" s="31">
        <v>13.14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5.0" customHeight="1">
      <c r="A70" s="26" t="s">
        <v>486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487</v>
      </c>
      <c r="B71" s="31">
        <v>25.34</v>
      </c>
      <c r="C71" s="31">
        <v>32.92</v>
      </c>
      <c r="D71" s="31">
        <v>40.53</v>
      </c>
      <c r="E71" s="31">
        <v>70.26</v>
      </c>
      <c r="F71" s="31">
        <v>42.03</v>
      </c>
      <c r="G71" s="31">
        <v>54.96</v>
      </c>
      <c r="H71" s="31">
        <v>57.35</v>
      </c>
      <c r="I71" s="31">
        <v>51.6</v>
      </c>
      <c r="J71" s="31">
        <v>36.49</v>
      </c>
      <c r="K71" s="31">
        <v>40.2</v>
      </c>
      <c r="L71" s="31">
        <v>38.33</v>
      </c>
      <c r="M71" s="31">
        <v>20.38</v>
      </c>
      <c r="N71" s="31">
        <v>20.02</v>
      </c>
      <c r="O71" s="31">
        <v>15.78</v>
      </c>
      <c r="P71" s="31">
        <v>24.18</v>
      </c>
      <c r="Q71" s="31">
        <v>29.33</v>
      </c>
      <c r="R71" s="31">
        <v>7.78</v>
      </c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5.0" customHeight="1">
      <c r="A72" s="28" t="s">
        <v>488</v>
      </c>
      <c r="B72" s="31">
        <v>37.53</v>
      </c>
      <c r="C72" s="31">
        <v>45.59</v>
      </c>
      <c r="D72" s="31">
        <v>51.47</v>
      </c>
      <c r="E72" s="31">
        <v>53.5</v>
      </c>
      <c r="F72" s="31">
        <v>48.51</v>
      </c>
      <c r="G72" s="31">
        <v>48.99</v>
      </c>
      <c r="H72" s="31">
        <v>45.52</v>
      </c>
      <c r="I72" s="31">
        <v>35.63</v>
      </c>
      <c r="J72" s="31">
        <v>29.92</v>
      </c>
      <c r="K72" s="31">
        <v>25.94</v>
      </c>
      <c r="L72" s="31">
        <v>23.17</v>
      </c>
      <c r="M72" s="31">
        <v>21.19</v>
      </c>
      <c r="N72" s="31">
        <v>16.85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