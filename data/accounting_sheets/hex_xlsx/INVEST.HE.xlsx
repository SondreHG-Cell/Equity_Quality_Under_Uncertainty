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Awxk6DO4gc8JRo3RlLtf2Tccde+XXksB6c5Ho+uzIz0="/>
    </ext>
  </extLst>
</workbook>
</file>

<file path=xl/sharedStrings.xml><?xml version="1.0" encoding="utf-8"?>
<sst xmlns="http://schemas.openxmlformats.org/spreadsheetml/2006/main" count="809" uniqueCount="368">
  <si>
    <t>Company Fundamentals - Income Statement</t>
  </si>
  <si>
    <t>Company Name</t>
  </si>
  <si>
    <t>Investors House Oyj (INVEST.HE)</t>
  </si>
  <si>
    <t>Country of Exchange</t>
  </si>
  <si>
    <t>Finland</t>
  </si>
  <si>
    <t>Country of Headquarters</t>
  </si>
  <si>
    <t>TRBC Industry Group</t>
  </si>
  <si>
    <t>Real Estate Operations</t>
  </si>
  <si>
    <t>CF Template</t>
  </si>
  <si>
    <t>PRO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</si>
  <si>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</si>
  <si>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</si>
  <si>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</si>
  <si>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</si>
  <si>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</si>
  <si>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</si>
  <si>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</si>
  <si>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</si>
  <si>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</si>
  <si>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</si>
  <si>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</si>
  <si>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</si>
  <si>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</si>
  <si>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</si>
  <si>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</si>
  <si>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</si>
  <si>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</si>
  <si>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</si>
  <si>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</si>
  <si>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</si>
  <si>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</si>
  <si>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</si>
  <si>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</si>
  <si>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</si>
  <si>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</si>
  <si>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</si>
  <si>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</si>
  <si>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</si>
  <si>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</si>
  <si>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</si>
  <si>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</si>
  <si>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</si>
  <si>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</si>
  <si>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</si>
  <si>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Period End Date</t>
  </si>
  <si>
    <t>Statement Date</t>
  </si>
  <si>
    <t>Standardized Currency</t>
  </si>
  <si>
    <t>EUR</t>
  </si>
  <si>
    <t>Template Type</t>
  </si>
  <si>
    <t>Property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</si>
  <si>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</si>
  <si>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</si>
  <si>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</si>
  <si>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</si>
  <si>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</si>
  <si>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</si>
  <si>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</si>
  <si>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</si>
  <si>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</si>
  <si>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</si>
  <si>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</si>
  <si>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</si>
  <si>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</si>
  <si>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</si>
  <si>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</si>
  <si>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</si>
  <si>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</si>
  <si>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</si>
  <si>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</si>
  <si>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</si>
  <si>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</si>
  <si>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</si>
  <si>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</si>
  <si>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</si>
  <si>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</si>
  <si>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</si>
  <si>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31-12-2002</t>
  </si>
  <si>
    <t>31-12-2001</t>
  </si>
  <si>
    <t>31-12-2000</t>
  </si>
  <si>
    <t>Net Sales</t>
  </si>
  <si>
    <t>Rental Income</t>
  </si>
  <si>
    <t>Usage Charges</t>
  </si>
  <si>
    <t>Other Operating Income</t>
  </si>
  <si>
    <t>Fund Management Income</t>
  </si>
  <si>
    <t>Management and service revenue</t>
  </si>
  <si>
    <t>Total Revenue</t>
  </si>
  <si>
    <t>Personnel Expenses</t>
  </si>
  <si>
    <t>Depreciation Amortization and Impairment</t>
  </si>
  <si>
    <t>Sale of Investment Properties - Property - Gain/Loss</t>
  </si>
  <si>
    <t>Operating Expense</t>
  </si>
  <si>
    <t>Depreciation &amp; Amortization</t>
  </si>
  <si>
    <t>Investment property management costs</t>
  </si>
  <si>
    <t>Operating Expense - Balancing value</t>
  </si>
  <si>
    <t>Other Operating Income/Expense</t>
  </si>
  <si>
    <t>Fair Value Adjustments on Property Assets</t>
  </si>
  <si>
    <t>Administrative Expenses</t>
  </si>
  <si>
    <t>Depreciation &amp; Amortization in Selling, General &amp; Administrative Expenses</t>
  </si>
  <si>
    <t>Administrative Expenses - Balancing value</t>
  </si>
  <si>
    <t>Selling/General/Admin Expense</t>
  </si>
  <si>
    <t>Share of Associates</t>
  </si>
  <si>
    <t>Marketing and Admin Expenses</t>
  </si>
  <si>
    <t>Raw Materials &amp; Consumables</t>
  </si>
  <si>
    <t>Change in Inventories</t>
  </si>
  <si>
    <t>Total Operating Expense</t>
  </si>
  <si>
    <t>Income from Operations/Operating Profit</t>
  </si>
  <si>
    <t>Dividend Income</t>
  </si>
  <si>
    <t>Financial Income</t>
  </si>
  <si>
    <t>Interest Income</t>
  </si>
  <si>
    <t>Change in fair value of derivatives</t>
  </si>
  <si>
    <t>Other Financial income</t>
  </si>
  <si>
    <t>Financial Income/Expense, Net</t>
  </si>
  <si>
    <t>Rounding Adjustment</t>
  </si>
  <si>
    <t>Financial Expenses</t>
  </si>
  <si>
    <t>Financial Expense</t>
  </si>
  <si>
    <t>Unrealized Adjustments on Derivatives for Hedging</t>
  </si>
  <si>
    <t>Fair Value Adjustments</t>
  </si>
  <si>
    <t>Interest Expense</t>
  </si>
  <si>
    <t>Financial Expenses - Other</t>
  </si>
  <si>
    <t>Non-operating Income/(Expense), Net</t>
  </si>
  <si>
    <t>Reported Net Income Before Tax</t>
  </si>
  <si>
    <t>Provision for Income Taxes</t>
  </si>
  <si>
    <t>Previous Years Tax</t>
  </si>
  <si>
    <t>Reported Deferred Tax - Total</t>
  </si>
  <si>
    <t>Reported Current Tax - Total</t>
  </si>
  <si>
    <t>Provision for Income Taxes - Balancing value</t>
  </si>
  <si>
    <t>Income Taxes - Total</t>
  </si>
  <si>
    <t>Net Income After Taxes</t>
  </si>
  <si>
    <t>Net Income Before Extra. Items</t>
  </si>
  <si>
    <t>Minority Interest - Continuing Operations</t>
  </si>
  <si>
    <t>Minority Interest - Total</t>
  </si>
  <si>
    <t>Reported Net Income</t>
  </si>
  <si>
    <t>Income Available to Com Excl ExtraOrd</t>
  </si>
  <si>
    <t>Income Available to Com Incl ExtraOrd</t>
  </si>
  <si>
    <t>EPRA/Recurring EPS</t>
  </si>
  <si>
    <t>Reported Basic EPS</t>
  </si>
  <si>
    <t>Reported Diluted EPS</t>
  </si>
  <si>
    <t>Diluted Weighted Average Shares</t>
  </si>
  <si>
    <t>Basic Weighted Average Shares</t>
  </si>
  <si>
    <t>Basic EPS Excluding ExtraOrdinary Items</t>
  </si>
  <si>
    <t>Diluted Net Income</t>
  </si>
  <si>
    <t>Diluted EPS Excluding ExtraOrd Items</t>
  </si>
  <si>
    <t>Diluted Net Income excluding Extra Items applicable to Common - (Company Level)</t>
  </si>
  <si>
    <t>Dilution Adjustment</t>
  </si>
  <si>
    <t>All Other Fees</t>
  </si>
  <si>
    <t>Interest Expense on Financial Lease Liabilities - Supplemental</t>
  </si>
  <si>
    <t>Management Remuneration</t>
  </si>
  <si>
    <t>Amortization of Other Intangibles excluding Goodwill - Supplemental</t>
  </si>
  <si>
    <t>Depreciation</t>
  </si>
  <si>
    <t>Total Depreciation of Fixed Assets</t>
  </si>
  <si>
    <t>Total Depreciation &amp; Amortization (Combined)</t>
  </si>
  <si>
    <t>Amortization of Intangible Assets excluding Goodwill - Total</t>
  </si>
  <si>
    <t>Audit Fees</t>
  </si>
  <si>
    <t>Auditor Fees - Other</t>
  </si>
  <si>
    <t>Auditor Fees - Total</t>
  </si>
  <si>
    <t>Allocated Net Income incl Extra Items applicable to Common - (Instrument Level)</t>
  </si>
  <si>
    <t>Allocated Diluted Net Income incl Extra Items applicable to Common - (Instrument Level)</t>
  </si>
  <si>
    <t>Basic EPS - Net Inc incl Extra Items appl to Common - (Instrument Level)</t>
  </si>
  <si>
    <t>Diluted EPS - Net Inc incl Extra Items appl to Common - (Instrument Level)</t>
  </si>
  <si>
    <t>Diluted EPS - Net Income excl Extra Items applicable to Common - (Instrument Level)</t>
  </si>
  <si>
    <t>Basic EPS - Net Income excl Extra Items applicable to Common - (Instrument Level)</t>
  </si>
  <si>
    <t>Diluted Weighted Average Shares used to Calculate EPS - (Instrument Level)</t>
  </si>
  <si>
    <t>Basic Weighted Average Shares used to Calculate EPS - (Instrument Level)</t>
  </si>
  <si>
    <t>Diluted Net Income excluding Extra Items applicable to Common - (Instrument Level)</t>
  </si>
  <si>
    <t>Net Income excluding Extra Items applicable to Common - (Instrument Level)</t>
  </si>
  <si>
    <t>Diluted Earnings Allocation Factor - (Instrument Level)</t>
  </si>
  <si>
    <t>Earnings Allocation Factor - (Instrument Level)</t>
  </si>
  <si>
    <t>Company Fundamentals - Balance Sheet</t>
  </si>
  <si>
    <t>Property - Differentiated</t>
  </si>
  <si>
    <t>Balance Sheet - Company Specific (Currency: Norwegian Krone)</t>
  </si>
  <si>
    <t>Total Receivables and other reveivables</t>
  </si>
  <si>
    <t>Security Deposits</t>
  </si>
  <si>
    <t>Accounts Receivable</t>
  </si>
  <si>
    <t>Other Receivables</t>
  </si>
  <si>
    <t>Prepaid Expenses</t>
  </si>
  <si>
    <t>Loan receivables</t>
  </si>
  <si>
    <t>ST Investments</t>
  </si>
  <si>
    <t>Cash &amp; Cash Equivalents</t>
  </si>
  <si>
    <t>Rent Receivables</t>
  </si>
  <si>
    <t>Loan Receivables</t>
  </si>
  <si>
    <t>Inventory</t>
  </si>
  <si>
    <t>Current Assets</t>
  </si>
  <si>
    <t>Inventories - Non-current</t>
  </si>
  <si>
    <t>Inventories - Property</t>
  </si>
  <si>
    <t>Inventories - Prepayments</t>
  </si>
  <si>
    <t>Equipment, Tools &amp; Fittings</t>
  </si>
  <si>
    <t>Land &amp; Water</t>
  </si>
  <si>
    <t>Buildings &amp; Land</t>
  </si>
  <si>
    <t>Construction in Progress</t>
  </si>
  <si>
    <t>Machinery</t>
  </si>
  <si>
    <t>Accumulated Depreciation</t>
  </si>
  <si>
    <t>Accounts &amp; Notes Receivable - Trade - Net - Long-Term</t>
  </si>
  <si>
    <t>Investment Property</t>
  </si>
  <si>
    <t>Investment property under construction</t>
  </si>
  <si>
    <t>Intangibles</t>
  </si>
  <si>
    <t>Goodwill</t>
  </si>
  <si>
    <t>Other LT Assets</t>
  </si>
  <si>
    <t>Adjustment</t>
  </si>
  <si>
    <t>Participation in Subsidiary</t>
  </si>
  <si>
    <t>Deferred Tax - Debit - Asset</t>
  </si>
  <si>
    <t>Receivables - Other - Net - Long-Term</t>
  </si>
  <si>
    <t>Loans</t>
  </si>
  <si>
    <t>Other Financial Assets</t>
  </si>
  <si>
    <t>Tangible Assets</t>
  </si>
  <si>
    <t>Total Non-current Assets</t>
  </si>
  <si>
    <t>Balancing Item - Assets</t>
  </si>
  <si>
    <t>Total Assets</t>
  </si>
  <si>
    <t>Customer Advances</t>
  </si>
  <si>
    <t>Payables to Suppliers</t>
  </si>
  <si>
    <t>Tax Liabilities</t>
  </si>
  <si>
    <t>Other Liabilities</t>
  </si>
  <si>
    <t>Capitalized Leases - Current Portion</t>
  </si>
  <si>
    <t>Current Portion of Long-Term Debt excluding Capitalized Leases</t>
  </si>
  <si>
    <t>Loans - Balancing value</t>
  </si>
  <si>
    <t>Accrued Costs &amp; Deferred Income</t>
  </si>
  <si>
    <t>Interest Bearing Liabilities</t>
  </si>
  <si>
    <t>Liabilities to Associates</t>
  </si>
  <si>
    <t>Total Current Liabilities</t>
  </si>
  <si>
    <t>Loans LT</t>
  </si>
  <si>
    <t>Capitalized Lease Obligations - Long-Term</t>
  </si>
  <si>
    <t>Long-Term Debt excluding Capitalized Leases</t>
  </si>
  <si>
    <t>Deferred Tax Liabilities</t>
  </si>
  <si>
    <t>Checking Account Credit Facilities</t>
  </si>
  <si>
    <t>Total Non-current Liabilities</t>
  </si>
  <si>
    <t>Balancing Item - Liabilities</t>
  </si>
  <si>
    <t>Total Liabilities</t>
  </si>
  <si>
    <t>Share Capital</t>
  </si>
  <si>
    <t>Share Premium Reserve</t>
  </si>
  <si>
    <t>Hedge Fund</t>
  </si>
  <si>
    <t>Non restricted Equity Funds</t>
  </si>
  <si>
    <t>Retained Earnings/Accumulated Loss</t>
  </si>
  <si>
    <t>Other Equity</t>
  </si>
  <si>
    <t>Dividend Paid</t>
  </si>
  <si>
    <t>Profit for the Year</t>
  </si>
  <si>
    <t>Restricted Reserves</t>
  </si>
  <si>
    <t>Balancing Item - Shareholders Equity</t>
  </si>
  <si>
    <t>Shareholder's Equity</t>
  </si>
  <si>
    <t>Equity Minority Interests/Equity Non-Controlling Interests</t>
  </si>
  <si>
    <t>Minority Interest</t>
  </si>
  <si>
    <t>Total Equity</t>
  </si>
  <si>
    <t>Total Liabilities &amp; Shareholders' Equity</t>
  </si>
  <si>
    <t>Common Shares Issued - (Company Level)</t>
  </si>
  <si>
    <t>Common Shares Treasury - (Company Level)</t>
  </si>
  <si>
    <t>Total Equivalent No of Common Shares O/S</t>
  </si>
  <si>
    <t>Debt - Long-Term - Maturities - Total</t>
  </si>
  <si>
    <t>Long Term Debt Maturing in 1</t>
  </si>
  <si>
    <t>Long Term Debt Maturing in 1-2 Years</t>
  </si>
  <si>
    <t>Long Term Debt Maturing in 3-4 Years</t>
  </si>
  <si>
    <t>Long Term Debt Maturing in 5-6 Years</t>
  </si>
  <si>
    <t>Long Term Debt Maturing in 7-8 Years</t>
  </si>
  <si>
    <t>Long Term Debt Maturing in 9-10 Years</t>
  </si>
  <si>
    <t>Long Term Debt Maturing in Year 5</t>
  </si>
  <si>
    <t>Debt - Long-Term - Maturities - Remaining</t>
  </si>
  <si>
    <t>Debt - Long-Term - Maturities - Total - Balancing value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</si>
  <si>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</si>
  <si>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</si>
  <si>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</si>
  <si>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</si>
  <si>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EPRA NAV Per Share</t>
  </si>
  <si>
    <t>Asset Allocation Factor - (Instrument Level)</t>
  </si>
  <si>
    <t>Common Shares Issued - (Instrument Level)</t>
  </si>
  <si>
    <t>T/S-Ordinary Shares</t>
  </si>
  <si>
    <t>S/O-Ordinary Shares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</si>
  <si>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</si>
  <si>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</si>
  <si>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</si>
  <si>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</si>
  <si>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</si>
  <si>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</si>
  <si>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</si>
  <si>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Property - Indirect</t>
  </si>
  <si>
    <t>Cash Flow - Company Specific (Currency: Norwegian Krone)</t>
  </si>
  <si>
    <t>Operating Income</t>
  </si>
  <si>
    <t>Depreciation, amortisation</t>
  </si>
  <si>
    <t>Other Non-Cash Items - Cash Flow - to Reconcile</t>
  </si>
  <si>
    <t>Working Capital - Increase/Decrease - Cash Flow</t>
  </si>
  <si>
    <t>Interest Received</t>
  </si>
  <si>
    <t>Cash Interest Paid</t>
  </si>
  <si>
    <t>Cash Taxes Paid</t>
  </si>
  <si>
    <t>Trade Receivables</t>
  </si>
  <si>
    <t>CF from Operating Activities</t>
  </si>
  <si>
    <t>ST Receivables</t>
  </si>
  <si>
    <t>Dividend Received</t>
  </si>
  <si>
    <t>Other Non-Cash Items</t>
  </si>
  <si>
    <t>Inventories</t>
  </si>
  <si>
    <t>ST Liabilities</t>
  </si>
  <si>
    <t>Adjustments</t>
  </si>
  <si>
    <t>Balancing Item - Operating (Indirect)</t>
  </si>
  <si>
    <t>As Reported Cash fr Operating Activities</t>
  </si>
  <si>
    <t>Acquisition of Fixed Assets</t>
  </si>
  <si>
    <t>Purchase of Investment Property</t>
  </si>
  <si>
    <t>Investment Property - Sold - Cash Flow</t>
  </si>
  <si>
    <t>Sale of Financial Assets</t>
  </si>
  <si>
    <t>Investment Property - Net - REIT - Cash Flow</t>
  </si>
  <si>
    <t>Intangible Assets - Purchased/Acquired - Cash Flow</t>
  </si>
  <si>
    <t>Acqusition of Financial Assets</t>
  </si>
  <si>
    <t>Fixed Assets - Purchased - Cash Flow</t>
  </si>
  <si>
    <t>Sale of Fixed Assets</t>
  </si>
  <si>
    <t>Investment Securities - Unclassified - Net - Cash Flow</t>
  </si>
  <si>
    <t>Sale of Subsidiary</t>
  </si>
  <si>
    <t>Acquisition of Subsidiary</t>
  </si>
  <si>
    <t>Investments - Associated Companies - Net - Cash Flow</t>
  </si>
  <si>
    <t>Investments in associated companies</t>
  </si>
  <si>
    <t>As Reported Cash fr Investing Activities</t>
  </si>
  <si>
    <t>LT Debt Issued</t>
  </si>
  <si>
    <t>LT Debt Repaid</t>
  </si>
  <si>
    <t>ST Debt Issued</t>
  </si>
  <si>
    <t>ST Debt Repaid</t>
  </si>
  <si>
    <t>Minority Interests &amp; Joint Ventures - Net - Cash Flow</t>
  </si>
  <si>
    <t>Share Issue</t>
  </si>
  <si>
    <t>Purchase of own shares</t>
  </si>
  <si>
    <t>As Reported Cash fr Financing Activities</t>
  </si>
  <si>
    <t>Net Cash - Beginning Balance</t>
  </si>
  <si>
    <t>Net Cash - Ending Balance</t>
  </si>
  <si>
    <t>Balancing Item - Change in Cash</t>
  </si>
  <si>
    <t>Net Change in Cash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</si>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</sst>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i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readingOrder="0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7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46097.3549122338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</row>
    <row r="12" ht="15.0" customHeight="1" outlineLevel="1">
      <c r="A12" s="8" t="s">
        <v>44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</row>
    <row r="13" ht="15.0" customHeight="1" outlineLevel="1">
      <c r="A13" s="8" t="s">
        <v>45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38352.0</v>
      </c>
      <c r="X13" s="9">
        <v>38352.0</v>
      </c>
      <c r="Y13" s="9">
        <v>37621.0</v>
      </c>
      <c r="Z13" s="9">
        <v>37621.0</v>
      </c>
      <c r="AA13" s="9">
        <v>37256.0</v>
      </c>
    </row>
    <row r="14" ht="15.0" customHeight="1" outlineLevel="1">
      <c r="A14" s="8" t="s">
        <v>46</v>
      </c>
      <c r="B14" s="10" t="s">
        <v>47</v>
      </c>
      <c r="C14" s="10" t="s">
        <v>47</v>
      </c>
      <c r="D14" s="10" t="s">
        <v>47</v>
      </c>
      <c r="E14" s="10" t="s">
        <v>47</v>
      </c>
      <c r="F14" s="10" t="s">
        <v>47</v>
      </c>
      <c r="G14" s="10" t="s">
        <v>47</v>
      </c>
      <c r="H14" s="10" t="s">
        <v>47</v>
      </c>
      <c r="I14" s="10" t="s">
        <v>47</v>
      </c>
      <c r="J14" s="10" t="s">
        <v>47</v>
      </c>
      <c r="K14" s="10" t="s">
        <v>47</v>
      </c>
      <c r="L14" s="10" t="s">
        <v>47</v>
      </c>
      <c r="M14" s="10" t="s">
        <v>47</v>
      </c>
      <c r="N14" s="10" t="s">
        <v>47</v>
      </c>
      <c r="O14" s="10" t="s">
        <v>47</v>
      </c>
      <c r="P14" s="10" t="s">
        <v>47</v>
      </c>
      <c r="Q14" s="10" t="s">
        <v>47</v>
      </c>
      <c r="R14" s="10" t="s">
        <v>47</v>
      </c>
      <c r="S14" s="10" t="s">
        <v>47</v>
      </c>
      <c r="T14" s="10" t="s">
        <v>47</v>
      </c>
      <c r="U14" s="10" t="s">
        <v>47</v>
      </c>
      <c r="V14" s="10" t="s">
        <v>47</v>
      </c>
      <c r="W14" s="10" t="s">
        <v>47</v>
      </c>
      <c r="X14" s="10" t="s">
        <v>47</v>
      </c>
      <c r="Y14" s="10" t="s">
        <v>47</v>
      </c>
      <c r="Z14" s="10" t="s">
        <v>47</v>
      </c>
      <c r="AA14" s="10" t="s">
        <v>47</v>
      </c>
    </row>
    <row r="15" ht="15.0" customHeight="1" outlineLevel="1">
      <c r="A15" s="8" t="s">
        <v>48</v>
      </c>
      <c r="B15" s="10" t="s">
        <v>49</v>
      </c>
      <c r="C15" s="10" t="s">
        <v>49</v>
      </c>
      <c r="D15" s="10" t="s">
        <v>49</v>
      </c>
      <c r="E15" s="10" t="s">
        <v>49</v>
      </c>
      <c r="F15" s="10" t="s">
        <v>49</v>
      </c>
      <c r="G15" s="10" t="s">
        <v>49</v>
      </c>
      <c r="H15" s="10" t="s">
        <v>49</v>
      </c>
      <c r="I15" s="10" t="s">
        <v>49</v>
      </c>
      <c r="J15" s="10" t="s">
        <v>49</v>
      </c>
      <c r="K15" s="10" t="s">
        <v>49</v>
      </c>
      <c r="L15" s="10" t="s">
        <v>49</v>
      </c>
      <c r="M15" s="10" t="s">
        <v>49</v>
      </c>
      <c r="N15" s="10" t="s">
        <v>49</v>
      </c>
      <c r="O15" s="10" t="s">
        <v>49</v>
      </c>
      <c r="P15" s="10" t="s">
        <v>49</v>
      </c>
      <c r="Q15" s="10" t="s">
        <v>49</v>
      </c>
      <c r="R15" s="10" t="s">
        <v>49</v>
      </c>
      <c r="S15" s="10" t="s">
        <v>49</v>
      </c>
      <c r="T15" s="10" t="s">
        <v>49</v>
      </c>
      <c r="U15" s="10" t="s">
        <v>49</v>
      </c>
      <c r="V15" s="10" t="s">
        <v>49</v>
      </c>
      <c r="W15" s="10" t="s">
        <v>49</v>
      </c>
      <c r="X15" s="10" t="s">
        <v>49</v>
      </c>
      <c r="Y15" s="10" t="s">
        <v>49</v>
      </c>
      <c r="Z15" s="10" t="s">
        <v>49</v>
      </c>
      <c r="AA15" s="10" t="s">
        <v>49</v>
      </c>
    </row>
    <row r="16" ht="15.0" customHeight="1" outlineLevel="1">
      <c r="A16" s="8" t="s">
        <v>50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  <c r="Y16" s="11">
        <v>7.50729371376168</v>
      </c>
      <c r="Z16" s="11">
        <v>8.04299023015842</v>
      </c>
      <c r="AA16" s="11">
        <v>8.11070182587765</v>
      </c>
    </row>
    <row r="18">
      <c r="A18" s="12" t="s">
        <v>51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12" t="s">
        <v>52</v>
      </c>
      <c r="B19" s="13" t="s">
        <v>53</v>
      </c>
      <c r="C19" s="13" t="s">
        <v>54</v>
      </c>
      <c r="D19" s="13" t="s">
        <v>55</v>
      </c>
      <c r="E19" s="13" t="s">
        <v>56</v>
      </c>
      <c r="F19" s="13" t="s">
        <v>57</v>
      </c>
      <c r="G19" s="13" t="s">
        <v>58</v>
      </c>
      <c r="H19" s="13" t="s">
        <v>59</v>
      </c>
      <c r="I19" s="13" t="s">
        <v>60</v>
      </c>
      <c r="J19" s="13" t="s">
        <v>61</v>
      </c>
      <c r="K19" s="13" t="s">
        <v>62</v>
      </c>
      <c r="L19" s="13" t="s">
        <v>63</v>
      </c>
      <c r="M19" s="13" t="s">
        <v>64</v>
      </c>
      <c r="N19" s="13" t="s">
        <v>65</v>
      </c>
      <c r="O19" s="13" t="s">
        <v>66</v>
      </c>
      <c r="P19" s="13" t="s">
        <v>67</v>
      </c>
      <c r="Q19" s="13" t="s">
        <v>68</v>
      </c>
      <c r="R19" s="13" t="s">
        <v>69</v>
      </c>
      <c r="S19" s="13" t="s">
        <v>70</v>
      </c>
      <c r="T19" s="13" t="s">
        <v>71</v>
      </c>
      <c r="U19" s="13" t="s">
        <v>72</v>
      </c>
      <c r="V19" s="13" t="s">
        <v>73</v>
      </c>
      <c r="W19" s="13" t="s">
        <v>74</v>
      </c>
      <c r="X19" s="13" t="s">
        <v>75</v>
      </c>
      <c r="Y19" s="13" t="s">
        <v>76</v>
      </c>
      <c r="Z19" s="13" t="s">
        <v>77</v>
      </c>
      <c r="AA19" s="13" t="s">
        <v>78</v>
      </c>
    </row>
    <row r="20" ht="15.0" customHeight="1">
      <c r="A20" s="14" t="s">
        <v>79</v>
      </c>
      <c r="B20" s="15">
        <v>98.14</v>
      </c>
      <c r="C20" s="15">
        <v>77.86</v>
      </c>
      <c r="D20" s="15">
        <v>39.02</v>
      </c>
      <c r="E20" s="15">
        <v>33.4</v>
      </c>
      <c r="F20" s="15">
        <v>39.4</v>
      </c>
      <c r="G20" s="15">
        <v>80.67</v>
      </c>
      <c r="H20" s="15">
        <v>91.74</v>
      </c>
      <c r="I20" s="15">
        <v>64.63</v>
      </c>
      <c r="J20" s="15">
        <v>48.21</v>
      </c>
      <c r="K20" s="15">
        <v>24.08</v>
      </c>
      <c r="L20" s="15">
        <v>11.78</v>
      </c>
      <c r="M20" s="15">
        <v>6.28</v>
      </c>
      <c r="N20" s="15">
        <v>5.17</v>
      </c>
      <c r="O20" s="15">
        <v>4.84</v>
      </c>
      <c r="P20" s="15">
        <v>4.75</v>
      </c>
      <c r="Q20" s="15">
        <v>5.57</v>
      </c>
      <c r="R20" s="15">
        <v>6.3</v>
      </c>
      <c r="S20" s="15">
        <v>5.95</v>
      </c>
      <c r="T20" s="15">
        <v>5.53</v>
      </c>
      <c r="U20" s="15">
        <v>6.3</v>
      </c>
      <c r="V20" s="15">
        <v>6.38</v>
      </c>
      <c r="W20" s="15">
        <v>6.43</v>
      </c>
      <c r="X20" s="15">
        <v>5.83</v>
      </c>
      <c r="Y20" s="15">
        <v>4.2</v>
      </c>
      <c r="Z20" s="15">
        <v>3.96</v>
      </c>
      <c r="AA20" s="15">
        <v>6.65</v>
      </c>
    </row>
    <row r="21" ht="15.0" customHeight="1">
      <c r="A21" s="14" t="s">
        <v>80</v>
      </c>
      <c r="B21" s="16"/>
      <c r="C21" s="15">
        <v>73.67</v>
      </c>
      <c r="D21" s="15">
        <v>38.51</v>
      </c>
      <c r="E21" s="15">
        <v>33.08</v>
      </c>
      <c r="F21" s="15">
        <v>39.13</v>
      </c>
      <c r="G21" s="15">
        <v>79.6</v>
      </c>
      <c r="H21" s="15">
        <v>89.84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ht="15.0" customHeight="1">
      <c r="A22" s="14" t="s">
        <v>81</v>
      </c>
      <c r="B22" s="16"/>
      <c r="C22" s="15">
        <v>4.19</v>
      </c>
      <c r="D22" s="15">
        <v>0.51</v>
      </c>
      <c r="E22" s="15">
        <v>0.32</v>
      </c>
      <c r="F22" s="15">
        <v>0.26</v>
      </c>
      <c r="G22" s="15">
        <v>1.07</v>
      </c>
      <c r="H22" s="15">
        <v>1.9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ht="15.0" customHeight="1">
      <c r="A23" s="14" t="s">
        <v>82</v>
      </c>
      <c r="B23" s="16"/>
      <c r="C23" s="15">
        <v>38.05</v>
      </c>
      <c r="D23" s="15">
        <v>39.2</v>
      </c>
      <c r="E23" s="15">
        <v>43.34</v>
      </c>
      <c r="F23" s="15">
        <v>59.82</v>
      </c>
      <c r="G23" s="15">
        <v>20.82</v>
      </c>
      <c r="H23" s="15">
        <v>21.09</v>
      </c>
      <c r="I23" s="15">
        <v>14.83</v>
      </c>
      <c r="J23" s="15">
        <v>11.96</v>
      </c>
      <c r="K23" s="15">
        <v>5.03</v>
      </c>
      <c r="L23" s="15">
        <v>1.08</v>
      </c>
      <c r="M23" s="16">
        <v>0.0</v>
      </c>
      <c r="N23" s="16"/>
      <c r="O23" s="16"/>
      <c r="P23" s="16">
        <v>0.0</v>
      </c>
      <c r="Q23" s="16"/>
      <c r="R23" s="16"/>
      <c r="S23" s="16">
        <v>0.0</v>
      </c>
      <c r="T23" s="15">
        <v>0.06</v>
      </c>
      <c r="U23" s="15">
        <v>4.02</v>
      </c>
      <c r="V23" s="16">
        <v>0.0</v>
      </c>
      <c r="W23" s="15">
        <v>0.54</v>
      </c>
      <c r="X23" s="15">
        <v>0.54</v>
      </c>
      <c r="Y23" s="15">
        <v>0.51</v>
      </c>
      <c r="Z23" s="15">
        <v>0.47</v>
      </c>
      <c r="AA23" s="15">
        <v>0.83</v>
      </c>
    </row>
    <row r="24" ht="15.0" customHeight="1">
      <c r="A24" s="14" t="s">
        <v>83</v>
      </c>
      <c r="B24" s="16"/>
      <c r="C24" s="15">
        <v>3.02</v>
      </c>
      <c r="D24" s="15">
        <v>5.83</v>
      </c>
      <c r="E24" s="15">
        <v>10.12</v>
      </c>
      <c r="F24" s="15">
        <v>18.11</v>
      </c>
      <c r="G24" s="15">
        <v>11.58</v>
      </c>
      <c r="H24" s="15">
        <v>6.21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ht="15.0" customHeight="1">
      <c r="A25" s="14" t="s">
        <v>84</v>
      </c>
      <c r="B25" s="16"/>
      <c r="C25" s="15">
        <v>35.03</v>
      </c>
      <c r="D25" s="15">
        <v>33.37</v>
      </c>
      <c r="E25" s="15">
        <v>33.22</v>
      </c>
      <c r="F25" s="15">
        <v>41.71</v>
      </c>
      <c r="G25" s="15">
        <v>9.24</v>
      </c>
      <c r="H25" s="15">
        <v>14.88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ht="15.0" customHeight="1">
      <c r="A26" s="17" t="s">
        <v>85</v>
      </c>
      <c r="B26" s="18">
        <v>98.14</v>
      </c>
      <c r="C26" s="19">
        <v>115.92</v>
      </c>
      <c r="D26" s="18">
        <v>78.22</v>
      </c>
      <c r="E26" s="18">
        <v>76.74</v>
      </c>
      <c r="F26" s="18">
        <v>99.22</v>
      </c>
      <c r="G26" s="19">
        <v>101.5</v>
      </c>
      <c r="H26" s="19">
        <v>112.83</v>
      </c>
      <c r="I26" s="18">
        <v>79.46</v>
      </c>
      <c r="J26" s="18">
        <v>60.17</v>
      </c>
      <c r="K26" s="18">
        <v>29.11</v>
      </c>
      <c r="L26" s="18">
        <v>12.86</v>
      </c>
      <c r="M26" s="18">
        <v>6.28</v>
      </c>
      <c r="N26" s="18">
        <v>5.17</v>
      </c>
      <c r="O26" s="18">
        <v>4.84</v>
      </c>
      <c r="P26" s="18">
        <v>4.75</v>
      </c>
      <c r="Q26" s="18">
        <v>5.57</v>
      </c>
      <c r="R26" s="18">
        <v>6.3</v>
      </c>
      <c r="S26" s="18">
        <v>5.95</v>
      </c>
      <c r="T26" s="18">
        <v>5.58</v>
      </c>
      <c r="U26" s="18">
        <v>10.32</v>
      </c>
      <c r="V26" s="18">
        <v>6.38</v>
      </c>
      <c r="W26" s="18">
        <v>6.96</v>
      </c>
      <c r="X26" s="18">
        <v>6.38</v>
      </c>
      <c r="Y26" s="18">
        <v>4.71</v>
      </c>
      <c r="Z26" s="18">
        <v>4.42</v>
      </c>
      <c r="AA26" s="18">
        <v>7.48</v>
      </c>
    </row>
    <row r="27" ht="15.0" customHeight="1">
      <c r="A27" s="14" t="s">
        <v>86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5">
        <v>0.24</v>
      </c>
      <c r="O27" s="15">
        <v>0.22</v>
      </c>
      <c r="P27" s="15">
        <v>0.05</v>
      </c>
      <c r="Q27" s="15">
        <v>0.05</v>
      </c>
      <c r="R27" s="16"/>
      <c r="S27" s="16"/>
      <c r="T27" s="16"/>
      <c r="U27" s="16"/>
      <c r="V27" s="16"/>
      <c r="W27" s="16"/>
      <c r="X27" s="16"/>
      <c r="Y27" s="16"/>
      <c r="Z27" s="16"/>
      <c r="AA27" s="15">
        <v>1.01</v>
      </c>
    </row>
    <row r="28" ht="15.0" customHeight="1">
      <c r="A28" s="14" t="s">
        <v>87</v>
      </c>
      <c r="B28" s="16">
        <v>0.0</v>
      </c>
      <c r="C28" s="15">
        <v>17.43</v>
      </c>
      <c r="D28" s="15">
        <v>6.84</v>
      </c>
      <c r="E28" s="15">
        <v>0.62</v>
      </c>
      <c r="F28" s="15">
        <v>7.11</v>
      </c>
      <c r="G28" s="16"/>
      <c r="H28" s="16"/>
      <c r="I28" s="16"/>
      <c r="J28" s="16"/>
      <c r="K28" s="16"/>
      <c r="L28" s="16"/>
      <c r="M28" s="16"/>
      <c r="N28" s="15">
        <v>1.58</v>
      </c>
      <c r="O28" s="15">
        <v>1.38</v>
      </c>
      <c r="P28" s="15">
        <v>1.16</v>
      </c>
      <c r="Q28" s="15">
        <v>0.96</v>
      </c>
      <c r="R28" s="15">
        <v>1.09</v>
      </c>
      <c r="S28" s="15">
        <v>1.03</v>
      </c>
      <c r="T28" s="15">
        <v>0.99</v>
      </c>
      <c r="U28" s="15">
        <v>1.01</v>
      </c>
      <c r="V28" s="15">
        <v>0.99</v>
      </c>
      <c r="W28" s="15">
        <v>1.0</v>
      </c>
      <c r="X28" s="15">
        <v>0.94</v>
      </c>
      <c r="Y28" s="15">
        <v>0.88</v>
      </c>
      <c r="Z28" s="15">
        <v>0.93</v>
      </c>
      <c r="AA28" s="15">
        <v>0.97</v>
      </c>
    </row>
    <row r="29" ht="15.0" customHeight="1">
      <c r="A29" s="14" t="s">
        <v>88</v>
      </c>
      <c r="B29" s="20">
        <v>-31.61</v>
      </c>
      <c r="C29" s="20">
        <v>-69.71</v>
      </c>
      <c r="D29" s="15">
        <v>1.86</v>
      </c>
      <c r="E29" s="15">
        <v>1.86</v>
      </c>
      <c r="F29" s="15">
        <v>17.98</v>
      </c>
      <c r="G29" s="20">
        <v>-0.08</v>
      </c>
      <c r="H29" s="15">
        <v>1.8</v>
      </c>
      <c r="I29" s="15">
        <v>0.36</v>
      </c>
      <c r="J29" s="20">
        <v>-0.33</v>
      </c>
      <c r="K29" s="20">
        <v>-0.25</v>
      </c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ht="15.0" customHeight="1">
      <c r="A30" s="14" t="s">
        <v>89</v>
      </c>
      <c r="B30" s="15">
        <v>51.42</v>
      </c>
      <c r="C30" s="15">
        <v>57.61</v>
      </c>
      <c r="D30" s="15">
        <v>58.43</v>
      </c>
      <c r="E30" s="15">
        <v>47.4</v>
      </c>
      <c r="F30" s="15">
        <v>60.58</v>
      </c>
      <c r="G30" s="15">
        <v>53.68</v>
      </c>
      <c r="H30" s="15">
        <v>51.52</v>
      </c>
      <c r="I30" s="15">
        <v>39.5</v>
      </c>
      <c r="J30" s="15">
        <v>30.42</v>
      </c>
      <c r="K30" s="15">
        <v>10.6</v>
      </c>
      <c r="L30" s="15">
        <v>4.1</v>
      </c>
      <c r="M30" s="15">
        <v>2.26</v>
      </c>
      <c r="N30" s="21">
        <v>3.27</v>
      </c>
      <c r="O30" s="21">
        <v>2.81</v>
      </c>
      <c r="P30" s="21">
        <v>3.2</v>
      </c>
      <c r="Q30" s="21">
        <v>3.13</v>
      </c>
      <c r="R30" s="21">
        <v>2.84</v>
      </c>
      <c r="S30" s="21">
        <v>2.58</v>
      </c>
      <c r="T30" s="21">
        <v>2.49</v>
      </c>
      <c r="U30" s="21">
        <v>2.5</v>
      </c>
      <c r="V30" s="21">
        <v>2.43</v>
      </c>
      <c r="W30" s="21">
        <v>1.78</v>
      </c>
      <c r="X30" s="21">
        <v>1.94</v>
      </c>
      <c r="Y30" s="21">
        <v>1.91</v>
      </c>
      <c r="Z30" s="21">
        <v>2.0</v>
      </c>
      <c r="AA30" s="21">
        <v>3.44</v>
      </c>
    </row>
    <row r="31" ht="15.0" customHeight="1">
      <c r="A31" s="14" t="s">
        <v>90</v>
      </c>
      <c r="B31" s="16"/>
      <c r="C31" s="15">
        <v>2.58</v>
      </c>
      <c r="D31" s="15">
        <v>2.29</v>
      </c>
      <c r="E31" s="16"/>
      <c r="F31" s="16"/>
      <c r="G31" s="15">
        <v>0.92</v>
      </c>
      <c r="H31" s="15">
        <v>0.45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ht="15.0" customHeight="1">
      <c r="A32" s="14" t="s">
        <v>91</v>
      </c>
      <c r="B32" s="16"/>
      <c r="C32" s="15">
        <v>26.05</v>
      </c>
      <c r="D32" s="15">
        <v>23.09</v>
      </c>
      <c r="E32" s="15">
        <v>13.33</v>
      </c>
      <c r="F32" s="15">
        <v>22.54</v>
      </c>
      <c r="G32" s="15">
        <v>35.5</v>
      </c>
      <c r="H32" s="15">
        <v>34.29</v>
      </c>
      <c r="I32" s="15">
        <v>39.5</v>
      </c>
      <c r="J32" s="15">
        <v>30.42</v>
      </c>
      <c r="K32" s="15">
        <v>10.6</v>
      </c>
      <c r="L32" s="15">
        <v>4.1</v>
      </c>
      <c r="M32" s="15">
        <v>2.26</v>
      </c>
      <c r="N32" s="15">
        <v>3.27</v>
      </c>
      <c r="O32" s="15">
        <v>2.81</v>
      </c>
      <c r="P32" s="15">
        <v>3.2</v>
      </c>
      <c r="Q32" s="15">
        <v>3.13</v>
      </c>
      <c r="R32" s="15">
        <v>2.84</v>
      </c>
      <c r="S32" s="15">
        <v>2.58</v>
      </c>
      <c r="T32" s="15">
        <v>2.49</v>
      </c>
      <c r="U32" s="15">
        <v>2.5</v>
      </c>
      <c r="V32" s="15">
        <v>2.43</v>
      </c>
      <c r="W32" s="15">
        <v>1.78</v>
      </c>
      <c r="X32" s="15">
        <v>1.94</v>
      </c>
      <c r="Y32" s="15">
        <v>1.91</v>
      </c>
      <c r="Z32" s="15">
        <v>2.0</v>
      </c>
      <c r="AA32" s="15">
        <v>3.44</v>
      </c>
    </row>
    <row r="33" ht="15.0" customHeight="1">
      <c r="A33" s="14" t="s">
        <v>92</v>
      </c>
      <c r="B33" s="16"/>
      <c r="C33" s="15">
        <v>28.98</v>
      </c>
      <c r="D33" s="15">
        <v>33.05</v>
      </c>
      <c r="E33" s="15">
        <v>34.07</v>
      </c>
      <c r="F33" s="15">
        <v>38.05</v>
      </c>
      <c r="G33" s="15">
        <v>17.25</v>
      </c>
      <c r="H33" s="15">
        <v>16.78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ht="15.0" customHeight="1">
      <c r="A34" s="14" t="s">
        <v>93</v>
      </c>
      <c r="B34" s="16">
        <v>0.0</v>
      </c>
      <c r="C34" s="15">
        <v>0.43</v>
      </c>
      <c r="D34" s="15">
        <v>0.38</v>
      </c>
      <c r="E34" s="15">
        <v>1.64</v>
      </c>
      <c r="F34" s="15">
        <v>1.14</v>
      </c>
      <c r="G34" s="20">
        <v>-0.06</v>
      </c>
      <c r="H34" s="15">
        <v>0.34</v>
      </c>
      <c r="I34" s="20">
        <v>-1.74</v>
      </c>
      <c r="J34" s="15">
        <v>0.17</v>
      </c>
      <c r="K34" s="20">
        <v>-0.01</v>
      </c>
      <c r="L34" s="20">
        <v>-2.54</v>
      </c>
      <c r="M34" s="16">
        <v>0.0</v>
      </c>
      <c r="N34" s="15">
        <v>3.27</v>
      </c>
      <c r="O34" s="15">
        <v>2.81</v>
      </c>
      <c r="P34" s="15">
        <v>3.2</v>
      </c>
      <c r="Q34" s="15">
        <v>3.13</v>
      </c>
      <c r="R34" s="15">
        <v>2.84</v>
      </c>
      <c r="S34" s="15">
        <v>2.58</v>
      </c>
      <c r="T34" s="15">
        <v>2.49</v>
      </c>
      <c r="U34" s="15">
        <v>2.5</v>
      </c>
      <c r="V34" s="15">
        <v>2.43</v>
      </c>
      <c r="W34" s="15">
        <v>1.78</v>
      </c>
      <c r="X34" s="15">
        <v>1.94</v>
      </c>
      <c r="Y34" s="15">
        <v>1.91</v>
      </c>
      <c r="Z34" s="15">
        <v>2.0</v>
      </c>
      <c r="AA34" s="15">
        <v>3.44</v>
      </c>
    </row>
    <row r="35" ht="15.0" customHeight="1">
      <c r="A35" s="14" t="s">
        <v>94</v>
      </c>
      <c r="B35" s="15">
        <v>7.16</v>
      </c>
      <c r="C35" s="20">
        <v>-37.75</v>
      </c>
      <c r="D35" s="15">
        <v>13.61</v>
      </c>
      <c r="E35" s="20">
        <v>-22.62</v>
      </c>
      <c r="F35" s="15">
        <v>28.72</v>
      </c>
      <c r="G35" s="15">
        <v>14.48</v>
      </c>
      <c r="H35" s="15">
        <v>5.44</v>
      </c>
      <c r="I35" s="20">
        <v>-8.92</v>
      </c>
      <c r="J35" s="20">
        <v>-23.98</v>
      </c>
      <c r="K35" s="20">
        <v>-16.5</v>
      </c>
      <c r="L35" s="20">
        <v>-30.92</v>
      </c>
      <c r="M35" s="20">
        <v>-5.09</v>
      </c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ht="15.0" customHeight="1">
      <c r="A36" s="14" t="s">
        <v>95</v>
      </c>
      <c r="B36" s="16"/>
      <c r="C36" s="15">
        <v>11.4</v>
      </c>
      <c r="D36" s="15">
        <v>9.18</v>
      </c>
      <c r="E36" s="15">
        <v>10.33</v>
      </c>
      <c r="F36" s="15">
        <v>10.58</v>
      </c>
      <c r="G36" s="15">
        <v>14.41</v>
      </c>
      <c r="H36" s="15">
        <v>8.62</v>
      </c>
      <c r="I36" s="15">
        <v>8.4</v>
      </c>
      <c r="J36" s="15">
        <v>7.17</v>
      </c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5">
        <v>0.24</v>
      </c>
    </row>
    <row r="37" ht="15.0" customHeight="1">
      <c r="A37" s="14" t="s">
        <v>96</v>
      </c>
      <c r="B37" s="16"/>
      <c r="C37" s="16"/>
      <c r="D37" s="16"/>
      <c r="E37" s="15">
        <v>1.25</v>
      </c>
      <c r="F37" s="15">
        <v>1.26</v>
      </c>
      <c r="G37" s="15">
        <v>1.0</v>
      </c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ht="15.0" customHeight="1">
      <c r="A38" s="14" t="s">
        <v>97</v>
      </c>
      <c r="B38" s="16"/>
      <c r="C38" s="16"/>
      <c r="D38" s="16"/>
      <c r="E38" s="15">
        <v>9.07</v>
      </c>
      <c r="F38" s="15">
        <v>9.32</v>
      </c>
      <c r="G38" s="15">
        <v>13.41</v>
      </c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ht="15.0" customHeight="1">
      <c r="A39" s="14" t="s">
        <v>98</v>
      </c>
      <c r="B39" s="15">
        <v>11.89</v>
      </c>
      <c r="C39" s="15">
        <v>0.53</v>
      </c>
      <c r="D39" s="15">
        <v>0.23</v>
      </c>
      <c r="E39" s="15">
        <v>0.23</v>
      </c>
      <c r="F39" s="15">
        <v>0.38</v>
      </c>
      <c r="G39" s="15">
        <v>0.43</v>
      </c>
      <c r="H39" s="15">
        <v>0.43</v>
      </c>
      <c r="I39" s="15">
        <v>0.84</v>
      </c>
      <c r="J39" s="15">
        <v>0.77</v>
      </c>
      <c r="K39" s="15">
        <v>0.58</v>
      </c>
      <c r="L39" s="15">
        <v>0.25</v>
      </c>
      <c r="M39" s="15">
        <v>0.04</v>
      </c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ht="15.0" customHeight="1">
      <c r="A40" s="14" t="s">
        <v>99</v>
      </c>
      <c r="B40" s="16">
        <v>0.0</v>
      </c>
      <c r="C40" s="20">
        <v>-3.18</v>
      </c>
      <c r="D40" s="20">
        <v>-56.76</v>
      </c>
      <c r="E40" s="20">
        <v>-5.66</v>
      </c>
      <c r="F40" s="20">
        <v>-18.88</v>
      </c>
      <c r="G40" s="15">
        <v>29.83</v>
      </c>
      <c r="H40" s="15">
        <v>5.75</v>
      </c>
      <c r="I40" s="20">
        <v>-6.27</v>
      </c>
      <c r="J40" s="20">
        <v>-9.85</v>
      </c>
      <c r="K40" s="20">
        <v>-12.6</v>
      </c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ht="15.0" customHeight="1">
      <c r="A41" s="14" t="s">
        <v>100</v>
      </c>
      <c r="B41" s="16"/>
      <c r="C41" s="16"/>
      <c r="D41" s="16"/>
      <c r="E41" s="16"/>
      <c r="F41" s="16"/>
      <c r="G41" s="16"/>
      <c r="H41" s="16"/>
      <c r="I41" s="16"/>
      <c r="J41" s="16"/>
      <c r="K41" s="15">
        <v>5.46</v>
      </c>
      <c r="L41" s="15">
        <v>3.28</v>
      </c>
      <c r="M41" s="15">
        <v>2.7</v>
      </c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5">
        <v>0.79</v>
      </c>
    </row>
    <row r="42" ht="15.0" customHeight="1">
      <c r="A42" s="14" t="s">
        <v>101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5">
        <v>0.79</v>
      </c>
    </row>
    <row r="43" ht="15.0" customHeight="1">
      <c r="A43" s="14" t="s">
        <v>102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5">
        <v>0.24</v>
      </c>
    </row>
    <row r="44" ht="15.0" customHeight="1">
      <c r="A44" s="17" t="s">
        <v>103</v>
      </c>
      <c r="B44" s="18">
        <v>38.86</v>
      </c>
      <c r="C44" s="22">
        <v>-23.24</v>
      </c>
      <c r="D44" s="18">
        <v>33.77</v>
      </c>
      <c r="E44" s="18">
        <v>33.78</v>
      </c>
      <c r="F44" s="19">
        <v>107.6</v>
      </c>
      <c r="G44" s="19">
        <v>112.69</v>
      </c>
      <c r="H44" s="18">
        <v>73.92</v>
      </c>
      <c r="I44" s="18">
        <v>32.17</v>
      </c>
      <c r="J44" s="18">
        <v>4.37</v>
      </c>
      <c r="K44" s="22">
        <v>-12.73</v>
      </c>
      <c r="L44" s="22">
        <v>-25.82</v>
      </c>
      <c r="M44" s="22">
        <v>-0.09</v>
      </c>
      <c r="N44" s="18">
        <v>5.09</v>
      </c>
      <c r="O44" s="18">
        <v>4.41</v>
      </c>
      <c r="P44" s="18">
        <v>4.4</v>
      </c>
      <c r="Q44" s="18">
        <v>4.15</v>
      </c>
      <c r="R44" s="18">
        <v>3.93</v>
      </c>
      <c r="S44" s="18">
        <v>3.61</v>
      </c>
      <c r="T44" s="18">
        <v>3.48</v>
      </c>
      <c r="U44" s="18">
        <v>3.51</v>
      </c>
      <c r="V44" s="18">
        <v>3.41</v>
      </c>
      <c r="W44" s="18">
        <v>2.79</v>
      </c>
      <c r="X44" s="18">
        <v>2.88</v>
      </c>
      <c r="Y44" s="18">
        <v>2.79</v>
      </c>
      <c r="Z44" s="18">
        <v>2.94</v>
      </c>
      <c r="AA44" s="18">
        <v>6.45</v>
      </c>
    </row>
    <row r="45" ht="15.0" customHeight="1">
      <c r="A45" s="17" t="s">
        <v>104</v>
      </c>
      <c r="B45" s="18">
        <v>59.27</v>
      </c>
      <c r="C45" s="19">
        <v>139.16</v>
      </c>
      <c r="D45" s="18">
        <v>44.45</v>
      </c>
      <c r="E45" s="18">
        <v>42.96</v>
      </c>
      <c r="F45" s="22">
        <v>-8.38</v>
      </c>
      <c r="G45" s="22">
        <v>-11.2</v>
      </c>
      <c r="H45" s="18">
        <v>38.92</v>
      </c>
      <c r="I45" s="18">
        <v>47.29</v>
      </c>
      <c r="J45" s="18">
        <v>55.8</v>
      </c>
      <c r="K45" s="18">
        <v>41.83</v>
      </c>
      <c r="L45" s="18">
        <v>38.69</v>
      </c>
      <c r="M45" s="18">
        <v>6.38</v>
      </c>
      <c r="N45" s="18">
        <v>0.09</v>
      </c>
      <c r="O45" s="18">
        <v>0.43</v>
      </c>
      <c r="P45" s="18">
        <v>0.34</v>
      </c>
      <c r="Q45" s="18">
        <v>1.42</v>
      </c>
      <c r="R45" s="18">
        <v>2.37</v>
      </c>
      <c r="S45" s="18">
        <v>2.34</v>
      </c>
      <c r="T45" s="18">
        <v>2.1</v>
      </c>
      <c r="U45" s="18">
        <v>6.81</v>
      </c>
      <c r="V45" s="18">
        <v>2.96</v>
      </c>
      <c r="W45" s="18">
        <v>4.18</v>
      </c>
      <c r="X45" s="18">
        <v>3.5</v>
      </c>
      <c r="Y45" s="18">
        <v>1.92</v>
      </c>
      <c r="Z45" s="18">
        <v>1.49</v>
      </c>
      <c r="AA45" s="18">
        <v>1.03</v>
      </c>
    </row>
    <row r="46" ht="15.0" customHeight="1">
      <c r="A46" s="14" t="s">
        <v>105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5">
        <v>0.3</v>
      </c>
      <c r="P46" s="15">
        <v>0.29</v>
      </c>
      <c r="Q46" s="15">
        <v>0.23</v>
      </c>
      <c r="R46" s="16">
        <v>0.0</v>
      </c>
      <c r="S46" s="16">
        <v>0.0</v>
      </c>
      <c r="T46" s="16">
        <v>0.0</v>
      </c>
      <c r="U46" s="15">
        <v>0.51</v>
      </c>
      <c r="V46" s="15">
        <v>0.3</v>
      </c>
      <c r="W46" s="15">
        <v>0.77</v>
      </c>
      <c r="X46" s="15">
        <v>0.09</v>
      </c>
      <c r="Y46" s="15">
        <v>0.02</v>
      </c>
      <c r="Z46" s="15">
        <v>0.02</v>
      </c>
      <c r="AA46" s="16">
        <v>0.0</v>
      </c>
    </row>
    <row r="47" ht="15.0" customHeight="1">
      <c r="A47" s="14" t="s">
        <v>106</v>
      </c>
      <c r="B47" s="15">
        <v>4.03</v>
      </c>
      <c r="C47" s="15">
        <v>3.58</v>
      </c>
      <c r="D47" s="15">
        <v>4.04</v>
      </c>
      <c r="E47" s="15">
        <v>2.48</v>
      </c>
      <c r="F47" s="15">
        <v>0.85</v>
      </c>
      <c r="G47" s="15">
        <v>0.25</v>
      </c>
      <c r="H47" s="15">
        <v>0.19</v>
      </c>
      <c r="I47" s="15">
        <v>0.36</v>
      </c>
      <c r="J47" s="15">
        <v>0.35</v>
      </c>
      <c r="K47" s="15">
        <v>0.03</v>
      </c>
      <c r="L47" s="15">
        <v>1.16</v>
      </c>
      <c r="M47" s="15">
        <v>0.64</v>
      </c>
      <c r="N47" s="15">
        <v>0.6</v>
      </c>
      <c r="O47" s="15">
        <v>0.71</v>
      </c>
      <c r="P47" s="15">
        <v>0.07</v>
      </c>
      <c r="Q47" s="15">
        <v>2.79</v>
      </c>
      <c r="R47" s="15">
        <v>3.23</v>
      </c>
      <c r="S47" s="16">
        <v>0.0</v>
      </c>
      <c r="T47" s="16">
        <v>0.0</v>
      </c>
      <c r="U47" s="16">
        <v>0.0</v>
      </c>
      <c r="V47" s="15">
        <v>0.1</v>
      </c>
      <c r="W47" s="16"/>
      <c r="X47" s="16"/>
      <c r="Y47" s="16"/>
      <c r="Z47" s="16"/>
      <c r="AA47" s="16">
        <v>0.0</v>
      </c>
    </row>
    <row r="48" ht="15.0" customHeight="1">
      <c r="A48" s="14" t="s">
        <v>107</v>
      </c>
      <c r="B48" s="16"/>
      <c r="C48" s="15">
        <v>3.58</v>
      </c>
      <c r="D48" s="15">
        <v>4.04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5">
        <v>0.95</v>
      </c>
      <c r="P48" s="15">
        <v>0.08</v>
      </c>
      <c r="Q48" s="16">
        <v>0.0</v>
      </c>
      <c r="R48" s="15">
        <v>0.08</v>
      </c>
      <c r="S48" s="15">
        <v>0.35</v>
      </c>
      <c r="T48" s="15">
        <v>0.21</v>
      </c>
      <c r="U48" s="15">
        <v>0.06</v>
      </c>
      <c r="V48" s="15">
        <v>0.03</v>
      </c>
      <c r="W48" s="15">
        <v>0.08</v>
      </c>
      <c r="X48" s="15">
        <v>0.11</v>
      </c>
      <c r="Y48" s="15">
        <v>0.02</v>
      </c>
      <c r="Z48" s="15">
        <v>0.04</v>
      </c>
      <c r="AA48" s="15">
        <v>0.15</v>
      </c>
    </row>
    <row r="49" ht="15.0" customHeight="1">
      <c r="A49" s="14" t="s">
        <v>108</v>
      </c>
      <c r="B49" s="16"/>
      <c r="C49" s="16"/>
      <c r="D49" s="16"/>
      <c r="E49" s="16"/>
      <c r="F49" s="16"/>
      <c r="G49" s="16">
        <v>0.0</v>
      </c>
      <c r="H49" s="16">
        <v>0.0</v>
      </c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ht="15.0" customHeight="1">
      <c r="A50" s="14" t="s">
        <v>109</v>
      </c>
      <c r="B50" s="16"/>
      <c r="C50" s="16"/>
      <c r="D50" s="16"/>
      <c r="E50" s="15">
        <v>2.48</v>
      </c>
      <c r="F50" s="15">
        <v>0.85</v>
      </c>
      <c r="G50" s="15">
        <v>0.25</v>
      </c>
      <c r="H50" s="15">
        <v>0.19</v>
      </c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ht="15.0" customHeight="1">
      <c r="A51" s="14" t="s">
        <v>110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>
        <v>0.0</v>
      </c>
      <c r="P51" s="20">
        <v>-1.59</v>
      </c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ht="15.0" customHeight="1">
      <c r="A52" s="14" t="s">
        <v>111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23">
        <v>0.0</v>
      </c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ht="15.0" customHeight="1">
      <c r="A53" s="14" t="s">
        <v>112</v>
      </c>
      <c r="B53" s="20">
        <v>-12.42</v>
      </c>
      <c r="C53" s="20">
        <v>-19.63</v>
      </c>
      <c r="D53" s="20">
        <v>-8.38</v>
      </c>
      <c r="E53" s="20">
        <v>-4.9</v>
      </c>
      <c r="F53" s="20">
        <v>-7.1</v>
      </c>
      <c r="G53" s="20">
        <v>-12.21</v>
      </c>
      <c r="H53" s="20">
        <v>-12.13</v>
      </c>
      <c r="I53" s="20">
        <v>-6.03</v>
      </c>
      <c r="J53" s="20">
        <v>-4.28</v>
      </c>
      <c r="K53" s="20">
        <v>-2.63</v>
      </c>
      <c r="L53" s="20">
        <v>-0.73</v>
      </c>
      <c r="M53" s="20">
        <v>-0.33</v>
      </c>
      <c r="N53" s="20">
        <v>-0.27</v>
      </c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ht="15.0" customHeight="1">
      <c r="A54" s="14" t="s">
        <v>113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23">
        <v>0.0</v>
      </c>
      <c r="O54" s="16">
        <v>0.0</v>
      </c>
      <c r="P54" s="20">
        <v>-0.15</v>
      </c>
      <c r="Q54" s="20">
        <v>-0.04</v>
      </c>
      <c r="R54" s="16">
        <v>0.0</v>
      </c>
      <c r="S54" s="16">
        <v>0.0</v>
      </c>
      <c r="T54" s="16">
        <v>0.0</v>
      </c>
      <c r="U54" s="20">
        <v>-0.01</v>
      </c>
      <c r="V54" s="16">
        <v>0.0</v>
      </c>
      <c r="W54" s="16"/>
      <c r="X54" s="16"/>
      <c r="Y54" s="16">
        <v>0.0</v>
      </c>
      <c r="Z54" s="16">
        <v>0.0</v>
      </c>
      <c r="AA54" s="20">
        <v>-0.01</v>
      </c>
    </row>
    <row r="55" ht="15.0" customHeight="1">
      <c r="A55" s="14" t="s">
        <v>114</v>
      </c>
      <c r="B55" s="16"/>
      <c r="C55" s="16">
        <v>0.0</v>
      </c>
      <c r="D55" s="16">
        <v>0.0</v>
      </c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ht="15.0" customHeight="1">
      <c r="A56" s="14" t="s">
        <v>115</v>
      </c>
      <c r="B56" s="16"/>
      <c r="C56" s="16"/>
      <c r="D56" s="16"/>
      <c r="E56" s="15">
        <v>0.05</v>
      </c>
      <c r="F56" s="15">
        <v>0.15</v>
      </c>
      <c r="G56" s="20">
        <v>-0.29</v>
      </c>
      <c r="H56" s="20">
        <v>-1.64</v>
      </c>
      <c r="I56" s="16"/>
      <c r="J56" s="16"/>
      <c r="K56" s="16"/>
      <c r="L56" s="16"/>
      <c r="M56" s="16"/>
      <c r="N56" s="16"/>
      <c r="O56" s="16"/>
      <c r="P56" s="16"/>
      <c r="Q56" s="16"/>
      <c r="R56" s="16">
        <v>0.0</v>
      </c>
      <c r="S56" s="20">
        <v>-0.28</v>
      </c>
      <c r="T56" s="15">
        <v>0.02</v>
      </c>
      <c r="U56" s="15">
        <v>0.07</v>
      </c>
      <c r="V56" s="16">
        <v>0.0</v>
      </c>
      <c r="W56" s="16"/>
      <c r="X56" s="16"/>
      <c r="Y56" s="16"/>
      <c r="Z56" s="16"/>
      <c r="AA56" s="16"/>
    </row>
    <row r="57" ht="15.0" customHeight="1">
      <c r="A57" s="14" t="s">
        <v>116</v>
      </c>
      <c r="B57" s="16"/>
      <c r="C57" s="20">
        <v>-19.4</v>
      </c>
      <c r="D57" s="20">
        <v>-7.18</v>
      </c>
      <c r="E57" s="20">
        <v>-3.7</v>
      </c>
      <c r="F57" s="20">
        <v>-4.63</v>
      </c>
      <c r="G57" s="20">
        <v>-7.67</v>
      </c>
      <c r="H57" s="20">
        <v>-8.63</v>
      </c>
      <c r="I57" s="16"/>
      <c r="J57" s="16"/>
      <c r="K57" s="16"/>
      <c r="L57" s="16"/>
      <c r="M57" s="16"/>
      <c r="N57" s="20">
        <v>-0.27</v>
      </c>
      <c r="O57" s="20">
        <v>-0.28</v>
      </c>
      <c r="P57" s="20">
        <v>-0.14</v>
      </c>
      <c r="Q57" s="23">
        <v>0.0</v>
      </c>
      <c r="R57" s="16">
        <v>0.0</v>
      </c>
      <c r="S57" s="16">
        <v>0.0</v>
      </c>
      <c r="T57" s="16">
        <v>0.0</v>
      </c>
      <c r="U57" s="20">
        <v>-0.06</v>
      </c>
      <c r="V57" s="20">
        <v>-0.18</v>
      </c>
      <c r="W57" s="20">
        <v>-0.23</v>
      </c>
      <c r="X57" s="20">
        <v>-0.26</v>
      </c>
      <c r="Y57" s="20">
        <v>-0.26</v>
      </c>
      <c r="Z57" s="20">
        <v>-0.35</v>
      </c>
      <c r="AA57" s="20">
        <v>-0.79</v>
      </c>
    </row>
    <row r="58" ht="15.0" customHeight="1">
      <c r="A58" s="14" t="s">
        <v>117</v>
      </c>
      <c r="B58" s="16"/>
      <c r="C58" s="20">
        <v>-0.22</v>
      </c>
      <c r="D58" s="20">
        <v>-1.21</v>
      </c>
      <c r="E58" s="20">
        <v>-1.24</v>
      </c>
      <c r="F58" s="20">
        <v>-2.62</v>
      </c>
      <c r="G58" s="20">
        <v>-4.26</v>
      </c>
      <c r="H58" s="20">
        <v>-1.85</v>
      </c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ht="15.0" customHeight="1">
      <c r="A59" s="17" t="s">
        <v>118</v>
      </c>
      <c r="B59" s="22">
        <v>-8.39</v>
      </c>
      <c r="C59" s="22">
        <v>-16.05</v>
      </c>
      <c r="D59" s="22">
        <v>-4.35</v>
      </c>
      <c r="E59" s="22">
        <v>-2.41</v>
      </c>
      <c r="F59" s="22">
        <v>-6.25</v>
      </c>
      <c r="G59" s="22">
        <v>-11.97</v>
      </c>
      <c r="H59" s="22">
        <v>-11.94</v>
      </c>
      <c r="I59" s="22">
        <v>-5.67</v>
      </c>
      <c r="J59" s="22">
        <v>-3.94</v>
      </c>
      <c r="K59" s="22">
        <v>-2.6</v>
      </c>
      <c r="L59" s="18">
        <v>0.43</v>
      </c>
      <c r="M59" s="18">
        <v>0.31</v>
      </c>
      <c r="N59" s="18">
        <v>0.33</v>
      </c>
      <c r="O59" s="18">
        <v>1.67</v>
      </c>
      <c r="P59" s="22">
        <v>-1.44</v>
      </c>
      <c r="Q59" s="18">
        <v>2.98</v>
      </c>
      <c r="R59" s="18">
        <v>3.31</v>
      </c>
      <c r="S59" s="18">
        <v>0.07</v>
      </c>
      <c r="T59" s="18">
        <v>0.23</v>
      </c>
      <c r="U59" s="18">
        <v>0.56</v>
      </c>
      <c r="V59" s="18">
        <v>0.26</v>
      </c>
      <c r="W59" s="18">
        <v>0.62</v>
      </c>
      <c r="X59" s="22">
        <v>-0.06</v>
      </c>
      <c r="Y59" s="22">
        <v>-0.23</v>
      </c>
      <c r="Z59" s="22">
        <v>-0.3</v>
      </c>
      <c r="AA59" s="22">
        <v>-0.64</v>
      </c>
    </row>
    <row r="60" ht="15.0" customHeight="1">
      <c r="A60" s="17" t="s">
        <v>119</v>
      </c>
      <c r="B60" s="18">
        <v>50.88</v>
      </c>
      <c r="C60" s="19">
        <v>123.11</v>
      </c>
      <c r="D60" s="18">
        <v>40.11</v>
      </c>
      <c r="E60" s="18">
        <v>40.55</v>
      </c>
      <c r="F60" s="22">
        <v>-14.63</v>
      </c>
      <c r="G60" s="22">
        <v>-23.16</v>
      </c>
      <c r="H60" s="18">
        <v>26.98</v>
      </c>
      <c r="I60" s="18">
        <v>41.61</v>
      </c>
      <c r="J60" s="18">
        <v>51.87</v>
      </c>
      <c r="K60" s="18">
        <v>39.23</v>
      </c>
      <c r="L60" s="18">
        <v>39.11</v>
      </c>
      <c r="M60" s="18">
        <v>6.68</v>
      </c>
      <c r="N60" s="18">
        <v>0.42</v>
      </c>
      <c r="O60" s="18">
        <v>2.1</v>
      </c>
      <c r="P60" s="22">
        <v>-1.09</v>
      </c>
      <c r="Q60" s="18">
        <v>4.4</v>
      </c>
      <c r="R60" s="18">
        <v>5.68</v>
      </c>
      <c r="S60" s="18">
        <v>2.41</v>
      </c>
      <c r="T60" s="18">
        <v>2.33</v>
      </c>
      <c r="U60" s="18">
        <v>7.38</v>
      </c>
      <c r="V60" s="18">
        <v>3.23</v>
      </c>
      <c r="W60" s="18">
        <v>4.79</v>
      </c>
      <c r="X60" s="18">
        <v>3.44</v>
      </c>
      <c r="Y60" s="18">
        <v>1.7</v>
      </c>
      <c r="Z60" s="18">
        <v>1.19</v>
      </c>
      <c r="AA60" s="18">
        <v>0.39</v>
      </c>
    </row>
    <row r="61" ht="15.0" customHeight="1">
      <c r="A61" s="14" t="s">
        <v>120</v>
      </c>
      <c r="B61" s="20">
        <v>-3.19</v>
      </c>
      <c r="C61" s="15">
        <v>23.23</v>
      </c>
      <c r="D61" s="15">
        <v>0.15</v>
      </c>
      <c r="E61" s="15">
        <v>8.02</v>
      </c>
      <c r="F61" s="20">
        <v>-3.33</v>
      </c>
      <c r="G61" s="20">
        <v>-2.13</v>
      </c>
      <c r="H61" s="15">
        <v>6.47</v>
      </c>
      <c r="I61" s="15">
        <v>18.7</v>
      </c>
      <c r="J61" s="15">
        <v>4.78</v>
      </c>
      <c r="K61" s="15">
        <v>4.25</v>
      </c>
      <c r="L61" s="15">
        <v>7.93</v>
      </c>
      <c r="M61" s="15">
        <v>0.89</v>
      </c>
      <c r="N61" s="20">
        <v>-0.11</v>
      </c>
      <c r="O61" s="15">
        <v>0.39</v>
      </c>
      <c r="P61" s="20">
        <v>-0.36</v>
      </c>
      <c r="Q61" s="15">
        <v>1.08</v>
      </c>
      <c r="R61" s="15">
        <v>1.47</v>
      </c>
      <c r="S61" s="15">
        <v>0.63</v>
      </c>
      <c r="T61" s="15">
        <v>0.54</v>
      </c>
      <c r="U61" s="20">
        <v>-0.28</v>
      </c>
      <c r="V61" s="15">
        <v>0.96</v>
      </c>
      <c r="W61" s="15">
        <v>0.19</v>
      </c>
      <c r="X61" s="15">
        <v>0.26</v>
      </c>
      <c r="Y61" s="15">
        <v>0.36</v>
      </c>
      <c r="Z61" s="15">
        <v>0.01</v>
      </c>
      <c r="AA61" s="15">
        <v>0.01</v>
      </c>
    </row>
    <row r="62" ht="15.0" customHeight="1">
      <c r="A62" s="14" t="s">
        <v>121</v>
      </c>
      <c r="B62" s="16"/>
      <c r="C62" s="20">
        <v>-0.07</v>
      </c>
      <c r="D62" s="15">
        <v>0.07</v>
      </c>
      <c r="E62" s="15">
        <v>0.77</v>
      </c>
      <c r="F62" s="16"/>
      <c r="G62" s="16"/>
      <c r="H62" s="16"/>
      <c r="I62" s="16"/>
      <c r="J62" s="16"/>
      <c r="K62" s="16"/>
      <c r="L62" s="16"/>
      <c r="M62" s="16"/>
      <c r="N62" s="16"/>
      <c r="O62" s="16">
        <v>0.0</v>
      </c>
      <c r="P62" s="16">
        <v>0.0</v>
      </c>
      <c r="Q62" s="23">
        <v>0.0</v>
      </c>
      <c r="R62" s="16"/>
      <c r="S62" s="16">
        <v>0.0</v>
      </c>
      <c r="T62" s="16">
        <v>0.0</v>
      </c>
      <c r="U62" s="15">
        <v>0.03</v>
      </c>
      <c r="V62" s="16">
        <v>0.0</v>
      </c>
      <c r="W62" s="16"/>
      <c r="X62" s="16"/>
      <c r="Y62" s="16"/>
      <c r="Z62" s="16"/>
      <c r="AA62" s="16"/>
    </row>
    <row r="63" ht="15.0" customHeight="1">
      <c r="A63" s="14" t="s">
        <v>122</v>
      </c>
      <c r="B63" s="16"/>
      <c r="C63" s="15">
        <v>10.95</v>
      </c>
      <c r="D63" s="20">
        <v>-0.21</v>
      </c>
      <c r="E63" s="15">
        <v>4.46</v>
      </c>
      <c r="F63" s="20">
        <v>-4.39</v>
      </c>
      <c r="G63" s="20">
        <v>-4.1</v>
      </c>
      <c r="H63" s="20">
        <v>-10.11</v>
      </c>
      <c r="I63" s="16"/>
      <c r="J63" s="16"/>
      <c r="K63" s="16"/>
      <c r="L63" s="16"/>
      <c r="M63" s="16"/>
      <c r="N63" s="16"/>
      <c r="O63" s="15">
        <v>0.12</v>
      </c>
      <c r="P63" s="20">
        <v>-0.45</v>
      </c>
      <c r="Q63" s="15">
        <v>0.69</v>
      </c>
      <c r="R63" s="15">
        <v>0.03</v>
      </c>
      <c r="S63" s="20">
        <v>-0.21</v>
      </c>
      <c r="T63" s="20">
        <v>-0.17</v>
      </c>
      <c r="U63" s="20">
        <v>-0.33</v>
      </c>
      <c r="V63" s="15">
        <v>0.88</v>
      </c>
      <c r="W63" s="16"/>
      <c r="X63" s="16"/>
      <c r="Y63" s="16"/>
      <c r="Z63" s="16"/>
      <c r="AA63" s="16"/>
    </row>
    <row r="64" ht="15.0" customHeight="1">
      <c r="A64" s="14" t="s">
        <v>123</v>
      </c>
      <c r="B64" s="16"/>
      <c r="C64" s="15">
        <v>12.35</v>
      </c>
      <c r="D64" s="15">
        <v>0.29</v>
      </c>
      <c r="E64" s="15">
        <v>2.8</v>
      </c>
      <c r="F64" s="15">
        <v>1.06</v>
      </c>
      <c r="G64" s="15">
        <v>1.96</v>
      </c>
      <c r="H64" s="15">
        <v>16.58</v>
      </c>
      <c r="I64" s="16"/>
      <c r="J64" s="16"/>
      <c r="K64" s="16"/>
      <c r="L64" s="16"/>
      <c r="M64" s="16"/>
      <c r="N64" s="16"/>
      <c r="O64" s="15">
        <v>0.27</v>
      </c>
      <c r="P64" s="15">
        <v>0.09</v>
      </c>
      <c r="Q64" s="15">
        <v>0.39</v>
      </c>
      <c r="R64" s="15">
        <v>1.45</v>
      </c>
      <c r="S64" s="15">
        <v>0.83</v>
      </c>
      <c r="T64" s="15">
        <v>0.7</v>
      </c>
      <c r="U64" s="15">
        <v>0.02</v>
      </c>
      <c r="V64" s="15">
        <v>0.08</v>
      </c>
      <c r="W64" s="16"/>
      <c r="X64" s="16"/>
      <c r="Y64" s="16"/>
      <c r="Z64" s="16"/>
      <c r="AA64" s="16"/>
    </row>
    <row r="65" ht="15.0" customHeight="1">
      <c r="A65" s="14" t="s">
        <v>124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5">
        <v>0.01</v>
      </c>
      <c r="T65" s="15">
        <v>0.01</v>
      </c>
      <c r="U65" s="16"/>
      <c r="V65" s="16"/>
      <c r="W65" s="16"/>
      <c r="X65" s="16"/>
      <c r="Y65" s="16"/>
      <c r="Z65" s="16"/>
      <c r="AA65" s="16"/>
    </row>
    <row r="66" ht="15.0" customHeight="1">
      <c r="A66" s="17" t="s">
        <v>125</v>
      </c>
      <c r="B66" s="22">
        <v>-3.19</v>
      </c>
      <c r="C66" s="18">
        <v>23.23</v>
      </c>
      <c r="D66" s="18">
        <v>0.15</v>
      </c>
      <c r="E66" s="18">
        <v>8.02</v>
      </c>
      <c r="F66" s="22">
        <v>-3.33</v>
      </c>
      <c r="G66" s="22">
        <v>-2.13</v>
      </c>
      <c r="H66" s="18">
        <v>6.47</v>
      </c>
      <c r="I66" s="18">
        <v>18.7</v>
      </c>
      <c r="J66" s="18">
        <v>4.78</v>
      </c>
      <c r="K66" s="18">
        <v>4.25</v>
      </c>
      <c r="L66" s="18">
        <v>7.93</v>
      </c>
      <c r="M66" s="18">
        <v>0.89</v>
      </c>
      <c r="N66" s="22">
        <v>-0.11</v>
      </c>
      <c r="O66" s="18">
        <v>0.39</v>
      </c>
      <c r="P66" s="22">
        <v>-0.36</v>
      </c>
      <c r="Q66" s="18">
        <v>1.08</v>
      </c>
      <c r="R66" s="18">
        <v>1.47</v>
      </c>
      <c r="S66" s="18">
        <v>0.63</v>
      </c>
      <c r="T66" s="18">
        <v>0.54</v>
      </c>
      <c r="U66" s="22">
        <v>-0.28</v>
      </c>
      <c r="V66" s="18">
        <v>0.96</v>
      </c>
      <c r="W66" s="18">
        <v>0.19</v>
      </c>
      <c r="X66" s="18">
        <v>0.26</v>
      </c>
      <c r="Y66" s="18">
        <v>0.36</v>
      </c>
      <c r="Z66" s="18">
        <v>0.01</v>
      </c>
      <c r="AA66" s="18">
        <v>0.01</v>
      </c>
    </row>
    <row r="67" ht="15.0" customHeight="1">
      <c r="A67" s="17" t="s">
        <v>126</v>
      </c>
      <c r="B67" s="18">
        <v>54.08</v>
      </c>
      <c r="C67" s="18">
        <v>99.88</v>
      </c>
      <c r="D67" s="18">
        <v>39.96</v>
      </c>
      <c r="E67" s="18">
        <v>32.52</v>
      </c>
      <c r="F67" s="22">
        <v>-11.3</v>
      </c>
      <c r="G67" s="22">
        <v>-21.03</v>
      </c>
      <c r="H67" s="18">
        <v>20.51</v>
      </c>
      <c r="I67" s="18">
        <v>22.91</v>
      </c>
      <c r="J67" s="18">
        <v>47.09</v>
      </c>
      <c r="K67" s="18">
        <v>34.99</v>
      </c>
      <c r="L67" s="18">
        <v>31.18</v>
      </c>
      <c r="M67" s="18">
        <v>5.79</v>
      </c>
      <c r="N67" s="18">
        <v>0.53</v>
      </c>
      <c r="O67" s="18">
        <v>1.71</v>
      </c>
      <c r="P67" s="22">
        <v>-0.73</v>
      </c>
      <c r="Q67" s="18">
        <v>3.31</v>
      </c>
      <c r="R67" s="18">
        <v>4.21</v>
      </c>
      <c r="S67" s="18">
        <v>1.79</v>
      </c>
      <c r="T67" s="18">
        <v>1.79</v>
      </c>
      <c r="U67" s="18">
        <v>7.66</v>
      </c>
      <c r="V67" s="18">
        <v>2.27</v>
      </c>
      <c r="W67" s="18">
        <v>4.6</v>
      </c>
      <c r="X67" s="18">
        <v>3.18</v>
      </c>
      <c r="Y67" s="18">
        <v>1.34</v>
      </c>
      <c r="Z67" s="18">
        <v>1.18</v>
      </c>
      <c r="AA67" s="18">
        <v>0.38</v>
      </c>
    </row>
    <row r="68" ht="15.0" customHeight="1">
      <c r="A68" s="17" t="s">
        <v>127</v>
      </c>
      <c r="B68" s="18">
        <v>54.08</v>
      </c>
      <c r="C68" s="18">
        <v>99.88</v>
      </c>
      <c r="D68" s="18">
        <v>39.96</v>
      </c>
      <c r="E68" s="18">
        <v>32.52</v>
      </c>
      <c r="F68" s="22">
        <v>-11.3</v>
      </c>
      <c r="G68" s="22">
        <v>-21.03</v>
      </c>
      <c r="H68" s="18">
        <v>20.51</v>
      </c>
      <c r="I68" s="18">
        <v>22.91</v>
      </c>
      <c r="J68" s="18">
        <v>47.09</v>
      </c>
      <c r="K68" s="18">
        <v>34.99</v>
      </c>
      <c r="L68" s="18">
        <v>31.18</v>
      </c>
      <c r="M68" s="18">
        <v>5.79</v>
      </c>
      <c r="N68" s="18">
        <v>0.53</v>
      </c>
      <c r="O68" s="18">
        <v>1.71</v>
      </c>
      <c r="P68" s="22">
        <v>-0.73</v>
      </c>
      <c r="Q68" s="18">
        <v>3.31</v>
      </c>
      <c r="R68" s="18">
        <v>4.21</v>
      </c>
      <c r="S68" s="18">
        <v>1.79</v>
      </c>
      <c r="T68" s="18">
        <v>1.79</v>
      </c>
      <c r="U68" s="18">
        <v>7.66</v>
      </c>
      <c r="V68" s="18">
        <v>2.27</v>
      </c>
      <c r="W68" s="18">
        <v>4.6</v>
      </c>
      <c r="X68" s="18">
        <v>3.18</v>
      </c>
      <c r="Y68" s="18">
        <v>1.34</v>
      </c>
      <c r="Z68" s="18">
        <v>1.18</v>
      </c>
      <c r="AA68" s="18">
        <v>0.38</v>
      </c>
    </row>
    <row r="69" ht="15.0" customHeight="1">
      <c r="A69" s="14" t="s">
        <v>128</v>
      </c>
      <c r="B69" s="15">
        <v>3.24</v>
      </c>
      <c r="C69" s="15">
        <v>20.29</v>
      </c>
      <c r="D69" s="20">
        <v>-0.64</v>
      </c>
      <c r="E69" s="15">
        <v>0.09</v>
      </c>
      <c r="F69" s="20">
        <v>-1.39</v>
      </c>
      <c r="G69" s="15">
        <v>2.51</v>
      </c>
      <c r="H69" s="15">
        <v>4.26</v>
      </c>
      <c r="I69" s="20">
        <v>-1.08</v>
      </c>
      <c r="J69" s="20">
        <v>-0.01</v>
      </c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ht="15.0" customHeight="1">
      <c r="A70" s="17" t="s">
        <v>129</v>
      </c>
      <c r="B70" s="18">
        <v>3.24</v>
      </c>
      <c r="C70" s="18">
        <v>20.29</v>
      </c>
      <c r="D70" s="22">
        <v>-0.64</v>
      </c>
      <c r="E70" s="18">
        <v>0.09</v>
      </c>
      <c r="F70" s="22">
        <v>-1.39</v>
      </c>
      <c r="G70" s="18">
        <v>2.51</v>
      </c>
      <c r="H70" s="18">
        <v>4.26</v>
      </c>
      <c r="I70" s="22">
        <v>-1.08</v>
      </c>
      <c r="J70" s="22">
        <v>-0.01</v>
      </c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ht="15.0" customHeight="1">
      <c r="A71" s="17" t="s">
        <v>130</v>
      </c>
      <c r="B71" s="18">
        <v>50.84</v>
      </c>
      <c r="C71" s="18">
        <v>79.59</v>
      </c>
      <c r="D71" s="18">
        <v>40.6</v>
      </c>
      <c r="E71" s="18">
        <v>32.43</v>
      </c>
      <c r="F71" s="22">
        <v>-9.91</v>
      </c>
      <c r="G71" s="22">
        <v>-23.54</v>
      </c>
      <c r="H71" s="18">
        <v>16.24</v>
      </c>
      <c r="I71" s="18">
        <v>23.98</v>
      </c>
      <c r="J71" s="18">
        <v>47.1</v>
      </c>
      <c r="K71" s="18">
        <v>34.99</v>
      </c>
      <c r="L71" s="18">
        <v>31.18</v>
      </c>
      <c r="M71" s="18">
        <v>5.79</v>
      </c>
      <c r="N71" s="18">
        <v>0.53</v>
      </c>
      <c r="O71" s="18">
        <v>1.71</v>
      </c>
      <c r="P71" s="22">
        <v>-0.73</v>
      </c>
      <c r="Q71" s="18">
        <v>3.31</v>
      </c>
      <c r="R71" s="18">
        <v>4.21</v>
      </c>
      <c r="S71" s="18">
        <v>1.79</v>
      </c>
      <c r="T71" s="18">
        <v>1.79</v>
      </c>
      <c r="U71" s="18">
        <v>7.66</v>
      </c>
      <c r="V71" s="18">
        <v>2.27</v>
      </c>
      <c r="W71" s="18">
        <v>4.6</v>
      </c>
      <c r="X71" s="18">
        <v>3.18</v>
      </c>
      <c r="Y71" s="18">
        <v>1.34</v>
      </c>
      <c r="Z71" s="18">
        <v>1.18</v>
      </c>
      <c r="AA71" s="18">
        <v>0.38</v>
      </c>
    </row>
    <row r="72" ht="15.0" customHeight="1">
      <c r="A72" s="17" t="s">
        <v>131</v>
      </c>
      <c r="B72" s="18">
        <v>50.84</v>
      </c>
      <c r="C72" s="18">
        <v>79.59</v>
      </c>
      <c r="D72" s="18">
        <v>40.6</v>
      </c>
      <c r="E72" s="18">
        <v>32.43</v>
      </c>
      <c r="F72" s="22">
        <v>-9.91</v>
      </c>
      <c r="G72" s="22">
        <v>-23.54</v>
      </c>
      <c r="H72" s="18">
        <v>16.24</v>
      </c>
      <c r="I72" s="18">
        <v>23.98</v>
      </c>
      <c r="J72" s="18">
        <v>47.1</v>
      </c>
      <c r="K72" s="18">
        <v>34.99</v>
      </c>
      <c r="L72" s="18">
        <v>31.18</v>
      </c>
      <c r="M72" s="18">
        <v>5.79</v>
      </c>
      <c r="N72" s="18">
        <v>0.53</v>
      </c>
      <c r="O72" s="18">
        <v>1.71</v>
      </c>
      <c r="P72" s="22">
        <v>-0.73</v>
      </c>
      <c r="Q72" s="18">
        <v>3.31</v>
      </c>
      <c r="R72" s="18">
        <v>4.21</v>
      </c>
      <c r="S72" s="18">
        <v>1.79</v>
      </c>
      <c r="T72" s="18">
        <v>1.79</v>
      </c>
      <c r="U72" s="18">
        <v>7.66</v>
      </c>
      <c r="V72" s="18">
        <v>2.27</v>
      </c>
      <c r="W72" s="18">
        <v>4.6</v>
      </c>
      <c r="X72" s="18">
        <v>3.18</v>
      </c>
      <c r="Y72" s="18">
        <v>1.34</v>
      </c>
      <c r="Z72" s="18">
        <v>1.18</v>
      </c>
      <c r="AA72" s="18">
        <v>0.38</v>
      </c>
    </row>
    <row r="73" ht="15.0" customHeight="1">
      <c r="A73" s="17" t="s">
        <v>132</v>
      </c>
      <c r="B73" s="18">
        <v>50.84</v>
      </c>
      <c r="C73" s="18">
        <v>79.59</v>
      </c>
      <c r="D73" s="18">
        <v>40.6</v>
      </c>
      <c r="E73" s="18">
        <v>32.43</v>
      </c>
      <c r="F73" s="22">
        <v>-9.91</v>
      </c>
      <c r="G73" s="22">
        <v>-23.54</v>
      </c>
      <c r="H73" s="18">
        <v>16.24</v>
      </c>
      <c r="I73" s="18">
        <v>23.98</v>
      </c>
      <c r="J73" s="18">
        <v>47.1</v>
      </c>
      <c r="K73" s="18">
        <v>34.99</v>
      </c>
      <c r="L73" s="18">
        <v>31.18</v>
      </c>
      <c r="M73" s="18">
        <v>5.79</v>
      </c>
      <c r="N73" s="18">
        <v>0.53</v>
      </c>
      <c r="O73" s="18">
        <v>1.71</v>
      </c>
      <c r="P73" s="22">
        <v>-0.73</v>
      </c>
      <c r="Q73" s="18">
        <v>3.31</v>
      </c>
      <c r="R73" s="18">
        <v>4.21</v>
      </c>
      <c r="S73" s="18">
        <v>1.79</v>
      </c>
      <c r="T73" s="18">
        <v>1.79</v>
      </c>
      <c r="U73" s="18">
        <v>7.66</v>
      </c>
      <c r="V73" s="18">
        <v>2.27</v>
      </c>
      <c r="W73" s="18">
        <v>4.6</v>
      </c>
      <c r="X73" s="18">
        <v>3.18</v>
      </c>
      <c r="Y73" s="18">
        <v>1.34</v>
      </c>
      <c r="Z73" s="18">
        <v>1.18</v>
      </c>
      <c r="AA73" s="18">
        <v>0.38</v>
      </c>
    </row>
    <row r="74" ht="15.0" customHeight="1">
      <c r="A74" s="14" t="s">
        <v>133</v>
      </c>
      <c r="B74" s="16"/>
      <c r="C74" s="16"/>
      <c r="D74" s="15">
        <v>1.48</v>
      </c>
      <c r="E74" s="15">
        <v>2.83</v>
      </c>
      <c r="F74" s="15">
        <v>4.78</v>
      </c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ht="15.0" customHeight="1">
      <c r="A75" s="14" t="s">
        <v>134</v>
      </c>
      <c r="B75" s="15">
        <v>7.96</v>
      </c>
      <c r="C75" s="15">
        <v>12.55</v>
      </c>
      <c r="D75" s="15">
        <v>6.39</v>
      </c>
      <c r="E75" s="15">
        <v>5.05</v>
      </c>
      <c r="F75" s="20">
        <v>-1.63</v>
      </c>
      <c r="G75" s="20">
        <v>-3.97</v>
      </c>
      <c r="H75" s="15">
        <v>2.66</v>
      </c>
      <c r="I75" s="15">
        <v>3.94</v>
      </c>
      <c r="J75" s="15">
        <v>11.2</v>
      </c>
      <c r="K75" s="15">
        <v>10.68</v>
      </c>
      <c r="L75" s="15">
        <v>16.1</v>
      </c>
      <c r="M75" s="15">
        <v>3.84</v>
      </c>
      <c r="N75" s="15">
        <v>0.31</v>
      </c>
      <c r="O75" s="15">
        <v>1.12</v>
      </c>
      <c r="P75" s="20">
        <v>-0.47</v>
      </c>
      <c r="Q75" s="15">
        <v>2.16</v>
      </c>
      <c r="R75" s="15">
        <v>2.77</v>
      </c>
      <c r="S75" s="15">
        <v>1.18</v>
      </c>
      <c r="T75" s="15">
        <v>1.18</v>
      </c>
      <c r="U75" s="15">
        <v>5.04</v>
      </c>
      <c r="V75" s="15">
        <v>1.49</v>
      </c>
      <c r="W75" s="15">
        <v>3.03</v>
      </c>
      <c r="X75" s="15">
        <v>2.09</v>
      </c>
      <c r="Y75" s="15">
        <v>0.88</v>
      </c>
      <c r="Z75" s="15">
        <v>0.78</v>
      </c>
      <c r="AA75" s="15">
        <v>0.35</v>
      </c>
    </row>
    <row r="76" ht="15.0" customHeight="1">
      <c r="A76" s="14" t="s">
        <v>135</v>
      </c>
      <c r="B76" s="15">
        <v>7.96</v>
      </c>
      <c r="C76" s="15">
        <v>12.55</v>
      </c>
      <c r="D76" s="15">
        <v>6.39</v>
      </c>
      <c r="E76" s="15">
        <v>5.05</v>
      </c>
      <c r="F76" s="20">
        <v>-1.63</v>
      </c>
      <c r="G76" s="20">
        <v>-3.97</v>
      </c>
      <c r="H76" s="15">
        <v>2.66</v>
      </c>
      <c r="I76" s="15">
        <v>3.94</v>
      </c>
      <c r="J76" s="15">
        <v>11.2</v>
      </c>
      <c r="K76" s="15">
        <v>10.68</v>
      </c>
      <c r="L76" s="15">
        <v>16.1</v>
      </c>
      <c r="M76" s="15">
        <v>3.84</v>
      </c>
      <c r="N76" s="15">
        <v>0.31</v>
      </c>
      <c r="O76" s="15">
        <v>1.12</v>
      </c>
      <c r="P76" s="20">
        <v>-0.47</v>
      </c>
      <c r="Q76" s="15">
        <v>2.16</v>
      </c>
      <c r="R76" s="15">
        <v>2.77</v>
      </c>
      <c r="S76" s="15">
        <v>1.18</v>
      </c>
      <c r="T76" s="15">
        <v>1.18</v>
      </c>
      <c r="U76" s="15">
        <v>5.04</v>
      </c>
      <c r="V76" s="15">
        <v>1.49</v>
      </c>
      <c r="W76" s="15">
        <v>3.03</v>
      </c>
      <c r="X76" s="15">
        <v>2.09</v>
      </c>
      <c r="Y76" s="15">
        <v>0.88</v>
      </c>
      <c r="Z76" s="15">
        <v>0.78</v>
      </c>
      <c r="AA76" s="15">
        <v>0.35</v>
      </c>
    </row>
    <row r="77" ht="15.0" customHeight="1">
      <c r="A77" s="14" t="s">
        <v>136</v>
      </c>
      <c r="B77" s="15">
        <v>6.39</v>
      </c>
      <c r="C77" s="15">
        <v>6.34</v>
      </c>
      <c r="D77" s="15">
        <v>6.36</v>
      </c>
      <c r="E77" s="15">
        <v>6.39</v>
      </c>
      <c r="F77" s="15">
        <v>6.07</v>
      </c>
      <c r="G77" s="15">
        <v>5.97</v>
      </c>
      <c r="H77" s="15">
        <v>6.01</v>
      </c>
      <c r="I77" s="15">
        <v>6.02</v>
      </c>
      <c r="J77" s="15">
        <v>6.18</v>
      </c>
      <c r="K77" s="15">
        <v>3.31</v>
      </c>
      <c r="L77" s="15">
        <v>3.18</v>
      </c>
      <c r="M77" s="15">
        <v>1.51</v>
      </c>
      <c r="N77" s="15">
        <v>1.52</v>
      </c>
      <c r="O77" s="15">
        <v>1.52</v>
      </c>
      <c r="P77" s="15">
        <v>1.52</v>
      </c>
      <c r="Q77" s="15">
        <v>1.52</v>
      </c>
      <c r="R77" s="15">
        <v>1.52</v>
      </c>
      <c r="S77" s="15">
        <v>1.52</v>
      </c>
      <c r="T77" s="15">
        <v>1.52</v>
      </c>
      <c r="U77" s="15">
        <v>1.52</v>
      </c>
      <c r="V77" s="15">
        <v>1.52</v>
      </c>
      <c r="W77" s="15">
        <v>1.52</v>
      </c>
      <c r="X77" s="15">
        <v>1.52</v>
      </c>
      <c r="Y77" s="15">
        <v>1.52</v>
      </c>
      <c r="Z77" s="15">
        <v>1.52</v>
      </c>
      <c r="AA77" s="15">
        <v>1.09</v>
      </c>
    </row>
    <row r="78" ht="15.0" customHeight="1">
      <c r="A78" s="14" t="s">
        <v>137</v>
      </c>
      <c r="B78" s="15">
        <v>6.39</v>
      </c>
      <c r="C78" s="15">
        <v>6.34</v>
      </c>
      <c r="D78" s="15">
        <v>6.36</v>
      </c>
      <c r="E78" s="15">
        <v>6.39</v>
      </c>
      <c r="F78" s="15">
        <v>6.07</v>
      </c>
      <c r="G78" s="15">
        <v>5.97</v>
      </c>
      <c r="H78" s="15">
        <v>6.01</v>
      </c>
      <c r="I78" s="15">
        <v>6.02</v>
      </c>
      <c r="J78" s="15">
        <v>6.18</v>
      </c>
      <c r="K78" s="15">
        <v>3.31</v>
      </c>
      <c r="L78" s="15">
        <v>3.18</v>
      </c>
      <c r="M78" s="15">
        <v>1.51</v>
      </c>
      <c r="N78" s="15">
        <v>1.52</v>
      </c>
      <c r="O78" s="15">
        <v>1.52</v>
      </c>
      <c r="P78" s="15">
        <v>1.52</v>
      </c>
      <c r="Q78" s="15">
        <v>1.52</v>
      </c>
      <c r="R78" s="15">
        <v>1.52</v>
      </c>
      <c r="S78" s="15">
        <v>1.52</v>
      </c>
      <c r="T78" s="15">
        <v>1.52</v>
      </c>
      <c r="U78" s="15">
        <v>1.52</v>
      </c>
      <c r="V78" s="15">
        <v>1.52</v>
      </c>
      <c r="W78" s="15">
        <v>1.52</v>
      </c>
      <c r="X78" s="15">
        <v>1.52</v>
      </c>
      <c r="Y78" s="15">
        <v>1.52</v>
      </c>
      <c r="Z78" s="15">
        <v>1.52</v>
      </c>
      <c r="AA78" s="15">
        <v>1.09</v>
      </c>
    </row>
    <row r="79" ht="15.0" customHeight="1">
      <c r="A79" s="14" t="s">
        <v>138</v>
      </c>
      <c r="B79" s="15">
        <v>7.96</v>
      </c>
      <c r="C79" s="15">
        <v>12.55</v>
      </c>
      <c r="D79" s="15">
        <v>6.39</v>
      </c>
      <c r="E79" s="15">
        <v>5.05</v>
      </c>
      <c r="F79" s="20">
        <v>-1.63</v>
      </c>
      <c r="G79" s="20">
        <v>-3.97</v>
      </c>
      <c r="H79" s="15">
        <v>2.66</v>
      </c>
      <c r="I79" s="15">
        <v>3.94</v>
      </c>
      <c r="J79" s="15">
        <v>11.2</v>
      </c>
      <c r="K79" s="15">
        <v>10.68</v>
      </c>
      <c r="L79" s="15">
        <v>16.1</v>
      </c>
      <c r="M79" s="15">
        <v>3.84</v>
      </c>
      <c r="N79" s="15">
        <v>0.31</v>
      </c>
      <c r="O79" s="15">
        <v>1.13</v>
      </c>
      <c r="P79" s="20">
        <v>-0.48</v>
      </c>
      <c r="Q79" s="15">
        <v>2.18</v>
      </c>
      <c r="R79" s="15">
        <v>2.77</v>
      </c>
      <c r="S79" s="15">
        <v>1.18</v>
      </c>
      <c r="T79" s="15">
        <v>1.18</v>
      </c>
      <c r="U79" s="15">
        <v>5.04</v>
      </c>
      <c r="V79" s="15">
        <v>1.49</v>
      </c>
      <c r="W79" s="15">
        <v>3.03</v>
      </c>
      <c r="X79" s="15">
        <v>2.09</v>
      </c>
      <c r="Y79" s="15">
        <v>0.88</v>
      </c>
      <c r="Z79" s="15">
        <v>0.78</v>
      </c>
      <c r="AA79" s="15">
        <v>0.35</v>
      </c>
    </row>
    <row r="80" ht="15.0" customHeight="1">
      <c r="A80" s="14" t="s">
        <v>139</v>
      </c>
      <c r="B80" s="15">
        <v>50.84</v>
      </c>
      <c r="C80" s="15">
        <v>79.59</v>
      </c>
      <c r="D80" s="15">
        <v>40.6</v>
      </c>
      <c r="E80" s="15">
        <v>32.43</v>
      </c>
      <c r="F80" s="20">
        <v>-9.91</v>
      </c>
      <c r="G80" s="20">
        <v>-23.54</v>
      </c>
      <c r="H80" s="15">
        <v>16.24</v>
      </c>
      <c r="I80" s="15">
        <v>23.98</v>
      </c>
      <c r="J80" s="15">
        <v>47.1</v>
      </c>
      <c r="K80" s="15">
        <v>34.99</v>
      </c>
      <c r="L80" s="15">
        <v>31.18</v>
      </c>
      <c r="M80" s="15">
        <v>5.79</v>
      </c>
      <c r="N80" s="15">
        <v>0.53</v>
      </c>
      <c r="O80" s="15">
        <v>1.71</v>
      </c>
      <c r="P80" s="20">
        <v>-0.73</v>
      </c>
      <c r="Q80" s="15">
        <v>3.31</v>
      </c>
      <c r="R80" s="15">
        <v>4.21</v>
      </c>
      <c r="S80" s="15">
        <v>1.79</v>
      </c>
      <c r="T80" s="15">
        <v>1.79</v>
      </c>
      <c r="U80" s="15">
        <v>7.66</v>
      </c>
      <c r="V80" s="15">
        <v>2.27</v>
      </c>
      <c r="W80" s="15">
        <v>4.6</v>
      </c>
      <c r="X80" s="15">
        <v>3.18</v>
      </c>
      <c r="Y80" s="15">
        <v>1.34</v>
      </c>
      <c r="Z80" s="15">
        <v>1.18</v>
      </c>
      <c r="AA80" s="15">
        <v>0.38</v>
      </c>
    </row>
    <row r="81" ht="15.0" customHeight="1">
      <c r="A81" s="14" t="s">
        <v>140</v>
      </c>
      <c r="B81" s="15">
        <v>7.96</v>
      </c>
      <c r="C81" s="15">
        <v>12.55</v>
      </c>
      <c r="D81" s="15">
        <v>6.39</v>
      </c>
      <c r="E81" s="15">
        <v>5.05</v>
      </c>
      <c r="F81" s="20">
        <v>-1.63</v>
      </c>
      <c r="G81" s="20">
        <v>-3.97</v>
      </c>
      <c r="H81" s="15">
        <v>2.66</v>
      </c>
      <c r="I81" s="15">
        <v>3.94</v>
      </c>
      <c r="J81" s="15">
        <v>11.2</v>
      </c>
      <c r="K81" s="15">
        <v>10.68</v>
      </c>
      <c r="L81" s="15">
        <v>16.1</v>
      </c>
      <c r="M81" s="15">
        <v>3.84</v>
      </c>
      <c r="N81" s="15">
        <v>0.31</v>
      </c>
      <c r="O81" s="15">
        <v>1.13</v>
      </c>
      <c r="P81" s="20">
        <v>-0.48</v>
      </c>
      <c r="Q81" s="15">
        <v>2.18</v>
      </c>
      <c r="R81" s="15">
        <v>2.77</v>
      </c>
      <c r="S81" s="15">
        <v>1.18</v>
      </c>
      <c r="T81" s="15">
        <v>1.18</v>
      </c>
      <c r="U81" s="15">
        <v>5.04</v>
      </c>
      <c r="V81" s="15">
        <v>1.49</v>
      </c>
      <c r="W81" s="15">
        <v>3.03</v>
      </c>
      <c r="X81" s="15">
        <v>2.09</v>
      </c>
      <c r="Y81" s="15">
        <v>0.88</v>
      </c>
      <c r="Z81" s="15">
        <v>0.78</v>
      </c>
      <c r="AA81" s="15">
        <v>0.35</v>
      </c>
    </row>
    <row r="82" ht="15.0" customHeight="1">
      <c r="A82" s="14" t="s">
        <v>141</v>
      </c>
      <c r="B82" s="15">
        <v>50.84</v>
      </c>
      <c r="C82" s="15">
        <v>79.59</v>
      </c>
      <c r="D82" s="15">
        <v>40.6</v>
      </c>
      <c r="E82" s="15">
        <v>32.43</v>
      </c>
      <c r="F82" s="20">
        <v>-9.91</v>
      </c>
      <c r="G82" s="20">
        <v>-23.54</v>
      </c>
      <c r="H82" s="15">
        <v>16.24</v>
      </c>
      <c r="I82" s="15">
        <v>23.98</v>
      </c>
      <c r="J82" s="15">
        <v>47.1</v>
      </c>
      <c r="K82" s="15">
        <v>34.99</v>
      </c>
      <c r="L82" s="15">
        <v>31.18</v>
      </c>
      <c r="M82" s="15">
        <v>5.79</v>
      </c>
      <c r="N82" s="15">
        <v>0.53</v>
      </c>
      <c r="O82" s="15">
        <v>1.71</v>
      </c>
      <c r="P82" s="20">
        <v>-0.73</v>
      </c>
      <c r="Q82" s="15">
        <v>3.31</v>
      </c>
      <c r="R82" s="15">
        <v>4.21</v>
      </c>
      <c r="S82" s="15">
        <v>1.79</v>
      </c>
      <c r="T82" s="15">
        <v>1.79</v>
      </c>
      <c r="U82" s="15">
        <v>7.66</v>
      </c>
      <c r="V82" s="15">
        <v>2.27</v>
      </c>
      <c r="W82" s="15">
        <v>4.6</v>
      </c>
      <c r="X82" s="15">
        <v>3.18</v>
      </c>
      <c r="Y82" s="15">
        <v>1.34</v>
      </c>
      <c r="Z82" s="15">
        <v>1.18</v>
      </c>
      <c r="AA82" s="15">
        <v>0.38</v>
      </c>
    </row>
    <row r="83" ht="15.0" customHeight="1">
      <c r="A83" s="14" t="s">
        <v>142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>
        <v>0.0</v>
      </c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ht="15.0" customHeight="1">
      <c r="A84" s="14" t="s">
        <v>116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5">
        <v>0.28</v>
      </c>
      <c r="P84" s="15">
        <v>0.14</v>
      </c>
      <c r="Q84" s="16">
        <v>0.0</v>
      </c>
      <c r="R84" s="16">
        <v>0.0</v>
      </c>
      <c r="S84" s="16">
        <v>0.0</v>
      </c>
      <c r="T84" s="16">
        <v>0.0</v>
      </c>
      <c r="U84" s="15">
        <v>0.06</v>
      </c>
      <c r="V84" s="15">
        <v>0.18</v>
      </c>
      <c r="W84" s="15">
        <v>0.23</v>
      </c>
      <c r="X84" s="15">
        <v>0.26</v>
      </c>
      <c r="Y84" s="15">
        <v>0.26</v>
      </c>
      <c r="Z84" s="15">
        <v>0.35</v>
      </c>
      <c r="AA84" s="15">
        <v>0.79</v>
      </c>
    </row>
    <row r="85" ht="15.0" customHeight="1">
      <c r="A85" s="14" t="s">
        <v>143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>
        <v>0.0</v>
      </c>
      <c r="P85" s="16">
        <v>0.0</v>
      </c>
      <c r="Q85" s="15">
        <v>0.01</v>
      </c>
      <c r="R85" s="16">
        <v>0.0</v>
      </c>
      <c r="S85" s="16"/>
      <c r="T85" s="16"/>
      <c r="U85" s="16"/>
      <c r="V85" s="16"/>
      <c r="W85" s="16"/>
      <c r="X85" s="16"/>
      <c r="Y85" s="16"/>
      <c r="Z85" s="16"/>
      <c r="AA85" s="16"/>
    </row>
    <row r="86" ht="15.0" customHeight="1">
      <c r="A86" s="14" t="s">
        <v>144</v>
      </c>
      <c r="B86" s="16"/>
      <c r="C86" s="15">
        <v>0.3</v>
      </c>
      <c r="D86" s="15">
        <v>0.16</v>
      </c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ht="15.0" customHeight="1">
      <c r="A87" s="14" t="s">
        <v>145</v>
      </c>
      <c r="B87" s="16"/>
      <c r="C87" s="15">
        <v>5.96</v>
      </c>
      <c r="D87" s="15">
        <v>6.08</v>
      </c>
      <c r="E87" s="15">
        <v>6.26</v>
      </c>
      <c r="F87" s="15">
        <v>6.04</v>
      </c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ht="15.0" customHeight="1">
      <c r="A88" s="14" t="s">
        <v>146</v>
      </c>
      <c r="B88" s="16"/>
      <c r="C88" s="15">
        <v>2.22</v>
      </c>
      <c r="D88" s="15">
        <v>2.32</v>
      </c>
      <c r="E88" s="15">
        <v>1.67</v>
      </c>
      <c r="F88" s="15">
        <v>1.25</v>
      </c>
      <c r="G88" s="15">
        <v>0.39</v>
      </c>
      <c r="H88" s="15">
        <v>0.35</v>
      </c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ht="15.0" customHeight="1">
      <c r="A89" s="14" t="s">
        <v>147</v>
      </c>
      <c r="B89" s="16"/>
      <c r="C89" s="15">
        <v>1.68</v>
      </c>
      <c r="D89" s="15">
        <v>0.84</v>
      </c>
      <c r="E89" s="15">
        <v>2.34</v>
      </c>
      <c r="F89" s="15">
        <v>1.66</v>
      </c>
      <c r="G89" s="15">
        <v>1.53</v>
      </c>
      <c r="H89" s="15">
        <v>0.1</v>
      </c>
      <c r="I89" s="16"/>
      <c r="J89" s="16"/>
      <c r="K89" s="16"/>
      <c r="L89" s="16"/>
      <c r="M89" s="16"/>
      <c r="N89" s="16"/>
      <c r="O89" s="15">
        <v>1.38</v>
      </c>
      <c r="P89" s="15">
        <v>1.16</v>
      </c>
      <c r="Q89" s="15">
        <v>0.96</v>
      </c>
      <c r="R89" s="15">
        <v>1.09</v>
      </c>
      <c r="S89" s="15">
        <v>1.03</v>
      </c>
      <c r="T89" s="15">
        <v>0.99</v>
      </c>
      <c r="U89" s="15">
        <v>1.01</v>
      </c>
      <c r="V89" s="15">
        <v>0.99</v>
      </c>
      <c r="W89" s="15">
        <v>1.0</v>
      </c>
      <c r="X89" s="15">
        <v>0.94</v>
      </c>
      <c r="Y89" s="15">
        <v>0.88</v>
      </c>
      <c r="Z89" s="15">
        <v>0.93</v>
      </c>
      <c r="AA89" s="15">
        <v>0.97</v>
      </c>
    </row>
    <row r="90" ht="15.0" customHeight="1">
      <c r="A90" s="14" t="s">
        <v>148</v>
      </c>
      <c r="B90" s="16"/>
      <c r="C90" s="15">
        <v>1.68</v>
      </c>
      <c r="D90" s="15">
        <v>0.84</v>
      </c>
      <c r="E90" s="15">
        <v>2.34</v>
      </c>
      <c r="F90" s="15">
        <v>1.66</v>
      </c>
      <c r="G90" s="15">
        <v>1.53</v>
      </c>
      <c r="H90" s="15">
        <v>0.1</v>
      </c>
      <c r="I90" s="16"/>
      <c r="J90" s="16"/>
      <c r="K90" s="16"/>
      <c r="L90" s="16"/>
      <c r="M90" s="16"/>
      <c r="N90" s="16"/>
      <c r="O90" s="15">
        <v>1.38</v>
      </c>
      <c r="P90" s="15">
        <v>1.16</v>
      </c>
      <c r="Q90" s="15">
        <v>0.96</v>
      </c>
      <c r="R90" s="15">
        <v>1.09</v>
      </c>
      <c r="S90" s="15">
        <v>1.03</v>
      </c>
      <c r="T90" s="15">
        <v>0.99</v>
      </c>
      <c r="U90" s="15">
        <v>1.01</v>
      </c>
      <c r="V90" s="15">
        <v>0.99</v>
      </c>
      <c r="W90" s="15">
        <v>1.0</v>
      </c>
      <c r="X90" s="15">
        <v>0.94</v>
      </c>
      <c r="Y90" s="15">
        <v>0.88</v>
      </c>
      <c r="Z90" s="15">
        <v>0.93</v>
      </c>
      <c r="AA90" s="15">
        <v>0.97</v>
      </c>
    </row>
    <row r="91" ht="15.0" customHeight="1">
      <c r="A91" s="14" t="s">
        <v>149</v>
      </c>
      <c r="B91" s="16">
        <v>0.0</v>
      </c>
      <c r="C91" s="15">
        <v>3.9</v>
      </c>
      <c r="D91" s="15">
        <v>6.84</v>
      </c>
      <c r="E91" s="15">
        <v>4.01</v>
      </c>
      <c r="F91" s="15">
        <v>7.11</v>
      </c>
      <c r="G91" s="15">
        <v>1.92</v>
      </c>
      <c r="H91" s="15">
        <v>0.45</v>
      </c>
      <c r="I91" s="16"/>
      <c r="J91" s="16"/>
      <c r="K91" s="16"/>
      <c r="L91" s="16"/>
      <c r="M91" s="16"/>
      <c r="N91" s="15">
        <v>1.58</v>
      </c>
      <c r="O91" s="15">
        <v>1.38</v>
      </c>
      <c r="P91" s="15">
        <v>1.16</v>
      </c>
      <c r="Q91" s="15">
        <v>0.96</v>
      </c>
      <c r="R91" s="15">
        <v>1.09</v>
      </c>
      <c r="S91" s="15">
        <v>1.03</v>
      </c>
      <c r="T91" s="15">
        <v>0.99</v>
      </c>
      <c r="U91" s="15">
        <v>1.01</v>
      </c>
      <c r="V91" s="15">
        <v>0.99</v>
      </c>
      <c r="W91" s="15">
        <v>1.0</v>
      </c>
      <c r="X91" s="15">
        <v>0.94</v>
      </c>
      <c r="Y91" s="15">
        <v>0.88</v>
      </c>
      <c r="Z91" s="15">
        <v>0.93</v>
      </c>
      <c r="AA91" s="15">
        <v>0.97</v>
      </c>
    </row>
    <row r="92" ht="15.0" customHeight="1">
      <c r="A92" s="14" t="s">
        <v>150</v>
      </c>
      <c r="B92" s="16"/>
      <c r="C92" s="15">
        <v>2.22</v>
      </c>
      <c r="D92" s="15">
        <v>2.32</v>
      </c>
      <c r="E92" s="15">
        <v>1.67</v>
      </c>
      <c r="F92" s="15">
        <v>1.25</v>
      </c>
      <c r="G92" s="15">
        <v>0.39</v>
      </c>
      <c r="H92" s="15">
        <v>0.35</v>
      </c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ht="15.0" customHeight="1">
      <c r="A93" s="14" t="s">
        <v>151</v>
      </c>
      <c r="B93" s="16"/>
      <c r="C93" s="15">
        <v>1.43</v>
      </c>
      <c r="D93" s="15">
        <v>1.17</v>
      </c>
      <c r="E93" s="15">
        <v>1.27</v>
      </c>
      <c r="F93" s="15">
        <v>1.27</v>
      </c>
      <c r="G93" s="15">
        <v>0.95</v>
      </c>
      <c r="H93" s="15">
        <v>1.06</v>
      </c>
      <c r="I93" s="16"/>
      <c r="J93" s="16"/>
      <c r="K93" s="16"/>
      <c r="L93" s="16"/>
      <c r="M93" s="16"/>
      <c r="N93" s="16"/>
      <c r="O93" s="15">
        <v>0.06</v>
      </c>
      <c r="P93" s="15">
        <v>0.06</v>
      </c>
      <c r="Q93" s="15">
        <v>0.07</v>
      </c>
      <c r="R93" s="15">
        <v>0.06</v>
      </c>
      <c r="S93" s="15">
        <v>0.06</v>
      </c>
      <c r="T93" s="16"/>
      <c r="U93" s="16"/>
      <c r="V93" s="16"/>
      <c r="W93" s="16"/>
      <c r="X93" s="16"/>
      <c r="Y93" s="16"/>
      <c r="Z93" s="16"/>
      <c r="AA93" s="16"/>
    </row>
    <row r="94" ht="15.0" customHeight="1">
      <c r="A94" s="14" t="s">
        <v>152</v>
      </c>
      <c r="B94" s="16"/>
      <c r="C94" s="16">
        <v>0.0</v>
      </c>
      <c r="D94" s="15">
        <v>0.16</v>
      </c>
      <c r="E94" s="16">
        <v>0.0</v>
      </c>
      <c r="F94" s="16">
        <v>0.0</v>
      </c>
      <c r="G94" s="16">
        <v>0.0</v>
      </c>
      <c r="H94" s="16">
        <v>0.0</v>
      </c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ht="15.0" customHeight="1">
      <c r="A95" s="14" t="s">
        <v>153</v>
      </c>
      <c r="B95" s="16"/>
      <c r="C95" s="15">
        <v>1.43</v>
      </c>
      <c r="D95" s="15">
        <v>1.33</v>
      </c>
      <c r="E95" s="15">
        <v>1.27</v>
      </c>
      <c r="F95" s="15">
        <v>1.27</v>
      </c>
      <c r="G95" s="15">
        <v>0.95</v>
      </c>
      <c r="H95" s="15">
        <v>1.06</v>
      </c>
      <c r="I95" s="16"/>
      <c r="J95" s="16"/>
      <c r="K95" s="16"/>
      <c r="L95" s="16"/>
      <c r="M95" s="16"/>
      <c r="N95" s="16"/>
      <c r="O95" s="16">
        <v>0.0</v>
      </c>
      <c r="P95" s="16">
        <v>0.0</v>
      </c>
      <c r="Q95" s="15">
        <v>0.01</v>
      </c>
      <c r="R95" s="16">
        <v>0.0</v>
      </c>
      <c r="S95" s="16"/>
      <c r="T95" s="16"/>
      <c r="U95" s="16"/>
      <c r="V95" s="16"/>
      <c r="W95" s="16"/>
      <c r="X95" s="16"/>
      <c r="Y95" s="16"/>
      <c r="Z95" s="16"/>
      <c r="AA95" s="16"/>
    </row>
    <row r="96" ht="15.0" customHeight="1">
      <c r="A96" s="14" t="s">
        <v>154</v>
      </c>
      <c r="B96" s="15">
        <v>50.84</v>
      </c>
      <c r="C96" s="15">
        <v>79.59</v>
      </c>
      <c r="D96" s="15">
        <v>40.6</v>
      </c>
      <c r="E96" s="15">
        <v>32.43</v>
      </c>
      <c r="F96" s="20">
        <v>-9.91</v>
      </c>
      <c r="G96" s="20">
        <v>-23.54</v>
      </c>
      <c r="H96" s="15">
        <v>16.24</v>
      </c>
      <c r="I96" s="15">
        <v>23.98</v>
      </c>
      <c r="J96" s="15">
        <v>47.1</v>
      </c>
      <c r="K96" s="15">
        <v>34.99</v>
      </c>
      <c r="L96" s="15">
        <v>31.18</v>
      </c>
      <c r="M96" s="15">
        <v>5.79</v>
      </c>
      <c r="N96" s="15">
        <v>0.53</v>
      </c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ht="15.0" customHeight="1">
      <c r="A97" s="14" t="s">
        <v>155</v>
      </c>
      <c r="B97" s="15">
        <v>50.84</v>
      </c>
      <c r="C97" s="15">
        <v>79.59</v>
      </c>
      <c r="D97" s="15">
        <v>40.6</v>
      </c>
      <c r="E97" s="15">
        <v>32.43</v>
      </c>
      <c r="F97" s="20">
        <v>-9.91</v>
      </c>
      <c r="G97" s="20">
        <v>-23.54</v>
      </c>
      <c r="H97" s="15">
        <v>16.24</v>
      </c>
      <c r="I97" s="15">
        <v>23.98</v>
      </c>
      <c r="J97" s="15">
        <v>47.1</v>
      </c>
      <c r="K97" s="15">
        <v>34.99</v>
      </c>
      <c r="L97" s="15">
        <v>31.18</v>
      </c>
      <c r="M97" s="15">
        <v>5.79</v>
      </c>
      <c r="N97" s="15">
        <v>0.53</v>
      </c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ht="15.0" customHeight="1">
      <c r="A98" s="14" t="s">
        <v>156</v>
      </c>
      <c r="B98" s="15">
        <v>7.96</v>
      </c>
      <c r="C98" s="15">
        <v>12.55</v>
      </c>
      <c r="D98" s="15">
        <v>6.39</v>
      </c>
      <c r="E98" s="15">
        <v>5.05</v>
      </c>
      <c r="F98" s="20">
        <v>-1.63</v>
      </c>
      <c r="G98" s="20">
        <v>-3.97</v>
      </c>
      <c r="H98" s="15">
        <v>2.66</v>
      </c>
      <c r="I98" s="15">
        <v>3.94</v>
      </c>
      <c r="J98" s="15">
        <v>11.2</v>
      </c>
      <c r="K98" s="15">
        <v>10.68</v>
      </c>
      <c r="L98" s="15">
        <v>16.1</v>
      </c>
      <c r="M98" s="15">
        <v>3.84</v>
      </c>
      <c r="N98" s="15">
        <v>0.31</v>
      </c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ht="15.0" customHeight="1">
      <c r="A99" s="14" t="s">
        <v>157</v>
      </c>
      <c r="B99" s="15">
        <v>7.96</v>
      </c>
      <c r="C99" s="15">
        <v>12.55</v>
      </c>
      <c r="D99" s="15">
        <v>6.39</v>
      </c>
      <c r="E99" s="15">
        <v>5.05</v>
      </c>
      <c r="F99" s="20">
        <v>-1.63</v>
      </c>
      <c r="G99" s="20">
        <v>-3.97</v>
      </c>
      <c r="H99" s="15">
        <v>2.66</v>
      </c>
      <c r="I99" s="15">
        <v>3.94</v>
      </c>
      <c r="J99" s="15">
        <v>11.2</v>
      </c>
      <c r="K99" s="15">
        <v>10.68</v>
      </c>
      <c r="L99" s="15">
        <v>16.1</v>
      </c>
      <c r="M99" s="15">
        <v>3.84</v>
      </c>
      <c r="N99" s="15">
        <v>0.31</v>
      </c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ht="15.0" customHeight="1">
      <c r="A100" s="14" t="s">
        <v>158</v>
      </c>
      <c r="B100" s="15">
        <v>7.96</v>
      </c>
      <c r="C100" s="15">
        <v>12.55</v>
      </c>
      <c r="D100" s="15">
        <v>6.39</v>
      </c>
      <c r="E100" s="15">
        <v>5.05</v>
      </c>
      <c r="F100" s="20">
        <v>-1.63</v>
      </c>
      <c r="G100" s="20">
        <v>-3.97</v>
      </c>
      <c r="H100" s="15">
        <v>2.66</v>
      </c>
      <c r="I100" s="15">
        <v>3.94</v>
      </c>
      <c r="J100" s="15">
        <v>11.2</v>
      </c>
      <c r="K100" s="15">
        <v>10.68</v>
      </c>
      <c r="L100" s="15">
        <v>16.1</v>
      </c>
      <c r="M100" s="15">
        <v>3.84</v>
      </c>
      <c r="N100" s="15">
        <v>0.31</v>
      </c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ht="15.0" customHeight="1">
      <c r="A101" s="14" t="s">
        <v>159</v>
      </c>
      <c r="B101" s="15">
        <v>7.96</v>
      </c>
      <c r="C101" s="15">
        <v>12.55</v>
      </c>
      <c r="D101" s="15">
        <v>6.39</v>
      </c>
      <c r="E101" s="15">
        <v>5.05</v>
      </c>
      <c r="F101" s="20">
        <v>-1.63</v>
      </c>
      <c r="G101" s="20">
        <v>-3.97</v>
      </c>
      <c r="H101" s="15">
        <v>2.66</v>
      </c>
      <c r="I101" s="15">
        <v>3.94</v>
      </c>
      <c r="J101" s="15">
        <v>11.2</v>
      </c>
      <c r="K101" s="15">
        <v>10.68</v>
      </c>
      <c r="L101" s="15">
        <v>16.1</v>
      </c>
      <c r="M101" s="15">
        <v>3.84</v>
      </c>
      <c r="N101" s="15">
        <v>0.31</v>
      </c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ht="15.0" customHeight="1">
      <c r="A102" s="14" t="s">
        <v>160</v>
      </c>
      <c r="B102" s="15">
        <v>6.39</v>
      </c>
      <c r="C102" s="15">
        <v>6.34</v>
      </c>
      <c r="D102" s="15">
        <v>6.36</v>
      </c>
      <c r="E102" s="15">
        <v>6.39</v>
      </c>
      <c r="F102" s="15">
        <v>6.07</v>
      </c>
      <c r="G102" s="15">
        <v>5.97</v>
      </c>
      <c r="H102" s="15">
        <v>6.01</v>
      </c>
      <c r="I102" s="15">
        <v>6.02</v>
      </c>
      <c r="J102" s="15">
        <v>6.18</v>
      </c>
      <c r="K102" s="15">
        <v>3.31</v>
      </c>
      <c r="L102" s="15">
        <v>3.18</v>
      </c>
      <c r="M102" s="15">
        <v>1.51</v>
      </c>
      <c r="N102" s="15">
        <v>1.52</v>
      </c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ht="15.0" customHeight="1">
      <c r="A103" s="14" t="s">
        <v>161</v>
      </c>
      <c r="B103" s="15">
        <v>6.39</v>
      </c>
      <c r="C103" s="15">
        <v>6.34</v>
      </c>
      <c r="D103" s="15">
        <v>6.36</v>
      </c>
      <c r="E103" s="15">
        <v>6.39</v>
      </c>
      <c r="F103" s="15">
        <v>6.07</v>
      </c>
      <c r="G103" s="15">
        <v>5.97</v>
      </c>
      <c r="H103" s="15">
        <v>6.01</v>
      </c>
      <c r="I103" s="15">
        <v>6.02</v>
      </c>
      <c r="J103" s="15">
        <v>6.18</v>
      </c>
      <c r="K103" s="15">
        <v>3.31</v>
      </c>
      <c r="L103" s="15">
        <v>3.18</v>
      </c>
      <c r="M103" s="15">
        <v>1.51</v>
      </c>
      <c r="N103" s="15">
        <v>1.52</v>
      </c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ht="15.0" customHeight="1">
      <c r="A104" s="14" t="s">
        <v>162</v>
      </c>
      <c r="B104" s="15">
        <v>50.84</v>
      </c>
      <c r="C104" s="15">
        <v>79.59</v>
      </c>
      <c r="D104" s="15">
        <v>40.6</v>
      </c>
      <c r="E104" s="15">
        <v>32.43</v>
      </c>
      <c r="F104" s="20">
        <v>-9.91</v>
      </c>
      <c r="G104" s="20">
        <v>-23.54</v>
      </c>
      <c r="H104" s="15">
        <v>16.24</v>
      </c>
      <c r="I104" s="15">
        <v>23.98</v>
      </c>
      <c r="J104" s="15">
        <v>47.1</v>
      </c>
      <c r="K104" s="15">
        <v>34.99</v>
      </c>
      <c r="L104" s="15">
        <v>31.18</v>
      </c>
      <c r="M104" s="15">
        <v>5.79</v>
      </c>
      <c r="N104" s="15">
        <v>0.53</v>
      </c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ht="15.0" customHeight="1">
      <c r="A105" s="14" t="s">
        <v>163</v>
      </c>
      <c r="B105" s="15">
        <v>50.84</v>
      </c>
      <c r="C105" s="15">
        <v>79.59</v>
      </c>
      <c r="D105" s="15">
        <v>40.6</v>
      </c>
      <c r="E105" s="15">
        <v>32.43</v>
      </c>
      <c r="F105" s="20">
        <v>-9.91</v>
      </c>
      <c r="G105" s="20">
        <v>-23.54</v>
      </c>
      <c r="H105" s="15">
        <v>16.24</v>
      </c>
      <c r="I105" s="15">
        <v>23.98</v>
      </c>
      <c r="J105" s="15">
        <v>47.1</v>
      </c>
      <c r="K105" s="15">
        <v>34.99</v>
      </c>
      <c r="L105" s="15">
        <v>31.18</v>
      </c>
      <c r="M105" s="15">
        <v>5.79</v>
      </c>
      <c r="N105" s="15">
        <v>0.53</v>
      </c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ht="15.0" customHeight="1">
      <c r="A106" s="14" t="s">
        <v>164</v>
      </c>
      <c r="B106" s="15">
        <v>1.0</v>
      </c>
      <c r="C106" s="15">
        <v>1.0</v>
      </c>
      <c r="D106" s="15">
        <v>1.0</v>
      </c>
      <c r="E106" s="15">
        <v>1.0</v>
      </c>
      <c r="F106" s="15">
        <v>1.0</v>
      </c>
      <c r="G106" s="15">
        <v>1.0</v>
      </c>
      <c r="H106" s="15">
        <v>1.0</v>
      </c>
      <c r="I106" s="15">
        <v>1.0</v>
      </c>
      <c r="J106" s="15">
        <v>1.0</v>
      </c>
      <c r="K106" s="15">
        <v>1.0</v>
      </c>
      <c r="L106" s="15">
        <v>1.0</v>
      </c>
      <c r="M106" s="15">
        <v>1.0</v>
      </c>
      <c r="N106" s="15">
        <v>1.0</v>
      </c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ht="15.0" customHeight="1">
      <c r="A107" s="14" t="s">
        <v>165</v>
      </c>
      <c r="B107" s="15">
        <v>1.0</v>
      </c>
      <c r="C107" s="15">
        <v>1.0</v>
      </c>
      <c r="D107" s="15">
        <v>1.0</v>
      </c>
      <c r="E107" s="15">
        <v>1.0</v>
      </c>
      <c r="F107" s="15">
        <v>1.0</v>
      </c>
      <c r="G107" s="15">
        <v>1.0</v>
      </c>
      <c r="H107" s="15">
        <v>1.0</v>
      </c>
      <c r="I107" s="15">
        <v>1.0</v>
      </c>
      <c r="J107" s="15">
        <v>1.0</v>
      </c>
      <c r="K107" s="15">
        <v>1.0</v>
      </c>
      <c r="L107" s="15">
        <v>1.0</v>
      </c>
      <c r="M107" s="15">
        <v>1.0</v>
      </c>
      <c r="N107" s="15">
        <v>1.0</v>
      </c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7" width="15.71"/>
  </cols>
  <sheetData>
    <row r="1" ht="15.0" customHeight="1">
      <c r="A1" s="1" t="s">
        <v>166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46097.3549128356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</row>
    <row r="12" ht="15.0" customHeight="1" outlineLevel="1">
      <c r="A12" s="8" t="s">
        <v>44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</row>
    <row r="13" ht="15.0" customHeight="1" outlineLevel="1">
      <c r="A13" s="8" t="s">
        <v>45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42185.0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38352.0</v>
      </c>
      <c r="X13" s="9">
        <v>38352.0</v>
      </c>
      <c r="Y13" s="9">
        <v>37621.0</v>
      </c>
      <c r="Z13" s="9">
        <v>37256.0</v>
      </c>
      <c r="AA13" s="9">
        <v>37256.0</v>
      </c>
    </row>
    <row r="14" ht="15.0" customHeight="1" outlineLevel="1">
      <c r="A14" s="8" t="s">
        <v>46</v>
      </c>
      <c r="B14" s="10" t="s">
        <v>47</v>
      </c>
      <c r="C14" s="10" t="s">
        <v>47</v>
      </c>
      <c r="D14" s="10" t="s">
        <v>47</v>
      </c>
      <c r="E14" s="10" t="s">
        <v>47</v>
      </c>
      <c r="F14" s="10" t="s">
        <v>47</v>
      </c>
      <c r="G14" s="10" t="s">
        <v>47</v>
      </c>
      <c r="H14" s="10" t="s">
        <v>47</v>
      </c>
      <c r="I14" s="10" t="s">
        <v>47</v>
      </c>
      <c r="J14" s="10" t="s">
        <v>47</v>
      </c>
      <c r="K14" s="10" t="s">
        <v>47</v>
      </c>
      <c r="L14" s="10" t="s">
        <v>47</v>
      </c>
      <c r="M14" s="10" t="s">
        <v>47</v>
      </c>
      <c r="N14" s="10" t="s">
        <v>47</v>
      </c>
      <c r="O14" s="10" t="s">
        <v>47</v>
      </c>
      <c r="P14" s="10" t="s">
        <v>47</v>
      </c>
      <c r="Q14" s="10" t="s">
        <v>47</v>
      </c>
      <c r="R14" s="10" t="s">
        <v>47</v>
      </c>
      <c r="S14" s="10" t="s">
        <v>47</v>
      </c>
      <c r="T14" s="10" t="s">
        <v>47</v>
      </c>
      <c r="U14" s="10" t="s">
        <v>47</v>
      </c>
      <c r="V14" s="10" t="s">
        <v>47</v>
      </c>
      <c r="W14" s="10" t="s">
        <v>47</v>
      </c>
      <c r="X14" s="10" t="s">
        <v>47</v>
      </c>
      <c r="Y14" s="10" t="s">
        <v>47</v>
      </c>
      <c r="Z14" s="10" t="s">
        <v>47</v>
      </c>
      <c r="AA14" s="10" t="s">
        <v>47</v>
      </c>
    </row>
    <row r="15" ht="15.0" customHeight="1" outlineLevel="1">
      <c r="A15" s="8" t="s">
        <v>48</v>
      </c>
      <c r="B15" s="10" t="s">
        <v>167</v>
      </c>
      <c r="C15" s="10" t="s">
        <v>167</v>
      </c>
      <c r="D15" s="10" t="s">
        <v>167</v>
      </c>
      <c r="E15" s="10" t="s">
        <v>167</v>
      </c>
      <c r="F15" s="10" t="s">
        <v>167</v>
      </c>
      <c r="G15" s="10" t="s">
        <v>167</v>
      </c>
      <c r="H15" s="10" t="s">
        <v>167</v>
      </c>
      <c r="I15" s="10" t="s">
        <v>167</v>
      </c>
      <c r="J15" s="10" t="s">
        <v>167</v>
      </c>
      <c r="K15" s="10" t="s">
        <v>167</v>
      </c>
      <c r="L15" s="10" t="s">
        <v>167</v>
      </c>
      <c r="M15" s="10" t="s">
        <v>167</v>
      </c>
      <c r="N15" s="10" t="s">
        <v>167</v>
      </c>
      <c r="O15" s="10" t="s">
        <v>167</v>
      </c>
      <c r="P15" s="10" t="s">
        <v>167</v>
      </c>
      <c r="Q15" s="10" t="s">
        <v>167</v>
      </c>
      <c r="R15" s="10" t="s">
        <v>167</v>
      </c>
      <c r="S15" s="10" t="s">
        <v>167</v>
      </c>
      <c r="T15" s="10" t="s">
        <v>167</v>
      </c>
      <c r="U15" s="10" t="s">
        <v>167</v>
      </c>
      <c r="V15" s="10" t="s">
        <v>167</v>
      </c>
      <c r="W15" s="10" t="s">
        <v>167</v>
      </c>
      <c r="X15" s="10" t="s">
        <v>167</v>
      </c>
      <c r="Y15" s="10" t="s">
        <v>167</v>
      </c>
      <c r="Z15" s="10" t="s">
        <v>167</v>
      </c>
      <c r="AA15" s="10" t="s">
        <v>167</v>
      </c>
    </row>
    <row r="16" ht="15.0" customHeight="1" outlineLevel="1">
      <c r="A16" s="8" t="s">
        <v>50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8">
      <c r="A18" s="12" t="s">
        <v>168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12" t="s">
        <v>52</v>
      </c>
      <c r="B19" s="13" t="s">
        <v>53</v>
      </c>
      <c r="C19" s="13" t="s">
        <v>54</v>
      </c>
      <c r="D19" s="13" t="s">
        <v>55</v>
      </c>
      <c r="E19" s="13" t="s">
        <v>56</v>
      </c>
      <c r="F19" s="13" t="s">
        <v>57</v>
      </c>
      <c r="G19" s="13" t="s">
        <v>58</v>
      </c>
      <c r="H19" s="13" t="s">
        <v>59</v>
      </c>
      <c r="I19" s="13" t="s">
        <v>60</v>
      </c>
      <c r="J19" s="13" t="s">
        <v>61</v>
      </c>
      <c r="K19" s="13" t="s">
        <v>62</v>
      </c>
      <c r="L19" s="13" t="s">
        <v>63</v>
      </c>
      <c r="M19" s="13" t="s">
        <v>64</v>
      </c>
      <c r="N19" s="13" t="s">
        <v>65</v>
      </c>
      <c r="O19" s="13" t="s">
        <v>66</v>
      </c>
      <c r="P19" s="13" t="s">
        <v>67</v>
      </c>
      <c r="Q19" s="13" t="s">
        <v>68</v>
      </c>
      <c r="R19" s="13" t="s">
        <v>69</v>
      </c>
      <c r="S19" s="13" t="s">
        <v>70</v>
      </c>
      <c r="T19" s="13" t="s">
        <v>71</v>
      </c>
      <c r="U19" s="13" t="s">
        <v>72</v>
      </c>
      <c r="V19" s="13" t="s">
        <v>73</v>
      </c>
      <c r="W19" s="13" t="s">
        <v>74</v>
      </c>
      <c r="X19" s="13" t="s">
        <v>75</v>
      </c>
      <c r="Y19" s="13" t="s">
        <v>76</v>
      </c>
      <c r="Z19" s="13" t="s">
        <v>77</v>
      </c>
      <c r="AA19" s="13" t="s">
        <v>78</v>
      </c>
    </row>
    <row r="20" ht="15.0" customHeight="1">
      <c r="A20" s="14" t="s">
        <v>169</v>
      </c>
      <c r="B20" s="15">
        <v>31.98</v>
      </c>
      <c r="C20" s="15">
        <v>61.14</v>
      </c>
      <c r="D20" s="15">
        <v>7.78</v>
      </c>
      <c r="E20" s="15">
        <v>15.8</v>
      </c>
      <c r="F20" s="15">
        <v>12.12</v>
      </c>
      <c r="G20" s="15">
        <v>9.45</v>
      </c>
      <c r="H20" s="15">
        <v>26.42</v>
      </c>
      <c r="I20" s="15">
        <v>14.48</v>
      </c>
      <c r="J20" s="15">
        <v>11.69</v>
      </c>
      <c r="K20" s="15">
        <v>5.04</v>
      </c>
      <c r="L20" s="15">
        <v>3.11</v>
      </c>
      <c r="M20" s="15">
        <v>1.84</v>
      </c>
      <c r="N20" s="15">
        <v>0.76</v>
      </c>
      <c r="O20" s="15">
        <v>0.26</v>
      </c>
      <c r="P20" s="15">
        <v>0.22</v>
      </c>
      <c r="Q20" s="15">
        <v>0.15</v>
      </c>
      <c r="R20" s="15">
        <v>0.08</v>
      </c>
      <c r="S20" s="15">
        <v>0.17</v>
      </c>
      <c r="T20" s="15">
        <v>0.07</v>
      </c>
      <c r="U20" s="15">
        <v>0.16</v>
      </c>
      <c r="V20" s="15">
        <v>0.35</v>
      </c>
      <c r="W20" s="15">
        <v>1.67</v>
      </c>
      <c r="X20" s="15">
        <v>1.6</v>
      </c>
      <c r="Y20" s="15">
        <v>1.12</v>
      </c>
      <c r="Z20" s="15">
        <v>0.54</v>
      </c>
      <c r="AA20" s="15">
        <v>0.1</v>
      </c>
    </row>
    <row r="21" ht="15.0" customHeight="1">
      <c r="A21" s="14" t="s">
        <v>170</v>
      </c>
      <c r="B21" s="16"/>
      <c r="C21" s="15">
        <v>0.96</v>
      </c>
      <c r="D21" s="15">
        <v>0.29</v>
      </c>
      <c r="E21" s="15">
        <v>0.07</v>
      </c>
      <c r="F21" s="15">
        <v>0.05</v>
      </c>
      <c r="G21" s="15">
        <v>1.01</v>
      </c>
      <c r="H21" s="15">
        <v>1.09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ht="15.0" customHeight="1">
      <c r="A22" s="14" t="s">
        <v>171</v>
      </c>
      <c r="B22" s="16"/>
      <c r="C22" s="15">
        <v>3.82</v>
      </c>
      <c r="D22" s="15">
        <v>5.53</v>
      </c>
      <c r="E22" s="15">
        <v>4.78</v>
      </c>
      <c r="F22" s="15">
        <v>7.8</v>
      </c>
      <c r="G22" s="15">
        <v>1.98</v>
      </c>
      <c r="H22" s="15">
        <v>7.06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ht="15.0" customHeight="1">
      <c r="A23" s="14" t="s">
        <v>172</v>
      </c>
      <c r="B23" s="16"/>
      <c r="C23" s="15">
        <v>23.53</v>
      </c>
      <c r="D23" s="15">
        <v>0.12</v>
      </c>
      <c r="E23" s="15">
        <v>7.13</v>
      </c>
      <c r="F23" s="15">
        <v>1.48</v>
      </c>
      <c r="G23" s="15">
        <v>3.87</v>
      </c>
      <c r="H23" s="15">
        <v>7.64</v>
      </c>
      <c r="I23" s="16"/>
      <c r="J23" s="16"/>
      <c r="K23" s="16"/>
      <c r="L23" s="16"/>
      <c r="M23" s="16"/>
      <c r="N23" s="16"/>
      <c r="O23" s="15">
        <v>0.29</v>
      </c>
      <c r="P23" s="15">
        <v>0.34</v>
      </c>
      <c r="Q23" s="15">
        <v>0.24</v>
      </c>
      <c r="R23" s="16">
        <v>0.0</v>
      </c>
      <c r="S23" s="15">
        <v>0.13</v>
      </c>
      <c r="T23" s="15">
        <v>0.31</v>
      </c>
      <c r="U23" s="15">
        <v>0.92</v>
      </c>
      <c r="V23" s="16">
        <v>0.0</v>
      </c>
      <c r="W23" s="15">
        <v>0.06</v>
      </c>
      <c r="X23" s="15">
        <v>0.01</v>
      </c>
      <c r="Y23" s="16"/>
      <c r="Z23" s="16">
        <v>0.0</v>
      </c>
      <c r="AA23" s="16">
        <v>0.0</v>
      </c>
    </row>
    <row r="24" ht="15.0" customHeight="1">
      <c r="A24" s="14" t="s">
        <v>173</v>
      </c>
      <c r="B24" s="16"/>
      <c r="C24" s="15">
        <v>4.06</v>
      </c>
      <c r="D24" s="15">
        <v>1.85</v>
      </c>
      <c r="E24" s="15">
        <v>3.82</v>
      </c>
      <c r="F24" s="15">
        <v>2.79</v>
      </c>
      <c r="G24" s="15">
        <v>2.6</v>
      </c>
      <c r="H24" s="15">
        <v>10.64</v>
      </c>
      <c r="I24" s="16"/>
      <c r="J24" s="16"/>
      <c r="K24" s="16"/>
      <c r="L24" s="16"/>
      <c r="M24" s="16"/>
      <c r="N24" s="16"/>
      <c r="O24" s="15">
        <v>0.16</v>
      </c>
      <c r="P24" s="15">
        <v>0.58</v>
      </c>
      <c r="Q24" s="15">
        <v>0.51</v>
      </c>
      <c r="R24" s="15">
        <v>0.3</v>
      </c>
      <c r="S24" s="15">
        <v>0.16</v>
      </c>
      <c r="T24" s="15">
        <v>0.33</v>
      </c>
      <c r="U24" s="15">
        <v>1.28</v>
      </c>
      <c r="V24" s="15">
        <v>0.26</v>
      </c>
      <c r="W24" s="16">
        <v>0.0</v>
      </c>
      <c r="X24" s="15">
        <v>0.02</v>
      </c>
      <c r="Y24" s="15">
        <v>0.25</v>
      </c>
      <c r="Z24" s="15">
        <v>0.07</v>
      </c>
      <c r="AA24" s="15">
        <v>0.06</v>
      </c>
    </row>
    <row r="25" ht="15.0" customHeight="1">
      <c r="A25" s="14" t="s">
        <v>174</v>
      </c>
      <c r="B25" s="16"/>
      <c r="C25" s="15">
        <v>28.76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ht="15.0" customHeight="1">
      <c r="A26" s="14" t="s">
        <v>175</v>
      </c>
      <c r="B26" s="15">
        <v>0.97</v>
      </c>
      <c r="C26" s="15">
        <v>1.02</v>
      </c>
      <c r="D26" s="15">
        <v>1.0</v>
      </c>
      <c r="E26" s="15">
        <v>0.75</v>
      </c>
      <c r="F26" s="15">
        <v>0.78</v>
      </c>
      <c r="G26" s="15">
        <v>1.11</v>
      </c>
      <c r="H26" s="16">
        <v>0.0</v>
      </c>
      <c r="I26" s="15">
        <v>1.47</v>
      </c>
      <c r="J26" s="16"/>
      <c r="K26" s="16"/>
      <c r="L26" s="16">
        <v>0.0</v>
      </c>
      <c r="M26" s="15">
        <v>6.24</v>
      </c>
      <c r="N26" s="15">
        <v>8.32</v>
      </c>
      <c r="O26" s="15">
        <v>9.91</v>
      </c>
      <c r="P26" s="15">
        <v>12.59</v>
      </c>
      <c r="Q26" s="15">
        <v>17.72</v>
      </c>
      <c r="R26" s="15">
        <v>15.78</v>
      </c>
      <c r="S26" s="15">
        <v>5.9</v>
      </c>
      <c r="T26" s="15">
        <v>5.09</v>
      </c>
      <c r="U26" s="15">
        <v>5.18</v>
      </c>
      <c r="V26" s="15">
        <v>3.19</v>
      </c>
      <c r="W26" s="15">
        <v>3.3</v>
      </c>
      <c r="X26" s="16">
        <v>0.0</v>
      </c>
      <c r="Y26" s="16"/>
      <c r="Z26" s="16"/>
      <c r="AA26" s="16"/>
    </row>
    <row r="27" ht="15.0" customHeight="1">
      <c r="A27" s="14" t="s">
        <v>176</v>
      </c>
      <c r="B27" s="15">
        <v>58.14</v>
      </c>
      <c r="C27" s="15">
        <v>25.7</v>
      </c>
      <c r="D27" s="15">
        <v>95.25</v>
      </c>
      <c r="E27" s="15">
        <v>68.6</v>
      </c>
      <c r="F27" s="25">
        <v>174.19</v>
      </c>
      <c r="G27" s="15">
        <v>33.32</v>
      </c>
      <c r="H27" s="15">
        <v>82.29</v>
      </c>
      <c r="I27" s="15">
        <v>23.02</v>
      </c>
      <c r="J27" s="15">
        <v>14.42</v>
      </c>
      <c r="K27" s="15">
        <v>4.63</v>
      </c>
      <c r="L27" s="15">
        <v>2.03</v>
      </c>
      <c r="M27" s="15">
        <v>0.35</v>
      </c>
      <c r="N27" s="15">
        <v>0.51</v>
      </c>
      <c r="O27" s="15">
        <v>1.1</v>
      </c>
      <c r="P27" s="15">
        <v>1.41</v>
      </c>
      <c r="Q27" s="15">
        <v>3.29</v>
      </c>
      <c r="R27" s="15">
        <v>2.5</v>
      </c>
      <c r="S27" s="15">
        <v>10.59</v>
      </c>
      <c r="T27" s="15">
        <v>7.33</v>
      </c>
      <c r="U27" s="15">
        <v>6.73</v>
      </c>
      <c r="V27" s="15">
        <v>2.82</v>
      </c>
      <c r="W27" s="15">
        <v>2.65</v>
      </c>
      <c r="X27" s="15">
        <v>2.42</v>
      </c>
      <c r="Y27" s="15">
        <v>0.3</v>
      </c>
      <c r="Z27" s="15">
        <v>0.87</v>
      </c>
      <c r="AA27" s="15">
        <v>0.88</v>
      </c>
    </row>
    <row r="28" ht="15.0" customHeight="1">
      <c r="A28" s="14" t="s">
        <v>177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5">
        <v>0.94</v>
      </c>
      <c r="R28" s="15">
        <v>1.14</v>
      </c>
      <c r="S28" s="15">
        <v>1.79</v>
      </c>
      <c r="T28" s="15">
        <v>1.13</v>
      </c>
      <c r="U28" s="15">
        <v>1.05</v>
      </c>
      <c r="V28" s="15">
        <v>0.91</v>
      </c>
      <c r="W28" s="16"/>
      <c r="X28" s="16"/>
      <c r="Y28" s="16"/>
      <c r="Z28" s="16"/>
      <c r="AA28" s="16"/>
    </row>
    <row r="29" ht="15.0" customHeight="1">
      <c r="A29" s="14" t="s">
        <v>178</v>
      </c>
      <c r="B29" s="16"/>
      <c r="C29" s="16"/>
      <c r="D29" s="16"/>
      <c r="E29" s="16"/>
      <c r="F29" s="16"/>
      <c r="G29" s="15">
        <v>2.01</v>
      </c>
      <c r="H29" s="16">
        <v>0.0</v>
      </c>
      <c r="I29" s="16">
        <v>0.0</v>
      </c>
      <c r="J29" s="15">
        <v>0.1</v>
      </c>
      <c r="K29" s="15">
        <v>2.47</v>
      </c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>
        <v>0.0</v>
      </c>
      <c r="Z29" s="15">
        <v>0.06</v>
      </c>
      <c r="AA29" s="15">
        <v>0.07</v>
      </c>
    </row>
    <row r="30" ht="15.0" customHeight="1">
      <c r="A30" s="14" t="s">
        <v>179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>
        <v>0.0</v>
      </c>
      <c r="AA30" s="16">
        <v>0.0</v>
      </c>
    </row>
    <row r="31" ht="15.0" customHeight="1">
      <c r="A31" s="17" t="s">
        <v>180</v>
      </c>
      <c r="B31" s="18">
        <v>91.09</v>
      </c>
      <c r="C31" s="18">
        <v>87.86</v>
      </c>
      <c r="D31" s="19">
        <v>104.03</v>
      </c>
      <c r="E31" s="18">
        <v>85.15</v>
      </c>
      <c r="F31" s="19">
        <v>187.09</v>
      </c>
      <c r="G31" s="18">
        <v>45.9</v>
      </c>
      <c r="H31" s="19">
        <v>108.71</v>
      </c>
      <c r="I31" s="18">
        <v>38.96</v>
      </c>
      <c r="J31" s="18">
        <v>26.21</v>
      </c>
      <c r="K31" s="18">
        <v>12.14</v>
      </c>
      <c r="L31" s="18">
        <v>5.14</v>
      </c>
      <c r="M31" s="18">
        <v>8.43</v>
      </c>
      <c r="N31" s="18">
        <v>9.59</v>
      </c>
      <c r="O31" s="18">
        <v>11.72</v>
      </c>
      <c r="P31" s="18">
        <v>15.14</v>
      </c>
      <c r="Q31" s="18">
        <v>22.84</v>
      </c>
      <c r="R31" s="18">
        <v>19.81</v>
      </c>
      <c r="S31" s="18">
        <v>18.74</v>
      </c>
      <c r="T31" s="18">
        <v>14.27</v>
      </c>
      <c r="U31" s="18">
        <v>15.33</v>
      </c>
      <c r="V31" s="18">
        <v>7.53</v>
      </c>
      <c r="W31" s="18">
        <v>7.68</v>
      </c>
      <c r="X31" s="18">
        <v>4.05</v>
      </c>
      <c r="Y31" s="18">
        <v>1.67</v>
      </c>
      <c r="Z31" s="18">
        <v>1.55</v>
      </c>
      <c r="AA31" s="18">
        <v>1.1</v>
      </c>
    </row>
    <row r="32" ht="15.0" customHeight="1">
      <c r="A32" s="14" t="s">
        <v>181</v>
      </c>
      <c r="B32" s="16">
        <v>0.0</v>
      </c>
      <c r="C32" s="16">
        <v>0.0</v>
      </c>
      <c r="D32" s="15">
        <v>5.29</v>
      </c>
      <c r="E32" s="15">
        <v>60.02</v>
      </c>
      <c r="F32" s="15">
        <v>74.94</v>
      </c>
      <c r="G32" s="15">
        <v>56.93</v>
      </c>
      <c r="H32" s="15">
        <v>5.41</v>
      </c>
      <c r="I32" s="15">
        <v>30.01</v>
      </c>
      <c r="J32" s="15">
        <v>29.82</v>
      </c>
      <c r="K32" s="15">
        <v>25.57</v>
      </c>
      <c r="L32" s="15">
        <v>13.48</v>
      </c>
      <c r="M32" s="16">
        <v>0.0</v>
      </c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ht="15.0" customHeight="1">
      <c r="A33" s="14" t="s">
        <v>182</v>
      </c>
      <c r="B33" s="16"/>
      <c r="C33" s="16"/>
      <c r="D33" s="16"/>
      <c r="E33" s="16"/>
      <c r="F33" s="16"/>
      <c r="G33" s="16"/>
      <c r="H33" s="16"/>
      <c r="I33" s="16"/>
      <c r="J33" s="16"/>
      <c r="K33" s="15">
        <v>25.57</v>
      </c>
      <c r="L33" s="15">
        <v>8.87</v>
      </c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ht="15.0" customHeight="1">
      <c r="A34" s="14" t="s">
        <v>183</v>
      </c>
      <c r="B34" s="16"/>
      <c r="C34" s="16"/>
      <c r="D34" s="16"/>
      <c r="E34" s="16"/>
      <c r="F34" s="16"/>
      <c r="G34" s="16"/>
      <c r="H34" s="16"/>
      <c r="I34" s="16"/>
      <c r="J34" s="16"/>
      <c r="K34" s="16">
        <v>0.0</v>
      </c>
      <c r="L34" s="15">
        <v>4.61</v>
      </c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ht="15.0" customHeight="1">
      <c r="A35" s="14" t="s">
        <v>184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25">
        <v>119.97</v>
      </c>
      <c r="P35" s="25">
        <v>122.38</v>
      </c>
      <c r="Q35" s="25">
        <v>113.46</v>
      </c>
      <c r="R35" s="25">
        <v>117.47</v>
      </c>
      <c r="S35" s="25">
        <v>137.51</v>
      </c>
      <c r="T35" s="25">
        <v>112.21</v>
      </c>
      <c r="U35" s="25">
        <v>116.39</v>
      </c>
      <c r="V35" s="25">
        <v>112.99</v>
      </c>
      <c r="W35" s="16"/>
      <c r="X35" s="16"/>
      <c r="Y35" s="16"/>
      <c r="Z35" s="16"/>
      <c r="AA35" s="16"/>
    </row>
    <row r="36" ht="15.0" customHeight="1">
      <c r="A36" s="14" t="s">
        <v>185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5">
        <v>4.88</v>
      </c>
      <c r="X36" s="15">
        <v>4.97</v>
      </c>
      <c r="Y36" s="15">
        <v>4.31</v>
      </c>
      <c r="Z36" s="15">
        <v>4.72</v>
      </c>
      <c r="AA36" s="15">
        <v>4.89</v>
      </c>
    </row>
    <row r="37" ht="15.0" customHeight="1">
      <c r="A37" s="14" t="s">
        <v>186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25">
        <v>102.11</v>
      </c>
      <c r="X37" s="25">
        <v>104.04</v>
      </c>
      <c r="Y37" s="15">
        <v>90.14</v>
      </c>
      <c r="Z37" s="15">
        <v>98.73</v>
      </c>
      <c r="AA37" s="25">
        <v>102.4</v>
      </c>
    </row>
    <row r="38" ht="15.0" customHeight="1">
      <c r="A38" s="14" t="s">
        <v>187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5">
        <v>2.09</v>
      </c>
      <c r="X38" s="15">
        <v>1.76</v>
      </c>
      <c r="Y38" s="15">
        <v>1.48</v>
      </c>
      <c r="Z38" s="15">
        <v>1.62</v>
      </c>
      <c r="AA38" s="15">
        <v>1.64</v>
      </c>
    </row>
    <row r="39" ht="15.0" customHeight="1">
      <c r="A39" s="14" t="s">
        <v>188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5">
        <v>6.66</v>
      </c>
      <c r="X39" s="15">
        <v>6.76</v>
      </c>
      <c r="Y39" s="15">
        <v>5.85</v>
      </c>
      <c r="Z39" s="15">
        <v>6.41</v>
      </c>
      <c r="AA39" s="15">
        <v>6.65</v>
      </c>
    </row>
    <row r="40" ht="15.0" customHeight="1">
      <c r="A40" s="14" t="s">
        <v>189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20">
        <v>-89.46</v>
      </c>
      <c r="P40" s="20">
        <v>-92.87</v>
      </c>
      <c r="Q40" s="20">
        <v>-92.33</v>
      </c>
      <c r="R40" s="20">
        <v>-97.33</v>
      </c>
      <c r="S40" s="26">
        <v>-112.71</v>
      </c>
      <c r="T40" s="20">
        <v>-91.06</v>
      </c>
      <c r="U40" s="20">
        <v>-93.44</v>
      </c>
      <c r="V40" s="20">
        <v>-89.71</v>
      </c>
      <c r="W40" s="20">
        <v>-91.52</v>
      </c>
      <c r="X40" s="20">
        <v>-92.26</v>
      </c>
      <c r="Y40" s="20">
        <v>-79.08</v>
      </c>
      <c r="Z40" s="20">
        <v>-85.7</v>
      </c>
      <c r="AA40" s="20">
        <v>-87.93</v>
      </c>
    </row>
    <row r="41" ht="15.0" customHeight="1">
      <c r="A41" s="14" t="s">
        <v>190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5">
        <v>1.17</v>
      </c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ht="15.0" customHeight="1">
      <c r="A42" s="14" t="s">
        <v>191</v>
      </c>
      <c r="B42" s="25">
        <v>326.59</v>
      </c>
      <c r="C42" s="25">
        <v>950.63</v>
      </c>
      <c r="D42" s="25">
        <v>311.83</v>
      </c>
      <c r="E42" s="25">
        <v>302.8</v>
      </c>
      <c r="F42" s="25">
        <v>260.19</v>
      </c>
      <c r="G42" s="25">
        <v>413.73</v>
      </c>
      <c r="H42" s="25">
        <v>1022.36</v>
      </c>
      <c r="I42" s="25">
        <v>675.75</v>
      </c>
      <c r="J42" s="25">
        <v>539.39</v>
      </c>
      <c r="K42" s="25">
        <v>324.5</v>
      </c>
      <c r="L42" s="25">
        <v>257.23</v>
      </c>
      <c r="M42" s="15">
        <v>61.86</v>
      </c>
      <c r="N42" s="15">
        <v>44.17</v>
      </c>
      <c r="O42" s="15">
        <f t="shared" ref="O42:R42" si="1">SUM(O40,O35)</f>
        <v>30.51</v>
      </c>
      <c r="P42" s="15">
        <f t="shared" si="1"/>
        <v>29.51</v>
      </c>
      <c r="Q42" s="15">
        <f t="shared" si="1"/>
        <v>21.13</v>
      </c>
      <c r="R42" s="15">
        <f t="shared" si="1"/>
        <v>20.14</v>
      </c>
      <c r="S42" s="27">
        <v>24.79</v>
      </c>
      <c r="T42" s="15">
        <f t="shared" ref="T42:U42" si="2">SUM(T40,T35)</f>
        <v>21.15</v>
      </c>
      <c r="U42" s="15">
        <f t="shared" si="2"/>
        <v>22.95</v>
      </c>
      <c r="V42" s="27">
        <v>23.27</v>
      </c>
      <c r="W42" s="15">
        <f t="shared" ref="W42:AA42" si="3">SUM(W36:W40)</f>
        <v>24.22</v>
      </c>
      <c r="X42" s="15">
        <f t="shared" si="3"/>
        <v>25.27</v>
      </c>
      <c r="Y42" s="15">
        <f t="shared" si="3"/>
        <v>22.7</v>
      </c>
      <c r="Z42" s="15">
        <f t="shared" si="3"/>
        <v>25.78</v>
      </c>
      <c r="AA42" s="15">
        <f t="shared" si="3"/>
        <v>27.65</v>
      </c>
    </row>
    <row r="43" ht="15.0" customHeight="1">
      <c r="A43" s="14" t="s">
        <v>192</v>
      </c>
      <c r="B43" s="16"/>
      <c r="C43" s="16"/>
      <c r="D43" s="16"/>
      <c r="E43" s="16"/>
      <c r="F43" s="16"/>
      <c r="G43" s="16"/>
      <c r="H43" s="16"/>
      <c r="I43" s="16"/>
      <c r="J43" s="16">
        <v>0.0</v>
      </c>
      <c r="K43" s="15">
        <v>0.05</v>
      </c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ht="15.0" customHeight="1">
      <c r="A44" s="14" t="s">
        <v>193</v>
      </c>
      <c r="B44" s="15">
        <v>1.28</v>
      </c>
      <c r="C44" s="15">
        <v>3.49</v>
      </c>
      <c r="D44" s="15">
        <v>5.46</v>
      </c>
      <c r="E44" s="15">
        <v>7.19</v>
      </c>
      <c r="F44" s="15">
        <v>6.15</v>
      </c>
      <c r="G44" s="15">
        <v>0.35</v>
      </c>
      <c r="H44" s="15">
        <v>0.68</v>
      </c>
      <c r="I44" s="15">
        <v>1.04</v>
      </c>
      <c r="J44" s="15">
        <v>0.38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>
        <v>0.0</v>
      </c>
      <c r="V44" s="15">
        <v>2.0</v>
      </c>
      <c r="W44" s="15">
        <v>0.65</v>
      </c>
      <c r="X44" s="15">
        <v>0.66</v>
      </c>
      <c r="Y44" s="15">
        <v>0.57</v>
      </c>
      <c r="Z44" s="15">
        <v>0.63</v>
      </c>
      <c r="AA44" s="15">
        <v>0.65</v>
      </c>
    </row>
    <row r="45" ht="15.0" customHeight="1">
      <c r="A45" s="14" t="s">
        <v>194</v>
      </c>
      <c r="B45" s="15">
        <v>49.49</v>
      </c>
      <c r="C45" s="15">
        <v>49.29</v>
      </c>
      <c r="D45" s="15">
        <v>63.63</v>
      </c>
      <c r="E45" s="15">
        <v>65.94</v>
      </c>
      <c r="F45" s="15">
        <v>47.82</v>
      </c>
      <c r="G45" s="15">
        <v>29.47</v>
      </c>
      <c r="H45" s="15">
        <v>27.83</v>
      </c>
      <c r="I45" s="15">
        <v>28.02</v>
      </c>
      <c r="J45" s="15">
        <v>13.29</v>
      </c>
      <c r="K45" s="15">
        <v>12.26</v>
      </c>
      <c r="L45" s="15">
        <v>3.84</v>
      </c>
      <c r="M45" s="16">
        <v>0.0</v>
      </c>
      <c r="N45" s="16"/>
      <c r="O45" s="16"/>
      <c r="P45" s="16"/>
      <c r="Q45" s="16"/>
      <c r="R45" s="16"/>
      <c r="S45" s="16"/>
      <c r="T45" s="16"/>
      <c r="U45" s="16"/>
      <c r="V45" s="16"/>
      <c r="W45" s="15">
        <v>0.01</v>
      </c>
      <c r="X45" s="15">
        <v>0.02</v>
      </c>
      <c r="Y45" s="15">
        <v>0.02</v>
      </c>
      <c r="Z45" s="16"/>
      <c r="AA45" s="16"/>
    </row>
    <row r="46" ht="15.0" customHeight="1">
      <c r="A46" s="14" t="s">
        <v>195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5">
        <v>2.06</v>
      </c>
      <c r="X46" s="15">
        <v>2.12</v>
      </c>
      <c r="Y46" s="15">
        <v>1.85</v>
      </c>
      <c r="Z46" s="15">
        <v>0.02</v>
      </c>
      <c r="AA46" s="15">
        <v>0.02</v>
      </c>
    </row>
    <row r="47" ht="15.0" customHeight="1">
      <c r="A47" s="14" t="s">
        <v>196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23">
        <v>0.0</v>
      </c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ht="15.0" customHeight="1">
      <c r="A48" s="14" t="s">
        <v>197</v>
      </c>
      <c r="B48" s="16">
        <v>0.0</v>
      </c>
      <c r="C48" s="16">
        <v>0.0</v>
      </c>
      <c r="D48" s="15">
        <v>66.24</v>
      </c>
      <c r="E48" s="15">
        <v>13.69</v>
      </c>
      <c r="F48" s="15">
        <v>7.46</v>
      </c>
      <c r="G48" s="25">
        <v>166.06</v>
      </c>
      <c r="H48" s="25">
        <v>115.97</v>
      </c>
      <c r="I48" s="25">
        <v>141.64</v>
      </c>
      <c r="J48" s="25">
        <v>133.73</v>
      </c>
      <c r="K48" s="15">
        <v>16.75</v>
      </c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ht="15.0" customHeight="1">
      <c r="A49" s="14" t="s">
        <v>198</v>
      </c>
      <c r="B49" s="15">
        <v>4.02</v>
      </c>
      <c r="C49" s="15">
        <v>4.15</v>
      </c>
      <c r="D49" s="15">
        <v>8.85</v>
      </c>
      <c r="E49" s="15">
        <v>9.18</v>
      </c>
      <c r="F49" s="15">
        <v>6.66</v>
      </c>
      <c r="G49" s="15">
        <v>8.3</v>
      </c>
      <c r="H49" s="15">
        <v>4.64</v>
      </c>
      <c r="I49" s="15">
        <v>2.2</v>
      </c>
      <c r="J49" s="15">
        <v>2.05</v>
      </c>
      <c r="K49" s="15">
        <v>0.21</v>
      </c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ht="15.0" customHeight="1">
      <c r="A50" s="14" t="s">
        <v>199</v>
      </c>
      <c r="B50" s="16">
        <v>0.0</v>
      </c>
      <c r="C50" s="15">
        <v>26.0</v>
      </c>
      <c r="D50" s="15">
        <v>30.04</v>
      </c>
      <c r="E50" s="15">
        <v>34.8</v>
      </c>
      <c r="F50" s="15">
        <v>37.32</v>
      </c>
      <c r="G50" s="15">
        <v>4.94</v>
      </c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ht="15.0" customHeight="1">
      <c r="A51" s="14" t="s">
        <v>200</v>
      </c>
      <c r="B51" s="16"/>
      <c r="C51" s="16"/>
      <c r="D51" s="16"/>
      <c r="E51" s="16"/>
      <c r="F51" s="16"/>
      <c r="G51" s="16"/>
      <c r="H51" s="16"/>
      <c r="I51" s="16"/>
      <c r="J51" s="16">
        <v>0.0</v>
      </c>
      <c r="K51" s="15">
        <v>4.31</v>
      </c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ht="15.0" customHeight="1">
      <c r="A52" s="14" t="s">
        <v>201</v>
      </c>
      <c r="B52" s="15">
        <v>3.28</v>
      </c>
      <c r="C52" s="15">
        <v>3.27</v>
      </c>
      <c r="D52" s="16"/>
      <c r="E52" s="16">
        <v>0.0</v>
      </c>
      <c r="F52" s="16">
        <v>0.0</v>
      </c>
      <c r="G52" s="15">
        <v>0.1</v>
      </c>
      <c r="H52" s="15">
        <v>0.1</v>
      </c>
      <c r="I52" s="15">
        <v>0.1</v>
      </c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ht="15.0" customHeight="1">
      <c r="A53" s="14" t="s">
        <v>202</v>
      </c>
      <c r="B53" s="15">
        <v>2.11</v>
      </c>
      <c r="C53" s="15">
        <v>3.74</v>
      </c>
      <c r="D53" s="15">
        <v>3.55</v>
      </c>
      <c r="E53" s="15">
        <v>0.61</v>
      </c>
      <c r="F53" s="15">
        <v>2.77</v>
      </c>
      <c r="G53" s="15">
        <v>4.41</v>
      </c>
      <c r="H53" s="15">
        <v>0.19</v>
      </c>
      <c r="I53" s="15">
        <v>0.29</v>
      </c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ht="15.0" customHeight="1">
      <c r="A54" s="17" t="s">
        <v>203</v>
      </c>
      <c r="B54" s="19">
        <v>386.77</v>
      </c>
      <c r="C54" s="19">
        <v>1040.59</v>
      </c>
      <c r="D54" s="19">
        <v>494.88</v>
      </c>
      <c r="E54" s="19">
        <v>494.23</v>
      </c>
      <c r="F54" s="19">
        <v>443.31</v>
      </c>
      <c r="G54" s="19">
        <v>684.28</v>
      </c>
      <c r="H54" s="19">
        <v>1177.18</v>
      </c>
      <c r="I54" s="19">
        <v>879.05</v>
      </c>
      <c r="J54" s="19">
        <v>718.66</v>
      </c>
      <c r="K54" s="19">
        <v>383.65</v>
      </c>
      <c r="L54" s="19">
        <v>275.72</v>
      </c>
      <c r="M54" s="18">
        <v>61.86</v>
      </c>
      <c r="N54" s="18">
        <v>44.17</v>
      </c>
      <c r="O54" s="18">
        <v>30.51</v>
      </c>
      <c r="P54" s="18">
        <v>29.51</v>
      </c>
      <c r="Q54" s="18">
        <v>21.13</v>
      </c>
      <c r="R54" s="18">
        <v>20.15</v>
      </c>
      <c r="S54" s="18">
        <v>24.79</v>
      </c>
      <c r="T54" s="18">
        <v>21.15</v>
      </c>
      <c r="U54" s="18">
        <v>22.95</v>
      </c>
      <c r="V54" s="18">
        <v>25.27</v>
      </c>
      <c r="W54" s="18">
        <v>26.93</v>
      </c>
      <c r="X54" s="18">
        <v>28.08</v>
      </c>
      <c r="Y54" s="18">
        <v>25.14</v>
      </c>
      <c r="Z54" s="18">
        <v>26.44</v>
      </c>
      <c r="AA54" s="18">
        <v>28.34</v>
      </c>
    </row>
    <row r="55" ht="15.0" customHeight="1">
      <c r="A55" s="14" t="s">
        <v>204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>
        <v>0.0</v>
      </c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ht="15.0" customHeight="1">
      <c r="A56" s="17" t="s">
        <v>205</v>
      </c>
      <c r="B56" s="19">
        <v>477.85</v>
      </c>
      <c r="C56" s="19">
        <v>1128.45</v>
      </c>
      <c r="D56" s="19">
        <v>598.91</v>
      </c>
      <c r="E56" s="19">
        <v>579.38</v>
      </c>
      <c r="F56" s="19">
        <v>630.4</v>
      </c>
      <c r="G56" s="19">
        <v>730.18</v>
      </c>
      <c r="H56" s="19">
        <v>1285.89</v>
      </c>
      <c r="I56" s="19">
        <v>918.01</v>
      </c>
      <c r="J56" s="19">
        <v>744.86</v>
      </c>
      <c r="K56" s="19">
        <v>395.79</v>
      </c>
      <c r="L56" s="19">
        <v>280.86</v>
      </c>
      <c r="M56" s="18">
        <v>70.3</v>
      </c>
      <c r="N56" s="18">
        <v>53.76</v>
      </c>
      <c r="O56" s="18">
        <v>42.23</v>
      </c>
      <c r="P56" s="18">
        <v>44.65</v>
      </c>
      <c r="Q56" s="18">
        <v>43.96</v>
      </c>
      <c r="R56" s="18">
        <v>39.95</v>
      </c>
      <c r="S56" s="18">
        <v>43.53</v>
      </c>
      <c r="T56" s="18">
        <v>35.42</v>
      </c>
      <c r="U56" s="18">
        <v>38.28</v>
      </c>
      <c r="V56" s="18">
        <v>32.8</v>
      </c>
      <c r="W56" s="18">
        <v>34.61</v>
      </c>
      <c r="X56" s="18">
        <v>32.12</v>
      </c>
      <c r="Y56" s="18">
        <v>26.81</v>
      </c>
      <c r="Z56" s="18">
        <v>27.98</v>
      </c>
      <c r="AA56" s="18">
        <v>29.44</v>
      </c>
    </row>
    <row r="57" ht="15.0" customHeight="1">
      <c r="A57" s="14" t="s">
        <v>206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5">
        <v>0.35</v>
      </c>
      <c r="P57" s="15">
        <v>0.3</v>
      </c>
      <c r="Q57" s="16">
        <v>0.0</v>
      </c>
      <c r="R57" s="15">
        <v>0.02</v>
      </c>
      <c r="S57" s="15">
        <v>0.03</v>
      </c>
      <c r="T57" s="15">
        <v>0.02</v>
      </c>
      <c r="U57" s="15">
        <v>0.02</v>
      </c>
      <c r="V57" s="15">
        <v>0.02</v>
      </c>
      <c r="W57" s="15">
        <v>0.02</v>
      </c>
      <c r="X57" s="16">
        <v>0.0</v>
      </c>
      <c r="Y57" s="16"/>
      <c r="Z57" s="16">
        <v>0.0</v>
      </c>
      <c r="AA57" s="16">
        <v>0.0</v>
      </c>
    </row>
    <row r="58" ht="15.0" customHeight="1">
      <c r="A58" s="14" t="s">
        <v>207</v>
      </c>
      <c r="B58" s="15">
        <v>51.5</v>
      </c>
      <c r="C58" s="15">
        <v>24.93</v>
      </c>
      <c r="D58" s="15">
        <v>14.54</v>
      </c>
      <c r="E58" s="15">
        <v>21.03</v>
      </c>
      <c r="F58" s="15">
        <v>34.23</v>
      </c>
      <c r="G58" s="15">
        <v>66.7</v>
      </c>
      <c r="H58" s="15">
        <v>94.68</v>
      </c>
      <c r="I58" s="15">
        <v>26.51</v>
      </c>
      <c r="J58" s="15">
        <v>20.09</v>
      </c>
      <c r="K58" s="15">
        <v>7.98</v>
      </c>
      <c r="L58" s="15">
        <v>3.59</v>
      </c>
      <c r="M58" s="15">
        <v>0.85</v>
      </c>
      <c r="N58" s="15">
        <v>1.01</v>
      </c>
      <c r="O58" s="15">
        <v>0.18</v>
      </c>
      <c r="P58" s="15">
        <v>0.24</v>
      </c>
      <c r="Q58" s="15">
        <v>1.94</v>
      </c>
      <c r="R58" s="15">
        <v>0.32</v>
      </c>
      <c r="S58" s="15">
        <v>0.24</v>
      </c>
      <c r="T58" s="15">
        <v>0.21</v>
      </c>
      <c r="U58" s="15">
        <v>0.34</v>
      </c>
      <c r="V58" s="15">
        <v>0.26</v>
      </c>
      <c r="W58" s="15">
        <v>0.3</v>
      </c>
      <c r="X58" s="15">
        <v>0.19</v>
      </c>
      <c r="Y58" s="15">
        <v>0.2</v>
      </c>
      <c r="Z58" s="15">
        <v>0.23</v>
      </c>
      <c r="AA58" s="15">
        <v>0.17</v>
      </c>
    </row>
    <row r="59" ht="15.0" customHeight="1">
      <c r="A59" s="14" t="s">
        <v>208</v>
      </c>
      <c r="B59" s="16"/>
      <c r="C59" s="15">
        <v>7.8</v>
      </c>
      <c r="D59" s="16">
        <v>0.0</v>
      </c>
      <c r="E59" s="15">
        <v>0.47</v>
      </c>
      <c r="F59" s="15">
        <v>5.71</v>
      </c>
      <c r="G59" s="15">
        <v>14.26</v>
      </c>
      <c r="H59" s="15">
        <v>13.31</v>
      </c>
      <c r="I59" s="15">
        <v>12.22</v>
      </c>
      <c r="J59" s="15">
        <v>2.45</v>
      </c>
      <c r="K59" s="15">
        <v>0.15</v>
      </c>
      <c r="L59" s="15">
        <v>1.52</v>
      </c>
      <c r="M59" s="16"/>
      <c r="N59" s="15">
        <v>0.02</v>
      </c>
      <c r="O59" s="16">
        <v>0.0</v>
      </c>
      <c r="P59" s="16">
        <v>0.0</v>
      </c>
      <c r="Q59" s="15">
        <v>1.38</v>
      </c>
      <c r="R59" s="15">
        <v>1.0</v>
      </c>
      <c r="S59" s="15">
        <v>0.41</v>
      </c>
      <c r="T59" s="15">
        <v>0.02</v>
      </c>
      <c r="U59" s="15">
        <v>1.15</v>
      </c>
      <c r="V59" s="15">
        <v>0.35</v>
      </c>
      <c r="W59" s="16"/>
      <c r="X59" s="16"/>
      <c r="Y59" s="16"/>
      <c r="Z59" s="16"/>
      <c r="AA59" s="16"/>
    </row>
    <row r="60" ht="15.0" customHeight="1">
      <c r="A60" s="14" t="s">
        <v>209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5">
        <v>0.29</v>
      </c>
      <c r="P60" s="15">
        <v>0.39</v>
      </c>
      <c r="Q60" s="16">
        <v>0.0</v>
      </c>
      <c r="R60" s="16">
        <v>0.0</v>
      </c>
      <c r="S60" s="15">
        <v>0.15</v>
      </c>
      <c r="T60" s="16">
        <v>0.0</v>
      </c>
      <c r="U60" s="15">
        <v>0.02</v>
      </c>
      <c r="V60" s="16">
        <v>0.0</v>
      </c>
      <c r="W60" s="15">
        <v>0.35</v>
      </c>
      <c r="X60" s="15">
        <v>0.36</v>
      </c>
      <c r="Y60" s="15">
        <v>0.24</v>
      </c>
      <c r="Z60" s="15">
        <v>0.06</v>
      </c>
      <c r="AA60" s="15">
        <v>0.07</v>
      </c>
    </row>
    <row r="61" ht="15.0" customHeight="1">
      <c r="A61" s="14" t="s">
        <v>196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>
        <v>0.0</v>
      </c>
      <c r="P61" s="16">
        <v>0.0</v>
      </c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ht="15.0" customHeight="1">
      <c r="A62" s="14" t="s">
        <v>200</v>
      </c>
      <c r="B62" s="15">
        <v>9.5</v>
      </c>
      <c r="C62" s="25">
        <f> 289.98 - C63</f>
        <v>287.91</v>
      </c>
      <c r="D62" s="15">
        <f> 86.68 - D63</f>
        <v>85.2</v>
      </c>
      <c r="E62" s="15">
        <f> 23.01 - E63</f>
        <v>21.85</v>
      </c>
      <c r="F62" s="15">
        <f> 32.74 - F63</f>
        <v>30.7</v>
      </c>
      <c r="G62" s="15">
        <f> 45.38 - G63</f>
        <v>44.41</v>
      </c>
      <c r="H62" s="15">
        <f> 95.23 -H63</f>
        <v>94.9</v>
      </c>
      <c r="I62" s="15">
        <v>86.19</v>
      </c>
      <c r="J62" s="15">
        <v>42.56</v>
      </c>
      <c r="K62" s="15">
        <v>11.43</v>
      </c>
      <c r="L62" s="15">
        <v>17.39</v>
      </c>
      <c r="M62" s="15">
        <v>2.03</v>
      </c>
      <c r="N62" s="15">
        <v>1.88</v>
      </c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ht="15.0" customHeight="1">
      <c r="A63" s="14" t="s">
        <v>210</v>
      </c>
      <c r="B63" s="16"/>
      <c r="C63" s="15">
        <v>2.07</v>
      </c>
      <c r="D63" s="15">
        <v>1.48</v>
      </c>
      <c r="E63" s="15">
        <v>1.16</v>
      </c>
      <c r="F63" s="15">
        <v>2.04</v>
      </c>
      <c r="G63" s="15">
        <v>0.97</v>
      </c>
      <c r="H63" s="15">
        <v>0.33</v>
      </c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ht="15.0" customHeight="1">
      <c r="A64" s="14" t="s">
        <v>211</v>
      </c>
      <c r="B64" s="16"/>
      <c r="C64" s="25">
        <v>287.91</v>
      </c>
      <c r="D64" s="15">
        <v>85.21</v>
      </c>
      <c r="E64" s="15">
        <v>11.43</v>
      </c>
      <c r="F64" s="15">
        <v>20.74</v>
      </c>
      <c r="G64" s="15">
        <v>13.07</v>
      </c>
      <c r="H64" s="15">
        <v>23.67</v>
      </c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ht="15.0" customHeight="1">
      <c r="A65" s="14" t="s">
        <v>212</v>
      </c>
      <c r="B65" s="16"/>
      <c r="C65" s="16"/>
      <c r="D65" s="16"/>
      <c r="E65" s="15">
        <v>10.42</v>
      </c>
      <c r="F65" s="15">
        <v>9.95</v>
      </c>
      <c r="G65" s="15">
        <v>31.33</v>
      </c>
      <c r="H65" s="15">
        <v>71.23</v>
      </c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ht="15.0" customHeight="1">
      <c r="A66" s="14" t="s">
        <v>213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>
        <v>0.0</v>
      </c>
      <c r="U66" s="15">
        <v>0.06</v>
      </c>
      <c r="V66" s="15">
        <v>0.01</v>
      </c>
      <c r="W66" s="15">
        <v>0.02</v>
      </c>
      <c r="X66" s="15">
        <v>0.29</v>
      </c>
      <c r="Y66" s="15">
        <v>0.25</v>
      </c>
      <c r="Z66" s="15">
        <v>0.03</v>
      </c>
      <c r="AA66" s="15">
        <v>0.48</v>
      </c>
    </row>
    <row r="67" ht="15.0" customHeight="1">
      <c r="A67" s="14" t="s">
        <v>214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5">
        <v>0.73</v>
      </c>
      <c r="P67" s="15">
        <v>0.77</v>
      </c>
      <c r="Q67" s="16"/>
      <c r="R67" s="16"/>
      <c r="S67" s="16"/>
      <c r="T67" s="16"/>
      <c r="U67" s="16">
        <v>0.0</v>
      </c>
      <c r="V67" s="16">
        <v>0.0</v>
      </c>
      <c r="W67" s="15">
        <v>2.08</v>
      </c>
      <c r="X67" s="15">
        <v>0.71</v>
      </c>
      <c r="Y67" s="15">
        <v>0.61</v>
      </c>
      <c r="Z67" s="15">
        <v>0.67</v>
      </c>
      <c r="AA67" s="16">
        <v>0.0</v>
      </c>
    </row>
    <row r="68" ht="15.0" customHeight="1">
      <c r="A68" s="14" t="s">
        <v>215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5">
        <v>0.73</v>
      </c>
      <c r="Z68" s="16"/>
      <c r="AA68" s="16"/>
    </row>
    <row r="69" ht="15.0" customHeight="1">
      <c r="A69" s="17" t="s">
        <v>216</v>
      </c>
      <c r="B69" s="18">
        <v>61.0</v>
      </c>
      <c r="C69" s="19">
        <v>322.72</v>
      </c>
      <c r="D69" s="19">
        <v>101.22</v>
      </c>
      <c r="E69" s="18">
        <v>44.52</v>
      </c>
      <c r="F69" s="18">
        <v>72.67</v>
      </c>
      <c r="G69" s="19">
        <v>126.34</v>
      </c>
      <c r="H69" s="19">
        <v>203.22</v>
      </c>
      <c r="I69" s="19">
        <v>124.92</v>
      </c>
      <c r="J69" s="18">
        <v>65.11</v>
      </c>
      <c r="K69" s="18">
        <v>19.56</v>
      </c>
      <c r="L69" s="18">
        <v>22.51</v>
      </c>
      <c r="M69" s="18">
        <v>2.88</v>
      </c>
      <c r="N69" s="18">
        <v>2.91</v>
      </c>
      <c r="O69" s="18">
        <v>1.55</v>
      </c>
      <c r="P69" s="18">
        <v>1.71</v>
      </c>
      <c r="Q69" s="18">
        <v>3.32</v>
      </c>
      <c r="R69" s="18">
        <v>1.34</v>
      </c>
      <c r="S69" s="18">
        <v>0.83</v>
      </c>
      <c r="T69" s="18">
        <v>0.26</v>
      </c>
      <c r="U69" s="18">
        <v>1.6</v>
      </c>
      <c r="V69" s="18">
        <v>0.65</v>
      </c>
      <c r="W69" s="18">
        <v>2.77</v>
      </c>
      <c r="X69" s="18">
        <v>1.54</v>
      </c>
      <c r="Y69" s="18">
        <v>2.02</v>
      </c>
      <c r="Z69" s="18">
        <v>1.0</v>
      </c>
      <c r="AA69" s="18">
        <v>0.71</v>
      </c>
    </row>
    <row r="70" ht="15.0" customHeight="1">
      <c r="A70" s="28" t="s">
        <v>217</v>
      </c>
      <c r="B70" s="25">
        <v>161.71</v>
      </c>
      <c r="C70" s="25">
        <v>168.82</v>
      </c>
      <c r="D70" s="25">
        <v>101.1</v>
      </c>
      <c r="E70" s="25">
        <v>173.55</v>
      </c>
      <c r="F70" s="25">
        <v>185.33</v>
      </c>
      <c r="G70" s="25">
        <v>192.38</v>
      </c>
      <c r="H70" s="25">
        <v>460.1</v>
      </c>
      <c r="I70" s="25">
        <v>283.77</v>
      </c>
      <c r="J70" s="25">
        <v>210.76</v>
      </c>
      <c r="K70" s="25">
        <v>165.92</v>
      </c>
      <c r="L70" s="15">
        <v>76.19</v>
      </c>
      <c r="M70" s="15">
        <v>10.45</v>
      </c>
      <c r="N70" s="15">
        <v>11.52</v>
      </c>
      <c r="O70" s="15">
        <v>5.14</v>
      </c>
      <c r="P70" s="15">
        <v>6.19</v>
      </c>
      <c r="Q70" s="15">
        <v>2.34</v>
      </c>
      <c r="R70" s="16">
        <v>0.0</v>
      </c>
      <c r="S70" s="16"/>
      <c r="T70" s="16"/>
      <c r="U70" s="16"/>
      <c r="V70" s="16"/>
      <c r="W70" s="16"/>
      <c r="X70" s="16"/>
      <c r="Y70" s="16"/>
      <c r="Z70" s="16"/>
      <c r="AA70" s="16"/>
    </row>
    <row r="71" ht="15.0" customHeight="1">
      <c r="A71" s="14" t="s">
        <v>218</v>
      </c>
      <c r="B71" s="16"/>
      <c r="C71" s="15">
        <v>20.31</v>
      </c>
      <c r="D71" s="15">
        <v>19.92</v>
      </c>
      <c r="E71" s="15">
        <v>17.37</v>
      </c>
      <c r="F71" s="15">
        <v>17.64</v>
      </c>
      <c r="G71" s="15">
        <v>1.22</v>
      </c>
      <c r="H71" s="15">
        <v>5.77</v>
      </c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ht="15.0" customHeight="1">
      <c r="A72" s="14" t="s">
        <v>219</v>
      </c>
      <c r="B72" s="16"/>
      <c r="C72" s="25">
        <v>148.51</v>
      </c>
      <c r="D72" s="15">
        <v>81.18</v>
      </c>
      <c r="E72" s="25">
        <v>156.17</v>
      </c>
      <c r="F72" s="25">
        <v>167.69</v>
      </c>
      <c r="G72" s="25">
        <v>191.17</v>
      </c>
      <c r="H72" s="25">
        <v>454.33</v>
      </c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ht="15.0" customHeight="1">
      <c r="A73" s="14" t="s">
        <v>220</v>
      </c>
      <c r="B73" s="15">
        <v>13.59</v>
      </c>
      <c r="C73" s="15">
        <v>79.19</v>
      </c>
      <c r="D73" s="15">
        <v>12.08</v>
      </c>
      <c r="E73" s="15">
        <v>12.4</v>
      </c>
      <c r="F73" s="15">
        <v>4.47</v>
      </c>
      <c r="G73" s="15">
        <v>10.53</v>
      </c>
      <c r="H73" s="15">
        <v>11.26</v>
      </c>
      <c r="I73" s="15">
        <v>19.03</v>
      </c>
      <c r="J73" s="15">
        <v>14.67</v>
      </c>
      <c r="K73" s="15">
        <v>13.31</v>
      </c>
      <c r="L73" s="15">
        <v>10.65</v>
      </c>
      <c r="M73" s="15">
        <v>3.64</v>
      </c>
      <c r="N73" s="15">
        <v>0.66</v>
      </c>
      <c r="O73" s="15">
        <v>0.94</v>
      </c>
      <c r="P73" s="15">
        <v>0.86</v>
      </c>
      <c r="Q73" s="15">
        <v>0.04</v>
      </c>
      <c r="R73" s="15">
        <v>0.03</v>
      </c>
      <c r="S73" s="15">
        <v>0.01</v>
      </c>
      <c r="T73" s="15">
        <v>0.2</v>
      </c>
      <c r="U73" s="15">
        <v>0.38</v>
      </c>
      <c r="V73" s="15">
        <v>0.69</v>
      </c>
      <c r="W73" s="16"/>
      <c r="X73" s="16"/>
      <c r="Y73" s="16"/>
      <c r="Z73" s="16"/>
      <c r="AA73" s="16"/>
    </row>
    <row r="74" ht="15.0" customHeight="1">
      <c r="A74" s="14" t="s">
        <v>221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>
        <v>0.0</v>
      </c>
      <c r="T74" s="16">
        <v>0.0</v>
      </c>
      <c r="U74" s="16">
        <v>0.0</v>
      </c>
      <c r="V74" s="15">
        <v>2.01</v>
      </c>
      <c r="W74" s="15">
        <v>2.08</v>
      </c>
      <c r="X74" s="15">
        <v>4.24</v>
      </c>
      <c r="Y74" s="15">
        <v>4.28</v>
      </c>
      <c r="Z74" s="15">
        <v>5.36</v>
      </c>
      <c r="AA74" s="16">
        <v>0.0</v>
      </c>
    </row>
    <row r="75" ht="15.0" customHeight="1">
      <c r="A75" s="14" t="s">
        <v>209</v>
      </c>
      <c r="B75" s="16">
        <v>0.0</v>
      </c>
      <c r="C75" s="16">
        <v>0.0</v>
      </c>
      <c r="D75" s="15">
        <v>4.73</v>
      </c>
      <c r="E75" s="15">
        <v>7.78</v>
      </c>
      <c r="F75" s="15">
        <v>3.8</v>
      </c>
      <c r="G75" s="16"/>
      <c r="H75" s="16"/>
      <c r="I75" s="16"/>
      <c r="J75" s="16"/>
      <c r="K75" s="16"/>
      <c r="L75" s="16"/>
      <c r="M75" s="16"/>
      <c r="N75" s="16"/>
      <c r="O75" s="16">
        <v>0.0</v>
      </c>
      <c r="P75" s="23">
        <v>0.0</v>
      </c>
      <c r="Q75" s="16"/>
      <c r="R75" s="16"/>
      <c r="S75" s="16"/>
      <c r="T75" s="16"/>
      <c r="U75" s="16"/>
      <c r="V75" s="16"/>
      <c r="W75" s="16"/>
      <c r="X75" s="16"/>
      <c r="Y75" s="16"/>
      <c r="Z75" s="16">
        <v>0.0</v>
      </c>
      <c r="AA75" s="15">
        <v>1.94</v>
      </c>
    </row>
    <row r="76" ht="15.0" customHeight="1">
      <c r="A76" s="17" t="s">
        <v>222</v>
      </c>
      <c r="B76" s="19">
        <v>175.3</v>
      </c>
      <c r="C76" s="19">
        <v>248.01</v>
      </c>
      <c r="D76" s="19">
        <v>117.91</v>
      </c>
      <c r="E76" s="19">
        <v>193.73</v>
      </c>
      <c r="F76" s="19">
        <v>193.6</v>
      </c>
      <c r="G76" s="19">
        <v>202.91</v>
      </c>
      <c r="H76" s="19">
        <v>471.35</v>
      </c>
      <c r="I76" s="19">
        <v>302.8</v>
      </c>
      <c r="J76" s="19">
        <v>225.43</v>
      </c>
      <c r="K76" s="19">
        <v>179.23</v>
      </c>
      <c r="L76" s="18">
        <v>86.84</v>
      </c>
      <c r="M76" s="18">
        <v>14.09</v>
      </c>
      <c r="N76" s="18">
        <v>12.17</v>
      </c>
      <c r="O76" s="18">
        <v>6.08</v>
      </c>
      <c r="P76" s="18">
        <v>7.05</v>
      </c>
      <c r="Q76" s="18">
        <v>2.38</v>
      </c>
      <c r="R76" s="18">
        <v>0.03</v>
      </c>
      <c r="S76" s="18">
        <v>0.01</v>
      </c>
      <c r="T76" s="18">
        <v>0.2</v>
      </c>
      <c r="U76" s="18">
        <v>0.38</v>
      </c>
      <c r="V76" s="18">
        <v>2.71</v>
      </c>
      <c r="W76" s="18">
        <v>2.08</v>
      </c>
      <c r="X76" s="18">
        <v>4.24</v>
      </c>
      <c r="Y76" s="18">
        <v>4.28</v>
      </c>
      <c r="Z76" s="18">
        <v>5.36</v>
      </c>
      <c r="AA76" s="18">
        <v>1.94</v>
      </c>
    </row>
    <row r="77" ht="15.0" customHeight="1">
      <c r="A77" s="14" t="s">
        <v>223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23">
        <v>0.0</v>
      </c>
      <c r="P77" s="16">
        <v>0.0</v>
      </c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ht="15.0" customHeight="1">
      <c r="A78" s="17" t="s">
        <v>224</v>
      </c>
      <c r="B78" s="19">
        <v>236.29</v>
      </c>
      <c r="C78" s="19">
        <v>570.73</v>
      </c>
      <c r="D78" s="19">
        <v>219.14</v>
      </c>
      <c r="E78" s="19">
        <v>238.24</v>
      </c>
      <c r="F78" s="19">
        <v>266.28</v>
      </c>
      <c r="G78" s="19">
        <v>329.26</v>
      </c>
      <c r="H78" s="19">
        <v>674.57</v>
      </c>
      <c r="I78" s="19">
        <v>427.71</v>
      </c>
      <c r="J78" s="19">
        <v>290.54</v>
      </c>
      <c r="K78" s="19">
        <v>198.8</v>
      </c>
      <c r="L78" s="19">
        <v>109.35</v>
      </c>
      <c r="M78" s="18">
        <v>16.98</v>
      </c>
      <c r="N78" s="18">
        <v>15.08</v>
      </c>
      <c r="O78" s="18">
        <v>7.63</v>
      </c>
      <c r="P78" s="18">
        <v>8.77</v>
      </c>
      <c r="Q78" s="18">
        <v>5.7</v>
      </c>
      <c r="R78" s="18">
        <v>1.38</v>
      </c>
      <c r="S78" s="18">
        <v>0.83</v>
      </c>
      <c r="T78" s="18">
        <v>0.46</v>
      </c>
      <c r="U78" s="18">
        <v>1.97</v>
      </c>
      <c r="V78" s="18">
        <v>3.35</v>
      </c>
      <c r="W78" s="18">
        <v>4.84</v>
      </c>
      <c r="X78" s="18">
        <v>5.78</v>
      </c>
      <c r="Y78" s="18">
        <v>6.3</v>
      </c>
      <c r="Z78" s="18">
        <v>6.36</v>
      </c>
      <c r="AA78" s="18">
        <v>2.65</v>
      </c>
    </row>
    <row r="79" ht="15.0" customHeight="1">
      <c r="A79" s="14" t="s">
        <v>225</v>
      </c>
      <c r="B79" s="15">
        <v>30.2</v>
      </c>
      <c r="C79" s="15">
        <v>30.08</v>
      </c>
      <c r="D79" s="15">
        <v>28.59</v>
      </c>
      <c r="E79" s="15">
        <v>26.8</v>
      </c>
      <c r="F79" s="15">
        <v>25.59</v>
      </c>
      <c r="G79" s="15">
        <v>26.78</v>
      </c>
      <c r="H79" s="15">
        <v>25.15</v>
      </c>
      <c r="I79" s="15">
        <v>25.32</v>
      </c>
      <c r="J79" s="15">
        <v>25.16</v>
      </c>
      <c r="K79" s="15">
        <v>23.2</v>
      </c>
      <c r="L79" s="15">
        <v>24.53</v>
      </c>
      <c r="M79" s="15">
        <v>23.1</v>
      </c>
      <c r="N79" s="15">
        <v>21.31</v>
      </c>
      <c r="O79" s="15">
        <v>18.76</v>
      </c>
      <c r="P79" s="15">
        <v>19.77</v>
      </c>
      <c r="Q79" s="15">
        <v>19.9</v>
      </c>
      <c r="R79" s="15">
        <v>21.2</v>
      </c>
      <c r="S79" s="15">
        <v>24.81</v>
      </c>
      <c r="T79" s="15">
        <v>20.27</v>
      </c>
      <c r="U79" s="15">
        <v>21.02</v>
      </c>
      <c r="V79" s="15">
        <v>20.41</v>
      </c>
      <c r="W79" s="15">
        <v>21.06</v>
      </c>
      <c r="X79" s="15">
        <v>21.46</v>
      </c>
      <c r="Y79" s="15">
        <v>18.59</v>
      </c>
      <c r="Z79" s="15">
        <v>20.36</v>
      </c>
      <c r="AA79" s="15">
        <v>21.12</v>
      </c>
    </row>
    <row r="80" ht="15.0" customHeight="1">
      <c r="A80" s="14" t="s">
        <v>226</v>
      </c>
      <c r="B80" s="16"/>
      <c r="C80" s="15">
        <v>0.08</v>
      </c>
      <c r="D80" s="15">
        <v>0.08</v>
      </c>
      <c r="E80" s="15">
        <v>0.07</v>
      </c>
      <c r="F80" s="15">
        <v>0.07</v>
      </c>
      <c r="G80" s="15">
        <v>0.07</v>
      </c>
      <c r="H80" s="15">
        <v>0.07</v>
      </c>
      <c r="I80" s="15">
        <v>0.07</v>
      </c>
      <c r="J80" s="15">
        <v>0.07</v>
      </c>
      <c r="K80" s="15">
        <v>0.06</v>
      </c>
      <c r="L80" s="15">
        <v>0.07</v>
      </c>
      <c r="M80" s="15">
        <v>0.06</v>
      </c>
      <c r="N80" s="15">
        <v>0.06</v>
      </c>
      <c r="O80" s="15">
        <v>0.05</v>
      </c>
      <c r="P80" s="15">
        <v>0.06</v>
      </c>
      <c r="Q80" s="15">
        <v>0.06</v>
      </c>
      <c r="R80" s="15">
        <v>0.06</v>
      </c>
      <c r="S80" s="15">
        <v>0.07</v>
      </c>
      <c r="T80" s="15">
        <v>0.06</v>
      </c>
      <c r="U80" s="15">
        <v>0.06</v>
      </c>
      <c r="V80" s="15">
        <v>0.06</v>
      </c>
      <c r="W80" s="15">
        <v>0.06</v>
      </c>
      <c r="X80" s="15">
        <v>0.06</v>
      </c>
      <c r="Y80" s="15">
        <v>0.05</v>
      </c>
      <c r="Z80" s="15">
        <v>0.06</v>
      </c>
      <c r="AA80" s="15">
        <v>1.47</v>
      </c>
    </row>
    <row r="81" ht="15.0" customHeight="1">
      <c r="A81" s="14" t="s">
        <v>227</v>
      </c>
      <c r="B81" s="16"/>
      <c r="C81" s="16"/>
      <c r="D81" s="16"/>
      <c r="E81" s="16"/>
      <c r="F81" s="16"/>
      <c r="G81" s="16"/>
      <c r="H81" s="16"/>
      <c r="I81" s="16"/>
      <c r="J81" s="16"/>
      <c r="K81" s="20">
        <v>-1.05</v>
      </c>
      <c r="L81" s="20">
        <v>-0.27</v>
      </c>
      <c r="M81" s="20">
        <v>-0.1</v>
      </c>
      <c r="N81" s="20">
        <v>-0.18</v>
      </c>
      <c r="O81" s="20">
        <v>-0.23</v>
      </c>
      <c r="P81" s="20">
        <v>-0.22</v>
      </c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ht="15.0" customHeight="1">
      <c r="A82" s="14" t="s">
        <v>228</v>
      </c>
      <c r="B82" s="16"/>
      <c r="C82" s="25">
        <v>232.21</v>
      </c>
      <c r="D82" s="25">
        <v>221.42</v>
      </c>
      <c r="E82" s="25">
        <v>208.3</v>
      </c>
      <c r="F82" s="25">
        <v>250.25</v>
      </c>
      <c r="G82" s="25">
        <v>247.94</v>
      </c>
      <c r="H82" s="25">
        <v>267.7</v>
      </c>
      <c r="I82" s="25">
        <v>290.49</v>
      </c>
      <c r="J82" s="25">
        <v>289.12</v>
      </c>
      <c r="K82" s="15">
        <v>84.97</v>
      </c>
      <c r="L82" s="15">
        <v>83.05</v>
      </c>
      <c r="M82" s="16">
        <v>0.0</v>
      </c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ht="15.0" customHeight="1">
      <c r="A83" s="14" t="s">
        <v>229</v>
      </c>
      <c r="B83" s="16"/>
      <c r="C83" s="25">
        <v>188.64</v>
      </c>
      <c r="D83" s="25">
        <v>125.94</v>
      </c>
      <c r="E83" s="25">
        <v>101.51</v>
      </c>
      <c r="F83" s="15">
        <v>83.47</v>
      </c>
      <c r="G83" s="25">
        <v>115.48</v>
      </c>
      <c r="H83" s="25">
        <v>149.57</v>
      </c>
      <c r="I83" s="25">
        <v>147.94</v>
      </c>
      <c r="J83" s="25">
        <v>139.78</v>
      </c>
      <c r="K83" s="15">
        <v>89.8</v>
      </c>
      <c r="L83" s="15">
        <v>64.13</v>
      </c>
      <c r="M83" s="15">
        <v>30.25</v>
      </c>
      <c r="N83" s="15">
        <v>17.49</v>
      </c>
      <c r="O83" s="15">
        <v>16.01</v>
      </c>
      <c r="P83" s="15">
        <v>16.28</v>
      </c>
      <c r="Q83" s="15">
        <v>18.3</v>
      </c>
      <c r="R83" s="15">
        <v>17.32</v>
      </c>
      <c r="S83" s="15">
        <v>17.92</v>
      </c>
      <c r="T83" s="15">
        <v>14.67</v>
      </c>
      <c r="U83" s="15">
        <v>9.25</v>
      </c>
      <c r="V83" s="15">
        <v>8.56</v>
      </c>
      <c r="W83" s="15">
        <v>4.75</v>
      </c>
      <c r="X83" s="15">
        <v>2.14</v>
      </c>
      <c r="Y83" s="15">
        <v>1.11</v>
      </c>
      <c r="Z83" s="15">
        <v>0.04</v>
      </c>
      <c r="AA83" s="20">
        <v>-1.75</v>
      </c>
    </row>
    <row r="84" ht="15.0" customHeight="1">
      <c r="A84" s="14" t="s">
        <v>230</v>
      </c>
      <c r="B84" s="25">
        <v>211.36</v>
      </c>
      <c r="C84" s="16"/>
      <c r="D84" s="16"/>
      <c r="E84" s="16"/>
      <c r="F84" s="16"/>
      <c r="G84" s="16"/>
      <c r="H84" s="16"/>
      <c r="I84" s="16"/>
      <c r="J84" s="16">
        <v>0.0</v>
      </c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ht="15.0" customHeight="1">
      <c r="A85" s="14" t="s">
        <v>231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20">
        <v>-2.21</v>
      </c>
      <c r="T85" s="20">
        <v>-1.81</v>
      </c>
      <c r="U85" s="20">
        <v>-1.88</v>
      </c>
      <c r="V85" s="20">
        <v>-1.82</v>
      </c>
      <c r="W85" s="20">
        <v>-0.63</v>
      </c>
      <c r="X85" s="20">
        <v>-0.64</v>
      </c>
      <c r="Y85" s="20">
        <v>-0.55</v>
      </c>
      <c r="Z85" s="16"/>
      <c r="AA85" s="16"/>
    </row>
    <row r="86" ht="15.0" customHeight="1">
      <c r="A86" s="14" t="s">
        <v>232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5">
        <v>2.1</v>
      </c>
      <c r="T86" s="15">
        <v>1.78</v>
      </c>
      <c r="U86" s="15">
        <v>7.84</v>
      </c>
      <c r="V86" s="15">
        <v>2.24</v>
      </c>
      <c r="W86" s="15">
        <v>4.52</v>
      </c>
      <c r="X86" s="15">
        <v>3.33</v>
      </c>
      <c r="Y86" s="15">
        <v>1.29</v>
      </c>
      <c r="Z86" s="15">
        <v>1.17</v>
      </c>
      <c r="AA86" s="15">
        <v>0.39</v>
      </c>
    </row>
    <row r="87" ht="15.0" customHeight="1">
      <c r="A87" s="14" t="s">
        <v>233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>
        <v>0.0</v>
      </c>
      <c r="AA87" s="15">
        <v>5.56</v>
      </c>
    </row>
    <row r="88" ht="15.0" customHeight="1">
      <c r="A88" s="14" t="s">
        <v>234</v>
      </c>
      <c r="B88" s="16"/>
      <c r="C88" s="16"/>
      <c r="D88" s="16"/>
      <c r="E88" s="16"/>
      <c r="F88" s="16"/>
      <c r="G88" s="16"/>
      <c r="H88" s="16"/>
      <c r="I88" s="16"/>
      <c r="J88" s="16"/>
      <c r="K88" s="16">
        <v>0.0</v>
      </c>
      <c r="L88" s="16"/>
      <c r="M88" s="23">
        <v>0.0</v>
      </c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ht="15.0" customHeight="1">
      <c r="A89" s="17" t="s">
        <v>235</v>
      </c>
      <c r="B89" s="19">
        <v>241.56</v>
      </c>
      <c r="C89" s="19">
        <v>451.0</v>
      </c>
      <c r="D89" s="19">
        <v>376.03</v>
      </c>
      <c r="E89" s="19">
        <v>336.68</v>
      </c>
      <c r="F89" s="19">
        <v>359.37</v>
      </c>
      <c r="G89" s="19">
        <v>390.27</v>
      </c>
      <c r="H89" s="19">
        <v>442.49</v>
      </c>
      <c r="I89" s="19">
        <v>463.83</v>
      </c>
      <c r="J89" s="19">
        <v>454.14</v>
      </c>
      <c r="K89" s="19">
        <v>197.0</v>
      </c>
      <c r="L89" s="19">
        <v>171.51</v>
      </c>
      <c r="M89" s="18">
        <v>53.32</v>
      </c>
      <c r="N89" s="18">
        <v>38.68</v>
      </c>
      <c r="O89" s="18">
        <v>34.59</v>
      </c>
      <c r="P89" s="18">
        <v>35.88</v>
      </c>
      <c r="Q89" s="18">
        <v>38.26</v>
      </c>
      <c r="R89" s="18">
        <v>38.57</v>
      </c>
      <c r="S89" s="18">
        <v>42.69</v>
      </c>
      <c r="T89" s="18">
        <v>34.96</v>
      </c>
      <c r="U89" s="18">
        <v>36.3</v>
      </c>
      <c r="V89" s="18">
        <v>29.45</v>
      </c>
      <c r="W89" s="18">
        <v>29.76</v>
      </c>
      <c r="X89" s="18">
        <v>26.35</v>
      </c>
      <c r="Y89" s="18">
        <v>20.49</v>
      </c>
      <c r="Z89" s="18">
        <v>21.63</v>
      </c>
      <c r="AA89" s="18">
        <v>26.78</v>
      </c>
    </row>
    <row r="90" ht="15.0" customHeight="1">
      <c r="A90" s="14" t="s">
        <v>236</v>
      </c>
      <c r="B90" s="16">
        <v>0.0</v>
      </c>
      <c r="C90" s="25">
        <v>106.71</v>
      </c>
      <c r="D90" s="15">
        <v>3.75</v>
      </c>
      <c r="E90" s="15">
        <v>4.46</v>
      </c>
      <c r="F90" s="15">
        <v>4.76</v>
      </c>
      <c r="G90" s="15">
        <v>10.65</v>
      </c>
      <c r="H90" s="25">
        <v>168.83</v>
      </c>
      <c r="I90" s="15">
        <v>26.46</v>
      </c>
      <c r="J90" s="15">
        <v>0.19</v>
      </c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ht="15.0" customHeight="1">
      <c r="A91" s="17" t="s">
        <v>237</v>
      </c>
      <c r="B91" s="24">
        <v>0.0</v>
      </c>
      <c r="C91" s="19">
        <v>106.71</v>
      </c>
      <c r="D91" s="18">
        <v>3.75</v>
      </c>
      <c r="E91" s="18">
        <v>4.46</v>
      </c>
      <c r="F91" s="18">
        <v>4.76</v>
      </c>
      <c r="G91" s="18">
        <v>10.65</v>
      </c>
      <c r="H91" s="19">
        <v>168.83</v>
      </c>
      <c r="I91" s="18">
        <v>26.46</v>
      </c>
      <c r="J91" s="18">
        <v>0.19</v>
      </c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 ht="15.0" customHeight="1">
      <c r="A92" s="17" t="s">
        <v>238</v>
      </c>
      <c r="B92" s="19">
        <v>241.56</v>
      </c>
      <c r="C92" s="19">
        <v>557.72</v>
      </c>
      <c r="D92" s="19">
        <v>379.78</v>
      </c>
      <c r="E92" s="19">
        <v>341.14</v>
      </c>
      <c r="F92" s="19">
        <v>364.13</v>
      </c>
      <c r="G92" s="19">
        <v>400.92</v>
      </c>
      <c r="H92" s="19">
        <v>611.32</v>
      </c>
      <c r="I92" s="19">
        <v>490.29</v>
      </c>
      <c r="J92" s="19">
        <v>454.32</v>
      </c>
      <c r="K92" s="19">
        <v>197.0</v>
      </c>
      <c r="L92" s="19">
        <v>171.51</v>
      </c>
      <c r="M92" s="18">
        <v>53.32</v>
      </c>
      <c r="N92" s="18">
        <v>38.68</v>
      </c>
      <c r="O92" s="18">
        <v>34.59</v>
      </c>
      <c r="P92" s="18">
        <v>35.88</v>
      </c>
      <c r="Q92" s="18">
        <v>38.26</v>
      </c>
      <c r="R92" s="18">
        <v>38.57</v>
      </c>
      <c r="S92" s="18">
        <v>42.69</v>
      </c>
      <c r="T92" s="18">
        <v>34.96</v>
      </c>
      <c r="U92" s="18">
        <v>36.3</v>
      </c>
      <c r="V92" s="18">
        <v>29.45</v>
      </c>
      <c r="W92" s="18">
        <v>29.76</v>
      </c>
      <c r="X92" s="18">
        <v>26.35</v>
      </c>
      <c r="Y92" s="18">
        <v>20.49</v>
      </c>
      <c r="Z92" s="18">
        <v>21.63</v>
      </c>
      <c r="AA92" s="18">
        <v>26.78</v>
      </c>
    </row>
    <row r="93" ht="15.0" customHeight="1">
      <c r="A93" s="17" t="s">
        <v>239</v>
      </c>
      <c r="B93" s="19">
        <v>477.85</v>
      </c>
      <c r="C93" s="19">
        <v>1128.45</v>
      </c>
      <c r="D93" s="19">
        <v>598.91</v>
      </c>
      <c r="E93" s="19">
        <v>579.38</v>
      </c>
      <c r="F93" s="19">
        <v>630.4</v>
      </c>
      <c r="G93" s="19">
        <v>730.18</v>
      </c>
      <c r="H93" s="19">
        <v>1285.89</v>
      </c>
      <c r="I93" s="19">
        <v>918.01</v>
      </c>
      <c r="J93" s="19">
        <v>744.86</v>
      </c>
      <c r="K93" s="19">
        <v>395.79</v>
      </c>
      <c r="L93" s="19">
        <v>280.86</v>
      </c>
      <c r="M93" s="18">
        <v>70.3</v>
      </c>
      <c r="N93" s="18">
        <v>53.76</v>
      </c>
      <c r="O93" s="18">
        <v>42.23</v>
      </c>
      <c r="P93" s="18">
        <v>44.65</v>
      </c>
      <c r="Q93" s="18">
        <v>43.96</v>
      </c>
      <c r="R93" s="18">
        <v>39.95</v>
      </c>
      <c r="S93" s="18">
        <v>43.52</v>
      </c>
      <c r="T93" s="18">
        <v>35.42</v>
      </c>
      <c r="U93" s="18">
        <v>38.27</v>
      </c>
      <c r="V93" s="18">
        <v>32.8</v>
      </c>
      <c r="W93" s="18">
        <v>34.6</v>
      </c>
      <c r="X93" s="18">
        <v>32.13</v>
      </c>
      <c r="Y93" s="18">
        <v>26.8</v>
      </c>
      <c r="Z93" s="18">
        <v>27.98</v>
      </c>
      <c r="AA93" s="18">
        <v>29.44</v>
      </c>
    </row>
    <row r="94" ht="15.0" customHeight="1">
      <c r="A94" s="14" t="s">
        <v>240</v>
      </c>
      <c r="B94" s="15">
        <v>6.39</v>
      </c>
      <c r="C94" s="15">
        <v>6.39</v>
      </c>
      <c r="D94" s="15">
        <v>6.39</v>
      </c>
      <c r="E94" s="15">
        <v>6.39</v>
      </c>
      <c r="F94" s="15">
        <v>6.18</v>
      </c>
      <c r="G94" s="15">
        <v>6.18</v>
      </c>
      <c r="H94" s="15">
        <v>6.18</v>
      </c>
      <c r="I94" s="15">
        <v>6.18</v>
      </c>
      <c r="J94" s="15">
        <v>6.18</v>
      </c>
      <c r="K94" s="15">
        <v>3.52</v>
      </c>
      <c r="L94" s="15">
        <v>3.18</v>
      </c>
      <c r="M94" s="15">
        <v>1.52</v>
      </c>
      <c r="N94" s="15">
        <v>1.52</v>
      </c>
      <c r="O94" s="15">
        <v>1.52</v>
      </c>
      <c r="P94" s="15">
        <v>1.52</v>
      </c>
      <c r="Q94" s="15">
        <v>1.52</v>
      </c>
      <c r="R94" s="15">
        <v>1.52</v>
      </c>
      <c r="S94" s="15">
        <v>1.52</v>
      </c>
      <c r="T94" s="15">
        <v>1.52</v>
      </c>
      <c r="U94" s="15">
        <v>1.52</v>
      </c>
      <c r="V94" s="15">
        <v>1.52</v>
      </c>
      <c r="W94" s="15">
        <v>1.52</v>
      </c>
      <c r="X94" s="15">
        <v>1.52</v>
      </c>
      <c r="Y94" s="15">
        <v>1.52</v>
      </c>
      <c r="Z94" s="15">
        <v>1.52</v>
      </c>
      <c r="AA94" s="15">
        <v>1.52</v>
      </c>
    </row>
    <row r="95" ht="15.0" customHeight="1">
      <c r="A95" s="14" t="s">
        <v>241</v>
      </c>
      <c r="B95" s="15">
        <v>0.02</v>
      </c>
      <c r="C95" s="15">
        <v>0.02</v>
      </c>
      <c r="D95" s="15">
        <v>0.01</v>
      </c>
      <c r="E95" s="16">
        <v>0.0</v>
      </c>
      <c r="F95" s="16">
        <v>0.0</v>
      </c>
      <c r="G95" s="15">
        <v>0.23</v>
      </c>
      <c r="H95" s="15">
        <v>0.17</v>
      </c>
      <c r="I95" s="15">
        <v>0.15</v>
      </c>
      <c r="J95" s="15">
        <v>0.17</v>
      </c>
      <c r="K95" s="15">
        <v>0.21</v>
      </c>
      <c r="L95" s="16">
        <v>0.0</v>
      </c>
      <c r="M95" s="16">
        <v>0.0</v>
      </c>
      <c r="N95" s="16">
        <v>0.0</v>
      </c>
      <c r="O95" s="16">
        <v>0.0</v>
      </c>
      <c r="P95" s="16">
        <v>0.0</v>
      </c>
      <c r="Q95" s="16">
        <v>0.0</v>
      </c>
      <c r="R95" s="16">
        <v>0.0</v>
      </c>
      <c r="S95" s="16">
        <v>0.0</v>
      </c>
      <c r="T95" s="16">
        <v>0.0</v>
      </c>
      <c r="U95" s="16">
        <v>0.0</v>
      </c>
      <c r="V95" s="16">
        <v>0.0</v>
      </c>
      <c r="W95" s="16">
        <v>0.0</v>
      </c>
      <c r="X95" s="16">
        <v>0.0</v>
      </c>
      <c r="Y95" s="16">
        <v>0.0</v>
      </c>
      <c r="Z95" s="16">
        <v>0.0</v>
      </c>
      <c r="AA95" s="16">
        <v>0.0</v>
      </c>
    </row>
    <row r="96" ht="15.0" customHeight="1">
      <c r="A96" s="14" t="s">
        <v>242</v>
      </c>
      <c r="B96" s="15">
        <v>6.37</v>
      </c>
      <c r="C96" s="15">
        <v>6.37</v>
      </c>
      <c r="D96" s="15">
        <v>6.37</v>
      </c>
      <c r="E96" s="15">
        <v>6.39</v>
      </c>
      <c r="F96" s="15">
        <v>6.18</v>
      </c>
      <c r="G96" s="15">
        <v>5.95</v>
      </c>
      <c r="H96" s="15">
        <v>6.01</v>
      </c>
      <c r="I96" s="15">
        <v>6.03</v>
      </c>
      <c r="J96" s="15">
        <v>6.02</v>
      </c>
      <c r="K96" s="15">
        <v>3.31</v>
      </c>
      <c r="L96" s="15">
        <v>3.18</v>
      </c>
      <c r="M96" s="15">
        <v>1.52</v>
      </c>
      <c r="N96" s="15">
        <v>1.52</v>
      </c>
      <c r="O96" s="15">
        <v>1.52</v>
      </c>
      <c r="P96" s="15">
        <v>1.52</v>
      </c>
      <c r="Q96" s="15">
        <v>1.52</v>
      </c>
      <c r="R96" s="15">
        <v>1.52</v>
      </c>
      <c r="S96" s="15">
        <v>1.52</v>
      </c>
      <c r="T96" s="15">
        <v>1.52</v>
      </c>
      <c r="U96" s="15">
        <v>1.52</v>
      </c>
      <c r="V96" s="15">
        <v>1.52</v>
      </c>
      <c r="W96" s="15">
        <v>1.52</v>
      </c>
      <c r="X96" s="15">
        <v>1.52</v>
      </c>
      <c r="Y96" s="15">
        <v>1.52</v>
      </c>
      <c r="Z96" s="15">
        <v>1.52</v>
      </c>
      <c r="AA96" s="15">
        <v>1.52</v>
      </c>
    </row>
    <row r="97" ht="15.0" customHeight="1">
      <c r="A97" s="14" t="s">
        <v>243</v>
      </c>
      <c r="B97" s="16"/>
      <c r="C97" s="25">
        <v>436.42</v>
      </c>
      <c r="D97" s="25">
        <v>189.28</v>
      </c>
      <c r="E97" s="25">
        <v>167.6</v>
      </c>
      <c r="F97" s="25">
        <v>178.42</v>
      </c>
      <c r="G97" s="25">
        <v>204.24</v>
      </c>
      <c r="H97" s="25">
        <v>480.48</v>
      </c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ht="15.0" customHeight="1">
      <c r="A98" s="14" t="s">
        <v>244</v>
      </c>
      <c r="B98" s="16"/>
      <c r="C98" s="25">
        <v>287.91</v>
      </c>
      <c r="D98" s="15">
        <v>93.88</v>
      </c>
      <c r="E98" s="15">
        <v>11.44</v>
      </c>
      <c r="F98" s="15">
        <v>10.73</v>
      </c>
      <c r="G98" s="15">
        <v>13.07</v>
      </c>
      <c r="H98" s="15">
        <v>26.15</v>
      </c>
      <c r="I98" s="16"/>
      <c r="J98" s="16"/>
      <c r="K98" s="16"/>
      <c r="L98" s="16"/>
      <c r="M98" s="16"/>
      <c r="N98" s="16"/>
      <c r="O98" s="15">
        <v>5.87</v>
      </c>
      <c r="P98" s="15">
        <v>6.96</v>
      </c>
      <c r="Q98" s="15">
        <v>2.34</v>
      </c>
      <c r="R98" s="16">
        <v>0.0</v>
      </c>
      <c r="S98" s="16"/>
      <c r="T98" s="16"/>
      <c r="U98" s="16"/>
      <c r="V98" s="16"/>
      <c r="W98" s="16"/>
      <c r="X98" s="16"/>
      <c r="Y98" s="16"/>
      <c r="Z98" s="16"/>
      <c r="AA98" s="16"/>
    </row>
    <row r="99" ht="15.0" customHeight="1">
      <c r="A99" s="14" t="s">
        <v>245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5">
        <v>1.47</v>
      </c>
      <c r="P99" s="15">
        <v>1.55</v>
      </c>
      <c r="Q99" s="15">
        <v>1.17</v>
      </c>
      <c r="R99" s="16">
        <v>0.0</v>
      </c>
      <c r="S99" s="16"/>
      <c r="T99" s="16"/>
      <c r="U99" s="16"/>
      <c r="V99" s="16"/>
      <c r="W99" s="16"/>
      <c r="X99" s="16"/>
      <c r="Y99" s="16"/>
      <c r="Z99" s="16"/>
      <c r="AA99" s="16"/>
    </row>
    <row r="100" ht="15.0" customHeight="1">
      <c r="A100" s="14" t="s">
        <v>246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5">
        <v>1.47</v>
      </c>
      <c r="P100" s="15">
        <v>1.55</v>
      </c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ht="15.0" customHeight="1">
      <c r="A101" s="14" t="s">
        <v>247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5">
        <v>1.47</v>
      </c>
      <c r="P101" s="15">
        <v>1.55</v>
      </c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ht="15.0" customHeight="1">
      <c r="A102" s="14" t="s">
        <v>248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5">
        <v>1.47</v>
      </c>
      <c r="P102" s="15">
        <v>1.55</v>
      </c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ht="15.0" customHeight="1">
      <c r="A103" s="14" t="s">
        <v>249</v>
      </c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5">
        <v>0.77</v>
      </c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ht="15.0" customHeight="1">
      <c r="A104" s="14" t="s">
        <v>250</v>
      </c>
      <c r="B104" s="16"/>
      <c r="C104" s="25">
        <v>115.12</v>
      </c>
      <c r="D104" s="15">
        <v>62.21</v>
      </c>
      <c r="E104" s="25">
        <v>103.72</v>
      </c>
      <c r="F104" s="25">
        <v>104.0</v>
      </c>
      <c r="G104" s="25">
        <v>154.05</v>
      </c>
      <c r="H104" s="25">
        <v>393.52</v>
      </c>
      <c r="I104" s="16"/>
      <c r="J104" s="16"/>
      <c r="K104" s="16"/>
      <c r="L104" s="16"/>
      <c r="M104" s="16"/>
      <c r="N104" s="16"/>
      <c r="O104" s="16"/>
      <c r="P104" s="16"/>
      <c r="Q104" s="15">
        <v>1.17</v>
      </c>
      <c r="R104" s="16">
        <v>0.0</v>
      </c>
      <c r="S104" s="16"/>
      <c r="T104" s="16"/>
      <c r="U104" s="16"/>
      <c r="V104" s="16"/>
      <c r="W104" s="16"/>
      <c r="X104" s="16"/>
      <c r="Y104" s="16"/>
      <c r="Z104" s="16"/>
      <c r="AA104" s="16"/>
    </row>
    <row r="105" ht="15.0" customHeight="1">
      <c r="A105" s="14" t="s">
        <v>251</v>
      </c>
      <c r="B105" s="16"/>
      <c r="C105" s="15">
        <v>33.39</v>
      </c>
      <c r="D105" s="15">
        <v>34.32</v>
      </c>
      <c r="E105" s="15">
        <v>52.44</v>
      </c>
      <c r="F105" s="15">
        <v>63.69</v>
      </c>
      <c r="G105" s="15">
        <v>37.12</v>
      </c>
      <c r="H105" s="15">
        <v>60.81</v>
      </c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ht="15.0" customHeight="1">
      <c r="A106" s="14" t="s">
        <v>252</v>
      </c>
      <c r="B106" s="16"/>
      <c r="C106" s="16"/>
      <c r="D106" s="20">
        <v>-1.12</v>
      </c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ht="15.0" customHeight="1">
      <c r="A107" s="14" t="s">
        <v>253</v>
      </c>
      <c r="B107" s="16"/>
      <c r="C107" s="15">
        <v>22.38</v>
      </c>
      <c r="D107" s="15">
        <v>21.4</v>
      </c>
      <c r="E107" s="15">
        <v>18.54</v>
      </c>
      <c r="F107" s="15">
        <v>19.68</v>
      </c>
      <c r="G107" s="15">
        <v>2.19</v>
      </c>
      <c r="H107" s="15">
        <v>6.1</v>
      </c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ht="15.0" customHeight="1">
      <c r="A108" s="14" t="s">
        <v>254</v>
      </c>
      <c r="B108" s="16"/>
      <c r="C108" s="15">
        <v>2.07</v>
      </c>
      <c r="D108" s="15">
        <v>1.48</v>
      </c>
      <c r="E108" s="15">
        <v>1.16</v>
      </c>
      <c r="F108" s="15">
        <v>2.04</v>
      </c>
      <c r="G108" s="15">
        <v>0.97</v>
      </c>
      <c r="H108" s="15">
        <v>0.33</v>
      </c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ht="15.0" customHeight="1">
      <c r="A109" s="14" t="s">
        <v>255</v>
      </c>
      <c r="B109" s="16"/>
      <c r="C109" s="15">
        <v>3.61</v>
      </c>
      <c r="D109" s="15">
        <v>3.58</v>
      </c>
      <c r="E109" s="15">
        <v>17.37</v>
      </c>
      <c r="F109" s="15">
        <v>17.64</v>
      </c>
      <c r="G109" s="15">
        <v>1.22</v>
      </c>
      <c r="H109" s="15">
        <v>1.34</v>
      </c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ht="15.0" customHeight="1">
      <c r="A110" s="14" t="s">
        <v>256</v>
      </c>
      <c r="B110" s="16"/>
      <c r="C110" s="15">
        <v>16.7</v>
      </c>
      <c r="D110" s="15">
        <v>16.34</v>
      </c>
      <c r="E110" s="16"/>
      <c r="F110" s="16"/>
      <c r="G110" s="16"/>
      <c r="H110" s="15">
        <v>4.43</v>
      </c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ht="15.0" customHeight="1">
      <c r="A111" s="14" t="s">
        <v>257</v>
      </c>
      <c r="B111" s="16"/>
      <c r="C111" s="16"/>
      <c r="D111" s="15">
        <v>61.97</v>
      </c>
      <c r="E111" s="15">
        <v>53.47</v>
      </c>
      <c r="F111" s="15">
        <v>58.97</v>
      </c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ht="15.0" customHeight="1">
      <c r="A112" s="14" t="s">
        <v>258</v>
      </c>
      <c r="B112" s="15">
        <v>1.0</v>
      </c>
      <c r="C112" s="15">
        <v>1.0</v>
      </c>
      <c r="D112" s="15">
        <v>1.0</v>
      </c>
      <c r="E112" s="15">
        <v>1.0</v>
      </c>
      <c r="F112" s="15">
        <v>1.0</v>
      </c>
      <c r="G112" s="15">
        <v>1.0</v>
      </c>
      <c r="H112" s="15">
        <v>1.0</v>
      </c>
      <c r="I112" s="15">
        <v>1.0</v>
      </c>
      <c r="J112" s="15">
        <v>1.0</v>
      </c>
      <c r="K112" s="15">
        <v>1.0</v>
      </c>
      <c r="L112" s="15">
        <v>1.0</v>
      </c>
      <c r="M112" s="15">
        <v>1.0</v>
      </c>
      <c r="N112" s="15">
        <v>1.0</v>
      </c>
      <c r="O112" s="15">
        <v>1.0</v>
      </c>
      <c r="P112" s="15">
        <v>1.0</v>
      </c>
      <c r="Q112" s="15">
        <v>1.0</v>
      </c>
      <c r="R112" s="15">
        <v>1.0</v>
      </c>
      <c r="S112" s="15">
        <v>1.0</v>
      </c>
      <c r="T112" s="15">
        <v>1.0</v>
      </c>
      <c r="U112" s="15">
        <v>1.0</v>
      </c>
      <c r="V112" s="15">
        <v>1.0</v>
      </c>
      <c r="W112" s="15">
        <v>1.0</v>
      </c>
      <c r="X112" s="15">
        <v>1.0</v>
      </c>
      <c r="Y112" s="15">
        <v>1.0</v>
      </c>
      <c r="Z112" s="15">
        <v>1.0</v>
      </c>
      <c r="AA112" s="15">
        <v>1.0</v>
      </c>
    </row>
    <row r="113" ht="15.0" customHeight="1">
      <c r="A113" s="14" t="s">
        <v>259</v>
      </c>
      <c r="B113" s="15">
        <v>6.39</v>
      </c>
      <c r="C113" s="15">
        <v>6.39</v>
      </c>
      <c r="D113" s="15">
        <v>6.39</v>
      </c>
      <c r="E113" s="15">
        <v>6.39</v>
      </c>
      <c r="F113" s="15">
        <v>6.18</v>
      </c>
      <c r="G113" s="15">
        <v>6.18</v>
      </c>
      <c r="H113" s="15">
        <v>6.18</v>
      </c>
      <c r="I113" s="15">
        <v>6.18</v>
      </c>
      <c r="J113" s="15">
        <v>6.18</v>
      </c>
      <c r="K113" s="15">
        <v>3.52</v>
      </c>
      <c r="L113" s="15">
        <v>3.18</v>
      </c>
      <c r="M113" s="15">
        <v>1.52</v>
      </c>
      <c r="N113" s="15">
        <v>1.52</v>
      </c>
      <c r="O113" s="15">
        <v>1.52</v>
      </c>
      <c r="P113" s="15">
        <v>1.52</v>
      </c>
      <c r="Q113" s="15">
        <v>1.52</v>
      </c>
      <c r="R113" s="15">
        <v>1.52</v>
      </c>
      <c r="S113" s="15">
        <v>1.52</v>
      </c>
      <c r="T113" s="15">
        <v>1.52</v>
      </c>
      <c r="U113" s="15">
        <v>1.52</v>
      </c>
      <c r="V113" s="15">
        <v>1.52</v>
      </c>
      <c r="W113" s="15">
        <v>1.52</v>
      </c>
      <c r="X113" s="15">
        <v>1.52</v>
      </c>
      <c r="Y113" s="15">
        <v>1.52</v>
      </c>
      <c r="Z113" s="15">
        <v>1.52</v>
      </c>
      <c r="AA113" s="15">
        <v>1.52</v>
      </c>
    </row>
    <row r="114" ht="15.0" customHeight="1">
      <c r="A114" s="14" t="s">
        <v>260</v>
      </c>
      <c r="B114" s="15">
        <v>0.02</v>
      </c>
      <c r="C114" s="15">
        <v>0.02</v>
      </c>
      <c r="D114" s="15">
        <v>0.01</v>
      </c>
      <c r="E114" s="16">
        <v>0.0</v>
      </c>
      <c r="F114" s="16">
        <v>0.0</v>
      </c>
      <c r="G114" s="15">
        <v>0.23</v>
      </c>
      <c r="H114" s="15">
        <v>0.17</v>
      </c>
      <c r="I114" s="15">
        <v>0.15</v>
      </c>
      <c r="J114" s="15">
        <v>0.17</v>
      </c>
      <c r="K114" s="15">
        <v>0.21</v>
      </c>
      <c r="L114" s="16">
        <v>0.0</v>
      </c>
      <c r="M114" s="16">
        <v>0.0</v>
      </c>
      <c r="N114" s="16">
        <v>0.0</v>
      </c>
      <c r="O114" s="16">
        <v>0.0</v>
      </c>
      <c r="P114" s="16">
        <v>0.0</v>
      </c>
      <c r="Q114" s="16">
        <v>0.0</v>
      </c>
      <c r="R114" s="16">
        <v>0.0</v>
      </c>
      <c r="S114" s="16">
        <v>0.0</v>
      </c>
      <c r="T114" s="16">
        <v>0.0</v>
      </c>
      <c r="U114" s="16">
        <v>0.0</v>
      </c>
      <c r="V114" s="16">
        <v>0.0</v>
      </c>
      <c r="W114" s="16">
        <v>0.0</v>
      </c>
      <c r="X114" s="16">
        <v>0.0</v>
      </c>
      <c r="Y114" s="16">
        <v>0.0</v>
      </c>
      <c r="Z114" s="16">
        <v>0.0</v>
      </c>
      <c r="AA114" s="16">
        <v>0.0</v>
      </c>
    </row>
    <row r="115" ht="15.0" customHeight="1">
      <c r="A115" s="14" t="s">
        <v>261</v>
      </c>
      <c r="B115" s="15">
        <v>6.37</v>
      </c>
      <c r="C115" s="15">
        <v>6.37</v>
      </c>
      <c r="D115" s="15">
        <v>6.37</v>
      </c>
      <c r="E115" s="15">
        <v>6.39</v>
      </c>
      <c r="F115" s="15">
        <v>6.18</v>
      </c>
      <c r="G115" s="15">
        <v>5.95</v>
      </c>
      <c r="H115" s="15">
        <v>6.01</v>
      </c>
      <c r="I115" s="15">
        <v>6.03</v>
      </c>
      <c r="J115" s="15">
        <v>6.02</v>
      </c>
      <c r="K115" s="15">
        <v>3.31</v>
      </c>
      <c r="L115" s="15">
        <v>3.18</v>
      </c>
      <c r="M115" s="15">
        <v>1.52</v>
      </c>
      <c r="N115" s="15">
        <v>1.52</v>
      </c>
      <c r="O115" s="15">
        <v>1.52</v>
      </c>
      <c r="P115" s="15">
        <v>1.52</v>
      </c>
      <c r="Q115" s="15">
        <v>1.52</v>
      </c>
      <c r="R115" s="15">
        <v>1.52</v>
      </c>
      <c r="S115" s="15">
        <v>1.52</v>
      </c>
      <c r="T115" s="15">
        <v>1.52</v>
      </c>
      <c r="U115" s="15">
        <v>1.52</v>
      </c>
      <c r="V115" s="15">
        <v>1.52</v>
      </c>
      <c r="W115" s="15">
        <v>1.52</v>
      </c>
      <c r="X115" s="15">
        <v>1.52</v>
      </c>
      <c r="Y115" s="15">
        <v>1.52</v>
      </c>
      <c r="Z115" s="15">
        <v>1.52</v>
      </c>
      <c r="AA115" s="15">
        <v>1.52</v>
      </c>
    </row>
    <row r="116" ht="15.0" customHeight="1">
      <c r="A116" s="14" t="s">
        <v>262</v>
      </c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>
        <v>0.0</v>
      </c>
      <c r="P116" s="16">
        <v>0.0</v>
      </c>
      <c r="Q116" s="16">
        <v>0.0</v>
      </c>
      <c r="R116" s="16">
        <v>0.0</v>
      </c>
      <c r="S116" s="16">
        <v>0.0</v>
      </c>
      <c r="T116" s="16">
        <v>0.0</v>
      </c>
      <c r="U116" s="16">
        <v>0.0</v>
      </c>
      <c r="V116" s="16">
        <v>0.0</v>
      </c>
      <c r="W116" s="16">
        <v>0.0</v>
      </c>
      <c r="X116" s="16">
        <v>0.0</v>
      </c>
      <c r="Y116" s="16">
        <v>0.0</v>
      </c>
      <c r="Z116" s="16"/>
      <c r="AA116" s="16">
        <v>0.0</v>
      </c>
    </row>
    <row r="117" ht="15.0" customHeight="1">
      <c r="A117" s="14" t="s">
        <v>263</v>
      </c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5">
        <v>0.02</v>
      </c>
      <c r="P117" s="15">
        <v>0.02</v>
      </c>
      <c r="Q117" s="15">
        <v>0.02</v>
      </c>
      <c r="R117" s="15">
        <v>0.02</v>
      </c>
      <c r="S117" s="16"/>
      <c r="T117" s="16"/>
      <c r="U117" s="16"/>
      <c r="V117" s="16"/>
      <c r="W117" s="16"/>
      <c r="X117" s="16"/>
      <c r="Y117" s="16"/>
      <c r="Z117" s="16"/>
      <c r="AA117" s="16"/>
    </row>
    <row r="118" ht="15.0" customHeight="1">
      <c r="A118" s="14" t="s">
        <v>264</v>
      </c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5">
        <v>0.09</v>
      </c>
      <c r="P118" s="15">
        <v>0.09</v>
      </c>
      <c r="Q118" s="15">
        <v>0.09</v>
      </c>
      <c r="R118" s="15">
        <v>0.09</v>
      </c>
      <c r="S118" s="16"/>
      <c r="T118" s="16"/>
      <c r="U118" s="16"/>
      <c r="V118" s="16"/>
      <c r="W118" s="16"/>
      <c r="X118" s="16"/>
      <c r="Y118" s="16"/>
      <c r="Z118" s="16"/>
      <c r="AA118" s="16"/>
    </row>
    <row r="119" ht="15.0" customHeight="1">
      <c r="A119" s="14" t="s">
        <v>265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5">
        <v>0.42</v>
      </c>
      <c r="P119" s="15">
        <v>0.45</v>
      </c>
      <c r="Q119" s="15">
        <v>0.47</v>
      </c>
      <c r="R119" s="15">
        <v>0.52</v>
      </c>
      <c r="S119" s="16"/>
      <c r="T119" s="16"/>
      <c r="U119" s="16"/>
      <c r="V119" s="16"/>
      <c r="W119" s="16"/>
      <c r="X119" s="16"/>
      <c r="Y119" s="16"/>
      <c r="Z119" s="16"/>
      <c r="AA119" s="16"/>
    </row>
    <row r="120" ht="15.0" customHeight="1">
      <c r="A120" s="14" t="s">
        <v>266</v>
      </c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5">
        <v>0.52</v>
      </c>
      <c r="P120" s="15">
        <v>0.56</v>
      </c>
      <c r="Q120" s="15">
        <v>0.58</v>
      </c>
      <c r="R120" s="15">
        <v>0.64</v>
      </c>
      <c r="S120" s="16"/>
      <c r="T120" s="16"/>
      <c r="U120" s="16"/>
      <c r="V120" s="16"/>
      <c r="W120" s="16"/>
      <c r="X120" s="16"/>
      <c r="Y120" s="16"/>
      <c r="Z120" s="16"/>
      <c r="AA120" s="16"/>
    </row>
    <row r="121" ht="15.0" customHeight="1">
      <c r="A121" s="14" t="s">
        <v>267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25">
        <v>247.0</v>
      </c>
      <c r="P121" s="25">
        <v>253.0</v>
      </c>
      <c r="Q121" s="16"/>
      <c r="R121" s="25">
        <v>268.0</v>
      </c>
      <c r="S121" s="25">
        <v>252.0</v>
      </c>
      <c r="T121" s="25">
        <v>248.0</v>
      </c>
      <c r="U121" s="25">
        <v>252.0</v>
      </c>
      <c r="V121" s="25">
        <v>252.0</v>
      </c>
      <c r="W121" s="25">
        <v>239.0</v>
      </c>
      <c r="X121" s="25">
        <v>243.0</v>
      </c>
      <c r="Y121" s="25">
        <v>243.0</v>
      </c>
      <c r="Z121" s="16"/>
      <c r="AA121" s="25">
        <v>247.0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7" width="15.71"/>
  </cols>
  <sheetData>
    <row r="1" ht="15.0" customHeight="1">
      <c r="A1" s="1" t="s">
        <v>268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46097.3549134028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</row>
    <row r="12" ht="15.0" customHeight="1" outlineLevel="1">
      <c r="A12" s="8" t="s">
        <v>44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</row>
    <row r="13" ht="15.0" customHeight="1" outlineLevel="1">
      <c r="A13" s="8" t="s">
        <v>45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38352.0</v>
      </c>
      <c r="X13" s="9">
        <v>38352.0</v>
      </c>
      <c r="Y13" s="9">
        <v>37621.0</v>
      </c>
      <c r="Z13" s="9">
        <v>37256.0</v>
      </c>
      <c r="AA13" s="9">
        <v>37256.0</v>
      </c>
    </row>
    <row r="14" ht="15.0" customHeight="1" outlineLevel="1">
      <c r="A14" s="8" t="s">
        <v>46</v>
      </c>
      <c r="B14" s="10" t="s">
        <v>47</v>
      </c>
      <c r="C14" s="10" t="s">
        <v>47</v>
      </c>
      <c r="D14" s="10" t="s">
        <v>47</v>
      </c>
      <c r="E14" s="10" t="s">
        <v>47</v>
      </c>
      <c r="F14" s="10" t="s">
        <v>47</v>
      </c>
      <c r="G14" s="10" t="s">
        <v>47</v>
      </c>
      <c r="H14" s="10" t="s">
        <v>47</v>
      </c>
      <c r="I14" s="10" t="s">
        <v>47</v>
      </c>
      <c r="J14" s="10" t="s">
        <v>47</v>
      </c>
      <c r="K14" s="10" t="s">
        <v>47</v>
      </c>
      <c r="L14" s="10" t="s">
        <v>47</v>
      </c>
      <c r="M14" s="10" t="s">
        <v>47</v>
      </c>
      <c r="N14" s="10" t="s">
        <v>47</v>
      </c>
      <c r="O14" s="10" t="s">
        <v>47</v>
      </c>
      <c r="P14" s="10" t="s">
        <v>47</v>
      </c>
      <c r="Q14" s="10" t="s">
        <v>47</v>
      </c>
      <c r="R14" s="10" t="s">
        <v>47</v>
      </c>
      <c r="S14" s="10" t="s">
        <v>47</v>
      </c>
      <c r="T14" s="10" t="s">
        <v>47</v>
      </c>
      <c r="U14" s="10" t="s">
        <v>47</v>
      </c>
      <c r="V14" s="10" t="s">
        <v>47</v>
      </c>
      <c r="W14" s="10" t="s">
        <v>47</v>
      </c>
      <c r="X14" s="10" t="s">
        <v>47</v>
      </c>
      <c r="Y14" s="10" t="s">
        <v>47</v>
      </c>
      <c r="Z14" s="10" t="s">
        <v>47</v>
      </c>
      <c r="AA14" s="10" t="s">
        <v>47</v>
      </c>
    </row>
    <row r="15" ht="15.0" customHeight="1" outlineLevel="1">
      <c r="A15" s="8" t="s">
        <v>48</v>
      </c>
      <c r="B15" s="10" t="s">
        <v>269</v>
      </c>
      <c r="C15" s="10" t="s">
        <v>269</v>
      </c>
      <c r="D15" s="10" t="s">
        <v>269</v>
      </c>
      <c r="E15" s="10" t="s">
        <v>269</v>
      </c>
      <c r="F15" s="10" t="s">
        <v>269</v>
      </c>
      <c r="G15" s="10" t="s">
        <v>269</v>
      </c>
      <c r="H15" s="10" t="s">
        <v>269</v>
      </c>
      <c r="I15" s="10" t="s">
        <v>269</v>
      </c>
      <c r="J15" s="10" t="s">
        <v>269</v>
      </c>
      <c r="K15" s="10" t="s">
        <v>269</v>
      </c>
      <c r="L15" s="10" t="s">
        <v>269</v>
      </c>
      <c r="M15" s="10" t="s">
        <v>269</v>
      </c>
      <c r="N15" s="10" t="s">
        <v>269</v>
      </c>
      <c r="O15" s="10" t="s">
        <v>269</v>
      </c>
      <c r="P15" s="10" t="s">
        <v>269</v>
      </c>
      <c r="Q15" s="10" t="s">
        <v>269</v>
      </c>
      <c r="R15" s="10" t="s">
        <v>269</v>
      </c>
      <c r="S15" s="10" t="s">
        <v>269</v>
      </c>
      <c r="T15" s="10" t="s">
        <v>269</v>
      </c>
      <c r="U15" s="10" t="s">
        <v>269</v>
      </c>
      <c r="V15" s="10" t="s">
        <v>269</v>
      </c>
      <c r="W15" s="10" t="s">
        <v>269</v>
      </c>
      <c r="X15" s="10" t="s">
        <v>269</v>
      </c>
      <c r="Y15" s="10" t="s">
        <v>269</v>
      </c>
      <c r="Z15" s="10" t="s">
        <v>269</v>
      </c>
      <c r="AA15" s="10" t="s">
        <v>269</v>
      </c>
    </row>
    <row r="16" ht="15.0" customHeight="1" outlineLevel="1">
      <c r="A16" s="8" t="s">
        <v>50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  <c r="Y16" s="11">
        <v>7.50729371376168</v>
      </c>
      <c r="Z16" s="11">
        <v>8.04299023015842</v>
      </c>
      <c r="AA16" s="11">
        <v>8.11070182587765</v>
      </c>
    </row>
    <row r="18">
      <c r="A18" s="12" t="s">
        <v>270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12" t="s">
        <v>52</v>
      </c>
      <c r="B19" s="13" t="s">
        <v>53</v>
      </c>
      <c r="C19" s="13" t="s">
        <v>54</v>
      </c>
      <c r="D19" s="13" t="s">
        <v>55</v>
      </c>
      <c r="E19" s="13" t="s">
        <v>56</v>
      </c>
      <c r="F19" s="13" t="s">
        <v>57</v>
      </c>
      <c r="G19" s="13" t="s">
        <v>58</v>
      </c>
      <c r="H19" s="13" t="s">
        <v>59</v>
      </c>
      <c r="I19" s="13" t="s">
        <v>60</v>
      </c>
      <c r="J19" s="13" t="s">
        <v>61</v>
      </c>
      <c r="K19" s="13" t="s">
        <v>62</v>
      </c>
      <c r="L19" s="13" t="s">
        <v>63</v>
      </c>
      <c r="M19" s="13" t="s">
        <v>64</v>
      </c>
      <c r="N19" s="13" t="s">
        <v>65</v>
      </c>
      <c r="O19" s="13" t="s">
        <v>66</v>
      </c>
      <c r="P19" s="13" t="s">
        <v>67</v>
      </c>
      <c r="Q19" s="13" t="s">
        <v>68</v>
      </c>
      <c r="R19" s="13" t="s">
        <v>69</v>
      </c>
      <c r="S19" s="13" t="s">
        <v>70</v>
      </c>
      <c r="T19" s="13" t="s">
        <v>71</v>
      </c>
      <c r="U19" s="13" t="s">
        <v>72</v>
      </c>
      <c r="V19" s="13" t="s">
        <v>73</v>
      </c>
      <c r="W19" s="13" t="s">
        <v>74</v>
      </c>
      <c r="X19" s="13" t="s">
        <v>75</v>
      </c>
      <c r="Y19" s="13" t="s">
        <v>76</v>
      </c>
      <c r="Z19" s="13" t="s">
        <v>77</v>
      </c>
      <c r="AA19" s="13" t="s">
        <v>78</v>
      </c>
    </row>
    <row r="20" ht="15.0" customHeight="1">
      <c r="A20" s="14" t="s">
        <v>271</v>
      </c>
      <c r="B20" s="16"/>
      <c r="C20" s="25">
        <v>123.11</v>
      </c>
      <c r="D20" s="15">
        <v>40.11</v>
      </c>
      <c r="E20" s="15">
        <v>40.55</v>
      </c>
      <c r="F20" s="20">
        <v>-11.15</v>
      </c>
      <c r="G20" s="20">
        <v>-23.16</v>
      </c>
      <c r="H20" s="15">
        <v>26.98</v>
      </c>
      <c r="I20" s="15">
        <v>41.61</v>
      </c>
      <c r="J20" s="15">
        <v>51.79</v>
      </c>
      <c r="K20" s="15">
        <v>39.23</v>
      </c>
      <c r="L20" s="15">
        <v>39.11</v>
      </c>
      <c r="M20" s="15">
        <v>6.69</v>
      </c>
      <c r="N20" s="15">
        <v>0.42</v>
      </c>
      <c r="O20" s="15">
        <v>2.1</v>
      </c>
      <c r="P20" s="20">
        <v>-1.09</v>
      </c>
      <c r="Q20" s="15">
        <v>4.4</v>
      </c>
      <c r="R20" s="15">
        <v>5.68</v>
      </c>
      <c r="S20" s="15">
        <v>2.4</v>
      </c>
      <c r="T20" s="15">
        <v>2.33</v>
      </c>
      <c r="U20" s="15">
        <v>7.38</v>
      </c>
      <c r="V20" s="15">
        <v>3.22</v>
      </c>
      <c r="W20" s="15">
        <v>4.18</v>
      </c>
      <c r="X20" s="15">
        <v>3.5</v>
      </c>
      <c r="Y20" s="15">
        <v>1.92</v>
      </c>
      <c r="Z20" s="15">
        <v>1.5</v>
      </c>
      <c r="AA20" s="15">
        <v>1.03</v>
      </c>
    </row>
    <row r="21" ht="15.0" customHeight="1">
      <c r="A21" s="14" t="s">
        <v>272</v>
      </c>
      <c r="B21" s="16"/>
      <c r="C21" s="15">
        <v>17.43</v>
      </c>
      <c r="D21" s="15">
        <v>6.84</v>
      </c>
      <c r="E21" s="15">
        <v>0.62</v>
      </c>
      <c r="F21" s="16"/>
      <c r="G21" s="16"/>
      <c r="H21" s="16"/>
      <c r="I21" s="16"/>
      <c r="J21" s="16"/>
      <c r="K21" s="16"/>
      <c r="L21" s="16"/>
      <c r="M21" s="16"/>
      <c r="N21" s="15">
        <v>1.58</v>
      </c>
      <c r="O21" s="15">
        <v>1.38</v>
      </c>
      <c r="P21" s="15">
        <v>1.16</v>
      </c>
      <c r="Q21" s="15">
        <v>0.96</v>
      </c>
      <c r="R21" s="15">
        <v>1.09</v>
      </c>
      <c r="S21" s="15">
        <v>1.03</v>
      </c>
      <c r="T21" s="15">
        <v>0.99</v>
      </c>
      <c r="U21" s="15">
        <v>1.01</v>
      </c>
      <c r="V21" s="15">
        <v>0.99</v>
      </c>
      <c r="W21" s="15">
        <v>1.0</v>
      </c>
      <c r="X21" s="15">
        <v>0.94</v>
      </c>
      <c r="Y21" s="15">
        <v>0.88</v>
      </c>
      <c r="Z21" s="15">
        <v>0.93</v>
      </c>
      <c r="AA21" s="15">
        <v>0.97</v>
      </c>
    </row>
    <row r="22" ht="15.0" customHeight="1">
      <c r="A22" s="14" t="s">
        <v>273</v>
      </c>
      <c r="B22" s="16"/>
      <c r="C22" s="20">
        <v>-63.35</v>
      </c>
      <c r="D22" s="20">
        <v>-42.32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ht="15.0" customHeight="1">
      <c r="A23" s="14" t="s">
        <v>112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5">
        <v>0.27</v>
      </c>
      <c r="O23" s="15">
        <v>0.28</v>
      </c>
      <c r="P23" s="15">
        <v>1.88</v>
      </c>
      <c r="Q23" s="15">
        <v>0.04</v>
      </c>
      <c r="R23" s="16">
        <v>0.0</v>
      </c>
      <c r="S23" s="15">
        <v>0.28</v>
      </c>
      <c r="T23" s="16">
        <v>0.0</v>
      </c>
      <c r="U23" s="15">
        <v>0.06</v>
      </c>
      <c r="V23" s="15">
        <v>0.18</v>
      </c>
      <c r="W23" s="16"/>
      <c r="X23" s="16"/>
      <c r="Y23" s="16"/>
      <c r="Z23" s="16"/>
      <c r="AA23" s="16"/>
    </row>
    <row r="24" ht="15.0" customHeight="1">
      <c r="A24" s="14" t="s">
        <v>106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20">
        <v>-0.6</v>
      </c>
      <c r="O24" s="20">
        <v>-1.95</v>
      </c>
      <c r="P24" s="20">
        <v>-0.45</v>
      </c>
      <c r="Q24" s="20">
        <v>-3.02</v>
      </c>
      <c r="R24" s="20">
        <v>-3.31</v>
      </c>
      <c r="S24" s="20">
        <v>-0.35</v>
      </c>
      <c r="T24" s="20">
        <v>-0.23</v>
      </c>
      <c r="U24" s="20">
        <v>-0.13</v>
      </c>
      <c r="V24" s="20">
        <v>-0.14</v>
      </c>
      <c r="W24" s="16"/>
      <c r="X24" s="16"/>
      <c r="Y24" s="16"/>
      <c r="Z24" s="16"/>
      <c r="AA24" s="16"/>
    </row>
    <row r="25" ht="15.0" customHeight="1">
      <c r="A25" s="14" t="s">
        <v>274</v>
      </c>
      <c r="B25" s="16"/>
      <c r="C25" s="20">
        <v>-34.45</v>
      </c>
      <c r="D25" s="15">
        <v>1.2</v>
      </c>
      <c r="E25" s="20">
        <v>-7.7</v>
      </c>
      <c r="F25" s="15">
        <v>8.69</v>
      </c>
      <c r="G25" s="15">
        <v>7.97</v>
      </c>
      <c r="H25" s="20">
        <v>-6.0</v>
      </c>
      <c r="I25" s="15">
        <v>0.17</v>
      </c>
      <c r="J25" s="15">
        <v>0.31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ht="15.0" customHeight="1">
      <c r="A26" s="14" t="s">
        <v>275</v>
      </c>
      <c r="B26" s="16"/>
      <c r="C26" s="15">
        <v>3.58</v>
      </c>
      <c r="D26" s="15">
        <v>4.04</v>
      </c>
      <c r="E26" s="15">
        <v>2.48</v>
      </c>
      <c r="F26" s="15">
        <v>0.85</v>
      </c>
      <c r="G26" s="15">
        <v>0.25</v>
      </c>
      <c r="H26" s="15">
        <v>0.19</v>
      </c>
      <c r="I26" s="15">
        <v>0.36</v>
      </c>
      <c r="J26" s="15">
        <v>0.06</v>
      </c>
      <c r="K26" s="15">
        <v>0.03</v>
      </c>
      <c r="L26" s="16">
        <v>0.0</v>
      </c>
      <c r="M26" s="15">
        <v>0.01</v>
      </c>
      <c r="N26" s="15">
        <v>0.01</v>
      </c>
      <c r="O26" s="15">
        <v>0.03</v>
      </c>
      <c r="P26" s="15">
        <v>0.08</v>
      </c>
      <c r="Q26" s="16">
        <v>0.0</v>
      </c>
      <c r="R26" s="15">
        <v>0.19</v>
      </c>
      <c r="S26" s="15">
        <v>0.27</v>
      </c>
      <c r="T26" s="15">
        <v>0.18</v>
      </c>
      <c r="U26" s="15">
        <v>0.06</v>
      </c>
      <c r="V26" s="15">
        <v>0.03</v>
      </c>
      <c r="W26" s="15">
        <v>0.85</v>
      </c>
      <c r="X26" s="15">
        <v>0.2</v>
      </c>
      <c r="Y26" s="15">
        <v>0.04</v>
      </c>
      <c r="Z26" s="15">
        <v>0.06</v>
      </c>
      <c r="AA26" s="15">
        <v>0.15</v>
      </c>
    </row>
    <row r="27" ht="15.0" customHeight="1">
      <c r="A27" s="14" t="s">
        <v>276</v>
      </c>
      <c r="B27" s="16"/>
      <c r="C27" s="20">
        <v>-19.63</v>
      </c>
      <c r="D27" s="20">
        <v>-8.38</v>
      </c>
      <c r="E27" s="20">
        <v>-4.9</v>
      </c>
      <c r="F27" s="20">
        <v>-7.1</v>
      </c>
      <c r="G27" s="20">
        <v>-12.35</v>
      </c>
      <c r="H27" s="20">
        <v>-13.35</v>
      </c>
      <c r="I27" s="20">
        <v>-6.05</v>
      </c>
      <c r="J27" s="20">
        <v>-4.24</v>
      </c>
      <c r="K27" s="20">
        <v>-2.35</v>
      </c>
      <c r="L27" s="20">
        <v>-1.1</v>
      </c>
      <c r="M27" s="20">
        <v>-0.33</v>
      </c>
      <c r="N27" s="20">
        <v>-0.3</v>
      </c>
      <c r="O27" s="20">
        <v>-0.24</v>
      </c>
      <c r="P27" s="20">
        <v>-0.29</v>
      </c>
      <c r="Q27" s="20">
        <v>-0.04</v>
      </c>
      <c r="R27" s="16">
        <v>0.0</v>
      </c>
      <c r="S27" s="16">
        <v>0.0</v>
      </c>
      <c r="T27" s="16">
        <v>0.0</v>
      </c>
      <c r="U27" s="20">
        <v>-0.07</v>
      </c>
      <c r="V27" s="20">
        <v>-0.19</v>
      </c>
      <c r="W27" s="20">
        <v>-0.23</v>
      </c>
      <c r="X27" s="20">
        <v>-0.26</v>
      </c>
      <c r="Y27" s="20">
        <v>-0.26</v>
      </c>
      <c r="Z27" s="20">
        <v>-0.36</v>
      </c>
      <c r="AA27" s="20">
        <v>-0.79</v>
      </c>
    </row>
    <row r="28" ht="15.0" customHeight="1">
      <c r="A28" s="14" t="s">
        <v>277</v>
      </c>
      <c r="B28" s="16"/>
      <c r="C28" s="20">
        <v>-3.22</v>
      </c>
      <c r="D28" s="20">
        <v>-0.55</v>
      </c>
      <c r="E28" s="20">
        <v>-8.35</v>
      </c>
      <c r="F28" s="20">
        <v>-0.99</v>
      </c>
      <c r="G28" s="20">
        <v>-1.48</v>
      </c>
      <c r="H28" s="20">
        <v>-15.41</v>
      </c>
      <c r="I28" s="20">
        <v>-5.77</v>
      </c>
      <c r="J28" s="20">
        <v>-1.24</v>
      </c>
      <c r="K28" s="20">
        <v>-2.18</v>
      </c>
      <c r="L28" s="20">
        <v>-0.28</v>
      </c>
      <c r="M28" s="20">
        <v>-0.26</v>
      </c>
      <c r="N28" s="20">
        <v>-0.19</v>
      </c>
      <c r="O28" s="15">
        <v>0.13</v>
      </c>
      <c r="P28" s="20">
        <v>-0.16</v>
      </c>
      <c r="Q28" s="20">
        <v>-0.69</v>
      </c>
      <c r="R28" s="20">
        <v>-0.91</v>
      </c>
      <c r="S28" s="20">
        <v>-0.49</v>
      </c>
      <c r="T28" s="15">
        <v>0.13</v>
      </c>
      <c r="U28" s="20">
        <v>-1.12</v>
      </c>
      <c r="V28" s="20">
        <v>-0.24</v>
      </c>
      <c r="W28" s="20">
        <v>-0.19</v>
      </c>
      <c r="X28" s="20">
        <v>-0.26</v>
      </c>
      <c r="Y28" s="20">
        <v>-0.36</v>
      </c>
      <c r="Z28" s="20">
        <v>-0.01</v>
      </c>
      <c r="AA28" s="20">
        <v>-0.01</v>
      </c>
    </row>
    <row r="29" ht="15.0" customHeight="1">
      <c r="A29" s="14" t="s">
        <v>278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20">
        <v>-0.05</v>
      </c>
      <c r="O29" s="20">
        <v>-0.01</v>
      </c>
      <c r="P29" s="15">
        <v>0.75</v>
      </c>
      <c r="Q29" s="20">
        <v>-0.18</v>
      </c>
      <c r="R29" s="15">
        <v>0.48</v>
      </c>
      <c r="S29" s="20">
        <v>-0.12</v>
      </c>
      <c r="T29" s="15">
        <v>0.58</v>
      </c>
      <c r="U29" s="20">
        <v>-0.74</v>
      </c>
      <c r="V29" s="15">
        <v>0.42</v>
      </c>
      <c r="W29" s="20">
        <v>-0.13</v>
      </c>
      <c r="X29" s="20">
        <v>-0.06</v>
      </c>
      <c r="Y29" s="20">
        <v>-0.77</v>
      </c>
      <c r="Z29" s="20">
        <v>-0.47</v>
      </c>
      <c r="AA29" s="15">
        <v>0.15</v>
      </c>
    </row>
    <row r="30" ht="15.0" customHeight="1">
      <c r="A30" s="14" t="s">
        <v>279</v>
      </c>
      <c r="B30" s="15">
        <v>12.11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ht="15.0" customHeight="1">
      <c r="A31" s="14" t="s">
        <v>280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5">
        <v>0.21</v>
      </c>
      <c r="O31" s="20">
        <v>-0.13</v>
      </c>
      <c r="P31" s="20">
        <v>-1.33</v>
      </c>
      <c r="Q31" s="15">
        <v>1.5</v>
      </c>
      <c r="R31" s="20">
        <v>-0.05</v>
      </c>
      <c r="S31" s="15">
        <v>0.33</v>
      </c>
      <c r="T31" s="20">
        <v>-1.29</v>
      </c>
      <c r="U31" s="15">
        <v>0.89</v>
      </c>
      <c r="V31" s="20">
        <v>-0.02</v>
      </c>
      <c r="W31" s="16"/>
      <c r="X31" s="16"/>
      <c r="Y31" s="16"/>
      <c r="Z31" s="16"/>
      <c r="AA31" s="16"/>
    </row>
    <row r="32" ht="15.0" customHeight="1">
      <c r="A32" s="14" t="s">
        <v>105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>
        <v>0.0</v>
      </c>
      <c r="T32" s="16">
        <v>0.0</v>
      </c>
      <c r="U32" s="20">
        <v>-0.51</v>
      </c>
      <c r="V32" s="20">
        <v>-0.3</v>
      </c>
      <c r="W32" s="16"/>
      <c r="X32" s="16"/>
      <c r="Y32" s="16"/>
      <c r="Z32" s="16"/>
      <c r="AA32" s="16"/>
    </row>
    <row r="33" ht="15.0" customHeight="1">
      <c r="A33" s="14" t="s">
        <v>281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>
        <v>0.0</v>
      </c>
      <c r="T33" s="16">
        <v>0.0</v>
      </c>
      <c r="U33" s="15">
        <v>0.51</v>
      </c>
      <c r="V33" s="15">
        <v>0.3</v>
      </c>
      <c r="W33" s="16"/>
      <c r="X33" s="16"/>
      <c r="Y33" s="16"/>
      <c r="Z33" s="16"/>
      <c r="AA33" s="16"/>
    </row>
    <row r="34" ht="15.0" customHeight="1">
      <c r="A34" s="14" t="s">
        <v>282</v>
      </c>
      <c r="B34" s="16"/>
      <c r="C34" s="16"/>
      <c r="D34" s="16"/>
      <c r="E34" s="16"/>
      <c r="F34" s="16"/>
      <c r="G34" s="16"/>
      <c r="H34" s="16"/>
      <c r="I34" s="16"/>
      <c r="J34" s="16"/>
      <c r="K34" s="20">
        <v>-27.96</v>
      </c>
      <c r="L34" s="20">
        <v>-33.89</v>
      </c>
      <c r="M34" s="20">
        <v>-5.4</v>
      </c>
      <c r="N34" s="16"/>
      <c r="O34" s="16"/>
      <c r="P34" s="16"/>
      <c r="Q34" s="16"/>
      <c r="R34" s="16"/>
      <c r="S34" s="16">
        <v>0.0</v>
      </c>
      <c r="T34" s="20">
        <v>-0.01</v>
      </c>
      <c r="U34" s="20">
        <v>-4.02</v>
      </c>
      <c r="V34" s="16">
        <v>0.0</v>
      </c>
      <c r="W34" s="16">
        <v>0.0</v>
      </c>
      <c r="X34" s="16">
        <v>0.0</v>
      </c>
      <c r="Y34" s="16">
        <v>0.0</v>
      </c>
      <c r="Z34" s="16">
        <v>0.0</v>
      </c>
      <c r="AA34" s="20">
        <v>-0.55</v>
      </c>
    </row>
    <row r="35" ht="15.0" customHeight="1">
      <c r="A35" s="14" t="s">
        <v>283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>
        <v>0.0</v>
      </c>
      <c r="X35" s="16">
        <v>0.0</v>
      </c>
      <c r="Y35" s="16">
        <v>0.0</v>
      </c>
      <c r="Z35" s="16">
        <v>0.0</v>
      </c>
      <c r="AA35" s="15">
        <v>0.24</v>
      </c>
    </row>
    <row r="36" ht="15.0" customHeight="1">
      <c r="A36" s="14" t="s">
        <v>284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20">
        <v>-0.13</v>
      </c>
      <c r="X36" s="15">
        <v>0.04</v>
      </c>
      <c r="Y36" s="15">
        <v>0.41</v>
      </c>
      <c r="Z36" s="20">
        <v>-0.36</v>
      </c>
      <c r="AA36" s="20">
        <v>-2.7</v>
      </c>
    </row>
    <row r="37" ht="15.0" customHeight="1">
      <c r="A37" s="14" t="s">
        <v>285</v>
      </c>
      <c r="B37" s="16"/>
      <c r="C37" s="16"/>
      <c r="D37" s="16"/>
      <c r="E37" s="20">
        <v>-28.34</v>
      </c>
      <c r="F37" s="15">
        <v>31.48</v>
      </c>
      <c r="G37" s="15">
        <v>58.7</v>
      </c>
      <c r="H37" s="15">
        <v>21.16</v>
      </c>
      <c r="I37" s="20">
        <v>-17.17</v>
      </c>
      <c r="J37" s="20">
        <v>-33.18</v>
      </c>
      <c r="K37" s="20">
        <v>-0.76</v>
      </c>
      <c r="L37" s="15">
        <v>0.33</v>
      </c>
      <c r="M37" s="20">
        <v>-0.94</v>
      </c>
      <c r="N37" s="16"/>
      <c r="O37" s="16"/>
      <c r="P37" s="16"/>
      <c r="Q37" s="16"/>
      <c r="R37" s="16"/>
      <c r="S37" s="16"/>
      <c r="T37" s="16"/>
      <c r="U37" s="16"/>
      <c r="V37" s="16"/>
      <c r="W37" s="20">
        <v>-0.01</v>
      </c>
      <c r="X37" s="15">
        <v>0.01</v>
      </c>
      <c r="Y37" s="20">
        <v>-0.01</v>
      </c>
      <c r="Z37" s="16"/>
      <c r="AA37" s="15">
        <v>0.01</v>
      </c>
    </row>
    <row r="38" ht="15.0" customHeight="1">
      <c r="A38" s="14" t="s">
        <v>286</v>
      </c>
      <c r="B38" s="16"/>
      <c r="C38" s="16"/>
      <c r="D38" s="16"/>
      <c r="E38" s="16"/>
      <c r="F38" s="15">
        <v>0.01</v>
      </c>
      <c r="G38" s="15">
        <v>0.01</v>
      </c>
      <c r="H38" s="15">
        <v>0.01</v>
      </c>
      <c r="I38" s="15">
        <v>0.01</v>
      </c>
      <c r="J38" s="15">
        <v>0.01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ht="15.0" customHeight="1">
      <c r="A39" s="17" t="s">
        <v>287</v>
      </c>
      <c r="B39" s="18">
        <v>12.11</v>
      </c>
      <c r="C39" s="18">
        <v>23.47</v>
      </c>
      <c r="D39" s="18">
        <v>0.94</v>
      </c>
      <c r="E39" s="22">
        <v>-5.64</v>
      </c>
      <c r="F39" s="18">
        <v>21.8</v>
      </c>
      <c r="G39" s="18">
        <v>29.93</v>
      </c>
      <c r="H39" s="18">
        <v>13.58</v>
      </c>
      <c r="I39" s="18">
        <v>13.16</v>
      </c>
      <c r="J39" s="18">
        <v>13.51</v>
      </c>
      <c r="K39" s="18">
        <v>6.0</v>
      </c>
      <c r="L39" s="18">
        <v>4.18</v>
      </c>
      <c r="M39" s="22">
        <v>-0.24</v>
      </c>
      <c r="N39" s="18">
        <v>1.33</v>
      </c>
      <c r="O39" s="18">
        <v>1.59</v>
      </c>
      <c r="P39" s="18">
        <v>0.56</v>
      </c>
      <c r="Q39" s="18">
        <v>2.97</v>
      </c>
      <c r="R39" s="18">
        <v>3.18</v>
      </c>
      <c r="S39" s="18">
        <v>3.34</v>
      </c>
      <c r="T39" s="18">
        <v>2.69</v>
      </c>
      <c r="U39" s="18">
        <v>3.31</v>
      </c>
      <c r="V39" s="18">
        <v>4.24</v>
      </c>
      <c r="W39" s="18">
        <v>5.34</v>
      </c>
      <c r="X39" s="18">
        <v>4.11</v>
      </c>
      <c r="Y39" s="18">
        <v>1.85</v>
      </c>
      <c r="Z39" s="18">
        <v>1.29</v>
      </c>
      <c r="AA39" s="22">
        <v>-1.5</v>
      </c>
    </row>
    <row r="40" ht="15.0" customHeight="1">
      <c r="A40" s="14" t="s">
        <v>288</v>
      </c>
      <c r="B40" s="16"/>
      <c r="C40" s="16"/>
      <c r="D40" s="16"/>
      <c r="E40" s="16">
        <v>0.0</v>
      </c>
      <c r="F40" s="20">
        <v>-0.2</v>
      </c>
      <c r="G40" s="20">
        <v>-2.81</v>
      </c>
      <c r="H40" s="16">
        <v>0.0</v>
      </c>
      <c r="I40" s="20">
        <v>-0.12</v>
      </c>
      <c r="J40" s="20">
        <v>-0.36</v>
      </c>
      <c r="K40" s="16"/>
      <c r="L40" s="16"/>
      <c r="M40" s="16"/>
      <c r="N40" s="20">
        <v>-10.48</v>
      </c>
      <c r="O40" s="20">
        <v>-3.94</v>
      </c>
      <c r="P40" s="20">
        <v>-9.74</v>
      </c>
      <c r="Q40" s="20">
        <v>-3.24</v>
      </c>
      <c r="R40" s="16">
        <v>0.0</v>
      </c>
      <c r="S40" s="20">
        <v>-0.1</v>
      </c>
      <c r="T40" s="16">
        <v>0.0</v>
      </c>
      <c r="U40" s="16">
        <v>0.0</v>
      </c>
      <c r="V40" s="20">
        <v>-0.15</v>
      </c>
      <c r="W40" s="20">
        <v>-0.39</v>
      </c>
      <c r="X40" s="20">
        <v>-0.05</v>
      </c>
      <c r="Y40" s="20">
        <v>-0.03</v>
      </c>
      <c r="Z40" s="20">
        <v>-0.05</v>
      </c>
      <c r="AA40" s="20">
        <v>-0.96</v>
      </c>
    </row>
    <row r="41" ht="15.0" customHeight="1">
      <c r="A41" s="14" t="s">
        <v>289</v>
      </c>
      <c r="B41" s="16"/>
      <c r="C41" s="16">
        <v>0.0</v>
      </c>
      <c r="D41" s="20">
        <v>-11.56</v>
      </c>
      <c r="E41" s="16"/>
      <c r="F41" s="20">
        <v>-45.65</v>
      </c>
      <c r="G41" s="20">
        <v>-29.48</v>
      </c>
      <c r="H41" s="26">
        <v>-280.96</v>
      </c>
      <c r="I41" s="20">
        <v>-57.39</v>
      </c>
      <c r="J41" s="20">
        <v>-12.27</v>
      </c>
      <c r="K41" s="20">
        <v>-39.52</v>
      </c>
      <c r="L41" s="20">
        <v>-30.73</v>
      </c>
      <c r="M41" s="16">
        <v>0.0</v>
      </c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ht="15.0" customHeight="1">
      <c r="A42" s="14" t="s">
        <v>290</v>
      </c>
      <c r="B42" s="16"/>
      <c r="C42" s="16"/>
      <c r="D42" s="16"/>
      <c r="E42" s="15">
        <v>6.54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ht="15.0" customHeight="1">
      <c r="A43" s="14" t="s">
        <v>291</v>
      </c>
      <c r="B43" s="16"/>
      <c r="C43" s="16"/>
      <c r="D43" s="16"/>
      <c r="E43" s="16"/>
      <c r="F43" s="16"/>
      <c r="G43" s="16"/>
      <c r="H43" s="16"/>
      <c r="I43" s="16"/>
      <c r="J43" s="16"/>
      <c r="K43" s="16">
        <v>0.0</v>
      </c>
      <c r="L43" s="15">
        <v>7.32</v>
      </c>
      <c r="M43" s="15">
        <v>2.9</v>
      </c>
      <c r="N43" s="15">
        <v>3.21</v>
      </c>
      <c r="O43" s="15">
        <v>4.06</v>
      </c>
      <c r="P43" s="15">
        <v>3.53</v>
      </c>
      <c r="Q43" s="15">
        <v>4.21</v>
      </c>
      <c r="R43" s="16">
        <v>0.0</v>
      </c>
      <c r="S43" s="16"/>
      <c r="T43" s="16"/>
      <c r="U43" s="16"/>
      <c r="V43" s="16"/>
      <c r="W43" s="16"/>
      <c r="X43" s="16"/>
      <c r="Y43" s="16"/>
      <c r="Z43" s="16"/>
      <c r="AA43" s="16"/>
    </row>
    <row r="44" ht="15.0" customHeight="1">
      <c r="A44" s="14" t="s">
        <v>292</v>
      </c>
      <c r="B44" s="25">
        <v>334.01</v>
      </c>
      <c r="C44" s="15">
        <v>16.74</v>
      </c>
      <c r="D44" s="15">
        <v>66.41</v>
      </c>
      <c r="E44" s="15">
        <v>8.22</v>
      </c>
      <c r="F44" s="25">
        <v>330.18</v>
      </c>
      <c r="G44" s="15">
        <v>15.86</v>
      </c>
      <c r="H44" s="25">
        <v>152.4</v>
      </c>
      <c r="I44" s="15">
        <v>8.0</v>
      </c>
      <c r="J44" s="15">
        <v>21.6</v>
      </c>
      <c r="K44" s="15">
        <v>11.43</v>
      </c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ht="15.0" customHeight="1">
      <c r="A45" s="14" t="s">
        <v>293</v>
      </c>
      <c r="B45" s="16"/>
      <c r="C45" s="16"/>
      <c r="D45" s="16"/>
      <c r="E45" s="16"/>
      <c r="F45" s="16"/>
      <c r="G45" s="16"/>
      <c r="H45" s="16"/>
      <c r="I45" s="16"/>
      <c r="J45" s="16"/>
      <c r="K45" s="20">
        <v>-8.55</v>
      </c>
      <c r="L45" s="20">
        <v>-7.87</v>
      </c>
      <c r="M45" s="16">
        <v>0.0</v>
      </c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ht="15.0" customHeight="1">
      <c r="A46" s="14" t="s">
        <v>294</v>
      </c>
      <c r="B46" s="16"/>
      <c r="C46" s="16"/>
      <c r="D46" s="16"/>
      <c r="E46" s="16"/>
      <c r="F46" s="16"/>
      <c r="G46" s="16"/>
      <c r="H46" s="16"/>
      <c r="I46" s="20">
        <v>-0.1</v>
      </c>
      <c r="J46" s="16"/>
      <c r="K46" s="16"/>
      <c r="L46" s="16">
        <v>0.0</v>
      </c>
      <c r="M46" s="16">
        <v>0.0</v>
      </c>
      <c r="N46" s="20">
        <v>-0.19</v>
      </c>
      <c r="O46" s="20">
        <v>-0.36</v>
      </c>
      <c r="P46" s="16">
        <v>0.0</v>
      </c>
      <c r="Q46" s="20">
        <v>-4.4</v>
      </c>
      <c r="R46" s="20">
        <v>-8.07</v>
      </c>
      <c r="S46" s="16">
        <v>0.0</v>
      </c>
      <c r="T46" s="16">
        <v>0.0</v>
      </c>
      <c r="U46" s="20">
        <v>-5.07</v>
      </c>
      <c r="V46" s="16">
        <v>0.0</v>
      </c>
      <c r="W46" s="16"/>
      <c r="X46" s="16"/>
      <c r="Y46" s="16"/>
      <c r="Z46" s="16"/>
      <c r="AA46" s="16"/>
    </row>
    <row r="47" ht="15.0" customHeight="1">
      <c r="A47" s="14" t="s">
        <v>295</v>
      </c>
      <c r="B47" s="16"/>
      <c r="C47" s="16"/>
      <c r="D47" s="16"/>
      <c r="E47" s="16"/>
      <c r="F47" s="20">
        <v>-0.01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ht="15.0" customHeight="1">
      <c r="A48" s="14" t="s">
        <v>296</v>
      </c>
      <c r="B48" s="16"/>
      <c r="C48" s="16"/>
      <c r="D48" s="16"/>
      <c r="E48" s="15">
        <v>3.65</v>
      </c>
      <c r="F48" s="16"/>
      <c r="G48" s="15">
        <v>0.4</v>
      </c>
      <c r="H48" s="15">
        <v>2.19</v>
      </c>
      <c r="I48" s="16"/>
      <c r="J48" s="16"/>
      <c r="K48" s="16"/>
      <c r="L48" s="16"/>
      <c r="M48" s="16"/>
      <c r="N48" s="16"/>
      <c r="O48" s="15">
        <v>0.3</v>
      </c>
      <c r="P48" s="15">
        <v>0.29</v>
      </c>
      <c r="Q48" s="15">
        <v>0.23</v>
      </c>
      <c r="R48" s="16"/>
      <c r="S48" s="16">
        <v>0.0</v>
      </c>
      <c r="T48" s="16">
        <v>0.0</v>
      </c>
      <c r="U48" s="15">
        <v>3.32</v>
      </c>
      <c r="V48" s="16">
        <v>0.0</v>
      </c>
      <c r="W48" s="15">
        <v>0.03</v>
      </c>
      <c r="X48" s="16">
        <v>0.0</v>
      </c>
      <c r="Y48" s="16">
        <v>0.0</v>
      </c>
      <c r="Z48" s="16">
        <v>0.0</v>
      </c>
      <c r="AA48" s="15">
        <v>2.04</v>
      </c>
    </row>
    <row r="49" ht="15.0" customHeight="1">
      <c r="A49" s="14" t="s">
        <v>297</v>
      </c>
      <c r="B49" s="16"/>
      <c r="C49" s="16">
        <v>0.0</v>
      </c>
      <c r="D49" s="15">
        <v>7.64</v>
      </c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ht="15.0" customHeight="1">
      <c r="A50" s="14" t="s">
        <v>281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>
        <v>0.0</v>
      </c>
      <c r="M50" s="15">
        <v>0.3</v>
      </c>
      <c r="N50" s="15">
        <v>0.33</v>
      </c>
      <c r="O50" s="16"/>
      <c r="P50" s="16"/>
      <c r="Q50" s="16"/>
      <c r="R50" s="16">
        <v>0.0</v>
      </c>
      <c r="S50" s="16"/>
      <c r="T50" s="16"/>
      <c r="U50" s="16"/>
      <c r="V50" s="16"/>
      <c r="W50" s="16"/>
      <c r="X50" s="16"/>
      <c r="Y50" s="16"/>
      <c r="Z50" s="16"/>
      <c r="AA50" s="16"/>
    </row>
    <row r="51" ht="15.0" customHeight="1">
      <c r="A51" s="14" t="s">
        <v>298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>
        <v>0.0</v>
      </c>
      <c r="T51" s="16">
        <v>0.0</v>
      </c>
      <c r="U51" s="15">
        <v>6.03</v>
      </c>
      <c r="V51" s="16">
        <v>0.0</v>
      </c>
      <c r="W51" s="16"/>
      <c r="X51" s="16"/>
      <c r="Y51" s="16"/>
      <c r="Z51" s="16"/>
      <c r="AA51" s="16"/>
    </row>
    <row r="52" ht="15.0" customHeight="1">
      <c r="A52" s="14" t="s">
        <v>299</v>
      </c>
      <c r="B52" s="20">
        <v>-27.33</v>
      </c>
      <c r="C52" s="20">
        <v>-51.27</v>
      </c>
      <c r="D52" s="20">
        <v>-4.39</v>
      </c>
      <c r="E52" s="20">
        <v>-20.36</v>
      </c>
      <c r="F52" s="20">
        <v>-22.11</v>
      </c>
      <c r="G52" s="20">
        <v>-0.15</v>
      </c>
      <c r="H52" s="20">
        <v>-0.81</v>
      </c>
      <c r="I52" s="20">
        <v>-14.32</v>
      </c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20">
        <v>-1.88</v>
      </c>
      <c r="Z52" s="16">
        <v>0.0</v>
      </c>
      <c r="AA52" s="16"/>
    </row>
    <row r="53" ht="15.0" customHeight="1">
      <c r="A53" s="14" t="s">
        <v>300</v>
      </c>
      <c r="B53" s="16"/>
      <c r="C53" s="16">
        <v>0.0</v>
      </c>
      <c r="D53" s="15">
        <v>8.56</v>
      </c>
      <c r="E53" s="16">
        <v>0.0</v>
      </c>
      <c r="F53" s="15">
        <v>6.27</v>
      </c>
      <c r="G53" s="16"/>
      <c r="H53" s="16"/>
      <c r="I53" s="16">
        <v>0.0</v>
      </c>
      <c r="J53" s="20">
        <v>-8.65</v>
      </c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ht="15.0" customHeight="1">
      <c r="A54" s="14" t="s">
        <v>301</v>
      </c>
      <c r="B54" s="16"/>
      <c r="C54" s="16"/>
      <c r="D54" s="16"/>
      <c r="E54" s="16">
        <v>0.0</v>
      </c>
      <c r="F54" s="16">
        <v>0.0</v>
      </c>
      <c r="G54" s="20">
        <v>-0.54</v>
      </c>
      <c r="H54" s="16">
        <v>0.0</v>
      </c>
      <c r="I54" s="20">
        <v>-0.58</v>
      </c>
      <c r="J54" s="20">
        <v>-0.72</v>
      </c>
      <c r="K54" s="20">
        <v>-8.95</v>
      </c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ht="15.0" customHeight="1">
      <c r="A55" s="14" t="s">
        <v>200</v>
      </c>
      <c r="B55" s="16">
        <v>0.0</v>
      </c>
      <c r="C55" s="20">
        <v>-3.43</v>
      </c>
      <c r="D55" s="15">
        <v>2.66</v>
      </c>
      <c r="E55" s="20">
        <v>-1.01</v>
      </c>
      <c r="F55" s="20">
        <v>-28.45</v>
      </c>
      <c r="G55" s="16"/>
      <c r="H55" s="16">
        <v>0.0</v>
      </c>
      <c r="I55" s="16">
        <v>0.0</v>
      </c>
      <c r="J55" s="15">
        <v>1.4</v>
      </c>
      <c r="K55" s="20">
        <v>-1.39</v>
      </c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ht="15.0" customHeight="1">
      <c r="A56" s="17" t="s">
        <v>302</v>
      </c>
      <c r="B56" s="19">
        <v>306.69</v>
      </c>
      <c r="C56" s="22">
        <v>-37.95</v>
      </c>
      <c r="D56" s="18">
        <v>69.32</v>
      </c>
      <c r="E56" s="22">
        <v>-2.96</v>
      </c>
      <c r="F56" s="19">
        <v>240.03</v>
      </c>
      <c r="G56" s="22">
        <v>-16.72</v>
      </c>
      <c r="H56" s="29">
        <v>-127.19</v>
      </c>
      <c r="I56" s="22">
        <v>-64.5</v>
      </c>
      <c r="J56" s="18">
        <v>1.0</v>
      </c>
      <c r="K56" s="22">
        <v>-46.97</v>
      </c>
      <c r="L56" s="22">
        <v>-31.29</v>
      </c>
      <c r="M56" s="18">
        <v>3.2</v>
      </c>
      <c r="N56" s="22">
        <v>-7.14</v>
      </c>
      <c r="O56" s="18">
        <v>0.06</v>
      </c>
      <c r="P56" s="22">
        <v>-5.92</v>
      </c>
      <c r="Q56" s="22">
        <v>-3.2</v>
      </c>
      <c r="R56" s="22">
        <v>-8.07</v>
      </c>
      <c r="S56" s="22">
        <v>-0.1</v>
      </c>
      <c r="T56" s="24">
        <v>0.0</v>
      </c>
      <c r="U56" s="18">
        <v>4.29</v>
      </c>
      <c r="V56" s="22">
        <v>-0.15</v>
      </c>
      <c r="W56" s="22">
        <v>-0.37</v>
      </c>
      <c r="X56" s="22">
        <v>-0.05</v>
      </c>
      <c r="Y56" s="22">
        <v>-1.91</v>
      </c>
      <c r="Z56" s="22">
        <v>-0.05</v>
      </c>
      <c r="AA56" s="18">
        <v>1.09</v>
      </c>
    </row>
    <row r="57" ht="15.0" customHeight="1">
      <c r="A57" s="14" t="s">
        <v>303</v>
      </c>
      <c r="B57" s="16">
        <v>0.0</v>
      </c>
      <c r="C57" s="15">
        <v>5.51</v>
      </c>
      <c r="D57" s="16">
        <v>0.0</v>
      </c>
      <c r="E57" s="15">
        <v>45.11</v>
      </c>
      <c r="F57" s="25">
        <v>140.51</v>
      </c>
      <c r="G57" s="15">
        <v>86.05</v>
      </c>
      <c r="H57" s="25">
        <v>259.05</v>
      </c>
      <c r="I57" s="25">
        <v>208.25</v>
      </c>
      <c r="J57" s="15">
        <v>18.52</v>
      </c>
      <c r="K57" s="15">
        <v>68.77</v>
      </c>
      <c r="L57" s="15">
        <v>31.3</v>
      </c>
      <c r="M57" s="16">
        <v>0.0</v>
      </c>
      <c r="N57" s="15">
        <v>7.08</v>
      </c>
      <c r="O57" s="16">
        <v>0.0</v>
      </c>
      <c r="P57" s="15">
        <v>4.68</v>
      </c>
      <c r="Q57" s="15">
        <v>2.4</v>
      </c>
      <c r="R57" s="16">
        <v>0.0</v>
      </c>
      <c r="S57" s="16"/>
      <c r="T57" s="16"/>
      <c r="U57" s="16"/>
      <c r="V57" s="16"/>
      <c r="W57" s="16">
        <v>0.0</v>
      </c>
      <c r="X57" s="16">
        <v>0.0</v>
      </c>
      <c r="Y57" s="16">
        <v>0.0</v>
      </c>
      <c r="Z57" s="15">
        <v>5.41</v>
      </c>
      <c r="AA57" s="16">
        <v>0.0</v>
      </c>
    </row>
    <row r="58" ht="15.0" customHeight="1">
      <c r="A58" s="14" t="s">
        <v>304</v>
      </c>
      <c r="B58" s="20">
        <v>-18.98</v>
      </c>
      <c r="C58" s="20">
        <v>-35.31</v>
      </c>
      <c r="D58" s="20">
        <v>-24.42</v>
      </c>
      <c r="E58" s="20">
        <v>-70.17</v>
      </c>
      <c r="F58" s="26">
        <v>-245.11</v>
      </c>
      <c r="G58" s="26">
        <v>-145.3</v>
      </c>
      <c r="H58" s="26">
        <v>-205.01</v>
      </c>
      <c r="I58" s="26">
        <v>-137.3</v>
      </c>
      <c r="J58" s="20">
        <v>-29.14</v>
      </c>
      <c r="K58" s="20">
        <v>-19.81</v>
      </c>
      <c r="L58" s="20">
        <v>-1.28</v>
      </c>
      <c r="M58" s="20">
        <v>-1.88</v>
      </c>
      <c r="N58" s="20">
        <v>-0.78</v>
      </c>
      <c r="O58" s="20">
        <v>-0.75</v>
      </c>
      <c r="P58" s="16"/>
      <c r="Q58" s="16"/>
      <c r="R58" s="16"/>
      <c r="S58" s="16">
        <v>0.0</v>
      </c>
      <c r="T58" s="16">
        <v>0.0</v>
      </c>
      <c r="U58" s="20">
        <v>-2.03</v>
      </c>
      <c r="V58" s="20">
        <v>-2.02</v>
      </c>
      <c r="W58" s="16">
        <v>0.0</v>
      </c>
      <c r="X58" s="16">
        <v>0.0</v>
      </c>
      <c r="Y58" s="16">
        <v>0.0</v>
      </c>
      <c r="Z58" s="20">
        <v>-7.3</v>
      </c>
      <c r="AA58" s="20">
        <v>-15.82</v>
      </c>
    </row>
    <row r="59" ht="15.0" customHeight="1">
      <c r="A59" s="14" t="s">
        <v>231</v>
      </c>
      <c r="B59" s="26">
        <v>-260.15</v>
      </c>
      <c r="C59" s="20">
        <v>-24.4</v>
      </c>
      <c r="D59" s="20">
        <v>-22.56</v>
      </c>
      <c r="E59" s="20">
        <v>-80.74</v>
      </c>
      <c r="F59" s="20">
        <v>-16.62</v>
      </c>
      <c r="G59" s="20">
        <v>-17.33</v>
      </c>
      <c r="H59" s="20">
        <v>-14.3</v>
      </c>
      <c r="I59" s="20">
        <v>-12.15</v>
      </c>
      <c r="J59" s="20">
        <v>-5.87</v>
      </c>
      <c r="K59" s="20">
        <v>-5.23</v>
      </c>
      <c r="L59" s="20">
        <v>-1.36</v>
      </c>
      <c r="M59" s="20">
        <v>-1.27</v>
      </c>
      <c r="N59" s="20">
        <v>-1.19</v>
      </c>
      <c r="O59" s="20">
        <v>-1.14</v>
      </c>
      <c r="P59" s="20">
        <v>-1.18</v>
      </c>
      <c r="Q59" s="20">
        <v>-1.22</v>
      </c>
      <c r="R59" s="20">
        <v>-1.99</v>
      </c>
      <c r="S59" s="20">
        <v>-1.88</v>
      </c>
      <c r="T59" s="20">
        <v>-1.83</v>
      </c>
      <c r="U59" s="20">
        <v>-1.83</v>
      </c>
      <c r="V59" s="20">
        <v>-1.83</v>
      </c>
      <c r="W59" s="20">
        <v>-0.64</v>
      </c>
      <c r="X59" s="20">
        <v>-0.61</v>
      </c>
      <c r="Y59" s="20">
        <v>-0.57</v>
      </c>
      <c r="Z59" s="16"/>
      <c r="AA59" s="16"/>
    </row>
    <row r="60" ht="15.0" customHeight="1">
      <c r="A60" s="14" t="s">
        <v>305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>
        <v>0.0</v>
      </c>
      <c r="X60" s="16">
        <v>0.0</v>
      </c>
      <c r="Y60" s="15">
        <v>0.75</v>
      </c>
      <c r="Z60" s="15">
        <v>0.68</v>
      </c>
      <c r="AA60" s="16">
        <v>0.0</v>
      </c>
    </row>
    <row r="61" ht="15.0" customHeight="1">
      <c r="A61" s="14" t="s">
        <v>306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20">
        <v>-0.7</v>
      </c>
      <c r="X61" s="20">
        <v>-1.47</v>
      </c>
      <c r="Y61" s="20">
        <v>-0.63</v>
      </c>
      <c r="Z61" s="16">
        <v>0.0</v>
      </c>
      <c r="AA61" s="20">
        <v>-1.16</v>
      </c>
    </row>
    <row r="62" ht="15.0" customHeight="1">
      <c r="A62" s="14" t="s">
        <v>307</v>
      </c>
      <c r="B62" s="20">
        <v>-7.64</v>
      </c>
      <c r="C62" s="20">
        <v>-4.22</v>
      </c>
      <c r="D62" s="16">
        <v>0.0</v>
      </c>
      <c r="E62" s="20">
        <v>-1.02</v>
      </c>
      <c r="F62" s="20">
        <v>-2.96</v>
      </c>
      <c r="G62" s="15">
        <v>11.6</v>
      </c>
      <c r="H62" s="25">
        <v>134.76</v>
      </c>
      <c r="I62" s="15">
        <v>0.78</v>
      </c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ht="15.0" customHeight="1">
      <c r="A63" s="14" t="s">
        <v>308</v>
      </c>
      <c r="B63" s="16"/>
      <c r="C63" s="16"/>
      <c r="D63" s="16"/>
      <c r="E63" s="16"/>
      <c r="F63" s="16"/>
      <c r="G63" s="16"/>
      <c r="H63" s="16"/>
      <c r="I63" s="16">
        <v>0.0</v>
      </c>
      <c r="J63" s="15">
        <v>10.89</v>
      </c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>
        <v>0.0</v>
      </c>
      <c r="AA63" s="15">
        <v>17.52</v>
      </c>
    </row>
    <row r="64" ht="15.0" customHeight="1">
      <c r="A64" s="14" t="s">
        <v>309</v>
      </c>
      <c r="B64" s="16">
        <v>0.0</v>
      </c>
      <c r="C64" s="20">
        <v>-0.66</v>
      </c>
      <c r="D64" s="20">
        <v>-0.76</v>
      </c>
      <c r="E64" s="15">
        <v>5.84</v>
      </c>
      <c r="F64" s="15">
        <v>6.83</v>
      </c>
      <c r="G64" s="20">
        <v>-3.79</v>
      </c>
      <c r="H64" s="20">
        <v>-1.43</v>
      </c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ht="15.0" customHeight="1">
      <c r="A65" s="17" t="s">
        <v>310</v>
      </c>
      <c r="B65" s="29">
        <v>-286.77</v>
      </c>
      <c r="C65" s="22">
        <v>-59.09</v>
      </c>
      <c r="D65" s="22">
        <v>-47.75</v>
      </c>
      <c r="E65" s="29">
        <v>-100.98</v>
      </c>
      <c r="F65" s="29">
        <v>-117.36</v>
      </c>
      <c r="G65" s="22">
        <v>-68.76</v>
      </c>
      <c r="H65" s="19">
        <v>173.06</v>
      </c>
      <c r="I65" s="18">
        <v>59.58</v>
      </c>
      <c r="J65" s="22">
        <v>-5.6</v>
      </c>
      <c r="K65" s="18">
        <v>43.73</v>
      </c>
      <c r="L65" s="18">
        <v>28.66</v>
      </c>
      <c r="M65" s="22">
        <v>-3.15</v>
      </c>
      <c r="N65" s="18">
        <v>5.11</v>
      </c>
      <c r="O65" s="22">
        <v>-1.88</v>
      </c>
      <c r="P65" s="18">
        <v>3.49</v>
      </c>
      <c r="Q65" s="18">
        <v>1.18</v>
      </c>
      <c r="R65" s="22">
        <v>-1.99</v>
      </c>
      <c r="S65" s="22">
        <v>-1.88</v>
      </c>
      <c r="T65" s="22">
        <v>-1.83</v>
      </c>
      <c r="U65" s="22">
        <v>-3.86</v>
      </c>
      <c r="V65" s="22">
        <v>-3.84</v>
      </c>
      <c r="W65" s="22">
        <v>-1.34</v>
      </c>
      <c r="X65" s="22">
        <v>-2.08</v>
      </c>
      <c r="Y65" s="22">
        <v>-0.45</v>
      </c>
      <c r="Z65" s="22">
        <v>-1.21</v>
      </c>
      <c r="AA65" s="18">
        <v>0.54</v>
      </c>
    </row>
    <row r="66" ht="15.0" customHeight="1">
      <c r="A66" s="14" t="s">
        <v>311</v>
      </c>
      <c r="B66" s="16"/>
      <c r="C66" s="25">
        <v>100.21</v>
      </c>
      <c r="D66" s="15">
        <v>73.18</v>
      </c>
      <c r="E66" s="25">
        <v>182.42</v>
      </c>
      <c r="F66" s="15">
        <v>31.86</v>
      </c>
      <c r="G66" s="15">
        <v>87.6</v>
      </c>
      <c r="H66" s="15">
        <v>22.86</v>
      </c>
      <c r="I66" s="15">
        <v>14.51</v>
      </c>
      <c r="J66" s="15">
        <v>5.01</v>
      </c>
      <c r="K66" s="15">
        <v>1.92</v>
      </c>
      <c r="L66" s="15">
        <v>0.38</v>
      </c>
      <c r="M66" s="15">
        <v>0.55</v>
      </c>
      <c r="N66" s="15">
        <v>1.25</v>
      </c>
      <c r="O66" s="15">
        <v>1.33</v>
      </c>
      <c r="P66" s="15">
        <v>3.26</v>
      </c>
      <c r="Q66" s="15">
        <v>2.35</v>
      </c>
      <c r="R66" s="15">
        <v>9.05</v>
      </c>
      <c r="S66" s="15">
        <v>8.98</v>
      </c>
      <c r="T66" s="15">
        <v>6.49</v>
      </c>
      <c r="U66" s="15">
        <v>2.9</v>
      </c>
      <c r="V66" s="15">
        <v>2.57</v>
      </c>
      <c r="W66" s="15">
        <v>2.37</v>
      </c>
      <c r="X66" s="15">
        <v>0.34</v>
      </c>
      <c r="Y66" s="15">
        <v>0.79</v>
      </c>
      <c r="Z66" s="15">
        <v>0.84</v>
      </c>
      <c r="AA66" s="15">
        <v>0.75</v>
      </c>
    </row>
    <row r="67" ht="15.0" customHeight="1">
      <c r="A67" s="14" t="s">
        <v>312</v>
      </c>
      <c r="B67" s="16"/>
      <c r="C67" s="15">
        <v>25.7</v>
      </c>
      <c r="D67" s="15">
        <v>95.25</v>
      </c>
      <c r="E67" s="15">
        <v>68.6</v>
      </c>
      <c r="F67" s="25">
        <v>174.19</v>
      </c>
      <c r="G67" s="15">
        <v>33.34</v>
      </c>
      <c r="H67" s="15">
        <v>82.29</v>
      </c>
      <c r="I67" s="15">
        <v>23.02</v>
      </c>
      <c r="J67" s="15">
        <v>14.41</v>
      </c>
      <c r="K67" s="15">
        <v>4.63</v>
      </c>
      <c r="L67" s="15">
        <v>2.03</v>
      </c>
      <c r="M67" s="15">
        <v>0.35</v>
      </c>
      <c r="N67" s="15">
        <v>0.51</v>
      </c>
      <c r="O67" s="15">
        <v>1.1</v>
      </c>
      <c r="P67" s="15">
        <v>1.41</v>
      </c>
      <c r="Q67" s="15">
        <v>3.29</v>
      </c>
      <c r="R67" s="15">
        <v>2.5</v>
      </c>
      <c r="S67" s="15">
        <v>10.59</v>
      </c>
      <c r="T67" s="15">
        <v>7.33</v>
      </c>
      <c r="U67" s="15">
        <v>6.73</v>
      </c>
      <c r="V67" s="15">
        <v>2.82</v>
      </c>
      <c r="W67" s="15">
        <v>5.95</v>
      </c>
      <c r="X67" s="15">
        <v>2.42</v>
      </c>
      <c r="Y67" s="15">
        <v>0.3</v>
      </c>
      <c r="Z67" s="15">
        <v>0.87</v>
      </c>
      <c r="AA67" s="15">
        <v>0.88</v>
      </c>
    </row>
    <row r="68" ht="15.0" customHeight="1">
      <c r="A68" s="14" t="s">
        <v>313</v>
      </c>
      <c r="B68" s="16"/>
      <c r="C68" s="20">
        <v>-0.01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ht="15.0" customHeight="1">
      <c r="A69" s="17" t="s">
        <v>314</v>
      </c>
      <c r="B69" s="18">
        <v>32.03</v>
      </c>
      <c r="C69" s="22">
        <v>-73.58</v>
      </c>
      <c r="D69" s="18">
        <v>22.51</v>
      </c>
      <c r="E69" s="29">
        <v>-109.58</v>
      </c>
      <c r="F69" s="19">
        <v>144.47</v>
      </c>
      <c r="G69" s="22">
        <v>-55.55</v>
      </c>
      <c r="H69" s="18">
        <v>59.45</v>
      </c>
      <c r="I69" s="18">
        <v>8.24</v>
      </c>
      <c r="J69" s="18">
        <v>8.91</v>
      </c>
      <c r="K69" s="18">
        <v>2.77</v>
      </c>
      <c r="L69" s="18">
        <v>1.55</v>
      </c>
      <c r="M69" s="22">
        <v>-0.19</v>
      </c>
      <c r="N69" s="22">
        <v>-0.69</v>
      </c>
      <c r="O69" s="22">
        <v>-0.24</v>
      </c>
      <c r="P69" s="22">
        <v>-1.87</v>
      </c>
      <c r="Q69" s="18">
        <v>0.96</v>
      </c>
      <c r="R69" s="22">
        <v>-6.89</v>
      </c>
      <c r="S69" s="18">
        <v>1.37</v>
      </c>
      <c r="T69" s="18">
        <v>0.87</v>
      </c>
      <c r="U69" s="18">
        <v>3.74</v>
      </c>
      <c r="V69" s="18">
        <v>0.25</v>
      </c>
      <c r="W69" s="18">
        <v>3.63</v>
      </c>
      <c r="X69" s="18">
        <v>1.98</v>
      </c>
      <c r="Y69" s="22">
        <v>-0.51</v>
      </c>
      <c r="Z69" s="18">
        <v>0.02</v>
      </c>
      <c r="AA69" s="18">
        <v>0.12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315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46097.3549136921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  <c r="X11" s="7" t="s">
        <v>41</v>
      </c>
      <c r="Y11" s="7" t="s">
        <v>42</v>
      </c>
      <c r="Z11" s="7" t="s">
        <v>43</v>
      </c>
    </row>
    <row r="12" ht="15.0" customHeight="1" outlineLevel="1">
      <c r="A12" s="8" t="s">
        <v>44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</row>
    <row r="13" ht="15.0" customHeight="1" outlineLevel="1">
      <c r="A13" s="8" t="s">
        <v>45</v>
      </c>
      <c r="B13" s="9">
        <v>45657.0</v>
      </c>
      <c r="C13" s="9">
        <v>45291.0</v>
      </c>
      <c r="D13" s="9">
        <v>44926.0</v>
      </c>
      <c r="E13" s="9">
        <v>44926.0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39082.0</v>
      </c>
      <c r="U13" s="9">
        <v>39082.0</v>
      </c>
      <c r="V13" s="9">
        <v>38352.0</v>
      </c>
      <c r="W13" s="9">
        <v>38352.0</v>
      </c>
      <c r="X13" s="9">
        <v>37621.0</v>
      </c>
      <c r="Y13" s="9">
        <v>37621.0</v>
      </c>
      <c r="Z13" s="9">
        <v>37256.0</v>
      </c>
    </row>
    <row r="14" ht="15.0" customHeight="1" outlineLevel="1">
      <c r="A14" s="8" t="s">
        <v>46</v>
      </c>
      <c r="B14" s="10" t="s">
        <v>47</v>
      </c>
      <c r="C14" s="10" t="s">
        <v>47</v>
      </c>
      <c r="D14" s="10" t="s">
        <v>47</v>
      </c>
      <c r="E14" s="10" t="s">
        <v>47</v>
      </c>
      <c r="F14" s="10" t="s">
        <v>47</v>
      </c>
      <c r="G14" s="10" t="s">
        <v>47</v>
      </c>
      <c r="H14" s="10" t="s">
        <v>47</v>
      </c>
      <c r="I14" s="10" t="s">
        <v>47</v>
      </c>
      <c r="J14" s="10" t="s">
        <v>47</v>
      </c>
      <c r="K14" s="10" t="s">
        <v>47</v>
      </c>
      <c r="L14" s="10" t="s">
        <v>47</v>
      </c>
      <c r="M14" s="10" t="s">
        <v>47</v>
      </c>
      <c r="N14" s="10" t="s">
        <v>47</v>
      </c>
      <c r="O14" s="10" t="s">
        <v>47</v>
      </c>
      <c r="P14" s="10" t="s">
        <v>47</v>
      </c>
      <c r="Q14" s="10" t="s">
        <v>47</v>
      </c>
      <c r="R14" s="10" t="s">
        <v>47</v>
      </c>
      <c r="S14" s="10" t="s">
        <v>47</v>
      </c>
      <c r="T14" s="10" t="s">
        <v>47</v>
      </c>
      <c r="U14" s="10" t="s">
        <v>47</v>
      </c>
      <c r="V14" s="10" t="s">
        <v>47</v>
      </c>
      <c r="W14" s="10" t="s">
        <v>47</v>
      </c>
      <c r="X14" s="10" t="s">
        <v>47</v>
      </c>
      <c r="Y14" s="10" t="s">
        <v>47</v>
      </c>
      <c r="Z14" s="10" t="s">
        <v>47</v>
      </c>
    </row>
    <row r="15" ht="15.0" customHeight="1" outlineLevel="1">
      <c r="A15" s="8" t="s">
        <v>48</v>
      </c>
      <c r="B15" s="10" t="s">
        <v>49</v>
      </c>
      <c r="C15" s="10" t="s">
        <v>49</v>
      </c>
      <c r="D15" s="10" t="s">
        <v>49</v>
      </c>
      <c r="E15" s="10" t="s">
        <v>49</v>
      </c>
      <c r="F15" s="10" t="s">
        <v>49</v>
      </c>
      <c r="G15" s="10" t="s">
        <v>49</v>
      </c>
      <c r="H15" s="10" t="s">
        <v>49</v>
      </c>
      <c r="I15" s="10" t="s">
        <v>49</v>
      </c>
      <c r="J15" s="10" t="s">
        <v>49</v>
      </c>
      <c r="K15" s="10" t="s">
        <v>49</v>
      </c>
      <c r="L15" s="10" t="s">
        <v>49</v>
      </c>
      <c r="M15" s="10" t="s">
        <v>49</v>
      </c>
      <c r="N15" s="10" t="s">
        <v>49</v>
      </c>
      <c r="O15" s="10" t="s">
        <v>49</v>
      </c>
      <c r="P15" s="10" t="s">
        <v>49</v>
      </c>
      <c r="Q15" s="10" t="s">
        <v>49</v>
      </c>
      <c r="R15" s="10" t="s">
        <v>49</v>
      </c>
      <c r="S15" s="10" t="s">
        <v>49</v>
      </c>
      <c r="T15" s="10" t="s">
        <v>49</v>
      </c>
      <c r="U15" s="10" t="s">
        <v>49</v>
      </c>
      <c r="V15" s="10" t="s">
        <v>49</v>
      </c>
      <c r="W15" s="10" t="s">
        <v>49</v>
      </c>
      <c r="X15" s="10" t="s">
        <v>49</v>
      </c>
      <c r="Y15" s="10" t="s">
        <v>49</v>
      </c>
      <c r="Z15" s="10" t="s">
        <v>49</v>
      </c>
    </row>
    <row r="16" ht="15.0" customHeight="1" outlineLevel="1">
      <c r="A16" s="8" t="s">
        <v>50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  <c r="W16" s="11">
        <v>8.00335438388101</v>
      </c>
      <c r="X16" s="11">
        <v>7.50729371376168</v>
      </c>
      <c r="Y16" s="11">
        <v>8.04299023015842</v>
      </c>
      <c r="Z16" s="11">
        <v>8.11070182587765</v>
      </c>
    </row>
    <row r="18">
      <c r="A18" s="12" t="s">
        <v>316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2" t="s">
        <v>52</v>
      </c>
      <c r="B19" s="13" t="s">
        <v>54</v>
      </c>
      <c r="C19" s="13" t="s">
        <v>55</v>
      </c>
      <c r="D19" s="13" t="s">
        <v>56</v>
      </c>
      <c r="E19" s="13" t="s">
        <v>57</v>
      </c>
      <c r="F19" s="13" t="s">
        <v>58</v>
      </c>
      <c r="G19" s="13" t="s">
        <v>59</v>
      </c>
      <c r="H19" s="13" t="s">
        <v>60</v>
      </c>
      <c r="I19" s="13" t="s">
        <v>61</v>
      </c>
      <c r="J19" s="13" t="s">
        <v>62</v>
      </c>
      <c r="K19" s="13" t="s">
        <v>63</v>
      </c>
      <c r="L19" s="13" t="s">
        <v>64</v>
      </c>
      <c r="M19" s="13" t="s">
        <v>65</v>
      </c>
      <c r="N19" s="13" t="s">
        <v>66</v>
      </c>
      <c r="O19" s="13" t="s">
        <v>67</v>
      </c>
      <c r="P19" s="13" t="s">
        <v>68</v>
      </c>
      <c r="Q19" s="13" t="s">
        <v>69</v>
      </c>
      <c r="R19" s="13" t="s">
        <v>70</v>
      </c>
      <c r="S19" s="13" t="s">
        <v>71</v>
      </c>
      <c r="T19" s="13" t="s">
        <v>72</v>
      </c>
      <c r="U19" s="13" t="s">
        <v>73</v>
      </c>
      <c r="V19" s="13" t="s">
        <v>74</v>
      </c>
      <c r="W19" s="13" t="s">
        <v>75</v>
      </c>
      <c r="X19" s="13" t="s">
        <v>76</v>
      </c>
      <c r="Y19" s="13" t="s">
        <v>77</v>
      </c>
      <c r="Z19" s="13" t="s">
        <v>78</v>
      </c>
    </row>
    <row r="20" ht="15.0" customHeight="1">
      <c r="A20" s="30" t="s">
        <v>317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5.0" customHeight="1">
      <c r="A21" s="32" t="s">
        <v>317</v>
      </c>
      <c r="B21" s="33">
        <v>782.57</v>
      </c>
      <c r="C21" s="33">
        <v>323.49</v>
      </c>
      <c r="D21" s="33">
        <v>329.11</v>
      </c>
      <c r="E21" s="33">
        <v>259.95</v>
      </c>
      <c r="F21" s="33">
        <v>440.7</v>
      </c>
      <c r="G21" s="33">
        <v>862.03</v>
      </c>
      <c r="H21" s="33">
        <v>568.33</v>
      </c>
      <c r="I21" s="33">
        <v>479.79</v>
      </c>
      <c r="J21" s="33">
        <v>274.68</v>
      </c>
      <c r="K21" s="33">
        <v>189.59</v>
      </c>
      <c r="L21" s="34">
        <v>41.71</v>
      </c>
      <c r="M21" s="34">
        <v>24.6</v>
      </c>
      <c r="N21" s="34">
        <v>11.79</v>
      </c>
      <c r="O21" s="34">
        <v>12.88</v>
      </c>
      <c r="P21" s="34">
        <v>6.69</v>
      </c>
      <c r="Q21" s="34">
        <v>7.24</v>
      </c>
      <c r="R21" s="35">
        <v>-0.33</v>
      </c>
      <c r="S21" s="34">
        <v>14.87</v>
      </c>
      <c r="T21" s="34">
        <v>15.61</v>
      </c>
      <c r="U21" s="34">
        <v>19.73</v>
      </c>
      <c r="V21" s="34">
        <v>15.6</v>
      </c>
      <c r="W21" s="34">
        <v>14.8</v>
      </c>
      <c r="X21" s="34">
        <v>12.86</v>
      </c>
      <c r="Y21" s="34">
        <v>14.22</v>
      </c>
      <c r="Z21" s="34">
        <v>9.86</v>
      </c>
    </row>
    <row r="22" ht="15.0" customHeight="1">
      <c r="A22" s="32" t="s">
        <v>318</v>
      </c>
      <c r="B22" s="33">
        <v>458.56</v>
      </c>
      <c r="C22" s="33">
        <v>483.07</v>
      </c>
      <c r="D22" s="33">
        <v>512.44</v>
      </c>
      <c r="E22" s="33">
        <v>524.05</v>
      </c>
      <c r="F22" s="33">
        <v>557.36</v>
      </c>
      <c r="G22" s="33">
        <v>479.62</v>
      </c>
      <c r="H22" s="33">
        <v>318.45</v>
      </c>
      <c r="I22" s="33">
        <v>209.3</v>
      </c>
      <c r="J22" s="33">
        <v>107.46</v>
      </c>
      <c r="K22" s="34">
        <v>58.72</v>
      </c>
      <c r="L22" s="34">
        <v>21.14</v>
      </c>
      <c r="M22" s="34">
        <v>13.26</v>
      </c>
      <c r="N22" s="34">
        <v>7.29</v>
      </c>
      <c r="O22" s="34">
        <v>8.1</v>
      </c>
      <c r="P22" s="34">
        <v>8.52</v>
      </c>
      <c r="Q22" s="34">
        <v>11.75</v>
      </c>
      <c r="R22" s="34">
        <v>15.73</v>
      </c>
      <c r="S22" s="34">
        <v>15.7</v>
      </c>
      <c r="T22" s="34">
        <v>16.11</v>
      </c>
      <c r="U22" s="34">
        <v>15.46</v>
      </c>
      <c r="V22" s="34">
        <v>13.84</v>
      </c>
      <c r="W22" s="36"/>
      <c r="X22" s="36"/>
      <c r="Y22" s="36"/>
      <c r="Z22" s="36"/>
    </row>
    <row r="23" ht="15.0" customHeight="1">
      <c r="A23" s="30" t="s">
        <v>319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5.0" customHeight="1">
      <c r="A24" s="32" t="s">
        <v>319</v>
      </c>
      <c r="B24" s="33">
        <v>243.77</v>
      </c>
      <c r="C24" s="33">
        <v>228.2</v>
      </c>
      <c r="D24" s="33">
        <v>197.45</v>
      </c>
      <c r="E24" s="33">
        <v>212.09</v>
      </c>
      <c r="F24" s="33">
        <v>226.71</v>
      </c>
      <c r="G24" s="33">
        <v>220.16</v>
      </c>
      <c r="H24" s="33">
        <v>196.4</v>
      </c>
      <c r="I24" s="33">
        <v>240.7</v>
      </c>
      <c r="J24" s="33">
        <v>101.96</v>
      </c>
      <c r="K24" s="34">
        <v>98.04</v>
      </c>
      <c r="L24" s="34">
        <v>35.82</v>
      </c>
      <c r="M24" s="34">
        <v>20.04</v>
      </c>
      <c r="N24" s="34">
        <v>16.93</v>
      </c>
      <c r="O24" s="34">
        <v>19.91</v>
      </c>
      <c r="P24" s="34">
        <v>25.36</v>
      </c>
      <c r="Q24" s="34">
        <v>25.52</v>
      </c>
      <c r="R24" s="34">
        <v>16.16</v>
      </c>
      <c r="S24" s="34">
        <v>27.3</v>
      </c>
      <c r="T24" s="34">
        <v>27.52</v>
      </c>
      <c r="U24" s="34">
        <v>23.73</v>
      </c>
      <c r="V24" s="34">
        <v>17.39</v>
      </c>
      <c r="W24" s="34">
        <v>12.27</v>
      </c>
      <c r="X24" s="34">
        <v>8.27</v>
      </c>
      <c r="Y24" s="34">
        <v>9.06</v>
      </c>
      <c r="Z24" s="34">
        <v>10.73</v>
      </c>
    </row>
    <row r="25" ht="15.0" customHeight="1">
      <c r="A25" s="32" t="s">
        <v>320</v>
      </c>
      <c r="B25" s="33">
        <v>241.88</v>
      </c>
      <c r="C25" s="33">
        <v>233.62</v>
      </c>
      <c r="D25" s="33">
        <v>217.77</v>
      </c>
      <c r="E25" s="33">
        <v>219.19</v>
      </c>
      <c r="F25" s="33">
        <v>208.5</v>
      </c>
      <c r="G25" s="33">
        <v>173.36</v>
      </c>
      <c r="H25" s="33">
        <v>138.06</v>
      </c>
      <c r="I25" s="33">
        <v>102.89</v>
      </c>
      <c r="J25" s="34">
        <v>54.69</v>
      </c>
      <c r="K25" s="34">
        <v>41.2</v>
      </c>
      <c r="L25" s="34">
        <v>26.22</v>
      </c>
      <c r="M25" s="34">
        <v>22.71</v>
      </c>
      <c r="N25" s="34">
        <v>18.91</v>
      </c>
      <c r="O25" s="34">
        <v>21.69</v>
      </c>
      <c r="P25" s="34">
        <v>23.03</v>
      </c>
      <c r="Q25" s="34">
        <v>24.06</v>
      </c>
      <c r="R25" s="34">
        <v>26.28</v>
      </c>
      <c r="S25" s="34">
        <v>21.14</v>
      </c>
      <c r="T25" s="34">
        <v>18.14</v>
      </c>
      <c r="U25" s="34">
        <v>14.08</v>
      </c>
      <c r="V25" s="34">
        <v>11.77</v>
      </c>
      <c r="W25" s="36"/>
      <c r="X25" s="36"/>
      <c r="Y25" s="36"/>
      <c r="Z25" s="36"/>
    </row>
    <row r="26" ht="15.0" customHeight="1">
      <c r="A26" s="30" t="s">
        <v>321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5.0" customHeight="1">
      <c r="A27" s="32" t="s">
        <v>322</v>
      </c>
      <c r="B27" s="34">
        <v>38.15</v>
      </c>
      <c r="C27" s="34">
        <v>35.72</v>
      </c>
      <c r="D27" s="34">
        <v>30.9</v>
      </c>
      <c r="E27" s="34">
        <v>34.31</v>
      </c>
      <c r="F27" s="34">
        <v>36.67</v>
      </c>
      <c r="G27" s="34">
        <v>35.61</v>
      </c>
      <c r="H27" s="34">
        <v>31.77</v>
      </c>
      <c r="I27" s="34">
        <v>38.93</v>
      </c>
      <c r="J27" s="34">
        <v>28.97</v>
      </c>
      <c r="K27" s="34">
        <v>27.86</v>
      </c>
      <c r="L27" s="34">
        <v>23.57</v>
      </c>
      <c r="M27" s="34">
        <v>13.19</v>
      </c>
      <c r="N27" s="34">
        <v>11.14</v>
      </c>
      <c r="O27" s="34">
        <v>13.11</v>
      </c>
      <c r="P27" s="34">
        <v>16.69</v>
      </c>
      <c r="Q27" s="34">
        <v>16.8</v>
      </c>
      <c r="R27" s="34">
        <v>10.64</v>
      </c>
      <c r="S27" s="34">
        <v>17.97</v>
      </c>
      <c r="T27" s="34">
        <v>18.11</v>
      </c>
      <c r="U27" s="34">
        <v>15.62</v>
      </c>
      <c r="V27" s="34">
        <v>11.45</v>
      </c>
      <c r="W27" s="34">
        <v>8.07</v>
      </c>
      <c r="X27" s="34">
        <v>5.44</v>
      </c>
      <c r="Y27" s="34">
        <v>5.96</v>
      </c>
      <c r="Z27" s="34">
        <v>7.06</v>
      </c>
    </row>
    <row r="28" ht="15.0" customHeight="1">
      <c r="A28" s="32" t="s">
        <v>323</v>
      </c>
      <c r="B28" s="34">
        <v>38.39</v>
      </c>
      <c r="C28" s="34">
        <v>37.33</v>
      </c>
      <c r="D28" s="34">
        <v>35.02</v>
      </c>
      <c r="E28" s="34">
        <v>35.45</v>
      </c>
      <c r="F28" s="34">
        <v>36.61</v>
      </c>
      <c r="G28" s="34">
        <v>33.21</v>
      </c>
      <c r="H28" s="34">
        <v>31.43</v>
      </c>
      <c r="I28" s="34">
        <v>28.03</v>
      </c>
      <c r="J28" s="34">
        <v>21.43</v>
      </c>
      <c r="K28" s="34">
        <v>19.78</v>
      </c>
      <c r="L28" s="34">
        <v>17.25</v>
      </c>
      <c r="M28" s="34">
        <v>14.95</v>
      </c>
      <c r="N28" s="34">
        <v>12.44</v>
      </c>
      <c r="O28" s="34">
        <v>14.27</v>
      </c>
      <c r="P28" s="34">
        <v>15.16</v>
      </c>
      <c r="Q28" s="34">
        <v>15.83</v>
      </c>
      <c r="R28" s="34">
        <v>17.3</v>
      </c>
      <c r="S28" s="34">
        <v>13.91</v>
      </c>
      <c r="T28" s="34">
        <v>11.94</v>
      </c>
      <c r="U28" s="34">
        <v>9.27</v>
      </c>
      <c r="V28" s="34">
        <v>7.75</v>
      </c>
      <c r="W28" s="36"/>
      <c r="X28" s="36"/>
      <c r="Y28" s="36"/>
      <c r="Z28" s="36"/>
    </row>
    <row r="29" ht="15.0" customHeight="1">
      <c r="A29" s="30" t="s">
        <v>324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5.0" customHeight="1">
      <c r="A30" s="32" t="s">
        <v>325</v>
      </c>
      <c r="B30" s="37">
        <v>9.82</v>
      </c>
      <c r="C30" s="38">
        <v>-4.59</v>
      </c>
      <c r="D30" s="38">
        <v>-2.97</v>
      </c>
      <c r="E30" s="38">
        <v>-11.39</v>
      </c>
      <c r="F30" s="38">
        <v>-1.05</v>
      </c>
      <c r="G30" s="38">
        <v>-124.79</v>
      </c>
      <c r="H30" s="38">
        <v>-23.92</v>
      </c>
      <c r="I30" s="37">
        <v>0.38</v>
      </c>
      <c r="J30" s="38">
        <v>-42.87</v>
      </c>
      <c r="K30" s="38">
        <v>-41.71</v>
      </c>
      <c r="L30" s="37">
        <v>0.19</v>
      </c>
      <c r="M30" s="38">
        <v>-46.98</v>
      </c>
      <c r="N30" s="38">
        <v>-13.66</v>
      </c>
      <c r="O30" s="38">
        <v>-45.79</v>
      </c>
      <c r="P30" s="38">
        <v>-1.02</v>
      </c>
      <c r="Q30" s="37">
        <v>11.83</v>
      </c>
      <c r="R30" s="37">
        <v>23.67</v>
      </c>
      <c r="S30" s="37">
        <v>9.76</v>
      </c>
      <c r="T30" s="37">
        <v>12.32</v>
      </c>
      <c r="U30" s="37">
        <v>17.19</v>
      </c>
      <c r="V30" s="37">
        <v>27.99</v>
      </c>
      <c r="W30" s="37">
        <v>34.69</v>
      </c>
      <c r="X30" s="37">
        <v>21.29</v>
      </c>
      <c r="Y30" s="37">
        <v>13.55</v>
      </c>
      <c r="Z30" s="38">
        <v>-32.47</v>
      </c>
    </row>
    <row r="31" ht="15.0" customHeight="1">
      <c r="A31" s="32" t="s">
        <v>326</v>
      </c>
      <c r="B31" s="38">
        <v>-2.1</v>
      </c>
      <c r="C31" s="38">
        <v>-31.03</v>
      </c>
      <c r="D31" s="38">
        <v>-34.72</v>
      </c>
      <c r="E31" s="38">
        <v>-32.16</v>
      </c>
      <c r="F31" s="38">
        <v>-38.19</v>
      </c>
      <c r="G31" s="38">
        <v>-46.5</v>
      </c>
      <c r="H31" s="38">
        <v>-20.96</v>
      </c>
      <c r="I31" s="38">
        <v>-23.19</v>
      </c>
      <c r="J31" s="38">
        <v>-29.86</v>
      </c>
      <c r="K31" s="38">
        <v>-28.45</v>
      </c>
      <c r="L31" s="38">
        <v>-18.26</v>
      </c>
      <c r="M31" s="38">
        <v>-16.83</v>
      </c>
      <c r="N31" s="38">
        <v>-5.97</v>
      </c>
      <c r="O31" s="38">
        <v>-0.84</v>
      </c>
      <c r="P31" s="37">
        <v>9.96</v>
      </c>
      <c r="Q31" s="37">
        <v>13.91</v>
      </c>
      <c r="R31" s="37">
        <v>16.58</v>
      </c>
      <c r="S31" s="37">
        <v>17.68</v>
      </c>
      <c r="T31" s="37">
        <v>20.52</v>
      </c>
      <c r="U31" s="37">
        <v>22.74</v>
      </c>
      <c r="V31" s="37">
        <v>15.0</v>
      </c>
      <c r="W31" s="37"/>
      <c r="X31" s="37"/>
      <c r="Y31" s="37"/>
      <c r="Z31" s="37"/>
    </row>
    <row r="32" ht="15.0" customHeight="1">
      <c r="A32" s="30" t="s">
        <v>327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5.0" customHeight="1">
      <c r="A33" s="32" t="s">
        <v>328</v>
      </c>
      <c r="B33" s="37">
        <v>10.18</v>
      </c>
      <c r="C33" s="37">
        <v>9.71</v>
      </c>
      <c r="D33" s="37">
        <v>9.84</v>
      </c>
      <c r="E33" s="37">
        <v>37.06</v>
      </c>
      <c r="F33" s="37">
        <v>7.14</v>
      </c>
      <c r="G33" s="37">
        <v>6.36</v>
      </c>
      <c r="H33" s="37">
        <v>6.55</v>
      </c>
      <c r="I33" s="37">
        <v>4.8</v>
      </c>
      <c r="J33" s="37">
        <v>5.33</v>
      </c>
      <c r="K33" s="37">
        <v>3.45</v>
      </c>
      <c r="L33" s="37">
        <v>3.83</v>
      </c>
      <c r="M33" s="37"/>
      <c r="N33" s="37">
        <v>6.59</v>
      </c>
      <c r="O33" s="37">
        <v>4.75</v>
      </c>
      <c r="P33" s="37">
        <v>3.75</v>
      </c>
      <c r="Q33" s="37">
        <v>5.95</v>
      </c>
      <c r="R33" s="37">
        <v>11.01</v>
      </c>
      <c r="S33" s="37">
        <v>5.32</v>
      </c>
      <c r="T33" s="37">
        <v>5.48</v>
      </c>
      <c r="U33" s="37"/>
      <c r="V33" s="37">
        <v>10.8</v>
      </c>
      <c r="W33" s="37">
        <v>5.2</v>
      </c>
      <c r="X33" s="37">
        <v>6.68</v>
      </c>
      <c r="Y33" s="37">
        <v>0.0</v>
      </c>
      <c r="Z33" s="37">
        <v>0.0</v>
      </c>
    </row>
    <row r="34" ht="15.0" customHeight="1">
      <c r="A34" s="32" t="s">
        <v>329</v>
      </c>
      <c r="B34" s="37">
        <v>15.02</v>
      </c>
      <c r="C34" s="37">
        <v>14.08</v>
      </c>
      <c r="D34" s="37">
        <v>13.47</v>
      </c>
      <c r="E34" s="37">
        <v>12.14</v>
      </c>
      <c r="F34" s="37">
        <v>6.01</v>
      </c>
      <c r="G34" s="37">
        <v>5.33</v>
      </c>
      <c r="H34" s="37">
        <v>4.85</v>
      </c>
      <c r="I34" s="37"/>
      <c r="J34" s="37"/>
      <c r="K34" s="37"/>
      <c r="L34" s="37"/>
      <c r="M34" s="37"/>
      <c r="N34" s="37">
        <v>5.92</v>
      </c>
      <c r="O34" s="37">
        <v>5.67</v>
      </c>
      <c r="P34" s="37">
        <v>5.78</v>
      </c>
      <c r="Q34" s="37"/>
      <c r="R34" s="37"/>
      <c r="S34" s="37"/>
      <c r="T34" s="37"/>
      <c r="U34" s="37"/>
      <c r="V34" s="37">
        <v>5.32</v>
      </c>
      <c r="W34" s="37"/>
      <c r="X34" s="37"/>
      <c r="Y34" s="37"/>
      <c r="Z34" s="37"/>
    </row>
    <row r="35" ht="15.0" customHeight="1">
      <c r="A35" s="32" t="s">
        <v>330</v>
      </c>
      <c r="B35" s="37">
        <v>10.18</v>
      </c>
      <c r="C35" s="37">
        <v>9.71</v>
      </c>
      <c r="D35" s="37">
        <v>9.84</v>
      </c>
      <c r="E35" s="37">
        <v>37.06</v>
      </c>
      <c r="F35" s="37">
        <v>7.14</v>
      </c>
      <c r="G35" s="37">
        <v>6.36</v>
      </c>
      <c r="H35" s="37">
        <v>6.55</v>
      </c>
      <c r="I35" s="37">
        <v>4.8</v>
      </c>
      <c r="J35" s="37">
        <v>5.33</v>
      </c>
      <c r="K35" s="37">
        <v>3.45</v>
      </c>
      <c r="L35" s="37">
        <v>3.83</v>
      </c>
      <c r="M35" s="37">
        <v>6.32</v>
      </c>
      <c r="N35" s="37">
        <v>6.59</v>
      </c>
      <c r="O35" s="37">
        <v>5.9</v>
      </c>
      <c r="P35" s="37">
        <v>4.67</v>
      </c>
      <c r="Q35" s="37">
        <v>7.41</v>
      </c>
      <c r="R35" s="37">
        <v>13.69</v>
      </c>
      <c r="S35" s="37">
        <v>6.62</v>
      </c>
      <c r="T35" s="37">
        <v>6.81</v>
      </c>
      <c r="U35" s="37">
        <v>7.67</v>
      </c>
      <c r="V35" s="37">
        <v>3.6</v>
      </c>
      <c r="W35" s="37">
        <v>5.2</v>
      </c>
      <c r="X35" s="37">
        <v>6.68</v>
      </c>
      <c r="Y35" s="37">
        <v>0.0</v>
      </c>
      <c r="Z35" s="37">
        <v>0.0</v>
      </c>
    </row>
    <row r="36" ht="15.0" customHeight="1">
      <c r="A36" s="32" t="s">
        <v>331</v>
      </c>
      <c r="B36" s="37">
        <v>15.02</v>
      </c>
      <c r="C36" s="37">
        <v>14.08</v>
      </c>
      <c r="D36" s="37">
        <v>13.47</v>
      </c>
      <c r="E36" s="37">
        <v>12.14</v>
      </c>
      <c r="F36" s="37">
        <v>6.01</v>
      </c>
      <c r="G36" s="37">
        <v>5.33</v>
      </c>
      <c r="H36" s="37">
        <v>4.85</v>
      </c>
      <c r="I36" s="37">
        <v>4.64</v>
      </c>
      <c r="J36" s="37">
        <v>4.83</v>
      </c>
      <c r="K36" s="37">
        <v>4.85</v>
      </c>
      <c r="L36" s="37">
        <v>5.24</v>
      </c>
      <c r="M36" s="37">
        <v>6.14</v>
      </c>
      <c r="N36" s="37">
        <v>7.08</v>
      </c>
      <c r="O36" s="37">
        <v>7.05</v>
      </c>
      <c r="P36" s="37">
        <v>7.19</v>
      </c>
      <c r="Q36" s="37">
        <v>7.86</v>
      </c>
      <c r="R36" s="37">
        <v>7.3</v>
      </c>
      <c r="S36" s="37">
        <v>6.27</v>
      </c>
      <c r="T36" s="37">
        <v>6.2</v>
      </c>
      <c r="U36" s="37">
        <v>5.17</v>
      </c>
      <c r="V36" s="37">
        <v>3.19</v>
      </c>
      <c r="W36" s="37"/>
      <c r="X36" s="37"/>
      <c r="Y36" s="37"/>
      <c r="Z36" s="37"/>
    </row>
    <row r="37" ht="15.0" customHeight="1">
      <c r="A37" s="30" t="s">
        <v>332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5.0" customHeight="1">
      <c r="A38" s="32" t="s">
        <v>333</v>
      </c>
      <c r="B38" s="34">
        <v>0.54</v>
      </c>
      <c r="C38" s="34">
        <v>0.61</v>
      </c>
      <c r="D38" s="34">
        <v>0.59</v>
      </c>
      <c r="E38" s="34">
        <v>0.59</v>
      </c>
      <c r="F38" s="34">
        <v>0.56</v>
      </c>
      <c r="G38" s="34">
        <v>0.48</v>
      </c>
      <c r="H38" s="34">
        <v>0.41</v>
      </c>
      <c r="I38" s="34">
        <v>0.52</v>
      </c>
      <c r="J38" s="34">
        <v>0.49</v>
      </c>
      <c r="K38" s="34">
        <v>0.52</v>
      </c>
      <c r="L38" s="34">
        <v>0.67</v>
      </c>
      <c r="M38" s="34">
        <v>0.52</v>
      </c>
      <c r="N38" s="34">
        <v>0.49</v>
      </c>
      <c r="O38" s="34">
        <v>0.55</v>
      </c>
      <c r="P38" s="34">
        <v>0.66</v>
      </c>
      <c r="Q38" s="34">
        <v>0.66</v>
      </c>
      <c r="R38" s="34">
        <v>0.38</v>
      </c>
      <c r="S38" s="34">
        <v>0.78</v>
      </c>
      <c r="T38" s="34">
        <v>0.76</v>
      </c>
      <c r="U38" s="34">
        <v>0.81</v>
      </c>
      <c r="V38" s="34">
        <v>0.58</v>
      </c>
      <c r="W38" s="34">
        <v>0.47</v>
      </c>
      <c r="X38" s="34">
        <v>0.4</v>
      </c>
      <c r="Y38" s="34">
        <v>0.42</v>
      </c>
      <c r="Z38" s="34">
        <v>0.4</v>
      </c>
    </row>
    <row r="39" ht="15.0" customHeight="1">
      <c r="A39" s="32" t="s">
        <v>334</v>
      </c>
      <c r="B39" s="34">
        <v>0.57</v>
      </c>
      <c r="C39" s="34">
        <v>0.56</v>
      </c>
      <c r="D39" s="34">
        <v>0.52</v>
      </c>
      <c r="E39" s="34">
        <v>0.51</v>
      </c>
      <c r="F39" s="34">
        <v>0.49</v>
      </c>
      <c r="G39" s="34">
        <v>0.48</v>
      </c>
      <c r="H39" s="34">
        <v>0.5</v>
      </c>
      <c r="I39" s="34">
        <v>0.53</v>
      </c>
      <c r="J39" s="34">
        <v>0.53</v>
      </c>
      <c r="K39" s="34">
        <v>0.55</v>
      </c>
      <c r="L39" s="34">
        <v>0.58</v>
      </c>
      <c r="M39" s="34">
        <v>0.58</v>
      </c>
      <c r="N39" s="34">
        <v>0.55</v>
      </c>
      <c r="O39" s="34">
        <v>0.61</v>
      </c>
      <c r="P39" s="34">
        <v>0.65</v>
      </c>
      <c r="Q39" s="34">
        <v>0.67</v>
      </c>
      <c r="R39" s="34">
        <v>0.66</v>
      </c>
      <c r="S39" s="34">
        <v>0.69</v>
      </c>
      <c r="T39" s="34">
        <v>0.62</v>
      </c>
      <c r="U39" s="34">
        <v>0.55</v>
      </c>
      <c r="V39" s="34">
        <v>0.46</v>
      </c>
      <c r="W39" s="36"/>
      <c r="X39" s="36"/>
      <c r="Y39" s="36"/>
      <c r="Z39" s="36"/>
    </row>
    <row r="40" ht="15.0" customHeight="1">
      <c r="A40" s="30" t="s">
        <v>335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5.0" customHeight="1">
      <c r="A41" s="32" t="s">
        <v>336</v>
      </c>
      <c r="B41" s="34">
        <v>0.61</v>
      </c>
      <c r="C41" s="34">
        <v>0.74</v>
      </c>
      <c r="D41" s="34">
        <v>0.75</v>
      </c>
      <c r="E41" s="34">
        <v>0.69</v>
      </c>
      <c r="F41" s="34">
        <v>0.61</v>
      </c>
      <c r="G41" s="34">
        <v>0.52</v>
      </c>
      <c r="H41" s="34">
        <v>0.44</v>
      </c>
      <c r="I41" s="34">
        <v>0.53</v>
      </c>
      <c r="J41" s="34">
        <v>0.52</v>
      </c>
      <c r="K41" s="34">
        <v>0.53</v>
      </c>
      <c r="L41" s="34">
        <v>0.67</v>
      </c>
      <c r="M41" s="34">
        <v>0.52</v>
      </c>
      <c r="N41" s="34">
        <v>0.49</v>
      </c>
      <c r="O41" s="34">
        <v>0.55</v>
      </c>
      <c r="P41" s="34">
        <v>0.66</v>
      </c>
      <c r="Q41" s="34">
        <v>0.66</v>
      </c>
      <c r="R41" s="34">
        <v>0.38</v>
      </c>
      <c r="S41" s="34">
        <v>0.78</v>
      </c>
      <c r="T41" s="34">
        <v>0.76</v>
      </c>
      <c r="U41" s="34">
        <v>0.86</v>
      </c>
      <c r="V41" s="34">
        <v>0.6</v>
      </c>
      <c r="W41" s="34">
        <v>0.48</v>
      </c>
      <c r="X41" s="34">
        <v>0.41</v>
      </c>
      <c r="Y41" s="34">
        <v>0.43</v>
      </c>
      <c r="Z41" s="34">
        <v>0.41</v>
      </c>
    </row>
    <row r="42" ht="15.0" customHeight="1">
      <c r="A42" s="32" t="s">
        <v>337</v>
      </c>
      <c r="B42" s="34">
        <v>0.67</v>
      </c>
      <c r="C42" s="34">
        <v>0.64</v>
      </c>
      <c r="D42" s="34">
        <v>0.58</v>
      </c>
      <c r="E42" s="34">
        <v>0.55</v>
      </c>
      <c r="F42" s="34">
        <v>0.52</v>
      </c>
      <c r="G42" s="34">
        <v>0.51</v>
      </c>
      <c r="H42" s="34">
        <v>0.52</v>
      </c>
      <c r="I42" s="34">
        <v>0.55</v>
      </c>
      <c r="J42" s="34">
        <v>0.54</v>
      </c>
      <c r="K42" s="34">
        <v>0.55</v>
      </c>
      <c r="L42" s="34">
        <v>0.58</v>
      </c>
      <c r="M42" s="34">
        <v>0.58</v>
      </c>
      <c r="N42" s="34">
        <v>0.55</v>
      </c>
      <c r="O42" s="34">
        <v>0.61</v>
      </c>
      <c r="P42" s="34">
        <v>0.65</v>
      </c>
      <c r="Q42" s="34">
        <v>0.68</v>
      </c>
      <c r="R42" s="34">
        <v>0.67</v>
      </c>
      <c r="S42" s="34">
        <v>0.71</v>
      </c>
      <c r="T42" s="34">
        <v>0.64</v>
      </c>
      <c r="U42" s="34">
        <v>0.57</v>
      </c>
      <c r="V42" s="34">
        <v>0.47</v>
      </c>
      <c r="W42" s="36"/>
      <c r="X42" s="36"/>
      <c r="Y42" s="36"/>
      <c r="Z42" s="36"/>
    </row>
    <row r="43" ht="15.0" customHeight="1">
      <c r="A43" s="30" t="s">
        <v>338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5.0" customHeight="1">
      <c r="A44" s="32" t="s">
        <v>339</v>
      </c>
      <c r="B44" s="34">
        <v>2.06</v>
      </c>
      <c r="C44" s="34">
        <v>2.96</v>
      </c>
      <c r="D44" s="34">
        <v>2.48</v>
      </c>
      <c r="E44" s="34">
        <v>2.13</v>
      </c>
      <c r="F44" s="34">
        <v>2.21</v>
      </c>
      <c r="G44" s="34">
        <v>1.9</v>
      </c>
      <c r="H44" s="34">
        <v>2.33</v>
      </c>
      <c r="I44" s="34">
        <v>3.79</v>
      </c>
      <c r="J44" s="34">
        <v>3.37</v>
      </c>
      <c r="K44" s="34">
        <v>6.42</v>
      </c>
      <c r="L44" s="34">
        <v>5.23</v>
      </c>
      <c r="M44" s="34">
        <v>3.63</v>
      </c>
      <c r="N44" s="34">
        <v>3.56</v>
      </c>
      <c r="O44" s="34">
        <v>4.23</v>
      </c>
      <c r="P44" s="34">
        <v>4.68</v>
      </c>
      <c r="Q44" s="34">
        <v>4.26</v>
      </c>
      <c r="R44" s="34">
        <v>2.31</v>
      </c>
      <c r="S44" s="34">
        <v>4.94</v>
      </c>
      <c r="T44" s="34">
        <v>2.61</v>
      </c>
      <c r="U44" s="34">
        <v>3.73</v>
      </c>
      <c r="V44" s="34">
        <v>2.54</v>
      </c>
      <c r="W44" s="34">
        <v>1.83</v>
      </c>
      <c r="X44" s="34">
        <v>1.81</v>
      </c>
      <c r="Y44" s="34">
        <v>2.07</v>
      </c>
      <c r="Z44" s="34">
        <v>1.01</v>
      </c>
    </row>
    <row r="45" ht="15.0" customHeight="1">
      <c r="A45" s="32" t="s">
        <v>340</v>
      </c>
      <c r="B45" s="34">
        <v>2.32</v>
      </c>
      <c r="C45" s="34">
        <v>2.26</v>
      </c>
      <c r="D45" s="34">
        <v>2.18</v>
      </c>
      <c r="E45" s="34">
        <v>2.36</v>
      </c>
      <c r="F45" s="34">
        <v>2.55</v>
      </c>
      <c r="G45" s="34">
        <v>2.95</v>
      </c>
      <c r="H45" s="34">
        <v>3.68</v>
      </c>
      <c r="I45" s="34">
        <v>4.22</v>
      </c>
      <c r="J45" s="34">
        <v>4.28</v>
      </c>
      <c r="K45" s="34">
        <v>4.65</v>
      </c>
      <c r="L45" s="34">
        <v>4.3</v>
      </c>
      <c r="M45" s="34">
        <v>4.08</v>
      </c>
      <c r="N45" s="34">
        <v>3.79</v>
      </c>
      <c r="O45" s="34">
        <v>4.07</v>
      </c>
      <c r="P45" s="34">
        <v>3.59</v>
      </c>
      <c r="Q45" s="34">
        <v>3.44</v>
      </c>
      <c r="R45" s="34">
        <v>3.13</v>
      </c>
      <c r="S45" s="34">
        <v>3.03</v>
      </c>
      <c r="T45" s="34">
        <v>2.54</v>
      </c>
      <c r="U45" s="34">
        <v>2.45</v>
      </c>
      <c r="V45" s="34">
        <v>1.75</v>
      </c>
      <c r="W45" s="36"/>
      <c r="X45" s="36"/>
      <c r="Y45" s="36"/>
      <c r="Z45" s="36"/>
    </row>
    <row r="46" ht="15.0" customHeight="1">
      <c r="A46" s="30" t="s">
        <v>341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5.0" customHeight="1">
      <c r="A47" s="32" t="s">
        <v>342</v>
      </c>
      <c r="B47" s="34">
        <v>10.19</v>
      </c>
      <c r="C47" s="36"/>
      <c r="D47" s="33">
        <v>118.75</v>
      </c>
      <c r="E47" s="36"/>
      <c r="F47" s="36"/>
      <c r="G47" s="36"/>
      <c r="H47" s="36"/>
      <c r="I47" s="33">
        <v>260.09</v>
      </c>
      <c r="J47" s="36"/>
      <c r="K47" s="36"/>
      <c r="L47" s="33">
        <v>531.79</v>
      </c>
      <c r="M47" s="36"/>
      <c r="N47" s="36"/>
      <c r="O47" s="36"/>
      <c r="P47" s="36"/>
      <c r="Q47" s="34">
        <v>8.45</v>
      </c>
      <c r="R47" s="34">
        <v>4.22</v>
      </c>
      <c r="S47" s="34">
        <v>10.25</v>
      </c>
      <c r="T47" s="34">
        <v>8.12</v>
      </c>
      <c r="U47" s="34">
        <v>5.82</v>
      </c>
      <c r="V47" s="34">
        <v>3.57</v>
      </c>
      <c r="W47" s="34">
        <v>2.88</v>
      </c>
      <c r="X47" s="34">
        <v>4.7</v>
      </c>
      <c r="Y47" s="34">
        <v>7.38</v>
      </c>
      <c r="Z47" s="36"/>
    </row>
    <row r="48" ht="15.0" customHeight="1">
      <c r="A48" s="32" t="s">
        <v>343</v>
      </c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4">
        <v>10.04</v>
      </c>
      <c r="Q48" s="34">
        <v>7.19</v>
      </c>
      <c r="R48" s="34">
        <v>6.03</v>
      </c>
      <c r="S48" s="34">
        <v>5.66</v>
      </c>
      <c r="T48" s="34">
        <v>4.87</v>
      </c>
      <c r="U48" s="34">
        <v>4.4</v>
      </c>
      <c r="V48" s="34">
        <v>6.66</v>
      </c>
      <c r="W48" s="36"/>
      <c r="X48" s="36"/>
      <c r="Y48" s="36"/>
      <c r="Z48" s="36"/>
    </row>
    <row r="49" ht="15.0" customHeight="1">
      <c r="A49" s="30" t="s">
        <v>344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5.0" customHeight="1">
      <c r="A50" s="32" t="s">
        <v>345</v>
      </c>
      <c r="B50" s="34">
        <v>2.3</v>
      </c>
      <c r="C50" s="34">
        <v>4.95</v>
      </c>
      <c r="D50" s="34">
        <v>5.2</v>
      </c>
      <c r="E50" s="33">
        <v>156.04</v>
      </c>
      <c r="F50" s="36"/>
      <c r="G50" s="34">
        <v>10.22</v>
      </c>
      <c r="H50" s="36"/>
      <c r="I50" s="36"/>
      <c r="J50" s="36"/>
      <c r="K50" s="36"/>
      <c r="L50" s="36"/>
      <c r="M50" s="34">
        <v>8.91</v>
      </c>
      <c r="N50" s="34">
        <v>5.58</v>
      </c>
      <c r="O50" s="34">
        <v>47.27</v>
      </c>
      <c r="P50" s="34">
        <v>6.09</v>
      </c>
      <c r="Q50" s="34">
        <v>5.07</v>
      </c>
      <c r="R50" s="34">
        <v>4.87</v>
      </c>
      <c r="S50" s="34">
        <v>9.89</v>
      </c>
      <c r="T50" s="34">
        <v>3.11</v>
      </c>
      <c r="U50" s="34">
        <v>7.32</v>
      </c>
      <c r="V50" s="34">
        <v>3.15</v>
      </c>
      <c r="W50" s="34">
        <v>2.84</v>
      </c>
      <c r="X50" s="34">
        <v>3.85</v>
      </c>
      <c r="Y50" s="34">
        <v>4.32</v>
      </c>
      <c r="Z50" s="34">
        <v>5.59</v>
      </c>
    </row>
    <row r="51" ht="15.0" customHeight="1">
      <c r="A51" s="32" t="s">
        <v>346</v>
      </c>
      <c r="B51" s="34">
        <v>7.24</v>
      </c>
      <c r="C51" s="34">
        <v>13.91</v>
      </c>
      <c r="D51" s="36"/>
      <c r="E51" s="36"/>
      <c r="F51" s="36"/>
      <c r="G51" s="36"/>
      <c r="H51" s="36"/>
      <c r="I51" s="36"/>
      <c r="J51" s="36"/>
      <c r="K51" s="36"/>
      <c r="L51" s="36"/>
      <c r="M51" s="34">
        <v>7.25</v>
      </c>
      <c r="N51" s="34">
        <v>6.6</v>
      </c>
      <c r="O51" s="34">
        <v>7.43</v>
      </c>
      <c r="P51" s="34">
        <v>5.08</v>
      </c>
      <c r="Q51" s="34">
        <v>5.22</v>
      </c>
      <c r="R51" s="34">
        <v>4.76</v>
      </c>
      <c r="S51" s="34">
        <v>4.42</v>
      </c>
      <c r="T51" s="34">
        <v>3.72</v>
      </c>
      <c r="U51" s="34">
        <v>4.11</v>
      </c>
      <c r="V51" s="34">
        <v>3.62</v>
      </c>
      <c r="W51" s="36"/>
      <c r="X51" s="36"/>
      <c r="Y51" s="36"/>
      <c r="Z51" s="36"/>
    </row>
    <row r="52" ht="15.0" customHeight="1">
      <c r="A52" s="30" t="s">
        <v>347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5.0" customHeight="1">
      <c r="A53" s="32" t="s">
        <v>348</v>
      </c>
      <c r="B53" s="34">
        <v>3.0</v>
      </c>
      <c r="C53" s="34">
        <v>5.7</v>
      </c>
      <c r="D53" s="34">
        <v>5.86</v>
      </c>
      <c r="E53" s="36"/>
      <c r="F53" s="36"/>
      <c r="G53" s="34">
        <v>13.19</v>
      </c>
      <c r="H53" s="34">
        <v>7.73</v>
      </c>
      <c r="I53" s="34">
        <v>4.84</v>
      </c>
      <c r="J53" s="34">
        <v>2.8</v>
      </c>
      <c r="K53" s="34">
        <v>2.65</v>
      </c>
      <c r="L53" s="34">
        <v>5.67</v>
      </c>
      <c r="M53" s="34">
        <v>35.44</v>
      </c>
      <c r="N53" s="34">
        <v>10.06</v>
      </c>
      <c r="O53" s="36"/>
      <c r="P53" s="34">
        <v>7.86</v>
      </c>
      <c r="Q53" s="34">
        <v>6.38</v>
      </c>
      <c r="R53" s="34">
        <v>7.67</v>
      </c>
      <c r="S53" s="34">
        <v>15.37</v>
      </c>
      <c r="T53" s="34">
        <v>3.51</v>
      </c>
      <c r="U53" s="34">
        <v>10.5</v>
      </c>
      <c r="V53" s="34">
        <v>3.84</v>
      </c>
      <c r="W53" s="34">
        <v>3.68</v>
      </c>
      <c r="X53" s="34">
        <v>6.38</v>
      </c>
      <c r="Y53" s="34">
        <v>7.73</v>
      </c>
      <c r="Z53" s="34">
        <v>19.84</v>
      </c>
    </row>
    <row r="54" ht="15.0" customHeight="1">
      <c r="A54" s="32" t="s">
        <v>349</v>
      </c>
      <c r="B54" s="34">
        <v>10.1</v>
      </c>
      <c r="C54" s="34">
        <v>20.63</v>
      </c>
      <c r="D54" s="34">
        <v>25.16</v>
      </c>
      <c r="E54" s="34">
        <v>18.12</v>
      </c>
      <c r="F54" s="34">
        <v>7.68</v>
      </c>
      <c r="G54" s="34">
        <v>4.51</v>
      </c>
      <c r="H54" s="34">
        <v>4.04</v>
      </c>
      <c r="I54" s="34">
        <v>4.0</v>
      </c>
      <c r="J54" s="34">
        <v>4.08</v>
      </c>
      <c r="K54" s="34">
        <v>6.1</v>
      </c>
      <c r="L54" s="34">
        <v>11.02</v>
      </c>
      <c r="M54" s="34">
        <v>12.39</v>
      </c>
      <c r="N54" s="34">
        <v>10.32</v>
      </c>
      <c r="O54" s="34">
        <v>11.28</v>
      </c>
      <c r="P54" s="34">
        <v>6.46</v>
      </c>
      <c r="Q54" s="34">
        <v>6.72</v>
      </c>
      <c r="R54" s="34">
        <v>6.08</v>
      </c>
      <c r="S54" s="34">
        <v>5.54</v>
      </c>
      <c r="T54" s="34">
        <v>4.67</v>
      </c>
      <c r="U54" s="34">
        <v>5.67</v>
      </c>
      <c r="V54" s="34">
        <v>5.34</v>
      </c>
      <c r="W54" s="36"/>
      <c r="X54" s="36"/>
      <c r="Y54" s="36"/>
      <c r="Z54" s="36"/>
    </row>
    <row r="55" ht="15.0" customHeight="1">
      <c r="A55" s="30" t="s">
        <v>350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5.0" customHeight="1">
      <c r="A56" s="32" t="s">
        <v>351</v>
      </c>
      <c r="B56" s="34">
        <v>5.71</v>
      </c>
      <c r="C56" s="34">
        <v>4.27</v>
      </c>
      <c r="D56" s="34">
        <v>19.47</v>
      </c>
      <c r="E56" s="34">
        <v>11.33</v>
      </c>
      <c r="F56" s="36"/>
      <c r="G56" s="34">
        <v>9.18</v>
      </c>
      <c r="H56" s="34">
        <v>12.31</v>
      </c>
      <c r="I56" s="34">
        <v>9.87</v>
      </c>
      <c r="J56" s="34">
        <v>5.31</v>
      </c>
      <c r="K56" s="33">
        <v>322.07</v>
      </c>
      <c r="L56" s="34">
        <v>46.67</v>
      </c>
      <c r="M56" s="34">
        <v>35.44</v>
      </c>
      <c r="N56" s="34">
        <v>10.06</v>
      </c>
      <c r="O56" s="36"/>
      <c r="P56" s="34">
        <v>7.86</v>
      </c>
      <c r="Q56" s="34">
        <v>6.38</v>
      </c>
      <c r="R56" s="34">
        <v>6.63</v>
      </c>
      <c r="S56" s="34">
        <v>15.58</v>
      </c>
      <c r="T56" s="34">
        <v>3.55</v>
      </c>
      <c r="U56" s="34">
        <v>10.5</v>
      </c>
      <c r="V56" s="34">
        <v>3.84</v>
      </c>
      <c r="W56" s="34">
        <v>3.68</v>
      </c>
      <c r="X56" s="34">
        <v>6.39</v>
      </c>
      <c r="Y56" s="34">
        <v>7.74</v>
      </c>
      <c r="Z56" s="34">
        <v>19.84</v>
      </c>
    </row>
    <row r="57" ht="15.0" customHeight="1">
      <c r="A57" s="32" t="s">
        <v>352</v>
      </c>
      <c r="B57" s="34">
        <v>0.57</v>
      </c>
      <c r="C57" s="34">
        <v>0.56</v>
      </c>
      <c r="D57" s="34">
        <v>0.52</v>
      </c>
      <c r="E57" s="34">
        <v>0.51</v>
      </c>
      <c r="F57" s="34">
        <v>0.49</v>
      </c>
      <c r="G57" s="34">
        <v>0.48</v>
      </c>
      <c r="H57" s="34">
        <v>0.5</v>
      </c>
      <c r="I57" s="34">
        <v>0.53</v>
      </c>
      <c r="J57" s="34">
        <v>0.53</v>
      </c>
      <c r="K57" s="34">
        <v>0.55</v>
      </c>
      <c r="L57" s="34">
        <v>0.58</v>
      </c>
      <c r="M57" s="34">
        <v>0.58</v>
      </c>
      <c r="N57" s="34">
        <v>0.55</v>
      </c>
      <c r="O57" s="34">
        <v>0.61</v>
      </c>
      <c r="P57" s="34">
        <v>0.65</v>
      </c>
      <c r="Q57" s="34">
        <v>0.67</v>
      </c>
      <c r="R57" s="34">
        <v>0.66</v>
      </c>
      <c r="S57" s="34">
        <v>0.69</v>
      </c>
      <c r="T57" s="34">
        <v>0.62</v>
      </c>
      <c r="U57" s="34">
        <v>0.55</v>
      </c>
      <c r="V57" s="34">
        <v>0.46</v>
      </c>
      <c r="W57" s="36"/>
      <c r="X57" s="36"/>
      <c r="Y57" s="36"/>
      <c r="Z57" s="36"/>
    </row>
    <row r="58" ht="15.0" customHeight="1">
      <c r="A58" s="30" t="s">
        <v>353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5.0" customHeight="1">
      <c r="A59" s="32" t="s">
        <v>354</v>
      </c>
      <c r="B59" s="34">
        <v>0.03</v>
      </c>
      <c r="C59" s="34">
        <v>0.5</v>
      </c>
      <c r="D59" s="34">
        <v>0.01</v>
      </c>
      <c r="E59" s="36"/>
      <c r="F59" s="36"/>
      <c r="G59" s="35">
        <v>-0.39</v>
      </c>
      <c r="H59" s="35">
        <v>-0.16</v>
      </c>
      <c r="I59" s="35">
        <v>-0.17</v>
      </c>
      <c r="J59" s="34">
        <v>0.74</v>
      </c>
      <c r="K59" s="34">
        <v>0.02</v>
      </c>
      <c r="L59" s="34">
        <v>0.01</v>
      </c>
      <c r="M59" s="35">
        <v>-0.5</v>
      </c>
      <c r="N59" s="34">
        <v>0.03</v>
      </c>
      <c r="O59" s="36"/>
      <c r="P59" s="35">
        <v>-0.56</v>
      </c>
      <c r="Q59" s="34">
        <v>0.05</v>
      </c>
      <c r="R59" s="35">
        <v>-2.45</v>
      </c>
      <c r="S59" s="35">
        <v>-0.2</v>
      </c>
      <c r="T59" s="34">
        <v>0.01</v>
      </c>
      <c r="U59" s="35">
        <v>-0.22</v>
      </c>
      <c r="V59" s="34">
        <v>0.1</v>
      </c>
      <c r="W59" s="34">
        <v>0.03</v>
      </c>
      <c r="X59" s="34">
        <v>0.3</v>
      </c>
      <c r="Y59" s="34">
        <v>0.06</v>
      </c>
      <c r="Z59" s="36"/>
    </row>
    <row r="60" ht="15.0" customHeight="1">
      <c r="A60" s="32" t="s">
        <v>355</v>
      </c>
      <c r="B60" s="34">
        <v>0.32</v>
      </c>
      <c r="C60" s="34">
        <v>3.33</v>
      </c>
      <c r="D60" s="35">
        <v>-2.72</v>
      </c>
      <c r="E60" s="36"/>
      <c r="F60" s="36"/>
      <c r="G60" s="35">
        <v>-0.46</v>
      </c>
      <c r="H60" s="34">
        <v>0.07</v>
      </c>
      <c r="I60" s="34">
        <v>0.1</v>
      </c>
      <c r="J60" s="36"/>
      <c r="K60" s="34">
        <v>0.19</v>
      </c>
      <c r="L60" s="34">
        <v>1.43</v>
      </c>
      <c r="M60" s="35">
        <v>-0.6</v>
      </c>
      <c r="N60" s="34">
        <v>21.87</v>
      </c>
      <c r="O60" s="36"/>
      <c r="P60" s="34">
        <v>0.82</v>
      </c>
      <c r="Q60" s="35">
        <v>-2.58</v>
      </c>
      <c r="R60" s="35">
        <v>-0.53</v>
      </c>
      <c r="S60" s="34">
        <v>1.18</v>
      </c>
      <c r="T60" s="34">
        <v>0.1</v>
      </c>
      <c r="U60" s="34">
        <v>0.17</v>
      </c>
      <c r="V60" s="36"/>
      <c r="W60" s="36"/>
      <c r="X60" s="36"/>
      <c r="Y60" s="36"/>
      <c r="Z60" s="36"/>
    </row>
    <row r="61" ht="15.0" customHeight="1">
      <c r="A61" s="30" t="s">
        <v>356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5.0" customHeight="1">
      <c r="A62" s="32" t="s">
        <v>357</v>
      </c>
      <c r="B62" s="34">
        <v>6.67</v>
      </c>
      <c r="C62" s="34">
        <v>4.22</v>
      </c>
      <c r="D62" s="34">
        <v>4.13</v>
      </c>
      <c r="E62" s="34">
        <v>2.66</v>
      </c>
      <c r="F62" s="34">
        <v>4.44</v>
      </c>
      <c r="G62" s="34">
        <v>7.64</v>
      </c>
      <c r="H62" s="34">
        <v>6.93</v>
      </c>
      <c r="I62" s="34">
        <v>7.56</v>
      </c>
      <c r="J62" s="34">
        <v>9.65</v>
      </c>
      <c r="K62" s="34">
        <v>13.73</v>
      </c>
      <c r="L62" s="34">
        <v>6.14</v>
      </c>
      <c r="M62" s="34">
        <v>4.45</v>
      </c>
      <c r="N62" s="34">
        <v>2.48</v>
      </c>
      <c r="O62" s="34">
        <v>2.73</v>
      </c>
      <c r="P62" s="34">
        <v>1.23</v>
      </c>
      <c r="Q62" s="34">
        <v>1.21</v>
      </c>
      <c r="R62" s="35">
        <v>-0.05</v>
      </c>
      <c r="S62" s="34">
        <v>2.69</v>
      </c>
      <c r="T62" s="34">
        <v>1.48</v>
      </c>
      <c r="U62" s="34">
        <v>3.1</v>
      </c>
      <c r="V62" s="34">
        <v>2.28</v>
      </c>
      <c r="W62" s="34">
        <v>2.21</v>
      </c>
      <c r="X62" s="34">
        <v>2.82</v>
      </c>
      <c r="Y62" s="34">
        <v>3.25</v>
      </c>
      <c r="Z62" s="34">
        <v>1.29</v>
      </c>
    </row>
    <row r="63" ht="15.0" customHeight="1">
      <c r="A63" s="32" t="s">
        <v>358</v>
      </c>
      <c r="B63" s="34">
        <v>4.46</v>
      </c>
      <c r="C63" s="34">
        <v>4.78</v>
      </c>
      <c r="D63" s="34">
        <v>5.25</v>
      </c>
      <c r="E63" s="34">
        <v>5.76</v>
      </c>
      <c r="F63" s="34">
        <v>6.86</v>
      </c>
      <c r="G63" s="34">
        <v>7.92</v>
      </c>
      <c r="H63" s="34">
        <v>8.02</v>
      </c>
      <c r="I63" s="34">
        <v>8.55</v>
      </c>
      <c r="J63" s="34">
        <v>8.92</v>
      </c>
      <c r="K63" s="34">
        <v>7.44</v>
      </c>
      <c r="L63" s="34">
        <v>3.47</v>
      </c>
      <c r="M63" s="34">
        <v>2.38</v>
      </c>
      <c r="N63" s="34">
        <v>1.46</v>
      </c>
      <c r="O63" s="34">
        <v>1.52</v>
      </c>
      <c r="P63" s="34">
        <v>1.33</v>
      </c>
      <c r="Q63" s="34">
        <v>1.68</v>
      </c>
      <c r="R63" s="34">
        <v>1.87</v>
      </c>
      <c r="S63" s="34">
        <v>2.25</v>
      </c>
      <c r="T63" s="34">
        <v>2.26</v>
      </c>
      <c r="U63" s="34">
        <v>2.69</v>
      </c>
      <c r="V63" s="34">
        <v>2.25</v>
      </c>
      <c r="W63" s="36"/>
      <c r="X63" s="36"/>
      <c r="Y63" s="36"/>
      <c r="Z63" s="36"/>
    </row>
    <row r="64" ht="15.0" customHeight="1">
      <c r="A64" s="30" t="s">
        <v>359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5.0" customHeight="1">
      <c r="A65" s="32" t="s">
        <v>360</v>
      </c>
      <c r="B65" s="34">
        <v>23.84</v>
      </c>
      <c r="C65" s="34">
        <v>32.98</v>
      </c>
      <c r="D65" s="34">
        <v>15.43</v>
      </c>
      <c r="E65" s="34">
        <v>9.94</v>
      </c>
      <c r="F65" s="34">
        <v>12.9</v>
      </c>
      <c r="G65" s="34">
        <v>16.47</v>
      </c>
      <c r="H65" s="34">
        <v>16.97</v>
      </c>
      <c r="I65" s="34">
        <v>21.01</v>
      </c>
      <c r="J65" s="34">
        <v>22.51</v>
      </c>
      <c r="K65" s="34">
        <v>22.75</v>
      </c>
      <c r="L65" s="34">
        <v>29.97</v>
      </c>
      <c r="M65" s="34">
        <v>13.85</v>
      </c>
      <c r="N65" s="34">
        <v>6.64</v>
      </c>
      <c r="O65" s="34">
        <v>8.65</v>
      </c>
      <c r="P65" s="34">
        <v>2.88</v>
      </c>
      <c r="Q65" s="34">
        <v>2.2</v>
      </c>
      <c r="R65" s="35">
        <v>-0.08</v>
      </c>
      <c r="S65" s="34">
        <v>4.86</v>
      </c>
      <c r="T65" s="34">
        <v>1.95</v>
      </c>
      <c r="U65" s="34">
        <v>5.01</v>
      </c>
      <c r="V65" s="34">
        <v>3.06</v>
      </c>
      <c r="W65" s="34">
        <v>3.18</v>
      </c>
      <c r="X65" s="34">
        <v>4.74</v>
      </c>
      <c r="Y65" s="34">
        <v>5.93</v>
      </c>
      <c r="Z65" s="34">
        <v>4.83</v>
      </c>
    </row>
    <row r="66" ht="15.0" customHeight="1">
      <c r="A66" s="32" t="s">
        <v>361</v>
      </c>
      <c r="B66" s="34">
        <v>16.84</v>
      </c>
      <c r="C66" s="34">
        <v>15.31</v>
      </c>
      <c r="D66" s="34">
        <v>14.72</v>
      </c>
      <c r="E66" s="34">
        <v>15.49</v>
      </c>
      <c r="F66" s="34">
        <v>17.03</v>
      </c>
      <c r="G66" s="34">
        <v>18.42</v>
      </c>
      <c r="H66" s="34">
        <v>19.92</v>
      </c>
      <c r="I66" s="34">
        <v>21.7</v>
      </c>
      <c r="J66" s="34">
        <v>20.98</v>
      </c>
      <c r="K66" s="34">
        <v>18.32</v>
      </c>
      <c r="L66" s="34">
        <v>10.64</v>
      </c>
      <c r="M66" s="34">
        <v>5.93</v>
      </c>
      <c r="N66" s="34">
        <v>3.23</v>
      </c>
      <c r="O66" s="34">
        <v>3.11</v>
      </c>
      <c r="P66" s="34">
        <v>2.22</v>
      </c>
      <c r="Q66" s="34">
        <v>2.67</v>
      </c>
      <c r="R66" s="34">
        <v>2.81</v>
      </c>
      <c r="S66" s="34">
        <v>3.27</v>
      </c>
      <c r="T66" s="34">
        <v>3.25</v>
      </c>
      <c r="U66" s="34">
        <v>4.14</v>
      </c>
      <c r="V66" s="34">
        <v>4.01</v>
      </c>
      <c r="W66" s="36"/>
      <c r="X66" s="36"/>
      <c r="Y66" s="36"/>
      <c r="Z66" s="36"/>
    </row>
    <row r="67" ht="15.0" customHeight="1">
      <c r="A67" s="30" t="s">
        <v>362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5.0" customHeight="1">
      <c r="A68" s="32" t="s">
        <v>363</v>
      </c>
      <c r="B68" s="34">
        <v>32.94</v>
      </c>
      <c r="C68" s="33">
        <v>352.7</v>
      </c>
      <c r="D68" s="33">
        <v>111.44</v>
      </c>
      <c r="E68" s="34">
        <v>12.1</v>
      </c>
      <c r="F68" s="34">
        <v>15.07</v>
      </c>
      <c r="G68" s="34">
        <v>63.52</v>
      </c>
      <c r="H68" s="34">
        <v>41.84</v>
      </c>
      <c r="I68" s="34">
        <v>33.66</v>
      </c>
      <c r="J68" s="34">
        <v>46.79</v>
      </c>
      <c r="K68" s="34">
        <v>42.3</v>
      </c>
      <c r="L68" s="33">
        <v>624.41</v>
      </c>
      <c r="M68" s="34">
        <v>13.83</v>
      </c>
      <c r="N68" s="34">
        <v>7.55</v>
      </c>
      <c r="O68" s="34">
        <v>23.35</v>
      </c>
      <c r="P68" s="34">
        <v>2.31</v>
      </c>
      <c r="Q68" s="34">
        <v>2.4</v>
      </c>
      <c r="R68" s="35">
        <v>-0.08</v>
      </c>
      <c r="S68" s="34">
        <v>5.58</v>
      </c>
      <c r="T68" s="34">
        <v>4.61</v>
      </c>
      <c r="U68" s="34">
        <v>4.66</v>
      </c>
      <c r="V68" s="34">
        <v>2.97</v>
      </c>
      <c r="W68" s="34">
        <v>3.44</v>
      </c>
      <c r="X68" s="34">
        <v>7.19</v>
      </c>
      <c r="Y68" s="34">
        <v>11.16</v>
      </c>
      <c r="Z68" s="36"/>
    </row>
    <row r="69" ht="15.0" customHeight="1">
      <c r="A69" s="32" t="s">
        <v>364</v>
      </c>
      <c r="B69" s="34">
        <v>30.08</v>
      </c>
      <c r="C69" s="34">
        <v>36.99</v>
      </c>
      <c r="D69" s="34">
        <v>34.29</v>
      </c>
      <c r="E69" s="34">
        <v>28.65</v>
      </c>
      <c r="F69" s="34">
        <v>34.84</v>
      </c>
      <c r="G69" s="34">
        <v>45.88</v>
      </c>
      <c r="H69" s="34">
        <v>40.79</v>
      </c>
      <c r="I69" s="34">
        <v>38.21</v>
      </c>
      <c r="J69" s="34">
        <v>38.26</v>
      </c>
      <c r="K69" s="34">
        <v>31.48</v>
      </c>
      <c r="L69" s="34">
        <v>13.35</v>
      </c>
      <c r="M69" s="34">
        <v>6.45</v>
      </c>
      <c r="N69" s="34">
        <v>3.49</v>
      </c>
      <c r="O69" s="34">
        <v>3.38</v>
      </c>
      <c r="P69" s="34">
        <v>2.9</v>
      </c>
      <c r="Q69" s="34">
        <v>3.46</v>
      </c>
      <c r="R69" s="34">
        <v>3.49</v>
      </c>
      <c r="S69" s="34">
        <v>4.08</v>
      </c>
      <c r="T69" s="34">
        <v>4.19</v>
      </c>
      <c r="U69" s="34">
        <v>4.64</v>
      </c>
      <c r="V69" s="34">
        <v>6.12</v>
      </c>
      <c r="W69" s="36"/>
      <c r="X69" s="36"/>
      <c r="Y69" s="36"/>
      <c r="Z69" s="36"/>
    </row>
    <row r="70" ht="15.0" customHeight="1">
      <c r="A70" s="30" t="s">
        <v>365</v>
      </c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5.0" customHeight="1">
      <c r="A71" s="32" t="s">
        <v>366</v>
      </c>
      <c r="B71" s="34">
        <v>32.94</v>
      </c>
      <c r="C71" s="36"/>
      <c r="D71" s="33">
        <v>121.6</v>
      </c>
      <c r="E71" s="36"/>
      <c r="F71" s="36"/>
      <c r="G71" s="36"/>
      <c r="H71" s="36"/>
      <c r="I71" s="33">
        <v>518.44</v>
      </c>
      <c r="J71" s="36"/>
      <c r="K71" s="36"/>
      <c r="L71" s="33">
        <v>624.41</v>
      </c>
      <c r="M71" s="36"/>
      <c r="N71" s="36"/>
      <c r="O71" s="36"/>
      <c r="P71" s="36"/>
      <c r="Q71" s="34">
        <v>2.4</v>
      </c>
      <c r="R71" s="35">
        <v>-0.09</v>
      </c>
      <c r="S71" s="34">
        <v>5.58</v>
      </c>
      <c r="T71" s="34">
        <v>4.61</v>
      </c>
      <c r="U71" s="34">
        <v>4.84</v>
      </c>
      <c r="V71" s="34">
        <v>3.2</v>
      </c>
      <c r="W71" s="34">
        <v>3.48</v>
      </c>
      <c r="X71" s="34">
        <v>7.31</v>
      </c>
      <c r="Y71" s="34">
        <v>11.59</v>
      </c>
      <c r="Z71" s="36"/>
    </row>
    <row r="72" ht="15.0" customHeight="1">
      <c r="A72" s="32" t="s">
        <v>367</v>
      </c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4">
        <v>3.71</v>
      </c>
      <c r="Q72" s="34">
        <v>3.51</v>
      </c>
      <c r="R72" s="34">
        <v>3.61</v>
      </c>
      <c r="S72" s="34">
        <v>4.2</v>
      </c>
      <c r="T72" s="34">
        <v>4.33</v>
      </c>
      <c r="U72" s="34">
        <v>4.83</v>
      </c>
      <c r="V72" s="34">
        <v>7.06</v>
      </c>
      <c r="W72" s="36"/>
      <c r="X72" s="36"/>
      <c r="Y72" s="36"/>
      <c r="Z72" s="36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