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E7ec72hg7zWty1oPjgxxGOkC8lXF1Ydfl57m2zr7YE="/>
    </ext>
  </extLst>
</workbook>
</file>

<file path=xl/sharedStrings.xml><?xml version="1.0" encoding="utf-8"?>
<sst xmlns="http://schemas.openxmlformats.org/spreadsheetml/2006/main" count="405" uniqueCount="266">
  <si>
    <t>Company Fundamentals - Income Statement</t>
  </si>
  <si>
    <t>Company Name</t>
  </si>
  <si>
    <t>Endomines Finland Oyj (PAMPALO.HE)</t>
  </si>
  <si>
    <t>Country of Exchange</t>
  </si>
  <si>
    <t>Finland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</si>
  <si>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</si>
  <si>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</si>
  <si>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</si>
  <si>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</si>
  <si>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</si>
  <si>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</si>
  <si>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</si>
  <si>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</si>
  <si>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</si>
  <si>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</si>
  <si>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</si>
  <si>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</si>
  <si>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</si>
  <si>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</si>
  <si>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</si>
  <si>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</si>
  <si>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</si>
  <si>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</si>
  <si>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</si>
  <si>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</si>
  <si>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</si>
  <si>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</si>
  <si>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</si>
  <si>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</si>
  <si>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</si>
  <si>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</si>
  <si>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</si>
  <si>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</si>
  <si>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</si>
  <si>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</si>
  <si>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</si>
  <si>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</si>
  <si>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Revenue</t>
  </si>
  <si>
    <t>Total Revenue</t>
  </si>
  <si>
    <t>Other Operating Income</t>
  </si>
  <si>
    <t>Change in the inventory of finished goods and work in progress</t>
  </si>
  <si>
    <t>Materials, supplies, and external services</t>
  </si>
  <si>
    <t>Expenses arising from employee benefits</t>
  </si>
  <si>
    <t>Other operating expenses</t>
  </si>
  <si>
    <t>Depreciation and impairment losses</t>
  </si>
  <si>
    <t>Depreciation</t>
  </si>
  <si>
    <t>Impairment - Fixed Assets</t>
  </si>
  <si>
    <t>Impairment - Mineral resource exploration and evaluation expenses</t>
  </si>
  <si>
    <t>Depreciation &amp; Amortization - Balancing value</t>
  </si>
  <si>
    <t>Operating (Income)/Expense - Net</t>
  </si>
  <si>
    <t>Balancing Item - Income from Operations, net</t>
  </si>
  <si>
    <t>Operating result</t>
  </si>
  <si>
    <t>Financial Income</t>
  </si>
  <si>
    <t>Proceeds from a warrant recognized at fair value through profit or loss</t>
  </si>
  <si>
    <t>Conversion differences related to the foreign unit</t>
  </si>
  <si>
    <t>Financial Income - Balancing value</t>
  </si>
  <si>
    <t>Financial expenses</t>
  </si>
  <si>
    <t>Exchange rate losses</t>
  </si>
  <si>
    <t>Interest expenses on interest-bearing Liabilities</t>
  </si>
  <si>
    <t>Interest expenses on Leases</t>
  </si>
  <si>
    <t>Financial Expense - Balancing value</t>
  </si>
  <si>
    <t>Non-Operating Income/Expense - Total</t>
  </si>
  <si>
    <t>Balancing Item - Pretax Income</t>
  </si>
  <si>
    <t>Earnings before taxes</t>
  </si>
  <si>
    <t>Provision for Income Tax</t>
  </si>
  <si>
    <t>Income Taxes - Total - Deferred</t>
  </si>
  <si>
    <t>Income Taxes - Total</t>
  </si>
  <si>
    <t>Net Income - including After-Tax Adjustments</t>
  </si>
  <si>
    <t>Net Income - excluding  Extraordinary Items applicable to Common</t>
  </si>
  <si>
    <t>Net Income - including Extraordinary Items applicable to Common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</si>
  <si>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</si>
  <si>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</si>
  <si>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</si>
  <si>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</si>
  <si>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before Minority Interest - Total</t>
  </si>
  <si>
    <t>Amortization of Other Intangibles excluding Goodwill - Supplemental</t>
  </si>
  <si>
    <t>Depreciation - Supplemental</t>
  </si>
  <si>
    <t>Depreciation of Financial Lease Right-of-Use Assets - Supplemental</t>
  </si>
  <si>
    <t>Amortization of Intangible Assets excluding Goodwill - Total</t>
  </si>
  <si>
    <t>Depreciation - Total</t>
  </si>
  <si>
    <t>Depreciation &amp; Amortization - Total</t>
  </si>
  <si>
    <t>Auditor Fees</t>
  </si>
  <si>
    <t>Audit-Related Fees</t>
  </si>
  <si>
    <t>Auditor Fees - Total</t>
  </si>
  <si>
    <t>Interest Expense on Financial Lease Liabilities - Supplemental</t>
  </si>
  <si>
    <t>Net Income - Diluted - including Extraordinary Items Applicable to Common</t>
  </si>
  <si>
    <t>Net Income - Diluted - excluding Extraordinary Items Applicable to Common - Total</t>
  </si>
  <si>
    <t>EPS - Basic - excluding Extraordinary Items Applicable to Common - Total</t>
  </si>
  <si>
    <t>EPS - Basic - including Extraordinary Items Applicable to Common - Total</t>
  </si>
  <si>
    <t>EPS - Diluted - excluding Extraordinary Items Applicable to Common - Total</t>
  </si>
  <si>
    <t>Diluted earnings per share</t>
  </si>
  <si>
    <t>Shares used to calculate Diluted EPS - Total</t>
  </si>
  <si>
    <t>Shares used to calculate Basic EPS - Total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</si>
  <si>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</si>
  <si>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</si>
  <si>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</si>
  <si>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</si>
  <si>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</si>
  <si>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</si>
  <si>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</si>
  <si>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</si>
  <si>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</si>
  <si>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</si>
  <si>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</si>
  <si>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</si>
  <si>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</si>
  <si>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</si>
  <si>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</si>
  <si>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Mineral resource exploration and evaluation expenses</t>
  </si>
  <si>
    <t>Mineral resource exploration and evaluation - Gross</t>
  </si>
  <si>
    <t>Mineral resource exploration and evaluation - Accumulated Amortization &amp; Impairment</t>
  </si>
  <si>
    <t>Mineral resource exploration and evaluation expenses - Balancing value</t>
  </si>
  <si>
    <t>Other intangible assets</t>
  </si>
  <si>
    <t>Intangible Assets - Other - Gross</t>
  </si>
  <si>
    <t>Intangible Assets - Other - Accumulated Amortization &amp; Impairment</t>
  </si>
  <si>
    <t>Pampalo mine</t>
  </si>
  <si>
    <t>Pampalo mine- Gross</t>
  </si>
  <si>
    <t>Pampalo mine - Accumulated Depreciation &amp; Impairment</t>
  </si>
  <si>
    <t>Pampalo mine - Balancing value</t>
  </si>
  <si>
    <t>Hosko mine</t>
  </si>
  <si>
    <t>Hosko mine- Gross</t>
  </si>
  <si>
    <t>Hosko mine- Accumulated Depreciation &amp; Impairment</t>
  </si>
  <si>
    <t>Land and water areas</t>
  </si>
  <si>
    <t>Land/Improvements - Gross</t>
  </si>
  <si>
    <t>Land/Improvements - Accumulated Depreciation &amp; Impairment</t>
  </si>
  <si>
    <t>Buildings and structures</t>
  </si>
  <si>
    <t>Buildings - Gross</t>
  </si>
  <si>
    <t>Buildings - Accumulated Depreciation &amp; Impairment</t>
  </si>
  <si>
    <t>Machinery and equipment</t>
  </si>
  <si>
    <t>Plant, Machinery &amp; Equipment - Gross</t>
  </si>
  <si>
    <t>Plant, Machinery &amp; Equipment - Accumulated Depreciation &amp; Impairment</t>
  </si>
  <si>
    <t>Other tangible assets</t>
  </si>
  <si>
    <t>Property, Plant &amp; Equipment - Other - Gross</t>
  </si>
  <si>
    <t>Property, Plant &amp; Equipment - Other - Accumulated Depreciation &amp; Impairment</t>
  </si>
  <si>
    <t>Other Non-Current Assets</t>
  </si>
  <si>
    <t>Deferred Tax - Debit - Asset</t>
  </si>
  <si>
    <t>Balancing Item - Noncurrent Assets</t>
  </si>
  <si>
    <t>Total Non-Current Assets</t>
  </si>
  <si>
    <t>Inventories</t>
  </si>
  <si>
    <t>Materials and supplies</t>
  </si>
  <si>
    <t>Gold concentrate</t>
  </si>
  <si>
    <t>Ore</t>
  </si>
  <si>
    <t>Inventories - Balancing value</t>
  </si>
  <si>
    <t>Accounts receivable</t>
  </si>
  <si>
    <t>Other Receivables</t>
  </si>
  <si>
    <t>Accrued receivables</t>
  </si>
  <si>
    <t>Cash in hand and at banks</t>
  </si>
  <si>
    <t>Balancing Item - Current Assets</t>
  </si>
  <si>
    <t>Total Current Assets</t>
  </si>
  <si>
    <t>Assets Held for Sale/Discontinued Operations - Long-Term</t>
  </si>
  <si>
    <t>Balancing Item - Assets</t>
  </si>
  <si>
    <t>Total Assets</t>
  </si>
  <si>
    <t>Share capital</t>
  </si>
  <si>
    <t>Other invested capital</t>
  </si>
  <si>
    <t>Translation differences</t>
  </si>
  <si>
    <t>Retained Earnings</t>
  </si>
  <si>
    <t>Profit for the period</t>
  </si>
  <si>
    <t>Balancing Item - Shareholders Equity</t>
  </si>
  <si>
    <t>Total equity attributable to shareholders of the parent company</t>
  </si>
  <si>
    <t>Total Equity</t>
  </si>
  <si>
    <t>Deferred tax liabilities</t>
  </si>
  <si>
    <t>Interest-bearing Liabilities</t>
  </si>
  <si>
    <t>Convertible loans</t>
  </si>
  <si>
    <t>Bonds</t>
  </si>
  <si>
    <t>Lease Liabilities</t>
  </si>
  <si>
    <t>Other Loans</t>
  </si>
  <si>
    <t>Long-Term Debt including Capitalized Leases - Balancing value</t>
  </si>
  <si>
    <t>Deferred Tax - Credit - Liability</t>
  </si>
  <si>
    <t>Other Non-Current Liabilities</t>
  </si>
  <si>
    <t>Provisions</t>
  </si>
  <si>
    <t>Balancing Item - Noncurrent Liabilities</t>
  </si>
  <si>
    <t>Total Non-Current Liabilities</t>
  </si>
  <si>
    <t>Financial liabilities</t>
  </si>
  <si>
    <t>Financial liabilities - Balancing value</t>
  </si>
  <si>
    <t>Interest-bearing liabilities</t>
  </si>
  <si>
    <t>Current Portion of Long-Term Debt excluding Capitalized Leases</t>
  </si>
  <si>
    <t>Interest-bearing liabilities - Balancing value</t>
  </si>
  <si>
    <t>Capitalized Leases - Current Portion</t>
  </si>
  <si>
    <t>Accounts Payable</t>
  </si>
  <si>
    <t>Other liabilities</t>
  </si>
  <si>
    <t>Accrued liabilities</t>
  </si>
  <si>
    <t>Balancing Item - Current Liabilities</t>
  </si>
  <si>
    <t>Total Current Liabilities</t>
  </si>
  <si>
    <t>Liabilities Held for Sale/Discontinued Operations - Long-Term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</si>
  <si>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</si>
  <si>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</si>
  <si>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</si>
  <si>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</si>
  <si>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</si>
  <si>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</si>
  <si>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</si>
  <si>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</si>
  <si>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</si>
  <si>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</si>
  <si>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</si>
  <si>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</si>
  <si>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</si>
  <si>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</si>
  <si>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</si>
  <si>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</si>
  <si>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</si>
  <si>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</si>
  <si>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</si>
  <si>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Result for the period</t>
  </si>
  <si>
    <t>Financial income and expenses</t>
  </si>
  <si>
    <t>Depreciation - Property, Plant &amp; Equipment - Cash Flow - to Reconcile</t>
  </si>
  <si>
    <t>Unrealised exchange rate differences on intra-Group items</t>
  </si>
  <si>
    <t>Other adjustments</t>
  </si>
  <si>
    <t>Cash flow from operating activities before the change in working capital</t>
  </si>
  <si>
    <t>Change in current non-interest-bearing receivables</t>
  </si>
  <si>
    <t>Change in inventories</t>
  </si>
  <si>
    <t>Change in current non-interest-bearing liabilities</t>
  </si>
  <si>
    <t>Change in working capital</t>
  </si>
  <si>
    <t>Interest expenses</t>
  </si>
  <si>
    <t>Income tax refunds</t>
  </si>
  <si>
    <t>Balancing Item - Operating (Indirect)</t>
  </si>
  <si>
    <t>Net Cash Flow from Operating Activities</t>
  </si>
  <si>
    <t>Investments in intangible assets</t>
  </si>
  <si>
    <t>Investments in property, plant and equipment</t>
  </si>
  <si>
    <t>Transfers of tangible and intangible assets</t>
  </si>
  <si>
    <t>Acquisition of Business - Cash Flow</t>
  </si>
  <si>
    <t>Balancing Item - Investing</t>
  </si>
  <si>
    <t>Net Cash Flow from Investing Activities</t>
  </si>
  <si>
    <t>Share issue</t>
  </si>
  <si>
    <t>Share issue expenses</t>
  </si>
  <si>
    <t>Loan drawdowns</t>
  </si>
  <si>
    <t>Loan repayments</t>
  </si>
  <si>
    <t>Repayment of lease liabilities</t>
  </si>
  <si>
    <t>Balancing Item - Financing</t>
  </si>
  <si>
    <t>Net Cash Flow from Financing Activities</t>
  </si>
  <si>
    <t>Translation differences in financial assets</t>
  </si>
  <si>
    <t>Financial assets at the beginning of the period</t>
  </si>
  <si>
    <t>Financial assets at the end of the period</t>
  </si>
  <si>
    <t>CHANGE IN FINANCIAL ASSETS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</si>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</sst>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46096.5317769444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30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37</v>
      </c>
      <c r="B20" s="15">
        <v>532.47</v>
      </c>
      <c r="C20" s="15">
        <v>333.48</v>
      </c>
      <c r="D20" s="15">
        <v>224.73</v>
      </c>
      <c r="E20" s="15">
        <v>136.27</v>
      </c>
      <c r="F20" s="16">
        <v>0.0</v>
      </c>
    </row>
    <row r="21" ht="15.0" customHeight="1">
      <c r="A21" s="17" t="s">
        <v>38</v>
      </c>
      <c r="B21" s="18">
        <v>532.47</v>
      </c>
      <c r="C21" s="18">
        <v>333.48</v>
      </c>
      <c r="D21" s="18">
        <v>224.73</v>
      </c>
      <c r="E21" s="18">
        <v>136.27</v>
      </c>
      <c r="F21" s="19">
        <v>0.0</v>
      </c>
    </row>
    <row r="22" ht="15.0" customHeight="1">
      <c r="A22" s="14" t="s">
        <v>39</v>
      </c>
      <c r="B22" s="20">
        <v>-1.17</v>
      </c>
      <c r="C22" s="16"/>
      <c r="D22" s="16"/>
      <c r="E22" s="16"/>
      <c r="F22" s="16"/>
    </row>
    <row r="23" ht="15.0" customHeight="1">
      <c r="A23" s="14" t="s">
        <v>40</v>
      </c>
      <c r="B23" s="16">
        <v>0.0</v>
      </c>
      <c r="C23" s="21">
        <v>1.16</v>
      </c>
      <c r="D23" s="16">
        <v>0.0</v>
      </c>
      <c r="E23" s="21">
        <v>4.04</v>
      </c>
      <c r="F23" s="20">
        <v>-5.08</v>
      </c>
    </row>
    <row r="24" ht="15.0" customHeight="1">
      <c r="A24" s="14" t="s">
        <v>41</v>
      </c>
      <c r="B24" s="15">
        <v>218.84</v>
      </c>
      <c r="C24" s="15">
        <v>175.46</v>
      </c>
      <c r="D24" s="15">
        <v>163.13</v>
      </c>
      <c r="E24" s="15">
        <v>114.06</v>
      </c>
      <c r="F24" s="21">
        <v>16.26</v>
      </c>
    </row>
    <row r="25" ht="15.0" customHeight="1">
      <c r="A25" s="14" t="s">
        <v>42</v>
      </c>
      <c r="B25" s="21">
        <v>71.39</v>
      </c>
      <c r="C25" s="21">
        <v>53.45</v>
      </c>
      <c r="D25" s="21">
        <v>44.49</v>
      </c>
      <c r="E25" s="21">
        <v>38.36</v>
      </c>
      <c r="F25" s="21">
        <v>49.79</v>
      </c>
    </row>
    <row r="26" ht="15.0" customHeight="1">
      <c r="A26" s="14" t="s">
        <v>43</v>
      </c>
      <c r="B26" s="21">
        <v>52.66</v>
      </c>
      <c r="C26" s="21">
        <v>36.02</v>
      </c>
      <c r="D26" s="21">
        <v>23.96</v>
      </c>
      <c r="E26" s="21">
        <v>44.41</v>
      </c>
      <c r="F26" s="21">
        <v>57.92</v>
      </c>
    </row>
    <row r="27" ht="15.0" customHeight="1">
      <c r="A27" s="14" t="s">
        <v>44</v>
      </c>
      <c r="B27" s="15">
        <v>101.81</v>
      </c>
      <c r="C27" s="21">
        <v>37.18</v>
      </c>
      <c r="D27" s="21">
        <v>26.24</v>
      </c>
      <c r="E27" s="21">
        <v>83.78</v>
      </c>
      <c r="F27" s="15">
        <v>137.18</v>
      </c>
    </row>
    <row r="28" ht="15.0" customHeight="1">
      <c r="A28" s="22" t="s">
        <v>45</v>
      </c>
      <c r="B28" s="16">
        <f t="shared" ref="B28:C28" si="1">B27</f>
        <v>101.81</v>
      </c>
      <c r="C28" s="16">
        <f t="shared" si="1"/>
        <v>37.18</v>
      </c>
      <c r="D28" s="21">
        <v>26.24</v>
      </c>
      <c r="E28" s="21">
        <v>30.28</v>
      </c>
      <c r="F28" s="21">
        <v>18.29</v>
      </c>
    </row>
    <row r="29" ht="15.0" customHeight="1">
      <c r="A29" s="14" t="s">
        <v>46</v>
      </c>
      <c r="B29" s="16"/>
      <c r="C29" s="16"/>
      <c r="D29" s="16">
        <v>0.0</v>
      </c>
      <c r="E29" s="21">
        <v>52.49</v>
      </c>
      <c r="F29" s="21">
        <v>18.29</v>
      </c>
    </row>
    <row r="30" ht="15.0" customHeight="1">
      <c r="A30" s="14" t="s">
        <v>47</v>
      </c>
      <c r="B30" s="16"/>
      <c r="C30" s="16"/>
      <c r="D30" s="16"/>
      <c r="E30" s="16"/>
      <c r="F30" s="15">
        <v>100.6</v>
      </c>
    </row>
    <row r="31" ht="15.0" customHeight="1">
      <c r="A31" s="14" t="s">
        <v>48</v>
      </c>
      <c r="B31" s="16"/>
      <c r="C31" s="16"/>
      <c r="D31" s="16"/>
      <c r="E31" s="21">
        <v>1.01</v>
      </c>
      <c r="F31" s="16"/>
    </row>
    <row r="32" ht="15.0" customHeight="1">
      <c r="A32" s="17" t="s">
        <v>49</v>
      </c>
      <c r="B32" s="18">
        <v>443.53</v>
      </c>
      <c r="C32" s="18">
        <v>303.27</v>
      </c>
      <c r="D32" s="18">
        <v>257.81</v>
      </c>
      <c r="E32" s="18">
        <v>284.64</v>
      </c>
      <c r="F32" s="18">
        <v>256.07</v>
      </c>
    </row>
    <row r="33" ht="15.0" customHeight="1">
      <c r="A33" s="14" t="s">
        <v>50</v>
      </c>
      <c r="B33" s="16"/>
      <c r="C33" s="16"/>
      <c r="D33" s="20">
        <v>-1.14</v>
      </c>
      <c r="E33" s="16"/>
      <c r="F33" s="21">
        <v>1.02</v>
      </c>
    </row>
    <row r="34" ht="15.0" customHeight="1">
      <c r="A34" s="17" t="s">
        <v>51</v>
      </c>
      <c r="B34" s="23">
        <v>88.94</v>
      </c>
      <c r="C34" s="23">
        <v>30.21</v>
      </c>
      <c r="D34" s="24">
        <v>-34.22</v>
      </c>
      <c r="E34" s="25">
        <v>-148.38</v>
      </c>
      <c r="F34" s="25">
        <v>-255.06</v>
      </c>
    </row>
    <row r="35" ht="15.0" customHeight="1">
      <c r="A35" s="14" t="s">
        <v>52</v>
      </c>
      <c r="B35" s="21">
        <v>8.19</v>
      </c>
      <c r="C35" s="21">
        <v>16.27</v>
      </c>
      <c r="D35" s="21">
        <v>10.27</v>
      </c>
      <c r="E35" s="21">
        <v>3.03</v>
      </c>
      <c r="F35" s="21">
        <v>10.16</v>
      </c>
    </row>
    <row r="36" ht="15.0" customHeight="1">
      <c r="A36" s="14" t="s">
        <v>53</v>
      </c>
      <c r="B36" s="16"/>
      <c r="C36" s="16">
        <v>0.0</v>
      </c>
      <c r="D36" s="21">
        <v>1.14</v>
      </c>
      <c r="E36" s="21">
        <v>7.07</v>
      </c>
      <c r="F36" s="21">
        <v>1.02</v>
      </c>
    </row>
    <row r="37" ht="15.0" customHeight="1">
      <c r="A37" s="14" t="s">
        <v>54</v>
      </c>
      <c r="B37" s="16"/>
      <c r="C37" s="21">
        <v>16.27</v>
      </c>
      <c r="D37" s="21">
        <v>9.13</v>
      </c>
      <c r="E37" s="16"/>
      <c r="F37" s="16"/>
    </row>
    <row r="38" ht="15.0" customHeight="1">
      <c r="A38" s="14" t="s">
        <v>55</v>
      </c>
      <c r="B38" s="16"/>
      <c r="C38" s="16"/>
      <c r="D38" s="16"/>
      <c r="E38" s="20">
        <v>-4.04</v>
      </c>
      <c r="F38" s="21">
        <v>9.15</v>
      </c>
    </row>
    <row r="39" ht="15.0" customHeight="1">
      <c r="A39" s="14" t="s">
        <v>56</v>
      </c>
      <c r="B39" s="20">
        <v>-59.68</v>
      </c>
      <c r="C39" s="20">
        <v>-42.99</v>
      </c>
      <c r="D39" s="20">
        <v>-36.5</v>
      </c>
      <c r="E39" s="20">
        <v>-30.28</v>
      </c>
      <c r="F39" s="20">
        <v>-15.24</v>
      </c>
    </row>
    <row r="40" ht="15.0" customHeight="1">
      <c r="A40" s="14" t="s">
        <v>57</v>
      </c>
      <c r="B40" s="16"/>
      <c r="C40" s="20">
        <v>-11.62</v>
      </c>
      <c r="D40" s="20">
        <v>-14.83</v>
      </c>
      <c r="E40" s="16"/>
      <c r="F40" s="16"/>
    </row>
    <row r="41" ht="15.0" customHeight="1">
      <c r="A41" s="14" t="s">
        <v>58</v>
      </c>
      <c r="B41" s="16"/>
      <c r="C41" s="20">
        <v>-24.4</v>
      </c>
      <c r="D41" s="20">
        <v>-15.97</v>
      </c>
      <c r="E41" s="20">
        <v>-13.12</v>
      </c>
      <c r="F41" s="20">
        <v>-14.23</v>
      </c>
    </row>
    <row r="42" ht="15.0" customHeight="1">
      <c r="A42" s="14" t="s">
        <v>59</v>
      </c>
      <c r="B42" s="16"/>
      <c r="C42" s="16">
        <v>0.0</v>
      </c>
      <c r="D42" s="16">
        <v>0.0</v>
      </c>
      <c r="E42" s="16">
        <v>0.0</v>
      </c>
      <c r="F42" s="16">
        <v>0.0</v>
      </c>
    </row>
    <row r="43" ht="15.0" customHeight="1">
      <c r="A43" s="14" t="s">
        <v>60</v>
      </c>
      <c r="B43" s="16"/>
      <c r="C43" s="20">
        <v>-6.97</v>
      </c>
      <c r="D43" s="20">
        <v>-5.7</v>
      </c>
      <c r="E43" s="20">
        <v>-17.16</v>
      </c>
      <c r="F43" s="20">
        <v>-1.02</v>
      </c>
    </row>
    <row r="44" ht="15.0" customHeight="1">
      <c r="A44" s="17" t="s">
        <v>61</v>
      </c>
      <c r="B44" s="24">
        <v>-51.49</v>
      </c>
      <c r="C44" s="24">
        <v>-26.73</v>
      </c>
      <c r="D44" s="24">
        <v>-26.24</v>
      </c>
      <c r="E44" s="24">
        <v>-27.25</v>
      </c>
      <c r="F44" s="24">
        <v>-5.08</v>
      </c>
    </row>
    <row r="45" ht="15.0" customHeight="1">
      <c r="A45" s="14" t="s">
        <v>62</v>
      </c>
      <c r="B45" s="16"/>
      <c r="C45" s="21">
        <v>1.16</v>
      </c>
      <c r="D45" s="16"/>
      <c r="E45" s="20">
        <v>-1.01</v>
      </c>
      <c r="F45" s="20">
        <v>-1.02</v>
      </c>
    </row>
    <row r="46" ht="15.0" customHeight="1">
      <c r="A46" s="17" t="s">
        <v>63</v>
      </c>
      <c r="B46" s="23">
        <v>37.45</v>
      </c>
      <c r="C46" s="23">
        <v>4.65</v>
      </c>
      <c r="D46" s="24">
        <v>-60.46</v>
      </c>
      <c r="E46" s="25">
        <v>-176.64</v>
      </c>
      <c r="F46" s="25">
        <v>-261.16</v>
      </c>
    </row>
    <row r="47" ht="15.0" customHeight="1">
      <c r="A47" s="14" t="s">
        <v>64</v>
      </c>
      <c r="B47" s="20">
        <v>-47.98</v>
      </c>
      <c r="C47" s="21">
        <v>1.16</v>
      </c>
      <c r="D47" s="16">
        <v>0.0</v>
      </c>
      <c r="E47" s="16">
        <v>0.0</v>
      </c>
      <c r="F47" s="16">
        <v>0.0</v>
      </c>
    </row>
    <row r="48" ht="15.0" customHeight="1">
      <c r="A48" s="14" t="s">
        <v>65</v>
      </c>
      <c r="B48" s="16"/>
      <c r="C48" s="21">
        <v>1.16</v>
      </c>
      <c r="D48" s="16"/>
      <c r="E48" s="16"/>
      <c r="F48" s="16"/>
    </row>
    <row r="49" ht="15.0" customHeight="1">
      <c r="A49" s="17" t="s">
        <v>66</v>
      </c>
      <c r="B49" s="24">
        <v>-47.98</v>
      </c>
      <c r="C49" s="23">
        <v>1.16</v>
      </c>
      <c r="D49" s="19">
        <v>0.0</v>
      </c>
      <c r="E49" s="19">
        <v>0.0</v>
      </c>
      <c r="F49" s="19">
        <v>0.0</v>
      </c>
    </row>
    <row r="50" ht="15.0" customHeight="1">
      <c r="A50" s="17" t="s">
        <v>67</v>
      </c>
      <c r="B50" s="23">
        <v>85.43</v>
      </c>
      <c r="C50" s="23">
        <v>3.49</v>
      </c>
      <c r="D50" s="24">
        <v>-60.46</v>
      </c>
      <c r="E50" s="25">
        <v>-176.64</v>
      </c>
      <c r="F50" s="25">
        <v>-261.16</v>
      </c>
    </row>
    <row r="51" ht="15.0" customHeight="1">
      <c r="A51" s="17" t="s">
        <v>68</v>
      </c>
      <c r="B51" s="23">
        <v>85.43</v>
      </c>
      <c r="C51" s="23">
        <v>3.49</v>
      </c>
      <c r="D51" s="24">
        <v>-60.46</v>
      </c>
      <c r="E51" s="25">
        <v>-176.64</v>
      </c>
      <c r="F51" s="25">
        <v>-261.16</v>
      </c>
    </row>
    <row r="52" ht="15.0" customHeight="1">
      <c r="A52" s="17" t="s">
        <v>69</v>
      </c>
      <c r="B52" s="23">
        <v>85.43</v>
      </c>
      <c r="C52" s="23">
        <v>3.49</v>
      </c>
      <c r="D52" s="24">
        <v>-60.46</v>
      </c>
      <c r="E52" s="25">
        <v>-176.64</v>
      </c>
      <c r="F52" s="25">
        <v>-261.16</v>
      </c>
    </row>
    <row r="53" ht="15.0" customHeight="1">
      <c r="A53" s="14" t="s">
        <v>70</v>
      </c>
      <c r="B53" s="16"/>
      <c r="C53" s="21">
        <v>3.49</v>
      </c>
      <c r="D53" s="16"/>
      <c r="E53" s="16"/>
      <c r="F53" s="16"/>
    </row>
    <row r="54" ht="15.0" customHeight="1">
      <c r="A54" s="14" t="s">
        <v>71</v>
      </c>
      <c r="B54" s="16"/>
      <c r="C54" s="21">
        <v>13.94</v>
      </c>
      <c r="D54" s="16"/>
      <c r="E54" s="16"/>
      <c r="F54" s="16"/>
    </row>
    <row r="55" ht="15.0" customHeight="1">
      <c r="A55" s="17" t="s">
        <v>72</v>
      </c>
      <c r="B55" s="19"/>
      <c r="C55" s="23">
        <v>13.94</v>
      </c>
      <c r="D55" s="19"/>
      <c r="E55" s="19"/>
      <c r="F55" s="19"/>
    </row>
    <row r="56" ht="15.0" customHeight="1">
      <c r="A56" s="14" t="s">
        <v>73</v>
      </c>
      <c r="B56" s="16"/>
      <c r="C56" s="21">
        <v>18.59</v>
      </c>
      <c r="D56" s="16"/>
      <c r="E56" s="16"/>
      <c r="F56" s="16"/>
    </row>
    <row r="57" ht="15.0" customHeight="1">
      <c r="A57" s="17" t="s">
        <v>74</v>
      </c>
      <c r="B57" s="19"/>
      <c r="C57" s="23">
        <v>17.43</v>
      </c>
      <c r="D57" s="19"/>
      <c r="E57" s="19"/>
      <c r="F57" s="19"/>
    </row>
    <row r="58" ht="15.0" customHeight="1">
      <c r="A58" s="14" t="s">
        <v>75</v>
      </c>
      <c r="B58" s="16"/>
      <c r="C58" s="21">
        <v>2.32</v>
      </c>
      <c r="D58" s="16"/>
      <c r="E58" s="16"/>
      <c r="F58" s="16"/>
    </row>
    <row r="59" ht="15.0" customHeight="1">
      <c r="A59" s="14" t="s">
        <v>76</v>
      </c>
      <c r="B59" s="16"/>
      <c r="C59" s="21">
        <v>34.86</v>
      </c>
      <c r="D59" s="21">
        <v>26.24</v>
      </c>
      <c r="E59" s="21">
        <v>25.23</v>
      </c>
      <c r="F59" s="21">
        <v>14.23</v>
      </c>
    </row>
    <row r="60" ht="15.0" customHeight="1">
      <c r="A60" s="14" t="s">
        <v>77</v>
      </c>
      <c r="B60" s="16"/>
      <c r="C60" s="15">
        <v>357.88</v>
      </c>
      <c r="D60" s="16">
        <v>0.0</v>
      </c>
      <c r="E60" s="21">
        <v>1.01</v>
      </c>
      <c r="F60" s="21">
        <v>4.06</v>
      </c>
    </row>
    <row r="61" ht="15.0" customHeight="1">
      <c r="A61" s="14" t="s">
        <v>78</v>
      </c>
      <c r="B61" s="16"/>
      <c r="C61" s="21">
        <v>2.32</v>
      </c>
      <c r="D61" s="16"/>
      <c r="E61" s="16"/>
      <c r="F61" s="16"/>
    </row>
    <row r="62" ht="15.0" customHeight="1">
      <c r="A62" s="14" t="s">
        <v>79</v>
      </c>
      <c r="B62" s="16"/>
      <c r="C62" s="15">
        <v>392.74</v>
      </c>
      <c r="D62" s="21">
        <v>26.24</v>
      </c>
      <c r="E62" s="21">
        <v>30.28</v>
      </c>
      <c r="F62" s="21">
        <v>18.29</v>
      </c>
    </row>
    <row r="63" ht="15.0" customHeight="1">
      <c r="A63" s="14" t="s">
        <v>80</v>
      </c>
      <c r="B63" s="15">
        <v>101.81</v>
      </c>
      <c r="C63" s="15">
        <v>395.07</v>
      </c>
      <c r="D63" s="16"/>
      <c r="E63" s="21">
        <v>30.28</v>
      </c>
      <c r="F63" s="21">
        <v>18.29</v>
      </c>
    </row>
    <row r="64" ht="15.0" customHeight="1">
      <c r="A64" s="14" t="s">
        <v>81</v>
      </c>
      <c r="B64" s="16"/>
      <c r="C64" s="21">
        <v>1.16</v>
      </c>
      <c r="D64" s="16"/>
      <c r="E64" s="16"/>
      <c r="F64" s="16"/>
    </row>
    <row r="65" ht="15.0" customHeight="1">
      <c r="A65" s="14" t="s">
        <v>82</v>
      </c>
      <c r="B65" s="16"/>
      <c r="C65" s="16">
        <v>0.0</v>
      </c>
      <c r="D65" s="16"/>
      <c r="E65" s="16"/>
      <c r="F65" s="16"/>
    </row>
    <row r="66" ht="15.0" customHeight="1">
      <c r="A66" s="14" t="s">
        <v>83</v>
      </c>
      <c r="B66" s="16"/>
      <c r="C66" s="21">
        <v>1.16</v>
      </c>
      <c r="D66" s="16"/>
      <c r="E66" s="16"/>
      <c r="F66" s="16"/>
    </row>
    <row r="67" ht="15.0" customHeight="1">
      <c r="A67" s="14" t="s">
        <v>84</v>
      </c>
      <c r="B67" s="16"/>
      <c r="C67" s="16">
        <v>0.0</v>
      </c>
      <c r="D67" s="16">
        <v>0.0</v>
      </c>
      <c r="E67" s="16">
        <v>0.0</v>
      </c>
      <c r="F67" s="16">
        <v>0.0</v>
      </c>
    </row>
    <row r="68" ht="15.0" customHeight="1">
      <c r="A68" s="14" t="s">
        <v>85</v>
      </c>
      <c r="B68" s="21">
        <v>85.43</v>
      </c>
      <c r="C68" s="21">
        <v>3.49</v>
      </c>
      <c r="D68" s="20">
        <v>-60.46</v>
      </c>
      <c r="E68" s="26">
        <v>-176.64</v>
      </c>
      <c r="F68" s="26">
        <v>-261.16</v>
      </c>
    </row>
    <row r="69" ht="15.0" customHeight="1">
      <c r="A69" s="14" t="s">
        <v>86</v>
      </c>
      <c r="B69" s="21">
        <v>85.43</v>
      </c>
      <c r="C69" s="21">
        <v>3.49</v>
      </c>
      <c r="D69" s="20">
        <v>-60.46</v>
      </c>
      <c r="E69" s="26">
        <v>-176.64</v>
      </c>
      <c r="F69" s="26">
        <v>-261.16</v>
      </c>
    </row>
    <row r="70" ht="15.0" customHeight="1">
      <c r="A70" s="14" t="s">
        <v>87</v>
      </c>
      <c r="B70" s="21">
        <v>8.19</v>
      </c>
      <c r="C70" s="16">
        <v>0.0</v>
      </c>
      <c r="D70" s="20">
        <v>-6.84</v>
      </c>
      <c r="E70" s="20">
        <v>-18.98</v>
      </c>
      <c r="F70" s="20">
        <v>-28.12</v>
      </c>
    </row>
    <row r="71" ht="15.0" customHeight="1">
      <c r="A71" s="14" t="s">
        <v>88</v>
      </c>
      <c r="B71" s="21">
        <v>8.19</v>
      </c>
      <c r="C71" s="16">
        <v>0.0</v>
      </c>
      <c r="D71" s="20">
        <v>-6.84</v>
      </c>
      <c r="E71" s="20">
        <v>-18.98</v>
      </c>
      <c r="F71" s="20">
        <v>-28.12</v>
      </c>
    </row>
    <row r="72" ht="15.0" customHeight="1">
      <c r="A72" s="14" t="s">
        <v>89</v>
      </c>
      <c r="B72" s="21">
        <v>7.02</v>
      </c>
      <c r="C72" s="16">
        <v>0.0</v>
      </c>
      <c r="D72" s="20">
        <v>-6.84</v>
      </c>
      <c r="E72" s="20">
        <v>-18.98</v>
      </c>
      <c r="F72" s="20">
        <v>-28.12</v>
      </c>
    </row>
    <row r="73" ht="15.0" customHeight="1">
      <c r="A73" s="14" t="s">
        <v>90</v>
      </c>
      <c r="B73" s="21">
        <v>7.02</v>
      </c>
      <c r="C73" s="16">
        <v>0.0</v>
      </c>
      <c r="D73" s="20">
        <v>-6.84</v>
      </c>
      <c r="E73" s="20">
        <v>-18.98</v>
      </c>
      <c r="F73" s="20">
        <v>-28.12</v>
      </c>
    </row>
    <row r="74" ht="15.0" customHeight="1">
      <c r="A74" s="14" t="s">
        <v>91</v>
      </c>
      <c r="B74" s="21">
        <v>12.25</v>
      </c>
      <c r="C74" s="21">
        <v>9.85</v>
      </c>
      <c r="D74" s="21">
        <v>9.59</v>
      </c>
      <c r="E74" s="21">
        <v>9.29</v>
      </c>
      <c r="F74" s="21">
        <v>9.29</v>
      </c>
    </row>
    <row r="75" ht="15.0" customHeight="1">
      <c r="A75" s="14" t="s">
        <v>92</v>
      </c>
      <c r="B75" s="21">
        <v>11.19</v>
      </c>
      <c r="C75" s="21">
        <v>9.85</v>
      </c>
      <c r="D75" s="21">
        <v>9.59</v>
      </c>
      <c r="E75" s="21">
        <v>9.29</v>
      </c>
      <c r="F75" s="21">
        <v>9.29</v>
      </c>
    </row>
    <row r="76" ht="15.0" customHeight="1">
      <c r="A76" s="14" t="s">
        <v>93</v>
      </c>
      <c r="B76" s="21">
        <v>11.19</v>
      </c>
      <c r="C76" s="21">
        <v>9.85</v>
      </c>
      <c r="D76" s="21">
        <v>9.59</v>
      </c>
      <c r="E76" s="21">
        <v>9.29</v>
      </c>
      <c r="F76" s="21">
        <v>9.29</v>
      </c>
    </row>
    <row r="77" ht="15.0" customHeight="1">
      <c r="A77" s="14" t="s">
        <v>94</v>
      </c>
      <c r="B77" s="21">
        <v>12.25</v>
      </c>
      <c r="C77" s="21">
        <v>9.85</v>
      </c>
      <c r="D77" s="21">
        <v>9.59</v>
      </c>
      <c r="E77" s="21">
        <v>9.29</v>
      </c>
      <c r="F77" s="21">
        <v>9.29</v>
      </c>
    </row>
    <row r="78" ht="15.0" customHeight="1">
      <c r="A78" s="14" t="s">
        <v>95</v>
      </c>
      <c r="B78" s="21">
        <v>8.19</v>
      </c>
      <c r="C78" s="16">
        <v>0.0</v>
      </c>
      <c r="D78" s="20">
        <v>-6.84</v>
      </c>
      <c r="E78" s="20">
        <v>-18.98</v>
      </c>
      <c r="F78" s="20">
        <v>-28.12</v>
      </c>
    </row>
    <row r="79" ht="15.0" customHeight="1">
      <c r="A79" s="14" t="s">
        <v>96</v>
      </c>
      <c r="B79" s="21">
        <v>7.02</v>
      </c>
      <c r="C79" s="16">
        <v>0.0</v>
      </c>
      <c r="D79" s="20">
        <v>-6.84</v>
      </c>
      <c r="E79" s="20">
        <v>-18.98</v>
      </c>
      <c r="F79" s="20">
        <v>-28.12</v>
      </c>
    </row>
    <row r="80" ht="15.0" customHeight="1">
      <c r="A80" s="14" t="s">
        <v>97</v>
      </c>
      <c r="B80" s="21">
        <v>85.43</v>
      </c>
      <c r="C80" s="21">
        <v>3.49</v>
      </c>
      <c r="D80" s="20">
        <v>-60.46</v>
      </c>
      <c r="E80" s="26">
        <v>-176.64</v>
      </c>
      <c r="F80" s="26">
        <v>-261.16</v>
      </c>
    </row>
    <row r="81" ht="15.0" customHeight="1">
      <c r="A81" s="14" t="s">
        <v>98</v>
      </c>
      <c r="B81" s="21">
        <v>85.43</v>
      </c>
      <c r="C81" s="21">
        <v>3.49</v>
      </c>
      <c r="D81" s="20">
        <v>-60.46</v>
      </c>
      <c r="E81" s="26">
        <v>-176.64</v>
      </c>
      <c r="F81" s="26">
        <v>-261.16</v>
      </c>
    </row>
    <row r="82" ht="15.0" customHeight="1">
      <c r="A82" s="14" t="s">
        <v>99</v>
      </c>
      <c r="B82" s="21">
        <v>8.19</v>
      </c>
      <c r="C82" s="16">
        <v>0.0</v>
      </c>
      <c r="D82" s="20">
        <v>-6.84</v>
      </c>
      <c r="E82" s="20">
        <v>-18.98</v>
      </c>
      <c r="F82" s="20">
        <v>-28.12</v>
      </c>
    </row>
    <row r="83" ht="15.0" customHeight="1">
      <c r="A83" s="14" t="s">
        <v>100</v>
      </c>
      <c r="B83" s="21">
        <v>7.02</v>
      </c>
      <c r="C83" s="16">
        <v>0.0</v>
      </c>
      <c r="D83" s="20">
        <v>-6.84</v>
      </c>
      <c r="E83" s="20">
        <v>-18.98</v>
      </c>
      <c r="F83" s="20">
        <v>-28.12</v>
      </c>
    </row>
    <row r="84" ht="15.0" customHeight="1">
      <c r="A84" s="14" t="s">
        <v>101</v>
      </c>
      <c r="B84" s="21">
        <v>1.0</v>
      </c>
      <c r="C84" s="21">
        <v>1.0</v>
      </c>
      <c r="D84" s="21">
        <v>1.0</v>
      </c>
      <c r="E84" s="21">
        <v>1.0</v>
      </c>
      <c r="F84" s="21">
        <v>1.0</v>
      </c>
    </row>
    <row r="85" ht="15.0" customHeight="1">
      <c r="A85" s="14" t="s">
        <v>102</v>
      </c>
      <c r="B85" s="21">
        <v>85.43</v>
      </c>
      <c r="C85" s="21">
        <v>3.49</v>
      </c>
      <c r="D85" s="20">
        <v>-60.46</v>
      </c>
      <c r="E85" s="26">
        <v>-176.64</v>
      </c>
      <c r="F85" s="26">
        <v>-261.16</v>
      </c>
    </row>
    <row r="86" ht="15.0" customHeight="1">
      <c r="A86" s="14" t="s">
        <v>103</v>
      </c>
      <c r="B86" s="21">
        <v>85.43</v>
      </c>
      <c r="C86" s="21">
        <v>3.49</v>
      </c>
      <c r="D86" s="20">
        <v>-60.46</v>
      </c>
      <c r="E86" s="26">
        <v>-176.64</v>
      </c>
      <c r="F86" s="26">
        <v>-261.16</v>
      </c>
    </row>
    <row r="87" ht="15.0" customHeight="1">
      <c r="A87" s="14" t="s">
        <v>104</v>
      </c>
      <c r="B87" s="21">
        <v>1.0</v>
      </c>
      <c r="C87" s="21">
        <v>1.0</v>
      </c>
      <c r="D87" s="21">
        <v>1.0</v>
      </c>
      <c r="E87" s="21">
        <v>1.0</v>
      </c>
      <c r="F87" s="21">
        <v>1.0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105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46096.5317769907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106</v>
      </c>
      <c r="C15" s="10" t="s">
        <v>106</v>
      </c>
      <c r="D15" s="10" t="s">
        <v>106</v>
      </c>
      <c r="E15" s="10" t="s">
        <v>106</v>
      </c>
      <c r="F15" s="10" t="s">
        <v>106</v>
      </c>
    </row>
    <row r="16" ht="15.0" customHeight="1" outlineLevel="1">
      <c r="A16" s="8" t="s">
        <v>29</v>
      </c>
      <c r="B16" s="11"/>
      <c r="C16" s="11"/>
      <c r="D16" s="11"/>
      <c r="E16" s="11"/>
      <c r="F16" s="11"/>
    </row>
    <row r="18">
      <c r="A18" s="12" t="s">
        <v>107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108</v>
      </c>
      <c r="B20" s="15">
        <v>361.51</v>
      </c>
      <c r="C20" s="15">
        <v>454.2</v>
      </c>
      <c r="D20" s="15">
        <v>376.94</v>
      </c>
      <c r="E20" s="15">
        <v>351.22</v>
      </c>
      <c r="F20" s="15">
        <v>312.36</v>
      </c>
    </row>
    <row r="21" ht="15.0" customHeight="1">
      <c r="A21" s="14" t="s">
        <v>109</v>
      </c>
      <c r="B21" s="16"/>
      <c r="C21" s="15">
        <v>670.72</v>
      </c>
      <c r="D21" s="16"/>
      <c r="E21" s="16"/>
      <c r="F21" s="16"/>
    </row>
    <row r="22" ht="15.0" customHeight="1">
      <c r="A22" s="14" t="s">
        <v>110</v>
      </c>
      <c r="B22" s="16"/>
      <c r="C22" s="26">
        <v>-217.69</v>
      </c>
      <c r="D22" s="16"/>
      <c r="E22" s="16"/>
      <c r="F22" s="16"/>
    </row>
    <row r="23" ht="15.0" customHeight="1">
      <c r="A23" s="14" t="s">
        <v>111</v>
      </c>
      <c r="B23" s="16"/>
      <c r="C23" s="21">
        <v>1.18</v>
      </c>
      <c r="D23" s="16"/>
      <c r="E23" s="16"/>
      <c r="F23" s="16"/>
    </row>
    <row r="24" ht="15.0" customHeight="1">
      <c r="A24" s="14" t="s">
        <v>112</v>
      </c>
      <c r="B24" s="21">
        <v>15.36</v>
      </c>
      <c r="C24" s="21">
        <v>18.83</v>
      </c>
      <c r="D24" s="21">
        <v>14.54</v>
      </c>
      <c r="E24" s="16"/>
      <c r="F24" s="16"/>
    </row>
    <row r="25" ht="15.0" customHeight="1">
      <c r="A25" s="14" t="s">
        <v>113</v>
      </c>
      <c r="B25" s="16"/>
      <c r="C25" s="21">
        <v>21.18</v>
      </c>
      <c r="D25" s="16"/>
      <c r="E25" s="16"/>
      <c r="F25" s="16"/>
    </row>
    <row r="26" ht="15.0" customHeight="1">
      <c r="A26" s="14" t="s">
        <v>114</v>
      </c>
      <c r="B26" s="16"/>
      <c r="C26" s="20">
        <v>-2.35</v>
      </c>
      <c r="D26" s="16"/>
      <c r="E26" s="16"/>
      <c r="F26" s="16"/>
    </row>
    <row r="27" ht="15.0" customHeight="1">
      <c r="A27" s="14" t="s">
        <v>115</v>
      </c>
      <c r="B27" s="15">
        <v>226.83</v>
      </c>
      <c r="C27" s="15">
        <v>160.03</v>
      </c>
      <c r="D27" s="15">
        <v>101.78</v>
      </c>
      <c r="E27" s="21">
        <v>57.66</v>
      </c>
      <c r="F27" s="21">
        <v>33.04</v>
      </c>
    </row>
    <row r="28" ht="15.0" customHeight="1">
      <c r="A28" s="14" t="s">
        <v>116</v>
      </c>
      <c r="B28" s="16"/>
      <c r="C28" s="15">
        <v>449.5</v>
      </c>
      <c r="D28" s="16"/>
      <c r="E28" s="16"/>
      <c r="F28" s="16"/>
    </row>
    <row r="29" ht="15.0" customHeight="1">
      <c r="A29" s="14" t="s">
        <v>117</v>
      </c>
      <c r="B29" s="16"/>
      <c r="C29" s="26">
        <v>-290.64</v>
      </c>
      <c r="D29" s="16"/>
      <c r="E29" s="16"/>
      <c r="F29" s="16"/>
    </row>
    <row r="30" ht="15.0" customHeight="1">
      <c r="A30" s="14" t="s">
        <v>118</v>
      </c>
      <c r="B30" s="16"/>
      <c r="C30" s="21">
        <v>1.18</v>
      </c>
      <c r="D30" s="16"/>
      <c r="E30" s="16"/>
      <c r="F30" s="16"/>
    </row>
    <row r="31" ht="15.0" customHeight="1">
      <c r="A31" s="14" t="s">
        <v>119</v>
      </c>
      <c r="B31" s="21">
        <v>38.99</v>
      </c>
      <c r="C31" s="21">
        <v>21.18</v>
      </c>
      <c r="D31" s="21">
        <v>7.83</v>
      </c>
      <c r="E31" s="16"/>
      <c r="F31" s="16"/>
    </row>
    <row r="32" ht="15.0" customHeight="1">
      <c r="A32" s="14" t="s">
        <v>120</v>
      </c>
      <c r="B32" s="16"/>
      <c r="C32" s="21">
        <v>24.71</v>
      </c>
      <c r="D32" s="16"/>
      <c r="E32" s="16"/>
      <c r="F32" s="16"/>
    </row>
    <row r="33" ht="15.0" customHeight="1">
      <c r="A33" s="14" t="s">
        <v>121</v>
      </c>
      <c r="B33" s="16"/>
      <c r="C33" s="20">
        <v>-3.53</v>
      </c>
      <c r="D33" s="16"/>
      <c r="E33" s="16"/>
      <c r="F33" s="16"/>
    </row>
    <row r="34" ht="15.0" customHeight="1">
      <c r="A34" s="14" t="s">
        <v>122</v>
      </c>
      <c r="B34" s="21">
        <v>3.54</v>
      </c>
      <c r="C34" s="21">
        <v>5.88</v>
      </c>
      <c r="D34" s="21">
        <v>5.59</v>
      </c>
      <c r="E34" s="21">
        <v>41.94</v>
      </c>
      <c r="F34" s="21">
        <v>39.04</v>
      </c>
    </row>
    <row r="35" ht="15.0" customHeight="1">
      <c r="A35" s="14" t="s">
        <v>123</v>
      </c>
      <c r="B35" s="16"/>
      <c r="C35" s="21">
        <v>5.88</v>
      </c>
      <c r="D35" s="16"/>
      <c r="E35" s="16"/>
      <c r="F35" s="16"/>
    </row>
    <row r="36" ht="15.0" customHeight="1">
      <c r="A36" s="14" t="s">
        <v>124</v>
      </c>
      <c r="B36" s="16"/>
      <c r="C36" s="16">
        <v>0.0</v>
      </c>
      <c r="D36" s="16"/>
      <c r="E36" s="16"/>
      <c r="F36" s="16"/>
    </row>
    <row r="37" ht="15.0" customHeight="1">
      <c r="A37" s="14" t="s">
        <v>125</v>
      </c>
      <c r="B37" s="21">
        <v>29.54</v>
      </c>
      <c r="C37" s="21">
        <v>75.31</v>
      </c>
      <c r="D37" s="21">
        <v>44.74</v>
      </c>
      <c r="E37" s="21">
        <v>1.05</v>
      </c>
      <c r="F37" s="16">
        <v>0.0</v>
      </c>
    </row>
    <row r="38" ht="15.0" customHeight="1">
      <c r="A38" s="14" t="s">
        <v>126</v>
      </c>
      <c r="B38" s="16"/>
      <c r="C38" s="15">
        <v>192.98</v>
      </c>
      <c r="D38" s="16"/>
      <c r="E38" s="16"/>
      <c r="F38" s="16"/>
    </row>
    <row r="39" ht="15.0" customHeight="1">
      <c r="A39" s="14" t="s">
        <v>127</v>
      </c>
      <c r="B39" s="16"/>
      <c r="C39" s="26">
        <v>-117.67</v>
      </c>
      <c r="D39" s="16"/>
      <c r="E39" s="16"/>
      <c r="F39" s="16"/>
    </row>
    <row r="40" ht="15.0" customHeight="1">
      <c r="A40" s="14" t="s">
        <v>128</v>
      </c>
      <c r="B40" s="21">
        <v>63.8</v>
      </c>
      <c r="C40" s="21">
        <v>77.66</v>
      </c>
      <c r="D40" s="21">
        <v>55.93</v>
      </c>
      <c r="E40" s="21">
        <v>55.57</v>
      </c>
      <c r="F40" s="15">
        <v>126.14</v>
      </c>
    </row>
    <row r="41" ht="15.0" customHeight="1">
      <c r="A41" s="14" t="s">
        <v>129</v>
      </c>
      <c r="B41" s="16"/>
      <c r="C41" s="15">
        <v>353.01</v>
      </c>
      <c r="D41" s="16"/>
      <c r="E41" s="16"/>
      <c r="F41" s="16"/>
    </row>
    <row r="42" ht="15.0" customHeight="1">
      <c r="A42" s="14" t="s">
        <v>130</v>
      </c>
      <c r="B42" s="16"/>
      <c r="C42" s="26">
        <v>-275.35</v>
      </c>
      <c r="D42" s="16"/>
      <c r="E42" s="16"/>
      <c r="F42" s="16"/>
    </row>
    <row r="43" ht="15.0" customHeight="1">
      <c r="A43" s="14" t="s">
        <v>131</v>
      </c>
      <c r="B43" s="21">
        <v>7.09</v>
      </c>
      <c r="C43" s="21">
        <v>1.18</v>
      </c>
      <c r="D43" s="21">
        <v>1.12</v>
      </c>
      <c r="E43" s="16"/>
      <c r="F43" s="16"/>
    </row>
    <row r="44" ht="15.0" customHeight="1">
      <c r="A44" s="14" t="s">
        <v>132</v>
      </c>
      <c r="B44" s="16"/>
      <c r="C44" s="21">
        <v>1.18</v>
      </c>
      <c r="D44" s="16"/>
      <c r="E44" s="16"/>
      <c r="F44" s="16"/>
    </row>
    <row r="45" ht="15.0" customHeight="1">
      <c r="A45" s="14" t="s">
        <v>133</v>
      </c>
      <c r="B45" s="16"/>
      <c r="C45" s="16">
        <v>0.0</v>
      </c>
      <c r="D45" s="16"/>
      <c r="E45" s="16"/>
      <c r="F45" s="16"/>
    </row>
    <row r="46" ht="15.0" customHeight="1">
      <c r="A46" s="14" t="s">
        <v>134</v>
      </c>
      <c r="B46" s="21">
        <v>10.63</v>
      </c>
      <c r="C46" s="21">
        <v>10.59</v>
      </c>
      <c r="D46" s="21">
        <v>8.95</v>
      </c>
      <c r="E46" s="21">
        <v>5.24</v>
      </c>
      <c r="F46" s="21">
        <v>5.01</v>
      </c>
    </row>
    <row r="47" ht="15.0" customHeight="1">
      <c r="A47" s="14" t="s">
        <v>135</v>
      </c>
      <c r="B47" s="21">
        <v>50.8</v>
      </c>
      <c r="C47" s="16"/>
      <c r="D47" s="16"/>
      <c r="E47" s="16"/>
      <c r="F47" s="16"/>
    </row>
    <row r="48" ht="15.0" customHeight="1">
      <c r="A48" s="14" t="s">
        <v>136</v>
      </c>
      <c r="B48" s="16"/>
      <c r="C48" s="16"/>
      <c r="D48" s="21">
        <v>1.12</v>
      </c>
      <c r="E48" s="16"/>
      <c r="F48" s="21">
        <v>1.0</v>
      </c>
    </row>
    <row r="49" ht="15.0" customHeight="1">
      <c r="A49" s="17" t="s">
        <v>137</v>
      </c>
      <c r="B49" s="18">
        <v>808.08</v>
      </c>
      <c r="C49" s="18">
        <v>824.86</v>
      </c>
      <c r="D49" s="18">
        <v>618.53</v>
      </c>
      <c r="E49" s="18">
        <v>512.68</v>
      </c>
      <c r="F49" s="18">
        <v>516.59</v>
      </c>
    </row>
    <row r="50" ht="15.0" customHeight="1">
      <c r="A50" s="14" t="s">
        <v>138</v>
      </c>
      <c r="B50" s="21">
        <v>13.0</v>
      </c>
      <c r="C50" s="21">
        <v>4.71</v>
      </c>
      <c r="D50" s="21">
        <v>4.47</v>
      </c>
      <c r="E50" s="21">
        <v>4.19</v>
      </c>
      <c r="F50" s="21">
        <v>8.01</v>
      </c>
    </row>
    <row r="51" ht="15.0" customHeight="1">
      <c r="A51" s="14" t="s">
        <v>139</v>
      </c>
      <c r="B51" s="16"/>
      <c r="C51" s="21">
        <v>1.18</v>
      </c>
      <c r="D51" s="16"/>
      <c r="E51" s="16"/>
      <c r="F51" s="16"/>
    </row>
    <row r="52" ht="15.0" customHeight="1">
      <c r="A52" s="14" t="s">
        <v>140</v>
      </c>
      <c r="B52" s="16"/>
      <c r="C52" s="21">
        <v>1.18</v>
      </c>
      <c r="D52" s="16"/>
      <c r="E52" s="16"/>
      <c r="F52" s="16"/>
    </row>
    <row r="53" ht="15.0" customHeight="1">
      <c r="A53" s="14" t="s">
        <v>141</v>
      </c>
      <c r="B53" s="16"/>
      <c r="C53" s="21">
        <v>1.18</v>
      </c>
      <c r="D53" s="16"/>
      <c r="E53" s="16"/>
      <c r="F53" s="16"/>
    </row>
    <row r="54" ht="15.0" customHeight="1">
      <c r="A54" s="14" t="s">
        <v>142</v>
      </c>
      <c r="B54" s="16"/>
      <c r="C54" s="21">
        <v>1.18</v>
      </c>
      <c r="D54" s="16"/>
      <c r="E54" s="16"/>
      <c r="F54" s="16"/>
    </row>
    <row r="55" ht="15.0" customHeight="1">
      <c r="A55" s="14" t="s">
        <v>143</v>
      </c>
      <c r="B55" s="21">
        <v>90.97</v>
      </c>
      <c r="C55" s="21">
        <v>36.48</v>
      </c>
      <c r="D55" s="21">
        <v>19.01</v>
      </c>
      <c r="E55" s="21">
        <v>13.63</v>
      </c>
      <c r="F55" s="16">
        <v>0.0</v>
      </c>
    </row>
    <row r="56" ht="15.0" customHeight="1">
      <c r="A56" s="14" t="s">
        <v>144</v>
      </c>
      <c r="B56" s="16">
        <v>0.0</v>
      </c>
      <c r="C56" s="16">
        <v>0.0</v>
      </c>
      <c r="D56" s="16">
        <v>0.0</v>
      </c>
      <c r="E56" s="16">
        <v>0.0</v>
      </c>
      <c r="F56" s="21">
        <v>5.01</v>
      </c>
    </row>
    <row r="57" ht="15.0" customHeight="1">
      <c r="A57" s="14" t="s">
        <v>145</v>
      </c>
      <c r="B57" s="21">
        <v>2.36</v>
      </c>
      <c r="C57" s="21">
        <v>1.18</v>
      </c>
      <c r="D57" s="21">
        <v>3.36</v>
      </c>
      <c r="E57" s="21">
        <v>6.29</v>
      </c>
      <c r="F57" s="21">
        <v>12.01</v>
      </c>
    </row>
    <row r="58" ht="15.0" customHeight="1">
      <c r="A58" s="14" t="s">
        <v>146</v>
      </c>
      <c r="B58" s="21">
        <v>46.07</v>
      </c>
      <c r="C58" s="21">
        <v>24.71</v>
      </c>
      <c r="D58" s="21">
        <v>13.42</v>
      </c>
      <c r="E58" s="21">
        <v>38.79</v>
      </c>
      <c r="F58" s="21">
        <v>12.01</v>
      </c>
    </row>
    <row r="59" ht="15.0" customHeight="1">
      <c r="A59" s="14" t="s">
        <v>147</v>
      </c>
      <c r="B59" s="21">
        <v>1.18</v>
      </c>
      <c r="C59" s="16"/>
      <c r="D59" s="16"/>
      <c r="E59" s="21">
        <v>1.05</v>
      </c>
      <c r="F59" s="21">
        <v>1.0</v>
      </c>
    </row>
    <row r="60" ht="15.0" customHeight="1">
      <c r="A60" s="17" t="s">
        <v>148</v>
      </c>
      <c r="B60" s="18">
        <v>153.58</v>
      </c>
      <c r="C60" s="23">
        <v>67.07</v>
      </c>
      <c r="D60" s="23">
        <v>40.27</v>
      </c>
      <c r="E60" s="23">
        <v>63.95</v>
      </c>
      <c r="F60" s="23">
        <v>38.04</v>
      </c>
    </row>
    <row r="61" ht="15.0" customHeight="1">
      <c r="A61" s="14" t="s">
        <v>149</v>
      </c>
      <c r="B61" s="15">
        <v>128.77</v>
      </c>
      <c r="C61" s="16"/>
      <c r="D61" s="16"/>
      <c r="E61" s="16"/>
      <c r="F61" s="16"/>
    </row>
    <row r="62" ht="15.0" customHeight="1">
      <c r="A62" s="14" t="s">
        <v>150</v>
      </c>
      <c r="B62" s="16"/>
      <c r="C62" s="16"/>
      <c r="D62" s="16"/>
      <c r="E62" s="16"/>
      <c r="F62" s="20">
        <v>-1.0</v>
      </c>
    </row>
    <row r="63" ht="15.0" customHeight="1">
      <c r="A63" s="17" t="s">
        <v>151</v>
      </c>
      <c r="B63" s="18">
        <v>1090.43</v>
      </c>
      <c r="C63" s="18">
        <v>891.94</v>
      </c>
      <c r="D63" s="18">
        <v>658.8</v>
      </c>
      <c r="E63" s="18">
        <v>576.63</v>
      </c>
      <c r="F63" s="18">
        <v>553.63</v>
      </c>
    </row>
    <row r="64" ht="15.0" customHeight="1">
      <c r="A64" s="14" t="s">
        <v>152</v>
      </c>
      <c r="B64" s="15">
        <v>629.69</v>
      </c>
      <c r="C64" s="15">
        <v>627.18</v>
      </c>
      <c r="D64" s="15">
        <v>596.16</v>
      </c>
      <c r="E64" s="15">
        <v>558.81</v>
      </c>
      <c r="F64" s="15">
        <v>456.52</v>
      </c>
    </row>
    <row r="65" ht="15.0" customHeight="1">
      <c r="A65" s="14" t="s">
        <v>153</v>
      </c>
      <c r="B65" s="15">
        <v>1553.54</v>
      </c>
      <c r="C65" s="15">
        <v>1430.86</v>
      </c>
      <c r="D65" s="15">
        <v>1278.45</v>
      </c>
      <c r="E65" s="15">
        <v>1176.33</v>
      </c>
      <c r="F65" s="15">
        <v>994.14</v>
      </c>
    </row>
    <row r="66" ht="15.0" customHeight="1">
      <c r="A66" s="14" t="s">
        <v>154</v>
      </c>
      <c r="B66" s="21">
        <v>10.63</v>
      </c>
      <c r="C66" s="21">
        <v>36.48</v>
      </c>
      <c r="D66" s="21">
        <v>20.13</v>
      </c>
      <c r="E66" s="21">
        <v>27.26</v>
      </c>
      <c r="F66" s="20">
        <v>-1.0</v>
      </c>
    </row>
    <row r="67" ht="15.0" customHeight="1">
      <c r="A67" s="14" t="s">
        <v>155</v>
      </c>
      <c r="B67" s="26">
        <v>-1611.43</v>
      </c>
      <c r="C67" s="26">
        <v>-1613.25</v>
      </c>
      <c r="D67" s="26">
        <v>-1474.19</v>
      </c>
      <c r="E67" s="26">
        <v>-1200.45</v>
      </c>
      <c r="F67" s="26">
        <v>-890.02</v>
      </c>
    </row>
    <row r="68" ht="15.0" customHeight="1">
      <c r="A68" s="14" t="s">
        <v>156</v>
      </c>
      <c r="B68" s="21">
        <v>86.24</v>
      </c>
      <c r="C68" s="21">
        <v>3.53</v>
      </c>
      <c r="D68" s="20">
        <v>-59.28</v>
      </c>
      <c r="E68" s="26">
        <v>-183.47</v>
      </c>
      <c r="F68" s="26">
        <v>-257.3</v>
      </c>
    </row>
    <row r="69" ht="15.0" customHeight="1">
      <c r="A69" s="14" t="s">
        <v>157</v>
      </c>
      <c r="B69" s="21">
        <v>1.18</v>
      </c>
      <c r="C69" s="16"/>
      <c r="D69" s="16"/>
      <c r="E69" s="21">
        <v>2.1</v>
      </c>
      <c r="F69" s="21">
        <v>1.0</v>
      </c>
    </row>
    <row r="70" ht="15.0" customHeight="1">
      <c r="A70" s="17" t="s">
        <v>158</v>
      </c>
      <c r="B70" s="18">
        <v>669.85</v>
      </c>
      <c r="C70" s="18">
        <v>484.8</v>
      </c>
      <c r="D70" s="18">
        <v>361.28</v>
      </c>
      <c r="E70" s="18">
        <v>380.58</v>
      </c>
      <c r="F70" s="18">
        <v>303.35</v>
      </c>
    </row>
    <row r="71" ht="15.0" customHeight="1">
      <c r="A71" s="17" t="s">
        <v>159</v>
      </c>
      <c r="B71" s="18">
        <v>669.85</v>
      </c>
      <c r="C71" s="18">
        <v>484.8</v>
      </c>
      <c r="D71" s="18">
        <v>361.28</v>
      </c>
      <c r="E71" s="18">
        <v>380.58</v>
      </c>
      <c r="F71" s="18">
        <v>303.35</v>
      </c>
    </row>
    <row r="72" ht="15.0" customHeight="1">
      <c r="A72" s="14" t="s">
        <v>160</v>
      </c>
      <c r="B72" s="16"/>
      <c r="C72" s="21">
        <v>1.18</v>
      </c>
      <c r="D72" s="16"/>
      <c r="E72" s="16"/>
      <c r="F72" s="16"/>
    </row>
    <row r="73" ht="15.0" customHeight="1">
      <c r="A73" s="14" t="s">
        <v>161</v>
      </c>
      <c r="B73" s="15">
        <v>141.77</v>
      </c>
      <c r="C73" s="21">
        <v>98.84</v>
      </c>
      <c r="D73" s="15">
        <v>180.08</v>
      </c>
      <c r="E73" s="15">
        <v>110.08</v>
      </c>
      <c r="F73" s="15">
        <v>116.13</v>
      </c>
    </row>
    <row r="74" ht="15.0" customHeight="1">
      <c r="A74" s="14" t="s">
        <v>162</v>
      </c>
      <c r="B74" s="16"/>
      <c r="C74" s="21">
        <v>97.67</v>
      </c>
      <c r="D74" s="15">
        <v>178.96</v>
      </c>
      <c r="E74" s="15">
        <v>109.04</v>
      </c>
      <c r="F74" s="21">
        <v>97.11</v>
      </c>
    </row>
    <row r="75" ht="15.0" customHeight="1">
      <c r="A75" s="14" t="s">
        <v>163</v>
      </c>
      <c r="B75" s="16"/>
      <c r="C75" s="16"/>
      <c r="D75" s="16"/>
      <c r="E75" s="16">
        <v>0.0</v>
      </c>
      <c r="F75" s="21">
        <v>37.04</v>
      </c>
    </row>
    <row r="76" ht="15.0" customHeight="1">
      <c r="A76" s="14" t="s">
        <v>164</v>
      </c>
      <c r="B76" s="16"/>
      <c r="C76" s="16"/>
      <c r="D76" s="16">
        <v>0.0</v>
      </c>
      <c r="E76" s="16">
        <v>0.0</v>
      </c>
      <c r="F76" s="21">
        <v>3.0</v>
      </c>
    </row>
    <row r="77" ht="15.0" customHeight="1">
      <c r="A77" s="14" t="s">
        <v>165</v>
      </c>
      <c r="B77" s="16"/>
      <c r="C77" s="16"/>
      <c r="D77" s="16"/>
      <c r="E77" s="16">
        <v>0.0</v>
      </c>
      <c r="F77" s="21">
        <v>16.02</v>
      </c>
    </row>
    <row r="78" ht="15.0" customHeight="1">
      <c r="A78" s="14" t="s">
        <v>166</v>
      </c>
      <c r="B78" s="16"/>
      <c r="C78" s="21">
        <v>1.18</v>
      </c>
      <c r="D78" s="21">
        <v>1.12</v>
      </c>
      <c r="E78" s="21">
        <v>1.05</v>
      </c>
      <c r="F78" s="20">
        <v>-37.04</v>
      </c>
    </row>
    <row r="79" ht="15.0" customHeight="1">
      <c r="A79" s="14" t="s">
        <v>167</v>
      </c>
      <c r="B79" s="16">
        <v>0.0</v>
      </c>
      <c r="C79" s="16"/>
      <c r="D79" s="16"/>
      <c r="E79" s="16"/>
      <c r="F79" s="16"/>
    </row>
    <row r="80" ht="15.0" customHeight="1">
      <c r="A80" s="14" t="s">
        <v>168</v>
      </c>
      <c r="B80" s="16"/>
      <c r="C80" s="16"/>
      <c r="D80" s="16">
        <v>0.0</v>
      </c>
      <c r="E80" s="16">
        <v>0.0</v>
      </c>
      <c r="F80" s="21">
        <v>3.0</v>
      </c>
    </row>
    <row r="81" ht="15.0" customHeight="1">
      <c r="A81" s="14" t="s">
        <v>169</v>
      </c>
      <c r="B81" s="21">
        <v>80.34</v>
      </c>
      <c r="C81" s="21">
        <v>88.25</v>
      </c>
      <c r="D81" s="21">
        <v>32.44</v>
      </c>
      <c r="E81" s="21">
        <v>14.68</v>
      </c>
      <c r="F81" s="21">
        <v>13.01</v>
      </c>
    </row>
    <row r="82" ht="15.0" customHeight="1">
      <c r="A82" s="14" t="s">
        <v>170</v>
      </c>
      <c r="B82" s="21">
        <v>11.81</v>
      </c>
      <c r="C82" s="16"/>
      <c r="D82" s="16"/>
      <c r="E82" s="16"/>
      <c r="F82" s="16"/>
    </row>
    <row r="83" ht="15.0" customHeight="1">
      <c r="A83" s="17" t="s">
        <v>171</v>
      </c>
      <c r="B83" s="18">
        <v>233.92</v>
      </c>
      <c r="C83" s="18">
        <v>188.27</v>
      </c>
      <c r="D83" s="18">
        <v>212.52</v>
      </c>
      <c r="E83" s="18">
        <v>124.76</v>
      </c>
      <c r="F83" s="18">
        <v>132.15</v>
      </c>
    </row>
    <row r="84" ht="15.0" customHeight="1">
      <c r="A84" s="14" t="s">
        <v>172</v>
      </c>
      <c r="B84" s="16"/>
      <c r="C84" s="21">
        <v>81.19</v>
      </c>
      <c r="D84" s="16"/>
      <c r="E84" s="16"/>
      <c r="F84" s="16"/>
    </row>
    <row r="85" ht="15.0" customHeight="1">
      <c r="A85" s="14" t="s">
        <v>162</v>
      </c>
      <c r="B85" s="16"/>
      <c r="C85" s="21">
        <v>77.66</v>
      </c>
      <c r="D85" s="16">
        <v>0.0</v>
      </c>
      <c r="E85" s="21">
        <v>1.05</v>
      </c>
      <c r="F85" s="21">
        <v>21.02</v>
      </c>
    </row>
    <row r="86" ht="15.0" customHeight="1">
      <c r="A86" s="14" t="s">
        <v>173</v>
      </c>
      <c r="B86" s="16"/>
      <c r="C86" s="21">
        <v>3.53</v>
      </c>
      <c r="D86" s="16"/>
      <c r="E86" s="16"/>
      <c r="F86" s="16"/>
    </row>
    <row r="87" ht="15.0" customHeight="1">
      <c r="A87" s="14" t="s">
        <v>174</v>
      </c>
      <c r="B87" s="21">
        <v>20.08</v>
      </c>
      <c r="C87" s="21">
        <v>77.66</v>
      </c>
      <c r="D87" s="16">
        <v>0.0</v>
      </c>
      <c r="E87" s="21">
        <v>1.05</v>
      </c>
      <c r="F87" s="21">
        <v>58.07</v>
      </c>
    </row>
    <row r="88" ht="15.0" customHeight="1">
      <c r="A88" s="14" t="s">
        <v>175</v>
      </c>
      <c r="B88" s="16"/>
      <c r="C88" s="16"/>
      <c r="D88" s="16"/>
      <c r="E88" s="16">
        <v>0.0</v>
      </c>
      <c r="F88" s="21">
        <v>3.0</v>
      </c>
    </row>
    <row r="89" ht="15.0" customHeight="1">
      <c r="A89" s="14" t="s">
        <v>176</v>
      </c>
      <c r="B89" s="16"/>
      <c r="C89" s="16"/>
      <c r="D89" s="16"/>
      <c r="E89" s="16"/>
      <c r="F89" s="21">
        <v>34.04</v>
      </c>
    </row>
    <row r="90" ht="15.0" customHeight="1">
      <c r="A90" s="14" t="s">
        <v>177</v>
      </c>
      <c r="B90" s="16"/>
      <c r="C90" s="16"/>
      <c r="D90" s="16">
        <v>0.0</v>
      </c>
      <c r="E90" s="16"/>
      <c r="F90" s="16"/>
    </row>
    <row r="91" ht="15.0" customHeight="1">
      <c r="A91" s="14" t="s">
        <v>178</v>
      </c>
      <c r="B91" s="21">
        <v>73.25</v>
      </c>
      <c r="C91" s="21">
        <v>81.19</v>
      </c>
      <c r="D91" s="21">
        <v>55.93</v>
      </c>
      <c r="E91" s="21">
        <v>49.28</v>
      </c>
      <c r="F91" s="21">
        <v>25.03</v>
      </c>
    </row>
    <row r="92" ht="15.0" customHeight="1">
      <c r="A92" s="14" t="s">
        <v>179</v>
      </c>
      <c r="B92" s="21">
        <v>48.44</v>
      </c>
      <c r="C92" s="21">
        <v>12.94</v>
      </c>
      <c r="D92" s="21">
        <v>4.47</v>
      </c>
      <c r="E92" s="21">
        <v>4.19</v>
      </c>
      <c r="F92" s="21">
        <v>12.01</v>
      </c>
    </row>
    <row r="93" ht="15.0" customHeight="1">
      <c r="A93" s="14" t="s">
        <v>180</v>
      </c>
      <c r="B93" s="21">
        <v>44.89</v>
      </c>
      <c r="C93" s="21">
        <v>42.36</v>
      </c>
      <c r="D93" s="21">
        <v>24.61</v>
      </c>
      <c r="E93" s="21">
        <v>16.77</v>
      </c>
      <c r="F93" s="21">
        <v>22.03</v>
      </c>
    </row>
    <row r="94" ht="15.0" customHeight="1">
      <c r="A94" s="14" t="s">
        <v>181</v>
      </c>
      <c r="B94" s="16"/>
      <c r="C94" s="21">
        <v>1.18</v>
      </c>
      <c r="D94" s="21">
        <v>1.12</v>
      </c>
      <c r="E94" s="21">
        <v>1.05</v>
      </c>
      <c r="F94" s="21">
        <v>1.0</v>
      </c>
    </row>
    <row r="95" ht="15.0" customHeight="1">
      <c r="A95" s="17" t="s">
        <v>182</v>
      </c>
      <c r="B95" s="18">
        <v>186.66</v>
      </c>
      <c r="C95" s="18">
        <v>218.87</v>
      </c>
      <c r="D95" s="23">
        <v>86.12</v>
      </c>
      <c r="E95" s="23">
        <v>72.34</v>
      </c>
      <c r="F95" s="18">
        <v>118.14</v>
      </c>
    </row>
    <row r="96" ht="15.0" customHeight="1">
      <c r="A96" s="14" t="s">
        <v>183</v>
      </c>
      <c r="B96" s="21">
        <v>10.63</v>
      </c>
      <c r="C96" s="16"/>
      <c r="D96" s="16"/>
      <c r="E96" s="16"/>
      <c r="F96" s="16"/>
    </row>
    <row r="97" ht="15.0" customHeight="1">
      <c r="A97" s="14" t="s">
        <v>184</v>
      </c>
      <c r="B97" s="16"/>
      <c r="C97" s="16"/>
      <c r="D97" s="20">
        <v>-1.12</v>
      </c>
      <c r="E97" s="20">
        <v>-1.05</v>
      </c>
      <c r="F97" s="16"/>
    </row>
    <row r="98" ht="15.0" customHeight="1">
      <c r="A98" s="17" t="s">
        <v>185</v>
      </c>
      <c r="B98" s="18">
        <v>431.21</v>
      </c>
      <c r="C98" s="18">
        <v>407.14</v>
      </c>
      <c r="D98" s="18">
        <v>297.52</v>
      </c>
      <c r="E98" s="18">
        <v>196.06</v>
      </c>
      <c r="F98" s="18">
        <v>250.29</v>
      </c>
    </row>
    <row r="99" ht="15.0" customHeight="1">
      <c r="A99" s="14" t="s">
        <v>186</v>
      </c>
      <c r="B99" s="20">
        <v>-10.63</v>
      </c>
      <c r="C99" s="16"/>
      <c r="D99" s="16"/>
      <c r="E99" s="16"/>
      <c r="F99" s="16"/>
    </row>
    <row r="100" ht="15.0" customHeight="1">
      <c r="A100" s="17" t="s">
        <v>187</v>
      </c>
      <c r="B100" s="18">
        <v>1090.43</v>
      </c>
      <c r="C100" s="18">
        <v>891.94</v>
      </c>
      <c r="D100" s="18">
        <v>658.8</v>
      </c>
      <c r="E100" s="18">
        <v>576.63</v>
      </c>
      <c r="F100" s="18">
        <v>553.63</v>
      </c>
    </row>
    <row r="101" ht="15.0" customHeight="1">
      <c r="A101" s="14" t="s">
        <v>188</v>
      </c>
      <c r="B101" s="21">
        <v>0.01</v>
      </c>
      <c r="C101" s="21">
        <v>0.01</v>
      </c>
      <c r="D101" s="21">
        <v>0.01</v>
      </c>
      <c r="E101" s="21">
        <v>0.01</v>
      </c>
      <c r="F101" s="16">
        <v>0.0</v>
      </c>
    </row>
    <row r="102" ht="15.0" customHeight="1">
      <c r="A102" s="14" t="s">
        <v>189</v>
      </c>
      <c r="B102" s="21">
        <v>11.97</v>
      </c>
      <c r="C102" s="21">
        <v>10.82</v>
      </c>
      <c r="D102" s="21">
        <v>9.28</v>
      </c>
      <c r="E102" s="21">
        <v>9.28</v>
      </c>
      <c r="F102" s="21">
        <v>9.29</v>
      </c>
    </row>
    <row r="103" ht="15.0" customHeight="1">
      <c r="A103" s="14" t="s">
        <v>190</v>
      </c>
      <c r="B103" s="21">
        <v>11.97</v>
      </c>
      <c r="C103" s="21">
        <v>10.83</v>
      </c>
      <c r="D103" s="21">
        <v>9.29</v>
      </c>
      <c r="E103" s="21">
        <v>9.29</v>
      </c>
      <c r="F103" s="21">
        <v>9.29</v>
      </c>
    </row>
    <row r="104" ht="15.0" customHeight="1">
      <c r="A104" s="14" t="s">
        <v>191</v>
      </c>
      <c r="B104" s="16"/>
      <c r="C104" s="15">
        <v>477.74</v>
      </c>
      <c r="D104" s="16"/>
      <c r="E104" s="16"/>
      <c r="F104" s="16"/>
    </row>
    <row r="105" ht="15.0" customHeight="1">
      <c r="A105" s="14" t="s">
        <v>192</v>
      </c>
      <c r="B105" s="16"/>
      <c r="C105" s="15">
        <v>311.82</v>
      </c>
      <c r="D105" s="16"/>
      <c r="E105" s="16"/>
      <c r="F105" s="16"/>
    </row>
    <row r="106" ht="15.0" customHeight="1">
      <c r="A106" s="14" t="s">
        <v>193</v>
      </c>
      <c r="B106" s="16"/>
      <c r="C106" s="15">
        <v>165.91</v>
      </c>
      <c r="D106" s="16"/>
      <c r="E106" s="16"/>
      <c r="F106" s="16"/>
    </row>
    <row r="107" ht="15.0" customHeight="1">
      <c r="A107" s="14" t="s">
        <v>194</v>
      </c>
      <c r="B107" s="16"/>
      <c r="C107" s="16">
        <v>0.0</v>
      </c>
      <c r="D107" s="16"/>
      <c r="E107" s="16"/>
      <c r="F107" s="16"/>
    </row>
    <row r="108" ht="15.0" customHeight="1">
      <c r="A108" s="14" t="s">
        <v>195</v>
      </c>
      <c r="B108" s="21">
        <v>11.97</v>
      </c>
      <c r="C108" s="21">
        <v>10.83</v>
      </c>
      <c r="D108" s="21">
        <v>9.29</v>
      </c>
      <c r="E108" s="21">
        <v>9.29</v>
      </c>
      <c r="F108" s="21">
        <v>9.29</v>
      </c>
    </row>
    <row r="109" ht="15.0" customHeight="1">
      <c r="A109" s="14" t="s">
        <v>196</v>
      </c>
      <c r="B109" s="21">
        <v>0.01</v>
      </c>
      <c r="C109" s="21">
        <v>0.01</v>
      </c>
      <c r="D109" s="21">
        <v>0.01</v>
      </c>
      <c r="E109" s="21">
        <v>0.01</v>
      </c>
      <c r="F109" s="16">
        <v>0.0</v>
      </c>
    </row>
    <row r="110" ht="15.0" customHeight="1">
      <c r="A110" s="14" t="s">
        <v>197</v>
      </c>
      <c r="B110" s="21">
        <v>11.97</v>
      </c>
      <c r="C110" s="21">
        <v>10.82</v>
      </c>
      <c r="D110" s="21">
        <v>9.28</v>
      </c>
      <c r="E110" s="21">
        <v>9.28</v>
      </c>
      <c r="F110" s="21">
        <v>9.29</v>
      </c>
    </row>
    <row r="111" ht="15.0" customHeight="1">
      <c r="A111" s="14" t="s">
        <v>198</v>
      </c>
      <c r="B111" s="21">
        <v>1.0</v>
      </c>
      <c r="C111" s="21">
        <v>1.0</v>
      </c>
      <c r="D111" s="21">
        <v>1.0</v>
      </c>
      <c r="E111" s="21">
        <v>1.0</v>
      </c>
      <c r="F111" s="21">
        <v>1.0</v>
      </c>
    </row>
    <row r="112" ht="15.0" customHeight="1">
      <c r="A112" s="14" t="s">
        <v>199</v>
      </c>
      <c r="B112" s="21">
        <v>84.0</v>
      </c>
      <c r="C112" s="21">
        <v>21.0</v>
      </c>
      <c r="D112" s="16"/>
      <c r="E112" s="16"/>
      <c r="F112" s="1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200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46096.5317770486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202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203</v>
      </c>
      <c r="B20" s="21">
        <v>85.43</v>
      </c>
      <c r="C20" s="21">
        <v>3.49</v>
      </c>
      <c r="D20" s="20">
        <v>-60.46</v>
      </c>
      <c r="E20" s="26">
        <v>-176.64</v>
      </c>
      <c r="F20" s="26">
        <v>-261.16</v>
      </c>
    </row>
    <row r="21" ht="15.0" customHeight="1">
      <c r="A21" s="14" t="s">
        <v>204</v>
      </c>
      <c r="B21" s="21">
        <v>71.39</v>
      </c>
      <c r="C21" s="21">
        <v>17.43</v>
      </c>
      <c r="D21" s="21">
        <v>22.81</v>
      </c>
      <c r="E21" s="21">
        <v>32.3</v>
      </c>
      <c r="F21" s="21">
        <v>11.18</v>
      </c>
    </row>
    <row r="22" ht="15.0" customHeight="1">
      <c r="A22" s="14" t="s">
        <v>44</v>
      </c>
      <c r="B22" s="15">
        <v>101.81</v>
      </c>
      <c r="C22" s="21">
        <v>37.18</v>
      </c>
      <c r="D22" s="16"/>
      <c r="E22" s="21">
        <v>83.78</v>
      </c>
      <c r="F22" s="15">
        <v>137.18</v>
      </c>
    </row>
    <row r="23" ht="15.0" customHeight="1">
      <c r="A23" s="14" t="s">
        <v>205</v>
      </c>
      <c r="B23" s="16"/>
      <c r="C23" s="16"/>
      <c r="D23" s="21">
        <v>26.24</v>
      </c>
      <c r="E23" s="16"/>
      <c r="F23" s="16"/>
    </row>
    <row r="24" ht="15.0" customHeight="1">
      <c r="A24" s="14" t="s">
        <v>206</v>
      </c>
      <c r="B24" s="20">
        <v>-24.58</v>
      </c>
      <c r="C24" s="21">
        <v>5.81</v>
      </c>
      <c r="D24" s="21">
        <v>4.56</v>
      </c>
      <c r="E24" s="16">
        <v>0.0</v>
      </c>
      <c r="F24" s="20">
        <v>-4.06</v>
      </c>
    </row>
    <row r="25" ht="15.0" customHeight="1">
      <c r="A25" s="14" t="s">
        <v>207</v>
      </c>
      <c r="B25" s="20">
        <v>-47.98</v>
      </c>
      <c r="C25" s="21">
        <v>1.16</v>
      </c>
      <c r="D25" s="21">
        <v>1.14</v>
      </c>
      <c r="E25" s="20">
        <v>-8.08</v>
      </c>
      <c r="F25" s="21">
        <v>5.08</v>
      </c>
    </row>
    <row r="26" ht="15.0" customHeight="1">
      <c r="A26" s="14" t="s">
        <v>208</v>
      </c>
      <c r="B26" s="15">
        <v>186.07</v>
      </c>
      <c r="C26" s="21">
        <v>63.91</v>
      </c>
      <c r="D26" s="20">
        <v>-6.84</v>
      </c>
      <c r="E26" s="20">
        <v>-68.64</v>
      </c>
      <c r="F26" s="26">
        <v>-110.76</v>
      </c>
    </row>
    <row r="27" ht="15.0" customHeight="1">
      <c r="A27" s="14" t="s">
        <v>209</v>
      </c>
      <c r="B27" s="20">
        <v>-57.34</v>
      </c>
      <c r="C27" s="20">
        <v>-16.27</v>
      </c>
      <c r="D27" s="20">
        <v>-6.84</v>
      </c>
      <c r="E27" s="21">
        <v>23.22</v>
      </c>
      <c r="F27" s="20">
        <v>-5.08</v>
      </c>
    </row>
    <row r="28" ht="15.0" customHeight="1">
      <c r="A28" s="14" t="s">
        <v>210</v>
      </c>
      <c r="B28" s="20">
        <v>-9.36</v>
      </c>
      <c r="C28" s="21">
        <v>1.16</v>
      </c>
      <c r="D28" s="16">
        <v>0.0</v>
      </c>
      <c r="E28" s="21">
        <v>4.04</v>
      </c>
      <c r="F28" s="20">
        <v>-5.08</v>
      </c>
    </row>
    <row r="29" ht="15.0" customHeight="1">
      <c r="A29" s="14" t="s">
        <v>211</v>
      </c>
      <c r="B29" s="21">
        <v>39.79</v>
      </c>
      <c r="C29" s="21">
        <v>24.4</v>
      </c>
      <c r="D29" s="20">
        <v>-18.25</v>
      </c>
      <c r="E29" s="21">
        <v>7.07</v>
      </c>
      <c r="F29" s="21">
        <v>13.21</v>
      </c>
    </row>
    <row r="30" ht="15.0" customHeight="1">
      <c r="A30" s="14" t="s">
        <v>212</v>
      </c>
      <c r="B30" s="20">
        <v>-25.75</v>
      </c>
      <c r="C30" s="21">
        <v>8.13</v>
      </c>
      <c r="D30" s="20">
        <v>-25.1</v>
      </c>
      <c r="E30" s="21">
        <v>33.31</v>
      </c>
      <c r="F30" s="21">
        <v>2.03</v>
      </c>
    </row>
    <row r="31" ht="15.0" customHeight="1">
      <c r="A31" s="14" t="s">
        <v>213</v>
      </c>
      <c r="B31" s="20">
        <v>-8.19</v>
      </c>
      <c r="C31" s="20">
        <v>-1.16</v>
      </c>
      <c r="D31" s="20">
        <v>-2.28</v>
      </c>
      <c r="E31" s="20">
        <v>-14.13</v>
      </c>
      <c r="F31" s="20">
        <v>-1.02</v>
      </c>
    </row>
    <row r="32" ht="15.0" customHeight="1">
      <c r="A32" s="14" t="s">
        <v>214</v>
      </c>
      <c r="B32" s="16">
        <v>0.0</v>
      </c>
      <c r="C32" s="16">
        <v>0.0</v>
      </c>
      <c r="D32" s="16">
        <v>0.0</v>
      </c>
      <c r="E32" s="16"/>
      <c r="F32" s="16"/>
    </row>
    <row r="33" ht="15.0" customHeight="1">
      <c r="A33" s="14" t="s">
        <v>215</v>
      </c>
      <c r="B33" s="21">
        <v>2.34</v>
      </c>
      <c r="C33" s="20">
        <v>-1.16</v>
      </c>
      <c r="D33" s="20">
        <v>-1.14</v>
      </c>
      <c r="E33" s="16"/>
      <c r="F33" s="21">
        <v>1.02</v>
      </c>
    </row>
    <row r="34" ht="15.0" customHeight="1">
      <c r="A34" s="17" t="s">
        <v>216</v>
      </c>
      <c r="B34" s="18">
        <v>153.3</v>
      </c>
      <c r="C34" s="23">
        <v>72.04</v>
      </c>
      <c r="D34" s="24">
        <v>-34.22</v>
      </c>
      <c r="E34" s="24">
        <v>-48.45</v>
      </c>
      <c r="F34" s="25">
        <v>-108.73</v>
      </c>
    </row>
    <row r="35" ht="15.0" customHeight="1">
      <c r="A35" s="14" t="s">
        <v>217</v>
      </c>
      <c r="B35" s="20">
        <v>-50.32</v>
      </c>
      <c r="C35" s="20">
        <v>-44.15</v>
      </c>
      <c r="D35" s="20">
        <v>-28.52</v>
      </c>
      <c r="E35" s="20">
        <v>-7.07</v>
      </c>
      <c r="F35" s="20">
        <v>-2.03</v>
      </c>
    </row>
    <row r="36" ht="15.0" customHeight="1">
      <c r="A36" s="14" t="s">
        <v>218</v>
      </c>
      <c r="B36" s="26">
        <v>-154.47</v>
      </c>
      <c r="C36" s="20">
        <v>-75.53</v>
      </c>
      <c r="D36" s="20">
        <v>-52.47</v>
      </c>
      <c r="E36" s="20">
        <v>-25.23</v>
      </c>
      <c r="F36" s="20">
        <v>-48.78</v>
      </c>
    </row>
    <row r="37" ht="15.0" customHeight="1">
      <c r="A37" s="14" t="s">
        <v>219</v>
      </c>
      <c r="B37" s="16">
        <v>0.0</v>
      </c>
      <c r="C37" s="21">
        <v>1.16</v>
      </c>
      <c r="D37" s="21">
        <v>1.14</v>
      </c>
      <c r="E37" s="16"/>
      <c r="F37" s="16"/>
    </row>
    <row r="38" ht="15.0" customHeight="1">
      <c r="A38" s="14" t="s">
        <v>220</v>
      </c>
      <c r="B38" s="20">
        <v>-10.53</v>
      </c>
      <c r="C38" s="16"/>
      <c r="D38" s="16"/>
      <c r="E38" s="16"/>
      <c r="F38" s="16"/>
    </row>
    <row r="39" ht="15.0" customHeight="1">
      <c r="A39" s="14" t="s">
        <v>221</v>
      </c>
      <c r="B39" s="21">
        <v>1.17</v>
      </c>
      <c r="C39" s="16"/>
      <c r="D39" s="16"/>
      <c r="E39" s="16"/>
      <c r="F39" s="21">
        <v>1.02</v>
      </c>
    </row>
    <row r="40" ht="15.0" customHeight="1">
      <c r="A40" s="17" t="s">
        <v>222</v>
      </c>
      <c r="B40" s="25">
        <v>-214.16</v>
      </c>
      <c r="C40" s="25">
        <v>-118.52</v>
      </c>
      <c r="D40" s="24">
        <v>-79.85</v>
      </c>
      <c r="E40" s="24">
        <v>-32.3</v>
      </c>
      <c r="F40" s="24">
        <v>-49.79</v>
      </c>
    </row>
    <row r="41" ht="15.0" customHeight="1">
      <c r="A41" s="14" t="s">
        <v>223</v>
      </c>
      <c r="B41" s="16"/>
      <c r="C41" s="16"/>
      <c r="D41" s="16">
        <v>0.0</v>
      </c>
      <c r="E41" s="21">
        <v>96.9</v>
      </c>
      <c r="F41" s="15">
        <v>236.77</v>
      </c>
    </row>
    <row r="42" ht="15.0" customHeight="1">
      <c r="A42" s="14" t="s">
        <v>224</v>
      </c>
      <c r="B42" s="16"/>
      <c r="C42" s="16"/>
      <c r="D42" s="16">
        <v>0.0</v>
      </c>
      <c r="E42" s="20">
        <v>-13.12</v>
      </c>
      <c r="F42" s="20">
        <v>-25.4</v>
      </c>
    </row>
    <row r="43" ht="15.0" customHeight="1">
      <c r="A43" s="14" t="s">
        <v>225</v>
      </c>
      <c r="B43" s="21">
        <v>86.6</v>
      </c>
      <c r="C43" s="21">
        <v>58.1</v>
      </c>
      <c r="D43" s="21">
        <v>90.12</v>
      </c>
      <c r="E43" s="21">
        <v>88.83</v>
      </c>
      <c r="F43" s="21">
        <v>81.29</v>
      </c>
    </row>
    <row r="44" ht="15.0" customHeight="1">
      <c r="A44" s="14" t="s">
        <v>226</v>
      </c>
      <c r="B44" s="20">
        <v>-3.51</v>
      </c>
      <c r="C44" s="20">
        <v>-1.16</v>
      </c>
      <c r="D44" s="20">
        <v>-4.56</v>
      </c>
      <c r="E44" s="20">
        <v>-66.62</v>
      </c>
      <c r="F44" s="26">
        <v>-126.0</v>
      </c>
    </row>
    <row r="45" ht="15.0" customHeight="1">
      <c r="A45" s="14" t="s">
        <v>227</v>
      </c>
      <c r="B45" s="16">
        <v>0.0</v>
      </c>
      <c r="C45" s="16">
        <v>0.0</v>
      </c>
      <c r="D45" s="16">
        <v>0.0</v>
      </c>
      <c r="E45" s="20">
        <v>-1.01</v>
      </c>
      <c r="F45" s="20">
        <v>-6.1</v>
      </c>
    </row>
    <row r="46" ht="15.0" customHeight="1">
      <c r="A46" s="14" t="s">
        <v>228</v>
      </c>
      <c r="B46" s="20">
        <v>-1.17</v>
      </c>
      <c r="C46" s="16"/>
      <c r="D46" s="16"/>
      <c r="E46" s="21">
        <v>1.01</v>
      </c>
      <c r="F46" s="20">
        <v>-1.02</v>
      </c>
    </row>
    <row r="47" ht="15.0" customHeight="1">
      <c r="A47" s="17" t="s">
        <v>229</v>
      </c>
      <c r="B47" s="23">
        <v>81.92</v>
      </c>
      <c r="C47" s="23">
        <v>56.94</v>
      </c>
      <c r="D47" s="23">
        <v>85.56</v>
      </c>
      <c r="E47" s="18">
        <v>105.98</v>
      </c>
      <c r="F47" s="18">
        <v>159.54</v>
      </c>
    </row>
    <row r="48" ht="15.0" customHeight="1">
      <c r="A48" s="14" t="s">
        <v>230</v>
      </c>
      <c r="B48" s="16">
        <v>0.0</v>
      </c>
      <c r="C48" s="16">
        <v>0.0</v>
      </c>
      <c r="D48" s="16">
        <v>0.0</v>
      </c>
      <c r="E48" s="16"/>
      <c r="F48" s="16"/>
    </row>
    <row r="49" ht="15.0" customHeight="1">
      <c r="A49" s="14" t="s">
        <v>231</v>
      </c>
      <c r="B49" s="21">
        <v>24.81</v>
      </c>
      <c r="C49" s="21">
        <v>14.12</v>
      </c>
      <c r="D49" s="21">
        <v>41.38</v>
      </c>
      <c r="E49" s="21">
        <v>12.58</v>
      </c>
      <c r="F49" s="21">
        <v>11.01</v>
      </c>
    </row>
    <row r="50" ht="15.0" customHeight="1">
      <c r="A50" s="14" t="s">
        <v>232</v>
      </c>
      <c r="B50" s="21">
        <v>46.07</v>
      </c>
      <c r="C50" s="21">
        <v>24.71</v>
      </c>
      <c r="D50" s="21">
        <v>13.42</v>
      </c>
      <c r="E50" s="21">
        <v>38.79</v>
      </c>
      <c r="F50" s="21">
        <v>12.01</v>
      </c>
    </row>
    <row r="51" ht="15.0" customHeight="1">
      <c r="A51" s="14" t="s">
        <v>233</v>
      </c>
      <c r="B51" s="21">
        <v>21.06</v>
      </c>
      <c r="C51" s="21">
        <v>10.46</v>
      </c>
      <c r="D51" s="20">
        <v>-28.52</v>
      </c>
      <c r="E51" s="21">
        <v>25.23</v>
      </c>
      <c r="F51" s="21">
        <v>1.02</v>
      </c>
    </row>
    <row r="52" ht="15.0" customHeight="1">
      <c r="A52" s="17" t="s">
        <v>234</v>
      </c>
      <c r="B52" s="23">
        <v>21.06</v>
      </c>
      <c r="C52" s="23">
        <v>10.46</v>
      </c>
      <c r="D52" s="24">
        <v>-28.52</v>
      </c>
      <c r="E52" s="23">
        <v>25.23</v>
      </c>
      <c r="F52" s="23">
        <v>1.02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5" width="15.71"/>
    <col customWidth="1" min="6" max="26" width="8.71"/>
  </cols>
  <sheetData>
    <row r="1" ht="15.0" customHeight="1">
      <c r="A1" s="1" t="s">
        <v>235</v>
      </c>
      <c r="B1" s="2"/>
      <c r="C1" s="2"/>
      <c r="D1" s="2"/>
      <c r="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46096.5317770718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44926.0</v>
      </c>
      <c r="E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</row>
    <row r="16" ht="15.0" customHeight="1" outlineLevel="1">
      <c r="A16" s="8" t="s">
        <v>29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</row>
    <row r="18">
      <c r="A18" s="12" t="s">
        <v>236</v>
      </c>
      <c r="B18" s="6"/>
      <c r="C18" s="6"/>
      <c r="D18" s="6"/>
      <c r="E18" s="6"/>
    </row>
    <row r="19">
      <c r="A19" s="12" t="s">
        <v>31</v>
      </c>
      <c r="B19" s="13" t="s">
        <v>33</v>
      </c>
      <c r="C19" s="13" t="s">
        <v>34</v>
      </c>
      <c r="D19" s="13" t="s">
        <v>35</v>
      </c>
      <c r="E19" s="13" t="s">
        <v>36</v>
      </c>
    </row>
    <row r="20" ht="15.0" customHeight="1">
      <c r="A20" s="27" t="s">
        <v>237</v>
      </c>
      <c r="B20" s="28"/>
      <c r="C20" s="28"/>
      <c r="D20" s="28"/>
      <c r="E20" s="28"/>
    </row>
    <row r="21" ht="15.0" customHeight="1">
      <c r="A21" s="29" t="s">
        <v>237</v>
      </c>
      <c r="B21" s="30">
        <v>1516.24</v>
      </c>
      <c r="C21" s="30">
        <v>824.02</v>
      </c>
      <c r="D21" s="30">
        <v>559.23</v>
      </c>
      <c r="E21" s="31"/>
    </row>
    <row r="22" ht="15.0" customHeight="1">
      <c r="A22" s="27" t="s">
        <v>238</v>
      </c>
      <c r="B22" s="28"/>
      <c r="C22" s="28"/>
      <c r="D22" s="28"/>
      <c r="E22" s="28"/>
    </row>
    <row r="23" ht="15.0" customHeight="1">
      <c r="A23" s="29" t="s">
        <v>238</v>
      </c>
      <c r="B23" s="30">
        <v>1052.63</v>
      </c>
      <c r="C23" s="30">
        <v>657.37</v>
      </c>
      <c r="D23" s="30">
        <v>486.89</v>
      </c>
      <c r="E23" s="31"/>
    </row>
    <row r="24" ht="15.0" customHeight="1">
      <c r="A24" s="27" t="s">
        <v>239</v>
      </c>
      <c r="B24" s="28"/>
      <c r="C24" s="28"/>
      <c r="D24" s="28"/>
      <c r="E24" s="28"/>
    </row>
    <row r="25" ht="15.0" customHeight="1">
      <c r="A25" s="29" t="s">
        <v>240</v>
      </c>
      <c r="B25" s="32">
        <v>97.2</v>
      </c>
      <c r="C25" s="32">
        <v>67.11</v>
      </c>
      <c r="D25" s="32">
        <v>52.42</v>
      </c>
      <c r="E25" s="31"/>
    </row>
    <row r="26" ht="15.0" customHeight="1">
      <c r="A26" s="27" t="s">
        <v>241</v>
      </c>
      <c r="B26" s="28"/>
      <c r="C26" s="28"/>
      <c r="D26" s="28"/>
      <c r="E26" s="28"/>
    </row>
    <row r="27" ht="15.0" customHeight="1">
      <c r="A27" s="29" t="s">
        <v>242</v>
      </c>
      <c r="B27" s="33">
        <v>-5.04</v>
      </c>
      <c r="C27" s="33">
        <v>-17.56</v>
      </c>
      <c r="D27" s="33">
        <v>-17.23</v>
      </c>
      <c r="E27" s="34"/>
    </row>
    <row r="28" ht="15.0" customHeight="1">
      <c r="A28" s="27" t="s">
        <v>243</v>
      </c>
      <c r="B28" s="28"/>
      <c r="C28" s="28"/>
      <c r="D28" s="28"/>
      <c r="E28" s="28"/>
    </row>
    <row r="29" ht="15.0" customHeight="1">
      <c r="A29" s="29" t="s">
        <v>244</v>
      </c>
      <c r="B29" s="34">
        <v>0.0</v>
      </c>
      <c r="C29" s="34">
        <v>0.0</v>
      </c>
      <c r="D29" s="34">
        <v>0.0</v>
      </c>
      <c r="E29" s="34"/>
    </row>
    <row r="30" ht="15.0" customHeight="1">
      <c r="A30" s="29" t="s">
        <v>245</v>
      </c>
      <c r="B30" s="34">
        <v>0.0</v>
      </c>
      <c r="C30" s="34">
        <v>0.0</v>
      </c>
      <c r="D30" s="34">
        <v>0.0</v>
      </c>
      <c r="E30" s="34"/>
    </row>
    <row r="31" ht="15.0" customHeight="1">
      <c r="A31" s="27" t="s">
        <v>246</v>
      </c>
      <c r="B31" s="28"/>
      <c r="C31" s="28"/>
      <c r="D31" s="28"/>
      <c r="E31" s="28"/>
    </row>
    <row r="32" ht="15.0" customHeight="1">
      <c r="A32" s="29" t="s">
        <v>247</v>
      </c>
      <c r="B32" s="32">
        <v>2.17</v>
      </c>
      <c r="C32" s="32">
        <v>1.72</v>
      </c>
      <c r="D32" s="32">
        <v>1.28</v>
      </c>
      <c r="E32" s="31"/>
    </row>
    <row r="33" ht="15.0" customHeight="1">
      <c r="A33" s="27" t="s">
        <v>248</v>
      </c>
      <c r="B33" s="28"/>
      <c r="C33" s="28"/>
      <c r="D33" s="28"/>
      <c r="E33" s="28"/>
    </row>
    <row r="34" ht="15.0" customHeight="1">
      <c r="A34" s="29" t="s">
        <v>249</v>
      </c>
      <c r="B34" s="32">
        <v>89.41</v>
      </c>
      <c r="C34" s="31"/>
      <c r="D34" s="32">
        <v>16.57</v>
      </c>
      <c r="E34" s="31"/>
    </row>
    <row r="35" ht="15.0" customHeight="1">
      <c r="A35" s="27" t="s">
        <v>250</v>
      </c>
      <c r="B35" s="28"/>
      <c r="C35" s="28"/>
      <c r="D35" s="28"/>
      <c r="E35" s="28"/>
    </row>
    <row r="36" ht="15.0" customHeight="1">
      <c r="A36" s="29" t="s">
        <v>251</v>
      </c>
      <c r="B36" s="32">
        <v>2.84</v>
      </c>
      <c r="C36" s="32">
        <v>2.92</v>
      </c>
      <c r="D36" s="32">
        <v>3.44</v>
      </c>
      <c r="E36" s="31"/>
    </row>
    <row r="37" ht="15.0" customHeight="1">
      <c r="A37" s="27" t="s">
        <v>252</v>
      </c>
      <c r="B37" s="28"/>
      <c r="C37" s="28"/>
      <c r="D37" s="28"/>
      <c r="E37" s="28"/>
    </row>
    <row r="38" ht="15.0" customHeight="1">
      <c r="A38" s="29" t="s">
        <v>253</v>
      </c>
      <c r="B38" s="32">
        <v>2.37</v>
      </c>
      <c r="C38" s="31"/>
      <c r="D38" s="31"/>
      <c r="E38" s="31"/>
    </row>
    <row r="39" ht="15.0" customHeight="1">
      <c r="A39" s="27" t="s">
        <v>254</v>
      </c>
      <c r="B39" s="28"/>
      <c r="C39" s="28"/>
      <c r="D39" s="28"/>
      <c r="E39" s="28"/>
    </row>
    <row r="40" ht="15.0" customHeight="1">
      <c r="A40" s="29" t="s">
        <v>255</v>
      </c>
      <c r="B40" s="30">
        <v>271.26</v>
      </c>
      <c r="C40" s="31"/>
      <c r="D40" s="31"/>
      <c r="E40" s="31"/>
    </row>
    <row r="41" ht="15.0" customHeight="1">
      <c r="A41" s="27" t="s">
        <v>256</v>
      </c>
      <c r="B41" s="28"/>
      <c r="C41" s="28"/>
      <c r="D41" s="28"/>
      <c r="E41" s="28"/>
    </row>
    <row r="42" ht="15.0" customHeight="1">
      <c r="A42" s="29" t="s">
        <v>257</v>
      </c>
      <c r="B42" s="30">
        <v>271.26</v>
      </c>
      <c r="C42" s="31"/>
      <c r="D42" s="31"/>
      <c r="E42" s="31"/>
    </row>
    <row r="43" ht="15.0" customHeight="1">
      <c r="A43" s="27" t="s">
        <v>258</v>
      </c>
      <c r="B43" s="28"/>
      <c r="C43" s="28"/>
      <c r="D43" s="28"/>
      <c r="E43" s="28"/>
    </row>
    <row r="44" ht="15.0" customHeight="1">
      <c r="A44" s="29" t="s">
        <v>259</v>
      </c>
      <c r="B44" s="32">
        <v>2.57</v>
      </c>
      <c r="C44" s="31"/>
      <c r="D44" s="31"/>
      <c r="E44" s="31"/>
    </row>
    <row r="45" ht="15.0" customHeight="1">
      <c r="A45" s="27" t="s">
        <v>260</v>
      </c>
      <c r="B45" s="28"/>
      <c r="C45" s="28"/>
      <c r="D45" s="28"/>
      <c r="E45" s="28"/>
    </row>
    <row r="46" ht="15.0" customHeight="1">
      <c r="A46" s="29" t="s">
        <v>261</v>
      </c>
      <c r="B46" s="32">
        <v>4.49</v>
      </c>
      <c r="C46" s="32">
        <v>3.74</v>
      </c>
      <c r="D46" s="32">
        <v>3.95</v>
      </c>
      <c r="E46" s="31"/>
    </row>
    <row r="47" ht="15.0" customHeight="1">
      <c r="A47" s="27" t="s">
        <v>262</v>
      </c>
      <c r="B47" s="28"/>
      <c r="C47" s="28"/>
      <c r="D47" s="28"/>
      <c r="E47" s="28"/>
    </row>
    <row r="48" ht="15.0" customHeight="1">
      <c r="A48" s="29" t="s">
        <v>263</v>
      </c>
      <c r="B48" s="32">
        <v>3.52</v>
      </c>
      <c r="C48" s="31"/>
      <c r="D48" s="31"/>
      <c r="E48" s="31"/>
    </row>
    <row r="49" ht="15.0" customHeight="1">
      <c r="A49" s="27" t="s">
        <v>264</v>
      </c>
      <c r="B49" s="28"/>
      <c r="C49" s="28"/>
      <c r="D49" s="28"/>
      <c r="E49" s="28"/>
    </row>
    <row r="50" ht="15.0" customHeight="1">
      <c r="A50" s="29" t="s">
        <v>265</v>
      </c>
      <c r="B50" s="32">
        <v>20.78</v>
      </c>
      <c r="C50" s="31"/>
      <c r="D50" s="31"/>
      <c r="E50" s="3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