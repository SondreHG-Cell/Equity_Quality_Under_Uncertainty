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YJe2iDwnQSwU6bDWgJqkcTtQ/+/aaA+QviKBObO6id0="/>
    </ext>
  </extLst>
</workbook>
</file>

<file path=xl/sharedStrings.xml><?xml version="1.0" encoding="utf-8"?>
<sst xmlns="http://schemas.openxmlformats.org/spreadsheetml/2006/main" count="890" uniqueCount="490">
  <si>
    <t>Company Fundamentals - Income Statement</t>
  </si>
  <si>
    <t>Company Name</t>
  </si>
  <si>
    <t>Solstad Offshore ASA (SOFF.OL)</t>
  </si>
  <si>
    <t>Country of Exchange</t>
  </si>
  <si>
    <t>Norway</t>
  </si>
  <si>
    <t>Country of Headquarters</t>
  </si>
  <si>
    <t>TRBC Industry Group</t>
  </si>
  <si>
    <t>Oil &amp; Gas Related Equipment and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</si>
  <si>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</si>
  <si>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</si>
  <si>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</si>
  <si>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</si>
  <si>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</si>
  <si>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</si>
  <si>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</si>
  <si>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</si>
  <si>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</si>
  <si>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</si>
  <si>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</si>
  <si>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</si>
  <si>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</si>
  <si>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</si>
  <si>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</si>
  <si>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</si>
  <si>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</si>
  <si>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</si>
  <si>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</si>
  <si>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</si>
  <si>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</si>
  <si>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</si>
  <si>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</si>
  <si>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</si>
  <si>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</si>
  <si>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</si>
  <si>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</si>
  <si>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</si>
  <si>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</si>
  <si>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</si>
  <si>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</si>
  <si>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</si>
  <si>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</si>
  <si>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</si>
  <si>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USD</t>
  </si>
  <si>
    <t>Template Type</t>
  </si>
  <si>
    <t>Industrial - Operating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</si>
  <si>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</si>
  <si>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</si>
  <si>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</si>
  <si>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</si>
  <si>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</si>
  <si>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</si>
  <si>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</si>
  <si>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</si>
  <si>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</si>
  <si>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</si>
  <si>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</si>
  <si>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</si>
  <si>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</si>
  <si>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</si>
  <si>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</si>
  <si>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</si>
  <si>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</si>
  <si>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</si>
  <si>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</si>
  <si>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</si>
  <si>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</si>
  <si>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</si>
  <si>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</si>
  <si>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Operating income</t>
  </si>
  <si>
    <t>Other income</t>
  </si>
  <si>
    <t>Gain/Loss on the Sale of Investments Held for Sale, Maturity and Trading</t>
  </si>
  <si>
    <t>Other operating income</t>
  </si>
  <si>
    <t>Gain on sale assets</t>
  </si>
  <si>
    <t>Balancing Item - Revenue</t>
  </si>
  <si>
    <t>Total Revenue</t>
  </si>
  <si>
    <t>Vessel operating expenses</t>
  </si>
  <si>
    <t>Administrative Expenses</t>
  </si>
  <si>
    <t>Operating lease vessels</t>
  </si>
  <si>
    <t>Employee benefits expense</t>
  </si>
  <si>
    <t>Other operating expenses</t>
  </si>
  <si>
    <t>Gains (losses) on disposals of non-current assets</t>
  </si>
  <si>
    <t>Depreciation</t>
  </si>
  <si>
    <t>Impairment and reversal of impairment</t>
  </si>
  <si>
    <t>Income from investments in joint ventures</t>
  </si>
  <si>
    <t>Income from investments in associates</t>
  </si>
  <si>
    <t>Depreciation capitalised periodic maintenance</t>
  </si>
  <si>
    <t>Other Depreciation</t>
  </si>
  <si>
    <t>Compensation</t>
  </si>
  <si>
    <t>Insurance claims</t>
  </si>
  <si>
    <t>Gain from business combinations</t>
  </si>
  <si>
    <t>Adjustment</t>
  </si>
  <si>
    <t>Balancing Item - Operating (Income)/Expense, net</t>
  </si>
  <si>
    <t>Total operating costs</t>
  </si>
  <si>
    <t>Balancing Item - Income from Operations, net</t>
  </si>
  <si>
    <t>Operating result</t>
  </si>
  <si>
    <t>Result associated companies</t>
  </si>
  <si>
    <t>Termination lease</t>
  </si>
  <si>
    <t>Other financial expenses</t>
  </si>
  <si>
    <t>Interest income</t>
  </si>
  <si>
    <t>Realised currency gain/-loss</t>
  </si>
  <si>
    <t>Unrealised currency gain/-loss</t>
  </si>
  <si>
    <t>Interest charges</t>
  </si>
  <si>
    <t>Interest charges - Balancing value</t>
  </si>
  <si>
    <t>Interest Expense on Financial Lease Liabilities</t>
  </si>
  <si>
    <t>Other finance cost</t>
  </si>
  <si>
    <t>Net currency gain/-loss</t>
  </si>
  <si>
    <t>Foreign Exchange Loss</t>
  </si>
  <si>
    <t>Derivatives</t>
  </si>
  <si>
    <t>Other financial charges</t>
  </si>
  <si>
    <t>Dividend Income</t>
  </si>
  <si>
    <t>Income from investment in associated companies</t>
  </si>
  <si>
    <t>Derivatives - Hedging - Gain/Loss</t>
  </si>
  <si>
    <t>Impairment - Financial Investments</t>
  </si>
  <si>
    <t>Fair Value Adjustments - Debt</t>
  </si>
  <si>
    <t>Net financing - Balancing value</t>
  </si>
  <si>
    <t>Result from associated companies</t>
  </si>
  <si>
    <t>Other Net financing income/expense</t>
  </si>
  <si>
    <t>Fin. Current Asset</t>
  </si>
  <si>
    <t>Other finance income</t>
  </si>
  <si>
    <t>Dividend</t>
  </si>
  <si>
    <t>Sale of Shares</t>
  </si>
  <si>
    <t>Gain on Derivatives - Hedging</t>
  </si>
  <si>
    <t>Other financial income</t>
  </si>
  <si>
    <t>Other financial income - Balancing value</t>
  </si>
  <si>
    <t>Foreign Exchange Gain</t>
  </si>
  <si>
    <t>Loss on Stock</t>
  </si>
  <si>
    <t>Balancing Item - Non Operating Income/(Expense), net</t>
  </si>
  <si>
    <t>Net financing</t>
  </si>
  <si>
    <t>Balancing Item - Pretax Income</t>
  </si>
  <si>
    <t>Result before taxes</t>
  </si>
  <si>
    <t>Taxes on result</t>
  </si>
  <si>
    <t>Change in deferred taxes</t>
  </si>
  <si>
    <t>Tax payable</t>
  </si>
  <si>
    <t>Income Taxes - Other - Foreign</t>
  </si>
  <si>
    <t>Current Tax - Total</t>
  </si>
  <si>
    <t>Income Taxes - Discontinuing Operation</t>
  </si>
  <si>
    <t>Other Provision for Income Taxes</t>
  </si>
  <si>
    <t>Current Tax</t>
  </si>
  <si>
    <t>Exit Tax</t>
  </si>
  <si>
    <t>Foreign</t>
  </si>
  <si>
    <t>Norwegian Ordinary Tax</t>
  </si>
  <si>
    <t>Norwegian Exit Tax</t>
  </si>
  <si>
    <t>Current Tax - Foreign</t>
  </si>
  <si>
    <t>Current Tax - Domestic</t>
  </si>
  <si>
    <t>Balancing Item - Net Income After Tax</t>
  </si>
  <si>
    <t>Income Taxes - Total</t>
  </si>
  <si>
    <t>RESULT</t>
  </si>
  <si>
    <t>Profit (loss) from continuing operations</t>
  </si>
  <si>
    <t>Profit (loss) from discontinued operations</t>
  </si>
  <si>
    <t>Extraordinary Items (after Tax)</t>
  </si>
  <si>
    <t>Non-controlling interests</t>
  </si>
  <si>
    <t>Minority interests</t>
  </si>
  <si>
    <t>Balancing Item - Net Income Including After Tax Adjustment</t>
  </si>
  <si>
    <t>Balancing Item - Net Income available to Controlling Interest</t>
  </si>
  <si>
    <t>Majority share</t>
  </si>
  <si>
    <t>As Rep Net Inc Attrib to Common S/H</t>
  </si>
  <si>
    <t>Balancing Item - Net Income After Extraordinary Items applicable to Common</t>
  </si>
  <si>
    <t>Income Available to Com Incl ExtraOrd</t>
  </si>
  <si>
    <t>Exchange differences on translating foreign operations</t>
  </si>
  <si>
    <t>Available-for-sale financial assets</t>
  </si>
  <si>
    <t>Actuarial gain/-loss</t>
  </si>
  <si>
    <t>Other Comprehensive Income - Net of Tax - Total</t>
  </si>
  <si>
    <t>Equity holders of the parent</t>
  </si>
  <si>
    <t>Comprehensive Income - Attributable to Minority Interest - Total</t>
  </si>
  <si>
    <t>Balancing Item - Total Comprehensive Income</t>
  </si>
  <si>
    <t>Total Comprehencive income</t>
  </si>
  <si>
    <t>As Reported Basic Weighted Avg. Shares</t>
  </si>
  <si>
    <t>Diluted Weighted Average Shares</t>
  </si>
  <si>
    <t>Reported Basic EPS</t>
  </si>
  <si>
    <t>Basic EPS Excluding ExtraOrdinary Items</t>
  </si>
  <si>
    <t>Basic earnings (loss) per share from continuing operations</t>
  </si>
  <si>
    <t>Diluted EPS Excluding ExtraOrd Items</t>
  </si>
  <si>
    <t>Diluted Net Income</t>
  </si>
  <si>
    <t>Diluted Net Income excluding Extra Items applicable to Common - (Company Level)</t>
  </si>
  <si>
    <t>Short-Term Lease Cost</t>
  </si>
  <si>
    <t>Variable Financial Lease Expenses</t>
  </si>
  <si>
    <t>Auditor Fees - Total</t>
  </si>
  <si>
    <t>Tax Fees</t>
  </si>
  <si>
    <t>Audit Fees</t>
  </si>
  <si>
    <t>Other Attestation Services</t>
  </si>
  <si>
    <t>Other Fees</t>
  </si>
  <si>
    <t>Other assurance services</t>
  </si>
  <si>
    <t>Other non-audit services</t>
  </si>
  <si>
    <t>Share in Associated Companies</t>
  </si>
  <si>
    <t>Interest Expense</t>
  </si>
  <si>
    <t>Interest expense</t>
  </si>
  <si>
    <t>Depreciation - Supplemental</t>
  </si>
  <si>
    <t>Depreciation of Financial Lease Right-of-Use Assets - Supplemental</t>
  </si>
  <si>
    <t>Total Depreciation of Fixed Assets</t>
  </si>
  <si>
    <t>Depreciation &amp; Amortization - Total</t>
  </si>
  <si>
    <t>Impairment fixed assets</t>
  </si>
  <si>
    <t>Restructuring Charges &amp; Provisions</t>
  </si>
  <si>
    <t>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</si>
  <si>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</si>
  <si>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</si>
  <si>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</si>
  <si>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</si>
  <si>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</si>
  <si>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</si>
  <si>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earnings (loss) per share from continuing operations</t>
  </si>
  <si>
    <t>Diluted EPS - Net Income excl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</si>
  <si>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</si>
  <si>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</si>
  <si>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Basic earnings (loss) per share from discontinued operations</t>
  </si>
  <si>
    <t>Diluted earnings (loss) per share from discontinued operations</t>
  </si>
  <si>
    <t>Company Fundamentals - Balance Sheet</t>
  </si>
  <si>
    <t>Industrial - Differentiated</t>
  </si>
  <si>
    <t>Balance Sheet - Company Specific (Currency: Norwegian Krone)</t>
  </si>
  <si>
    <t>Accounts receivables</t>
  </si>
  <si>
    <t>Current trade receivables</t>
  </si>
  <si>
    <t>Accounts Receivable, Net</t>
  </si>
  <si>
    <t>Account receivables - Balancing value</t>
  </si>
  <si>
    <t>Other Current Financial Assets</t>
  </si>
  <si>
    <t>Accounts receivables - Balancing value</t>
  </si>
  <si>
    <t>Current financial assets at fair value through profit or loss</t>
  </si>
  <si>
    <t>Inventory</t>
  </si>
  <si>
    <t>Bunkers</t>
  </si>
  <si>
    <t>Lube Oil</t>
  </si>
  <si>
    <t>Proviant</t>
  </si>
  <si>
    <t>Inventories - Other</t>
  </si>
  <si>
    <t>Other Stocks</t>
  </si>
  <si>
    <t>Cash and cash equivalents</t>
  </si>
  <si>
    <t>Other current receivables</t>
  </si>
  <si>
    <t>Receivables from associated and joint ventures companies</t>
  </si>
  <si>
    <t>Prepayments</t>
  </si>
  <si>
    <t>Income Tax - Receivables - Short-Term</t>
  </si>
  <si>
    <t>Other short-term receivables - Balancing value</t>
  </si>
  <si>
    <t>Contract Assets</t>
  </si>
  <si>
    <t>Balancing Item - Current Assets</t>
  </si>
  <si>
    <t>Total current assets</t>
  </si>
  <si>
    <t>Deferred tax asset</t>
  </si>
  <si>
    <t>Contracts</t>
  </si>
  <si>
    <t>Deferred tax assets</t>
  </si>
  <si>
    <t>Tangible fixed assets</t>
  </si>
  <si>
    <t>Right-of-use assets</t>
  </si>
  <si>
    <t>Vessels under construction, Net</t>
  </si>
  <si>
    <t>Tangible fixed assets - Balancing value</t>
  </si>
  <si>
    <t>Other Tangible fixed assets</t>
  </si>
  <si>
    <t>Total Tangible Assets, Net</t>
  </si>
  <si>
    <t>Periodic Maint.</t>
  </si>
  <si>
    <t>Machinery/Equipment</t>
  </si>
  <si>
    <t>Construction</t>
  </si>
  <si>
    <t>Total Tangible Assets, Net - Balancing value</t>
  </si>
  <si>
    <t>Vessels</t>
  </si>
  <si>
    <t>Acc Depr Vessels</t>
  </si>
  <si>
    <t>Ships and construction in progress - Balancing value</t>
  </si>
  <si>
    <t>Vessels and New Build Contracts - Balancing value</t>
  </si>
  <si>
    <t>Capitalised periodic maintenance</t>
  </si>
  <si>
    <t>Other tangible fixed assets</t>
  </si>
  <si>
    <t>Other Tangible Fixed Assets, Gross</t>
  </si>
  <si>
    <t>Acc Depr Other Tangible Fixed Assets</t>
  </si>
  <si>
    <t>Other tangible fixed assets - Balancing value</t>
  </si>
  <si>
    <t>Financial fixed assets</t>
  </si>
  <si>
    <t>Investments in associated companies</t>
  </si>
  <si>
    <t>Pension Asset</t>
  </si>
  <si>
    <t>Other Financial Assets</t>
  </si>
  <si>
    <t>Financial fixed assets - Balancing value</t>
  </si>
  <si>
    <t>Non-current receivables</t>
  </si>
  <si>
    <t>Non-current Loans/Notes Receivables, Net</t>
  </si>
  <si>
    <t>Other long-term receivables</t>
  </si>
  <si>
    <t>Investment in associates and joint ventures</t>
  </si>
  <si>
    <t>Investments in joint ventures accounted for using equity method</t>
  </si>
  <si>
    <t>Loan to related parties</t>
  </si>
  <si>
    <t>Other non-current financial assets</t>
  </si>
  <si>
    <t>Balancing Item - Noncurrent Assets</t>
  </si>
  <si>
    <t>Total non-current assets</t>
  </si>
  <si>
    <t>Non-current assets or disposal groups classified as held for sale</t>
  </si>
  <si>
    <t>Balancing Item - Assets</t>
  </si>
  <si>
    <t>TOTAL ASSETS</t>
  </si>
  <si>
    <t>Bank overdraft</t>
  </si>
  <si>
    <t>Current portion of non-current debt</t>
  </si>
  <si>
    <t>Current portion of long-term debt</t>
  </si>
  <si>
    <t>Other current liabilities</t>
  </si>
  <si>
    <t>Current trade payables</t>
  </si>
  <si>
    <t>Taxes Payable</t>
  </si>
  <si>
    <t>Current leasing liabilities</t>
  </si>
  <si>
    <t>Accrued salaries and related taxes</t>
  </si>
  <si>
    <t>Other current financial liabilities</t>
  </si>
  <si>
    <t>Dividends</t>
  </si>
  <si>
    <t>Balancing Item - Current Liabilities</t>
  </si>
  <si>
    <t>Total current liabilities</t>
  </si>
  <si>
    <t>Other non-current liabilities</t>
  </si>
  <si>
    <t>Non-current portion of non-current borrowings</t>
  </si>
  <si>
    <t>Other long-term debt</t>
  </si>
  <si>
    <t>Reported Total Long Term Debt - Balancing value</t>
  </si>
  <si>
    <t>Total long-term liabilities Current liabilities - Balancing value</t>
  </si>
  <si>
    <t>Non-current provisions</t>
  </si>
  <si>
    <t>Other Long-term Liabilities</t>
  </si>
  <si>
    <t>Long-term provisions - Balancing value</t>
  </si>
  <si>
    <t>Leasing liabilities</t>
  </si>
  <si>
    <t>Deferred Tax</t>
  </si>
  <si>
    <t>Deferred Income</t>
  </si>
  <si>
    <t>Non-current net defined benefit liability</t>
  </si>
  <si>
    <t>Other non-current financial liabilities</t>
  </si>
  <si>
    <t>Balancing Item - Noncurrent Liabilities</t>
  </si>
  <si>
    <t>Total non-current liabilities</t>
  </si>
  <si>
    <t>Balancing Item - Liabilities</t>
  </si>
  <si>
    <t>Liabilities included in disposal groups classified as held for sale</t>
  </si>
  <si>
    <t>Total liabilities</t>
  </si>
  <si>
    <t>Paid-in equity</t>
  </si>
  <si>
    <t>Share Capital</t>
  </si>
  <si>
    <t>Treasury Shares</t>
  </si>
  <si>
    <t>Share premium</t>
  </si>
  <si>
    <t>Other paid-in capital</t>
  </si>
  <si>
    <t>Paid-in equity - Balancing value</t>
  </si>
  <si>
    <t>Other equity</t>
  </si>
  <si>
    <t>Other Earned Equity</t>
  </si>
  <si>
    <t>Translation Differences</t>
  </si>
  <si>
    <t>Value Changes</t>
  </si>
  <si>
    <t>Other equity - Balancing value</t>
  </si>
  <si>
    <t>Balancing Item - Shareholders Equity</t>
  </si>
  <si>
    <t>Total shareholder's equity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</si>
  <si>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</si>
  <si>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</si>
  <si>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</si>
  <si>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</si>
  <si>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</si>
  <si>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Equivalent No of Common Shares O/S</t>
  </si>
  <si>
    <t>Common Shares Treasury - (Company Level)</t>
  </si>
  <si>
    <t>Reported Issued Shares- Common Iss. Pri.</t>
  </si>
  <si>
    <t>STOCKS</t>
  </si>
  <si>
    <t>Restrict Deposit</t>
  </si>
  <si>
    <t>Inv. Joint Vent.</t>
  </si>
  <si>
    <t>Capital Lease Maturities - Total</t>
  </si>
  <si>
    <t>Capital Lease Maturities - Due within 1 Year</t>
  </si>
  <si>
    <t>Leasing Obligations due within 3 years</t>
  </si>
  <si>
    <t>Capital Lease Maturities - Due in Year 5</t>
  </si>
  <si>
    <t>Capital Lease Maturities - Remaining Maturities</t>
  </si>
  <si>
    <t>Capital Lease Maturities - Total - Balancing value</t>
  </si>
  <si>
    <t>Total Long Term Debt, Supplemental</t>
  </si>
  <si>
    <t>Long Term Debt Maturing within 1 Year</t>
  </si>
  <si>
    <t>Mortg Loans due within 3 years</t>
  </si>
  <si>
    <t>Mortg Loans due within 5 years</t>
  </si>
  <si>
    <t>Long Term Debt - Remaining Maturities</t>
  </si>
  <si>
    <t>Total Long Term Debt, Supplemental - Balancing value</t>
  </si>
  <si>
    <t>Buildings-NBV</t>
  </si>
  <si>
    <t>Financial assets - non-current</t>
  </si>
  <si>
    <t>Transport-NBV</t>
  </si>
  <si>
    <t>Transport - acc depn</t>
  </si>
  <si>
    <t>Plant/machinery-NBV</t>
  </si>
  <si>
    <t>Plant/mach - acc depn</t>
  </si>
  <si>
    <t>Reported Total Capital Leases, Sup</t>
  </si>
  <si>
    <t>Leasing Obligations due after 5 years</t>
  </si>
  <si>
    <t>Leasing Obligations due within 2-5 years</t>
  </si>
  <si>
    <t>Leasing Obligations due within 1 year</t>
  </si>
  <si>
    <t>Mortg. Loans due within 1 year</t>
  </si>
  <si>
    <t>Constr w-i-p NBV c/f</t>
  </si>
  <si>
    <t>Total Tangible Assets, Gross</t>
  </si>
  <si>
    <t>Constr w-i-p written off</t>
  </si>
  <si>
    <t>Reported Total LT Debt, Supplemental</t>
  </si>
  <si>
    <t>Mortg. Loans due within 4 years</t>
  </si>
  <si>
    <t>Mortg. Loans due within 2 years</t>
  </si>
  <si>
    <t>Remaining</t>
  </si>
  <si>
    <t>S/O-Ordinary Shares</t>
  </si>
  <si>
    <t>T/S-Ordinary Shares</t>
  </si>
  <si>
    <t>Common Shares Issued - (Instrument Level)</t>
  </si>
  <si>
    <t>Asset Allocation Factor - (Instrument Level)</t>
  </si>
  <si>
    <t>Common Shares B - Issued - Issue Specific</t>
  </si>
  <si>
    <t>Asset Allocation Factor - Issue Specific</t>
  </si>
  <si>
    <t>Common Shares B - Outstanding - Issue Specific</t>
  </si>
  <si>
    <t>Company Fundamentals - Cash Flow</t>
  </si>
  <si>
    <t>Industrial - Indirect</t>
  </si>
  <si>
    <t>Cash Flow - Company Specific (Currency: Norwegian Krone)</t>
  </si>
  <si>
    <t>Result before tax</t>
  </si>
  <si>
    <t>Result before tax from discontinued operations</t>
  </si>
  <si>
    <t>Taxes payable</t>
  </si>
  <si>
    <t>Adjustments for depreciation and amortisation expense and impairment loss (reversal of impairment loss) recognised in profit or loss</t>
  </si>
  <si>
    <t>Gain (-)/ loss long-term assets</t>
  </si>
  <si>
    <t>Interest Income</t>
  </si>
  <si>
    <t>Terminated leases</t>
  </si>
  <si>
    <t>Adjustments for non-cash refinance effects</t>
  </si>
  <si>
    <t>Adjustments for increase (decrease) in employee benefit liabilities</t>
  </si>
  <si>
    <t>Change in value of financial instruments</t>
  </si>
  <si>
    <t>Unrelaised currency gain/-loss</t>
  </si>
  <si>
    <t>Change in current receivables and payables</t>
  </si>
  <si>
    <t>Change in other accruals</t>
  </si>
  <si>
    <t>Taxes Paid</t>
  </si>
  <si>
    <t>Received interests</t>
  </si>
  <si>
    <t>Hedging Effects</t>
  </si>
  <si>
    <t>Paid interests</t>
  </si>
  <si>
    <t>Other Accruals</t>
  </si>
  <si>
    <t>Balancing Item - Operating (Indirect)</t>
  </si>
  <si>
    <t>Net cash flow from operations</t>
  </si>
  <si>
    <t>Investment in tangible fixed assets</t>
  </si>
  <si>
    <t>Payment of periodic maintenance</t>
  </si>
  <si>
    <t>Proceeds sale of fixed assets (vessels)</t>
  </si>
  <si>
    <t>Payment of non-current receivables</t>
  </si>
  <si>
    <t>Addition of cash related to merger</t>
  </si>
  <si>
    <t>Purchase of interests in investments accounted for using equity method</t>
  </si>
  <si>
    <t>Removal of Cash from Deconsolidation</t>
  </si>
  <si>
    <t>Received dividends</t>
  </si>
  <si>
    <t>Investments in other shares and holdings (positive)</t>
  </si>
  <si>
    <t>Realization of shares and holdings</t>
  </si>
  <si>
    <t>Balancing Item - Investing</t>
  </si>
  <si>
    <t>Net cash flow from investments</t>
  </si>
  <si>
    <t>Proceeds from issuing shares</t>
  </si>
  <si>
    <t>Lease interests paid</t>
  </si>
  <si>
    <t>Paid leases</t>
  </si>
  <si>
    <t>Payment to/ from minority interests</t>
  </si>
  <si>
    <t>Drawdown long-term debt</t>
  </si>
  <si>
    <t>Repayment of non-current debt</t>
  </si>
  <si>
    <t>Proceeds of non-current debt</t>
  </si>
  <si>
    <t>Convertible loan</t>
  </si>
  <si>
    <t>Repay Deposits</t>
  </si>
  <si>
    <t>Pay Rcvbls.&gt;1 year</t>
  </si>
  <si>
    <t>Paid-in LT Receivables</t>
  </si>
  <si>
    <t>Share Issues</t>
  </si>
  <si>
    <t>Invest Treas. Shares</t>
  </si>
  <si>
    <t>Purchase / sale treasury shares</t>
  </si>
  <si>
    <t>Drawdon and repayment (-) bank overdraft</t>
  </si>
  <si>
    <t>Purchase treasury shares</t>
  </si>
  <si>
    <t>Balancing Item - Financing</t>
  </si>
  <si>
    <t>Net cash flow from financing</t>
  </si>
  <si>
    <t>Cash and cash equivalents at begginig of the period</t>
  </si>
  <si>
    <t>Cash at balance sheet date</t>
  </si>
  <si>
    <t>Net change in cash</t>
  </si>
  <si>
    <t>Effect of changes in foreign exchange rates</t>
  </si>
  <si>
    <t>Balancing Item - Change in Cash</t>
  </si>
  <si>
    <t>Net change in cash and cash equivalents</t>
  </si>
  <si>
    <t>Cash Taxes Paid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</si>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</sst>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5" numFmtId="166" xfId="0" applyAlignment="1" applyBorder="1" applyFont="1" applyNumberFormat="1">
      <alignment horizontal="right" shrinkToFit="0" vertical="center" wrapText="1"/>
    </xf>
    <xf borderId="3" fillId="0" fontId="5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46091.5206333912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43738.0</v>
      </c>
      <c r="I13" s="9">
        <v>43100.0</v>
      </c>
      <c r="J13" s="9">
        <v>43100.0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41274.0</v>
      </c>
      <c r="P13" s="9">
        <v>40633.0</v>
      </c>
      <c r="Q13" s="9">
        <v>40543.0</v>
      </c>
      <c r="R13" s="9">
        <v>40178.0</v>
      </c>
      <c r="S13" s="9">
        <v>39813.0</v>
      </c>
      <c r="T13" s="9">
        <v>39082.0</v>
      </c>
      <c r="U13" s="9">
        <v>38898.0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7">
      <c r="A17" s="11" t="s">
        <v>45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68</v>
      </c>
      <c r="B19" s="14">
        <v>2480.09</v>
      </c>
      <c r="C19" s="14">
        <v>6730.33</v>
      </c>
      <c r="D19" s="14">
        <v>4582.97</v>
      </c>
      <c r="E19" s="14">
        <v>5128.17</v>
      </c>
      <c r="F19" s="14">
        <v>4844.03</v>
      </c>
      <c r="G19" s="14">
        <v>5016.39</v>
      </c>
      <c r="H19" s="14">
        <v>4910.1</v>
      </c>
      <c r="I19" s="14">
        <v>3626.08</v>
      </c>
      <c r="J19" s="14">
        <v>2467.57</v>
      </c>
      <c r="K19" s="14">
        <v>3546.42</v>
      </c>
      <c r="L19" s="14">
        <v>3737.35</v>
      </c>
      <c r="M19" s="14">
        <v>3495.07</v>
      </c>
      <c r="N19" s="14">
        <v>3287.92</v>
      </c>
      <c r="O19" s="14">
        <v>2975.1</v>
      </c>
      <c r="P19" s="14">
        <v>2616.87</v>
      </c>
      <c r="Q19" s="14">
        <v>2518.53</v>
      </c>
      <c r="R19" s="14">
        <v>2134.86</v>
      </c>
      <c r="S19" s="14">
        <v>2107.54</v>
      </c>
      <c r="T19" s="14">
        <v>1786.96</v>
      </c>
      <c r="U19" s="14">
        <v>1304.9</v>
      </c>
      <c r="V19" s="14">
        <v>822.07</v>
      </c>
    </row>
    <row r="20" ht="15.0" customHeight="1">
      <c r="A20" s="13" t="s">
        <v>69</v>
      </c>
      <c r="B20" s="14">
        <v>310.63</v>
      </c>
      <c r="C20" s="14">
        <v>248.64</v>
      </c>
      <c r="D20" s="14">
        <v>195.31</v>
      </c>
      <c r="E20" s="14">
        <v>289.33</v>
      </c>
      <c r="F20" s="14">
        <v>181.6</v>
      </c>
      <c r="G20" s="14">
        <v>228.5</v>
      </c>
      <c r="H20" s="15"/>
      <c r="I20" s="14">
        <v>150.67</v>
      </c>
      <c r="J20" s="14">
        <v>112.57</v>
      </c>
      <c r="K20" s="14">
        <v>109.54</v>
      </c>
      <c r="L20" s="14">
        <v>142.82</v>
      </c>
      <c r="M20" s="14">
        <v>131.07</v>
      </c>
      <c r="N20" s="16">
        <v>74.28</v>
      </c>
      <c r="O20" s="16">
        <v>4.99</v>
      </c>
      <c r="P20" s="15">
        <v>0.0</v>
      </c>
      <c r="Q20" s="16">
        <v>10.85</v>
      </c>
      <c r="R20" s="16">
        <v>74.02</v>
      </c>
      <c r="S20" s="15"/>
      <c r="T20" s="15"/>
      <c r="U20" s="15"/>
      <c r="V20" s="15"/>
    </row>
    <row r="21" ht="15.0" customHeight="1">
      <c r="A21" s="13" t="s">
        <v>70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6">
        <v>46.59</v>
      </c>
      <c r="M21" s="16">
        <v>26.27</v>
      </c>
      <c r="N21" s="15"/>
      <c r="O21" s="15"/>
      <c r="P21" s="15"/>
      <c r="Q21" s="15"/>
      <c r="R21" s="15"/>
      <c r="S21" s="15"/>
      <c r="T21" s="15"/>
      <c r="U21" s="15"/>
      <c r="V21" s="15"/>
    </row>
    <row r="22" ht="15.0" customHeight="1">
      <c r="A22" s="13" t="s">
        <v>71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6">
        <v>96.23</v>
      </c>
      <c r="M22" s="14">
        <v>104.79</v>
      </c>
      <c r="N22" s="15"/>
      <c r="O22" s="15"/>
      <c r="P22" s="15"/>
      <c r="Q22" s="15"/>
      <c r="R22" s="15"/>
      <c r="S22" s="15"/>
      <c r="T22" s="15"/>
      <c r="U22" s="15"/>
      <c r="V22" s="15"/>
    </row>
    <row r="23" ht="15.0" customHeight="1">
      <c r="A23" s="13" t="s">
        <v>72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4">
        <v>111.51</v>
      </c>
      <c r="T23" s="16">
        <v>96.08</v>
      </c>
      <c r="U23" s="14">
        <v>117.17</v>
      </c>
      <c r="V23" s="16">
        <v>37.92</v>
      </c>
    </row>
    <row r="24" ht="15.0" customHeight="1">
      <c r="A24" s="13" t="s">
        <v>73</v>
      </c>
      <c r="B24" s="15"/>
      <c r="C24" s="15"/>
      <c r="D24" s="15"/>
      <c r="E24" s="15"/>
      <c r="F24" s="15"/>
      <c r="G24" s="17">
        <v>0.0</v>
      </c>
      <c r="H24" s="15"/>
      <c r="I24" s="15"/>
      <c r="J24" s="15"/>
      <c r="K24" s="17">
        <v>0.0</v>
      </c>
      <c r="L24" s="15"/>
      <c r="M24" s="15"/>
      <c r="N24" s="15"/>
      <c r="O24" s="17">
        <v>0.0</v>
      </c>
      <c r="P24" s="15"/>
      <c r="Q24" s="15"/>
      <c r="R24" s="15"/>
      <c r="S24" s="15"/>
      <c r="T24" s="15"/>
      <c r="U24" s="15"/>
      <c r="V24" s="15"/>
    </row>
    <row r="25" ht="15.0" customHeight="1">
      <c r="A25" s="18" t="s">
        <v>74</v>
      </c>
      <c r="B25" s="19">
        <v>2790.72</v>
      </c>
      <c r="C25" s="19">
        <v>6978.98</v>
      </c>
      <c r="D25" s="19">
        <v>4778.28</v>
      </c>
      <c r="E25" s="19">
        <v>5417.5</v>
      </c>
      <c r="F25" s="19">
        <v>5025.63</v>
      </c>
      <c r="G25" s="19">
        <v>5244.88</v>
      </c>
      <c r="H25" s="19">
        <v>4910.1</v>
      </c>
      <c r="I25" s="19">
        <v>3776.74</v>
      </c>
      <c r="J25" s="19">
        <v>2580.14</v>
      </c>
      <c r="K25" s="19">
        <v>3655.96</v>
      </c>
      <c r="L25" s="19">
        <v>3880.17</v>
      </c>
      <c r="M25" s="19">
        <v>3626.14</v>
      </c>
      <c r="N25" s="19">
        <v>3362.2</v>
      </c>
      <c r="O25" s="19">
        <v>2980.09</v>
      </c>
      <c r="P25" s="19">
        <v>2616.87</v>
      </c>
      <c r="Q25" s="19">
        <v>2529.38</v>
      </c>
      <c r="R25" s="19">
        <v>2208.88</v>
      </c>
      <c r="S25" s="19">
        <v>2219.05</v>
      </c>
      <c r="T25" s="19">
        <v>1883.04</v>
      </c>
      <c r="U25" s="19">
        <v>1422.07</v>
      </c>
      <c r="V25" s="19">
        <v>859.99</v>
      </c>
    </row>
    <row r="26" ht="15.0" customHeight="1">
      <c r="A26" s="13" t="s">
        <v>75</v>
      </c>
      <c r="B26" s="15"/>
      <c r="C26" s="15"/>
      <c r="D26" s="15"/>
      <c r="E26" s="15"/>
      <c r="F26" s="15"/>
      <c r="G26" s="15"/>
      <c r="H26" s="14">
        <v>3852.08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ht="15.0" customHeight="1">
      <c r="A27" s="13" t="s">
        <v>76</v>
      </c>
      <c r="B27" s="14">
        <v>156.24</v>
      </c>
      <c r="C27" s="14">
        <v>762.33</v>
      </c>
      <c r="D27" s="14">
        <v>273.08</v>
      </c>
      <c r="E27" s="14">
        <v>449.51</v>
      </c>
      <c r="F27" s="14">
        <v>476.83</v>
      </c>
      <c r="G27" s="14">
        <v>417.96</v>
      </c>
      <c r="H27" s="14">
        <v>481.79</v>
      </c>
      <c r="I27" s="14">
        <v>421.48</v>
      </c>
      <c r="J27" s="14">
        <v>223.03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ht="15.0" customHeight="1">
      <c r="A28" s="13" t="s">
        <v>77</v>
      </c>
      <c r="B28" s="15"/>
      <c r="C28" s="15"/>
      <c r="D28" s="15"/>
      <c r="E28" s="15"/>
      <c r="F28" s="15"/>
      <c r="G28" s="15">
        <v>0.0</v>
      </c>
      <c r="H28" s="14">
        <v>154.01</v>
      </c>
      <c r="I28" s="16">
        <v>84.51</v>
      </c>
      <c r="J28" s="15">
        <v>0.0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ht="15.0" customHeight="1">
      <c r="A29" s="13" t="s">
        <v>78</v>
      </c>
      <c r="B29" s="14">
        <v>716.91</v>
      </c>
      <c r="C29" s="14">
        <v>1592.92</v>
      </c>
      <c r="D29" s="14">
        <v>1447.97</v>
      </c>
      <c r="E29" s="14">
        <v>2044.48</v>
      </c>
      <c r="F29" s="14">
        <v>2025.25</v>
      </c>
      <c r="G29" s="14">
        <v>2096.17</v>
      </c>
      <c r="H29" s="15"/>
      <c r="I29" s="14">
        <v>1561.73</v>
      </c>
      <c r="J29" s="14">
        <v>838.7</v>
      </c>
      <c r="K29" s="14">
        <v>1395.56</v>
      </c>
      <c r="L29" s="14">
        <v>1394.11</v>
      </c>
      <c r="M29" s="14">
        <v>1396.61</v>
      </c>
      <c r="N29" s="14">
        <v>1225.12</v>
      </c>
      <c r="O29" s="14">
        <v>1159.66</v>
      </c>
      <c r="P29" s="14">
        <v>960.8</v>
      </c>
      <c r="Q29" s="14">
        <v>804.25</v>
      </c>
      <c r="R29" s="14">
        <v>608.29</v>
      </c>
      <c r="S29" s="14">
        <v>490.73</v>
      </c>
      <c r="T29" s="14">
        <v>438.01</v>
      </c>
      <c r="U29" s="14">
        <v>372.88</v>
      </c>
      <c r="V29" s="14">
        <v>280.13</v>
      </c>
    </row>
    <row r="30" ht="15.0" customHeight="1">
      <c r="A30" s="13" t="s">
        <v>79</v>
      </c>
      <c r="B30" s="14">
        <v>568.65</v>
      </c>
      <c r="C30" s="14">
        <v>1817.18</v>
      </c>
      <c r="D30" s="14">
        <v>1437.86</v>
      </c>
      <c r="E30" s="14">
        <v>1521.99</v>
      </c>
      <c r="F30" s="14">
        <v>1491.67</v>
      </c>
      <c r="G30" s="14">
        <v>1456.92</v>
      </c>
      <c r="H30" s="15"/>
      <c r="I30" s="14">
        <v>1055.39</v>
      </c>
      <c r="J30" s="14">
        <v>643.84</v>
      </c>
      <c r="K30" s="14">
        <v>899.68</v>
      </c>
      <c r="L30" s="14">
        <v>852.49</v>
      </c>
      <c r="M30" s="14">
        <v>743.22</v>
      </c>
      <c r="N30" s="14">
        <v>723.93</v>
      </c>
      <c r="O30" s="14">
        <v>750.25</v>
      </c>
      <c r="P30" s="14">
        <v>677.73</v>
      </c>
      <c r="Q30" s="14">
        <v>565.56</v>
      </c>
      <c r="R30" s="14">
        <v>349.29</v>
      </c>
      <c r="S30" s="14">
        <v>341.85</v>
      </c>
      <c r="T30" s="14">
        <v>420.24</v>
      </c>
      <c r="U30" s="14">
        <v>224.73</v>
      </c>
      <c r="V30" s="14">
        <v>179.32</v>
      </c>
    </row>
    <row r="31" ht="15.0" customHeight="1">
      <c r="A31" s="13" t="s">
        <v>80</v>
      </c>
      <c r="B31" s="20">
        <v>-31.13</v>
      </c>
      <c r="C31" s="21">
        <v>-517.57</v>
      </c>
      <c r="D31" s="16">
        <v>8.64</v>
      </c>
      <c r="E31" s="16">
        <v>99.73</v>
      </c>
      <c r="F31" s="16">
        <v>28.9</v>
      </c>
      <c r="G31" s="20">
        <v>-12.78</v>
      </c>
      <c r="H31" s="16">
        <v>63.2</v>
      </c>
      <c r="I31" s="16">
        <v>0.24</v>
      </c>
      <c r="J31" s="20">
        <v>-1.2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ht="15.0" customHeight="1">
      <c r="A32" s="13" t="s">
        <v>81</v>
      </c>
      <c r="B32" s="14">
        <v>818.04</v>
      </c>
      <c r="C32" s="14">
        <v>918.1</v>
      </c>
      <c r="D32" s="14">
        <v>802.03</v>
      </c>
      <c r="E32" s="14">
        <v>993.05</v>
      </c>
      <c r="F32" s="14">
        <v>1076.11</v>
      </c>
      <c r="G32" s="14">
        <v>1185.6</v>
      </c>
      <c r="H32" s="14">
        <v>1436.08</v>
      </c>
      <c r="I32" s="14">
        <v>776.49</v>
      </c>
      <c r="J32" s="14">
        <v>367.86</v>
      </c>
      <c r="K32" s="15"/>
      <c r="L32" s="14">
        <v>275.03</v>
      </c>
      <c r="M32" s="14">
        <v>274.65</v>
      </c>
      <c r="N32" s="14">
        <v>417.43</v>
      </c>
      <c r="O32" s="14">
        <v>730.47</v>
      </c>
      <c r="P32" s="14">
        <v>638.59</v>
      </c>
      <c r="Q32" s="14">
        <v>583.52</v>
      </c>
      <c r="R32" s="14">
        <v>416.64</v>
      </c>
      <c r="S32" s="14">
        <v>339.84</v>
      </c>
      <c r="T32" s="14">
        <v>262.46</v>
      </c>
      <c r="U32" s="14">
        <v>328.3</v>
      </c>
      <c r="V32" s="14">
        <v>273.61</v>
      </c>
    </row>
    <row r="33" ht="15.0" customHeight="1">
      <c r="A33" s="13" t="s">
        <v>82</v>
      </c>
      <c r="B33" s="21">
        <v>-528.56</v>
      </c>
      <c r="C33" s="14">
        <v>296.98</v>
      </c>
      <c r="D33" s="21">
        <v>-584.18</v>
      </c>
      <c r="E33" s="16">
        <v>45.05</v>
      </c>
      <c r="F33" s="14">
        <v>1895.04</v>
      </c>
      <c r="G33" s="14">
        <v>1031.9</v>
      </c>
      <c r="H33" s="14">
        <v>2896.0</v>
      </c>
      <c r="I33" s="14">
        <v>394.72</v>
      </c>
      <c r="J33" s="14">
        <v>1199.37</v>
      </c>
      <c r="K33" s="14">
        <v>1346.48</v>
      </c>
      <c r="L33" s="15"/>
      <c r="M33" s="15"/>
      <c r="N33" s="15"/>
      <c r="O33" s="15"/>
      <c r="P33" s="15">
        <v>0.0</v>
      </c>
      <c r="Q33" s="15"/>
      <c r="R33" s="15"/>
      <c r="S33" s="15"/>
      <c r="T33" s="15"/>
      <c r="U33" s="15"/>
      <c r="V33" s="15"/>
    </row>
    <row r="34" ht="15.0" customHeight="1">
      <c r="A34" s="13" t="s">
        <v>83</v>
      </c>
      <c r="B34" s="20">
        <v>-90.48</v>
      </c>
      <c r="C34" s="20">
        <v>-19.93</v>
      </c>
      <c r="D34" s="20">
        <v>-20.42</v>
      </c>
      <c r="E34" s="20">
        <v>-0.25</v>
      </c>
      <c r="F34" s="20">
        <v>-23.97</v>
      </c>
      <c r="G34" s="16">
        <v>44.79</v>
      </c>
      <c r="H34" s="16">
        <v>13.91</v>
      </c>
      <c r="I34" s="14">
        <v>111.22</v>
      </c>
      <c r="J34" s="20">
        <v>-64.08</v>
      </c>
      <c r="K34" s="20">
        <v>-65.88</v>
      </c>
      <c r="L34" s="20">
        <v>-63.78</v>
      </c>
      <c r="M34" s="20">
        <v>-57.21</v>
      </c>
      <c r="N34" s="20">
        <v>-19.93</v>
      </c>
      <c r="O34" s="20">
        <v>-11.66</v>
      </c>
      <c r="P34" s="15"/>
      <c r="Q34" s="15"/>
      <c r="R34" s="15"/>
      <c r="S34" s="15"/>
      <c r="T34" s="15"/>
      <c r="U34" s="15"/>
      <c r="V34" s="15"/>
    </row>
    <row r="35" ht="15.0" customHeight="1">
      <c r="A35" s="13" t="s">
        <v>84</v>
      </c>
      <c r="B35" s="15"/>
      <c r="C35" s="15"/>
      <c r="D35" s="15"/>
      <c r="E35" s="20">
        <v>-0.11</v>
      </c>
      <c r="F35" s="20">
        <v>-41.42</v>
      </c>
      <c r="G35" s="15"/>
      <c r="H35" s="20">
        <v>-35.18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ht="15.0" customHeight="1">
      <c r="A36" s="13" t="s">
        <v>85</v>
      </c>
      <c r="B36" s="16">
        <v>44.99</v>
      </c>
      <c r="C36" s="14">
        <v>185.17</v>
      </c>
      <c r="D36" s="14">
        <v>194.6</v>
      </c>
      <c r="E36" s="14">
        <v>271.1</v>
      </c>
      <c r="F36" s="14">
        <v>282.23</v>
      </c>
      <c r="G36" s="14">
        <v>260.92</v>
      </c>
      <c r="H36" s="15"/>
      <c r="I36" s="14">
        <v>216.61</v>
      </c>
      <c r="J36" s="14">
        <v>108.79</v>
      </c>
      <c r="K36" s="14">
        <v>183.16</v>
      </c>
      <c r="L36" s="14">
        <v>186.8</v>
      </c>
      <c r="M36" s="14">
        <v>156.72</v>
      </c>
      <c r="N36" s="14">
        <v>167.38</v>
      </c>
      <c r="O36" s="14">
        <v>188.06</v>
      </c>
      <c r="P36" s="15"/>
      <c r="Q36" s="14">
        <v>145.43</v>
      </c>
      <c r="R36" s="14">
        <v>104.21</v>
      </c>
      <c r="S36" s="16">
        <v>97.44</v>
      </c>
      <c r="T36" s="15"/>
      <c r="U36" s="15"/>
      <c r="V36" s="15"/>
    </row>
    <row r="37" ht="15.0" customHeight="1">
      <c r="A37" s="13" t="s">
        <v>86</v>
      </c>
      <c r="B37" s="15"/>
      <c r="C37" s="15"/>
      <c r="D37" s="15"/>
      <c r="E37" s="15"/>
      <c r="F37" s="15"/>
      <c r="G37" s="15"/>
      <c r="H37" s="15"/>
      <c r="I37" s="15"/>
      <c r="J37" s="15"/>
      <c r="K37" s="14">
        <v>299.91</v>
      </c>
      <c r="L37" s="15"/>
      <c r="M37" s="15"/>
      <c r="N37" s="15"/>
      <c r="O37" s="15"/>
      <c r="P37" s="15"/>
      <c r="Q37" s="15"/>
      <c r="R37" s="15"/>
      <c r="S37" s="15"/>
      <c r="T37" s="16">
        <v>73.98</v>
      </c>
      <c r="U37" s="15"/>
      <c r="V37" s="15"/>
    </row>
    <row r="38" ht="15.0" customHeight="1">
      <c r="A38" s="13" t="s">
        <v>87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20">
        <v>-25.06</v>
      </c>
      <c r="O38" s="15"/>
      <c r="P38" s="15"/>
      <c r="Q38" s="15"/>
      <c r="R38" s="15"/>
      <c r="S38" s="15"/>
      <c r="T38" s="15"/>
      <c r="U38" s="15"/>
      <c r="V38" s="15"/>
    </row>
    <row r="39" ht="15.0" customHeight="1">
      <c r="A39" s="13" t="s">
        <v>88</v>
      </c>
      <c r="B39" s="15"/>
      <c r="C39" s="15"/>
      <c r="D39" s="15"/>
      <c r="E39" s="15"/>
      <c r="F39" s="15"/>
      <c r="G39" s="15"/>
      <c r="H39" s="15"/>
      <c r="I39" s="15"/>
      <c r="J39" s="15"/>
      <c r="K39" s="20">
        <v>-67.81</v>
      </c>
      <c r="L39" s="20">
        <v>-16.03</v>
      </c>
      <c r="M39" s="20">
        <v>-10.77</v>
      </c>
      <c r="N39" s="15"/>
      <c r="O39" s="15"/>
      <c r="P39" s="15"/>
      <c r="Q39" s="20">
        <v>-32.57</v>
      </c>
      <c r="R39" s="20">
        <v>-26.0</v>
      </c>
      <c r="S39" s="15"/>
      <c r="T39" s="15"/>
      <c r="U39" s="15"/>
      <c r="V39" s="15"/>
    </row>
    <row r="40" ht="15.0" customHeight="1">
      <c r="A40" s="13" t="s">
        <v>89</v>
      </c>
      <c r="B40" s="15"/>
      <c r="C40" s="15"/>
      <c r="D40" s="15"/>
      <c r="E40" s="15"/>
      <c r="F40" s="15"/>
      <c r="G40" s="15"/>
      <c r="H40" s="15"/>
      <c r="I40" s="21">
        <v>-1540.0</v>
      </c>
      <c r="J40" s="15">
        <v>0.0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5.0" customHeight="1">
      <c r="A41" s="13" t="s">
        <v>90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>
        <v>0.0</v>
      </c>
      <c r="R41" s="15"/>
      <c r="S41" s="15"/>
      <c r="T41" s="15"/>
      <c r="U41" s="15"/>
      <c r="V41" s="15"/>
    </row>
    <row r="42" ht="15.0" customHeight="1">
      <c r="A42" s="13" t="s">
        <v>91</v>
      </c>
      <c r="B42" s="15"/>
      <c r="C42" s="15"/>
      <c r="D42" s="15"/>
      <c r="E42" s="15"/>
      <c r="F42" s="15"/>
      <c r="G42" s="15"/>
      <c r="H42" s="15"/>
      <c r="I42" s="15"/>
      <c r="J42" s="15"/>
      <c r="K42" s="17">
        <v>0.0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ht="15.0" customHeight="1">
      <c r="A43" s="18" t="s">
        <v>92</v>
      </c>
      <c r="B43" s="19">
        <v>1654.65</v>
      </c>
      <c r="C43" s="19">
        <v>5035.19</v>
      </c>
      <c r="D43" s="19">
        <v>3559.57</v>
      </c>
      <c r="E43" s="19">
        <v>5424.55</v>
      </c>
      <c r="F43" s="19">
        <v>7210.63</v>
      </c>
      <c r="G43" s="19">
        <v>6481.46</v>
      </c>
      <c r="H43" s="19">
        <v>8861.88</v>
      </c>
      <c r="I43" s="19">
        <v>3082.39</v>
      </c>
      <c r="J43" s="19">
        <v>3316.3</v>
      </c>
      <c r="K43" s="19">
        <v>3991.09</v>
      </c>
      <c r="L43" s="19">
        <v>2628.62</v>
      </c>
      <c r="M43" s="19">
        <v>2503.22</v>
      </c>
      <c r="N43" s="19">
        <v>2488.88</v>
      </c>
      <c r="O43" s="19">
        <v>2816.78</v>
      </c>
      <c r="P43" s="19">
        <v>2274.61</v>
      </c>
      <c r="Q43" s="19">
        <v>2063.78</v>
      </c>
      <c r="R43" s="19">
        <v>1411.63</v>
      </c>
      <c r="S43" s="19">
        <v>1258.59</v>
      </c>
      <c r="T43" s="19">
        <v>1179.03</v>
      </c>
      <c r="U43" s="19">
        <v>925.91</v>
      </c>
      <c r="V43" s="19">
        <v>708.42</v>
      </c>
    </row>
    <row r="44" ht="15.0" customHeight="1">
      <c r="A44" s="13" t="s">
        <v>93</v>
      </c>
      <c r="B44" s="15"/>
      <c r="C44" s="15"/>
      <c r="D44" s="15"/>
      <c r="E44" s="15"/>
      <c r="F44" s="15"/>
      <c r="G44" s="17">
        <v>0.0</v>
      </c>
      <c r="H44" s="15"/>
      <c r="I44" s="17">
        <v>0.0</v>
      </c>
      <c r="J44" s="17">
        <v>0.0</v>
      </c>
      <c r="K44" s="15"/>
      <c r="L44" s="15">
        <v>0.0</v>
      </c>
      <c r="M44" s="17">
        <v>0.0</v>
      </c>
      <c r="N44" s="15"/>
      <c r="O44" s="15"/>
      <c r="P44" s="15"/>
      <c r="Q44" s="15">
        <v>0.0</v>
      </c>
      <c r="R44" s="15">
        <v>0.0</v>
      </c>
      <c r="S44" s="15"/>
      <c r="T44" s="15">
        <v>0.0</v>
      </c>
      <c r="U44" s="15"/>
      <c r="V44" s="17">
        <v>0.0</v>
      </c>
    </row>
    <row r="45" ht="15.0" customHeight="1">
      <c r="A45" s="18" t="s">
        <v>94</v>
      </c>
      <c r="B45" s="19">
        <v>1136.07</v>
      </c>
      <c r="C45" s="19">
        <v>1943.79</v>
      </c>
      <c r="D45" s="19">
        <v>1218.71</v>
      </c>
      <c r="E45" s="22">
        <v>-7.05</v>
      </c>
      <c r="F45" s="23">
        <v>-2185.0</v>
      </c>
      <c r="G45" s="23">
        <v>-1236.58</v>
      </c>
      <c r="H45" s="23">
        <v>-3951.79</v>
      </c>
      <c r="I45" s="19">
        <v>694.36</v>
      </c>
      <c r="J45" s="23">
        <v>-736.16</v>
      </c>
      <c r="K45" s="23">
        <v>-335.13</v>
      </c>
      <c r="L45" s="19">
        <v>1251.55</v>
      </c>
      <c r="M45" s="19">
        <v>1122.92</v>
      </c>
      <c r="N45" s="19">
        <v>873.32</v>
      </c>
      <c r="O45" s="19">
        <v>163.31</v>
      </c>
      <c r="P45" s="19">
        <v>342.26</v>
      </c>
      <c r="Q45" s="19">
        <v>465.61</v>
      </c>
      <c r="R45" s="19">
        <v>797.25</v>
      </c>
      <c r="S45" s="19">
        <v>960.46</v>
      </c>
      <c r="T45" s="19">
        <v>704.01</v>
      </c>
      <c r="U45" s="19">
        <v>496.16</v>
      </c>
      <c r="V45" s="19">
        <v>151.57</v>
      </c>
    </row>
    <row r="46" ht="15.0" customHeight="1">
      <c r="A46" s="13" t="s">
        <v>95</v>
      </c>
      <c r="B46" s="14">
        <v>600.23</v>
      </c>
      <c r="C46" s="20">
        <v>-4.82</v>
      </c>
      <c r="D46" s="16">
        <v>0.72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20">
        <v>-2.51</v>
      </c>
      <c r="Q46" s="20">
        <v>-2.41</v>
      </c>
      <c r="R46" s="20">
        <v>-40.8</v>
      </c>
      <c r="S46" s="20">
        <v>-11.28</v>
      </c>
      <c r="T46" s="20">
        <v>-15.66</v>
      </c>
      <c r="U46" s="15"/>
      <c r="V46" s="20">
        <v>-24.64</v>
      </c>
    </row>
    <row r="47" ht="15.0" customHeight="1">
      <c r="A47" s="13" t="s">
        <v>96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20">
        <v>-86.76</v>
      </c>
      <c r="O47" s="15"/>
      <c r="P47" s="15"/>
      <c r="Q47" s="15"/>
      <c r="R47" s="15"/>
      <c r="S47" s="15"/>
      <c r="T47" s="15"/>
      <c r="U47" s="15"/>
      <c r="V47" s="15"/>
    </row>
    <row r="48" ht="15.0" customHeight="1">
      <c r="A48" s="13" t="s">
        <v>97</v>
      </c>
      <c r="B48" s="15"/>
      <c r="C48" s="15"/>
      <c r="D48" s="15"/>
      <c r="E48" s="15"/>
      <c r="F48" s="15"/>
      <c r="G48" s="15"/>
      <c r="H48" s="20">
        <v>-65.42</v>
      </c>
      <c r="I48" s="15"/>
      <c r="J48" s="15"/>
      <c r="K48" s="15"/>
      <c r="L48" s="15"/>
      <c r="M48" s="15"/>
      <c r="N48" s="15"/>
      <c r="O48" s="21">
        <v>-562.45</v>
      </c>
      <c r="P48" s="15"/>
      <c r="Q48" s="21">
        <v>-400.74</v>
      </c>
      <c r="R48" s="14">
        <v>941.31</v>
      </c>
      <c r="S48" s="21">
        <v>-145.75</v>
      </c>
      <c r="T48" s="21">
        <v>-211.15</v>
      </c>
      <c r="U48" s="15"/>
      <c r="V48" s="16">
        <v>38.28</v>
      </c>
    </row>
    <row r="49" ht="15.0" customHeight="1">
      <c r="A49" s="13" t="s">
        <v>98</v>
      </c>
      <c r="B49" s="16">
        <v>79.11</v>
      </c>
      <c r="C49" s="14">
        <v>131.7</v>
      </c>
      <c r="D49" s="16">
        <v>46.44</v>
      </c>
      <c r="E49" s="16">
        <v>10.3</v>
      </c>
      <c r="F49" s="16">
        <v>6.37</v>
      </c>
      <c r="G49" s="16">
        <v>14.83</v>
      </c>
      <c r="H49" s="16">
        <v>12.27</v>
      </c>
      <c r="I49" s="16">
        <v>10.22</v>
      </c>
      <c r="J49" s="16">
        <v>7.4</v>
      </c>
      <c r="K49" s="16">
        <v>9.91</v>
      </c>
      <c r="L49" s="16">
        <v>20.86</v>
      </c>
      <c r="M49" s="16">
        <v>7.45</v>
      </c>
      <c r="N49" s="16">
        <v>6.09</v>
      </c>
      <c r="O49" s="16">
        <v>17.85</v>
      </c>
      <c r="P49" s="16">
        <v>26.93</v>
      </c>
      <c r="Q49" s="16">
        <v>13.75</v>
      </c>
      <c r="R49" s="16">
        <v>56.31</v>
      </c>
      <c r="S49" s="16">
        <v>81.21</v>
      </c>
      <c r="T49" s="16">
        <v>56.61</v>
      </c>
      <c r="U49" s="16">
        <v>32.9</v>
      </c>
      <c r="V49" s="16">
        <v>24.9</v>
      </c>
    </row>
    <row r="50" ht="15.0" customHeight="1">
      <c r="A50" s="13" t="s">
        <v>99</v>
      </c>
      <c r="B50" s="15"/>
      <c r="C50" s="15"/>
      <c r="D50" s="15"/>
      <c r="E50" s="15"/>
      <c r="F50" s="15"/>
      <c r="G50" s="15"/>
      <c r="H50" s="20">
        <v>-30.03</v>
      </c>
      <c r="I50" s="15"/>
      <c r="J50" s="15"/>
      <c r="K50" s="15"/>
      <c r="L50" s="15"/>
      <c r="M50" s="15"/>
      <c r="N50" s="15"/>
      <c r="O50" s="15"/>
      <c r="P50" s="20">
        <v>-1.75</v>
      </c>
      <c r="Q50" s="21">
        <v>-609.75</v>
      </c>
      <c r="R50" s="21">
        <v>-844.36</v>
      </c>
      <c r="S50" s="21">
        <v>-334.0</v>
      </c>
      <c r="T50" s="21">
        <v>-418.05</v>
      </c>
      <c r="U50" s="20">
        <v>-7.13</v>
      </c>
      <c r="V50" s="20">
        <v>-4.98</v>
      </c>
    </row>
    <row r="51" ht="15.0" customHeight="1">
      <c r="A51" s="13" t="s">
        <v>100</v>
      </c>
      <c r="B51" s="15"/>
      <c r="C51" s="15"/>
      <c r="D51" s="15"/>
      <c r="E51" s="15"/>
      <c r="F51" s="15"/>
      <c r="G51" s="15"/>
      <c r="H51" s="21">
        <v>-352.04</v>
      </c>
      <c r="I51" s="15"/>
      <c r="J51" s="15"/>
      <c r="K51" s="15"/>
      <c r="L51" s="15"/>
      <c r="M51" s="15"/>
      <c r="N51" s="15"/>
      <c r="O51" s="15"/>
      <c r="P51" s="16">
        <v>32.23</v>
      </c>
      <c r="Q51" s="14">
        <v>849.85</v>
      </c>
      <c r="R51" s="14">
        <v>606.3</v>
      </c>
      <c r="S51" s="14">
        <v>392.96</v>
      </c>
      <c r="T51" s="14">
        <v>450.78</v>
      </c>
      <c r="U51" s="20">
        <v>-84.52</v>
      </c>
      <c r="V51" s="16">
        <v>36.88</v>
      </c>
    </row>
    <row r="52" ht="15.0" customHeight="1">
      <c r="A52" s="13" t="s">
        <v>101</v>
      </c>
      <c r="B52" s="21">
        <v>-569.89</v>
      </c>
      <c r="C52" s="21">
        <v>-1683.32</v>
      </c>
      <c r="D52" s="21">
        <v>-1063.23</v>
      </c>
      <c r="E52" s="21">
        <v>-1003.54</v>
      </c>
      <c r="F52" s="21">
        <v>-1437.62</v>
      </c>
      <c r="G52" s="21">
        <v>-1644.51</v>
      </c>
      <c r="H52" s="21">
        <v>-1454.85</v>
      </c>
      <c r="I52" s="21">
        <v>-1129.58</v>
      </c>
      <c r="J52" s="21">
        <v>-526.63</v>
      </c>
      <c r="K52" s="21">
        <v>-480.43</v>
      </c>
      <c r="L52" s="21">
        <v>-454.24</v>
      </c>
      <c r="M52" s="21">
        <v>-449.97</v>
      </c>
      <c r="N52" s="21">
        <v>-524.36</v>
      </c>
      <c r="O52" s="21">
        <v>-549.97</v>
      </c>
      <c r="P52" s="21">
        <v>-370.65</v>
      </c>
      <c r="Q52" s="21">
        <v>-254.15</v>
      </c>
      <c r="R52" s="21">
        <v>-315.49</v>
      </c>
      <c r="S52" s="21">
        <v>-221.89</v>
      </c>
      <c r="T52" s="21">
        <v>-192.8</v>
      </c>
      <c r="U52" s="21">
        <v>-137.17</v>
      </c>
      <c r="V52" s="20">
        <v>-93.26</v>
      </c>
    </row>
    <row r="53" ht="15.0" customHeight="1">
      <c r="A53" s="13" t="s">
        <v>102</v>
      </c>
      <c r="B53" s="21">
        <v>-150.72</v>
      </c>
      <c r="C53" s="21">
        <v>-1244.66</v>
      </c>
      <c r="D53" s="21">
        <v>-829.71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5.0" customHeight="1">
      <c r="A54" s="13" t="s">
        <v>103</v>
      </c>
      <c r="B54" s="21">
        <v>-419.17</v>
      </c>
      <c r="C54" s="21">
        <v>-438.66</v>
      </c>
      <c r="D54" s="21">
        <v>-233.52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3" t="s">
        <v>104</v>
      </c>
      <c r="B55" s="20">
        <v>-77.21</v>
      </c>
      <c r="C55" s="20">
        <v>-44.77</v>
      </c>
      <c r="D55" s="21">
        <v>-558.41</v>
      </c>
      <c r="E55" s="21">
        <v>-283.5</v>
      </c>
      <c r="F55" s="21">
        <v>-1479.12</v>
      </c>
      <c r="G55" s="21">
        <v>-202.05</v>
      </c>
      <c r="H55" s="15"/>
      <c r="I55" s="21">
        <v>-210.0</v>
      </c>
      <c r="J55" s="21">
        <v>-910.52</v>
      </c>
      <c r="K55" s="21">
        <v>-1525.59</v>
      </c>
      <c r="L55" s="21">
        <v>-1334.39</v>
      </c>
      <c r="M55" s="21">
        <v>-645.47</v>
      </c>
      <c r="N55" s="20">
        <v>-4.88</v>
      </c>
      <c r="O55" s="16">
        <v>15.35</v>
      </c>
      <c r="P55" s="21">
        <v>-685.07</v>
      </c>
      <c r="Q55" s="20">
        <v>-18.43</v>
      </c>
      <c r="R55" s="21">
        <v>-143.84</v>
      </c>
      <c r="S55" s="20">
        <v>-11.33</v>
      </c>
      <c r="T55" s="20">
        <v>-14.49</v>
      </c>
      <c r="U55" s="20">
        <v>-18.29</v>
      </c>
      <c r="V55" s="20">
        <v>-1.81</v>
      </c>
    </row>
    <row r="56" ht="15.0" customHeight="1">
      <c r="A56" s="13" t="s">
        <v>105</v>
      </c>
      <c r="B56" s="15"/>
      <c r="C56" s="15"/>
      <c r="D56" s="15"/>
      <c r="E56" s="15"/>
      <c r="F56" s="15"/>
      <c r="G56" s="14">
        <v>2721.51</v>
      </c>
      <c r="H56" s="15"/>
      <c r="I56" s="14">
        <v>1111.06</v>
      </c>
      <c r="J56" s="15"/>
      <c r="K56" s="15">
        <v>0.0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ht="15.0" customHeight="1">
      <c r="A57" s="13" t="s">
        <v>106</v>
      </c>
      <c r="B57" s="14">
        <v>182.44</v>
      </c>
      <c r="C57" s="20">
        <v>-31.55</v>
      </c>
      <c r="D57" s="21">
        <v>-529.86</v>
      </c>
      <c r="E57" s="21">
        <v>-275.63</v>
      </c>
      <c r="F57" s="21">
        <v>-420.46</v>
      </c>
      <c r="G57" s="21">
        <v>-2916.15</v>
      </c>
      <c r="H57" s="15"/>
      <c r="I57" s="21">
        <v>-1112.44</v>
      </c>
      <c r="J57" s="21">
        <v>-837.01</v>
      </c>
      <c r="K57" s="21">
        <v>-1387.61</v>
      </c>
      <c r="L57" s="21">
        <v>-1240.68</v>
      </c>
      <c r="M57" s="21">
        <v>-583.82</v>
      </c>
      <c r="N57" s="21">
        <v>-488.28</v>
      </c>
      <c r="O57" s="21">
        <v>-426.11</v>
      </c>
      <c r="P57" s="15"/>
      <c r="Q57" s="15"/>
      <c r="R57" s="15"/>
      <c r="S57" s="15"/>
      <c r="T57" s="15"/>
      <c r="U57" s="15"/>
      <c r="V57" s="15"/>
    </row>
    <row r="58" ht="15.0" customHeight="1">
      <c r="A58" s="13" t="s">
        <v>107</v>
      </c>
      <c r="B58" s="15"/>
      <c r="C58" s="15"/>
      <c r="D58" s="15"/>
      <c r="E58" s="15"/>
      <c r="F58" s="15"/>
      <c r="G58" s="15">
        <v>0.0</v>
      </c>
      <c r="H58" s="15"/>
      <c r="I58" s="20">
        <v>-23.86</v>
      </c>
      <c r="J58" s="20">
        <v>-33.76</v>
      </c>
      <c r="K58" s="21">
        <v>-130.64</v>
      </c>
      <c r="L58" s="20">
        <v>-84.28</v>
      </c>
      <c r="M58" s="20">
        <v>-61.65</v>
      </c>
      <c r="N58" s="20">
        <v>-18.97</v>
      </c>
      <c r="O58" s="20">
        <v>-66.13</v>
      </c>
      <c r="P58" s="15"/>
      <c r="Q58" s="20">
        <v>-39.87</v>
      </c>
      <c r="R58" s="21">
        <v>-125.75</v>
      </c>
      <c r="S58" s="20">
        <v>-58.42</v>
      </c>
      <c r="T58" s="15"/>
      <c r="U58" s="15"/>
      <c r="V58" s="15"/>
    </row>
    <row r="59" ht="15.0" customHeight="1">
      <c r="A59" s="13" t="s">
        <v>108</v>
      </c>
      <c r="B59" s="21">
        <v>-259.65</v>
      </c>
      <c r="C59" s="20">
        <v>-15.62</v>
      </c>
      <c r="D59" s="20">
        <v>-39.1</v>
      </c>
      <c r="E59" s="20">
        <v>-5.68</v>
      </c>
      <c r="F59" s="21">
        <v>-746.99</v>
      </c>
      <c r="G59" s="20">
        <v>-63.87</v>
      </c>
      <c r="H59" s="15"/>
      <c r="I59" s="20">
        <v>-36.1</v>
      </c>
      <c r="J59" s="20">
        <v>-39.75</v>
      </c>
      <c r="K59" s="20">
        <v>-7.34</v>
      </c>
      <c r="L59" s="20">
        <v>-9.44</v>
      </c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5.0" customHeight="1">
      <c r="A60" s="13" t="s">
        <v>109</v>
      </c>
      <c r="B60" s="15">
        <v>0.0</v>
      </c>
      <c r="C60" s="16">
        <v>0.9</v>
      </c>
      <c r="D60" s="16">
        <v>0.9</v>
      </c>
      <c r="E60" s="16">
        <v>0.75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ht="15.0" customHeight="1">
      <c r="A61" s="13" t="s">
        <v>110</v>
      </c>
      <c r="B61" s="15"/>
      <c r="C61" s="15"/>
      <c r="D61" s="15"/>
      <c r="E61" s="16">
        <v>4.93</v>
      </c>
      <c r="F61" s="16">
        <v>0.16</v>
      </c>
      <c r="G61" s="16">
        <v>53.27</v>
      </c>
      <c r="H61" s="15"/>
      <c r="I61" s="21">
        <v>-148.65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ht="15.0" customHeight="1">
      <c r="A62" s="13" t="s">
        <v>111</v>
      </c>
      <c r="B62" s="15">
        <v>0.0</v>
      </c>
      <c r="C62" s="16">
        <v>1.5</v>
      </c>
      <c r="D62" s="16">
        <v>5.8</v>
      </c>
      <c r="E62" s="20">
        <v>-7.87</v>
      </c>
      <c r="F62" s="20">
        <v>-17.08</v>
      </c>
      <c r="G62" s="16">
        <v>3.19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ht="15.0" customHeight="1">
      <c r="A63" s="13" t="s">
        <v>112</v>
      </c>
      <c r="B63" s="15"/>
      <c r="C63" s="15"/>
      <c r="D63" s="20">
        <v>-0.09</v>
      </c>
      <c r="E63" s="15">
        <v>0.0</v>
      </c>
      <c r="F63" s="21">
        <v>-294.74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ht="15.0" customHeight="1">
      <c r="A64" s="13" t="s">
        <v>113</v>
      </c>
      <c r="B64" s="15"/>
      <c r="C64" s="15"/>
      <c r="D64" s="16">
        <v>3.95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ht="15.0" customHeight="1">
      <c r="A65" s="13" t="s">
        <v>114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21">
        <v>-806.64</v>
      </c>
      <c r="R65" s="14">
        <v>1662.78</v>
      </c>
      <c r="S65" s="21">
        <v>-291.53</v>
      </c>
      <c r="T65" s="21">
        <v>-406.7</v>
      </c>
      <c r="U65" s="15"/>
      <c r="V65" s="16">
        <v>76.56</v>
      </c>
    </row>
    <row r="66" ht="15.0" customHeight="1">
      <c r="A66" s="13" t="s">
        <v>115</v>
      </c>
      <c r="B66" s="15"/>
      <c r="C66" s="15"/>
      <c r="D66" s="15"/>
      <c r="E66" s="15"/>
      <c r="F66" s="15"/>
      <c r="G66" s="16">
        <v>40.77</v>
      </c>
      <c r="H66" s="15"/>
      <c r="I66" s="16">
        <v>30.87</v>
      </c>
      <c r="J66" s="20">
        <v>-2.48</v>
      </c>
      <c r="K66" s="20">
        <v>-1.02</v>
      </c>
      <c r="L66" s="16">
        <v>0.88</v>
      </c>
      <c r="M66" s="16">
        <v>6.12</v>
      </c>
      <c r="N66" s="16">
        <v>3.13</v>
      </c>
      <c r="O66" s="20">
        <v>-2.23</v>
      </c>
      <c r="P66" s="15"/>
      <c r="Q66" s="15"/>
      <c r="R66" s="15"/>
      <c r="S66" s="15"/>
      <c r="T66" s="15"/>
      <c r="U66" s="16">
        <v>15.3</v>
      </c>
      <c r="V66" s="15"/>
    </row>
    <row r="67" ht="15.0" customHeight="1">
      <c r="A67" s="13" t="s">
        <v>116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7">
        <v>0.0</v>
      </c>
      <c r="P67" s="15">
        <v>0.0</v>
      </c>
      <c r="Q67" s="15"/>
      <c r="R67" s="15"/>
      <c r="S67" s="15"/>
      <c r="T67" s="15"/>
      <c r="U67" s="15"/>
      <c r="V67" s="15"/>
    </row>
    <row r="68" ht="15.0" customHeight="1">
      <c r="A68" s="13" t="s">
        <v>117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4">
        <v>152.18</v>
      </c>
      <c r="R68" s="16">
        <v>8.98</v>
      </c>
      <c r="S68" s="16">
        <v>71.09</v>
      </c>
      <c r="T68" s="14">
        <v>283.87</v>
      </c>
      <c r="U68" s="15"/>
      <c r="V68" s="15"/>
    </row>
    <row r="69" ht="15.0" customHeight="1">
      <c r="A69" s="13" t="s">
        <v>118</v>
      </c>
      <c r="B69" s="14">
        <v>184.4</v>
      </c>
      <c r="C69" s="16">
        <v>2.4</v>
      </c>
      <c r="D69" s="16">
        <v>12.11</v>
      </c>
      <c r="E69" s="14">
        <v>173.41</v>
      </c>
      <c r="F69" s="15">
        <v>12345.72</v>
      </c>
      <c r="G69" s="16">
        <v>56.81</v>
      </c>
      <c r="H69" s="15"/>
      <c r="I69" s="14">
        <v>273.88</v>
      </c>
      <c r="J69" s="14">
        <v>1353.19</v>
      </c>
      <c r="K69" s="14">
        <v>753.08</v>
      </c>
      <c r="L69" s="14">
        <v>660.05</v>
      </c>
      <c r="M69" s="14">
        <v>500.13</v>
      </c>
      <c r="N69" s="15"/>
      <c r="O69" s="15"/>
      <c r="P69" s="14">
        <v>789.23</v>
      </c>
      <c r="Q69" s="15"/>
      <c r="R69" s="15"/>
      <c r="S69" s="15"/>
      <c r="T69" s="16">
        <v>15.61</v>
      </c>
      <c r="U69" s="16">
        <v>6.63</v>
      </c>
      <c r="V69" s="15"/>
    </row>
    <row r="70" ht="15.0" customHeight="1">
      <c r="A70" s="13" t="s">
        <v>119</v>
      </c>
      <c r="B70" s="15"/>
      <c r="C70" s="15"/>
      <c r="D70" s="15"/>
      <c r="E70" s="15"/>
      <c r="F70" s="15"/>
      <c r="G70" s="15"/>
      <c r="H70" s="15"/>
      <c r="I70" s="15"/>
      <c r="J70" s="15"/>
      <c r="K70" s="16">
        <v>0.01</v>
      </c>
      <c r="L70" s="16">
        <v>0.01</v>
      </c>
      <c r="M70" s="16">
        <v>0.01</v>
      </c>
      <c r="N70" s="16">
        <v>0.01</v>
      </c>
      <c r="O70" s="16">
        <v>0.1</v>
      </c>
      <c r="P70" s="15"/>
      <c r="Q70" s="16">
        <v>1.28</v>
      </c>
      <c r="R70" s="16">
        <v>28.2</v>
      </c>
      <c r="S70" s="16">
        <v>46.96</v>
      </c>
      <c r="T70" s="15"/>
      <c r="U70" s="15"/>
      <c r="V70" s="15"/>
    </row>
    <row r="71" ht="15.0" customHeight="1">
      <c r="A71" s="13" t="s">
        <v>120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6">
        <v>0.6</v>
      </c>
      <c r="M71" s="16">
        <v>27.88</v>
      </c>
      <c r="N71" s="16">
        <v>0.22</v>
      </c>
      <c r="O71" s="15"/>
      <c r="P71" s="15"/>
      <c r="Q71" s="15"/>
      <c r="R71" s="15"/>
      <c r="S71" s="15"/>
      <c r="T71" s="15"/>
      <c r="U71" s="15"/>
      <c r="V71" s="15"/>
    </row>
    <row r="72" ht="15.0" customHeight="1">
      <c r="A72" s="13" t="s">
        <v>121</v>
      </c>
      <c r="B72" s="15"/>
      <c r="C72" s="15"/>
      <c r="D72" s="15"/>
      <c r="E72" s="15"/>
      <c r="F72" s="15"/>
      <c r="G72" s="15"/>
      <c r="H72" s="15"/>
      <c r="I72" s="16">
        <v>64.49</v>
      </c>
      <c r="J72" s="16">
        <v>54.24</v>
      </c>
      <c r="K72" s="16">
        <v>19.27</v>
      </c>
      <c r="L72" s="16">
        <v>17.5</v>
      </c>
      <c r="M72" s="16">
        <v>41.46</v>
      </c>
      <c r="N72" s="16">
        <v>87.01</v>
      </c>
      <c r="O72" s="16">
        <v>70.71</v>
      </c>
      <c r="P72" s="15"/>
      <c r="Q72" s="14">
        <v>311.03</v>
      </c>
      <c r="R72" s="16">
        <v>8.18</v>
      </c>
      <c r="S72" s="14">
        <v>179.2</v>
      </c>
      <c r="T72" s="16">
        <v>29.62</v>
      </c>
      <c r="U72" s="15"/>
      <c r="V72" s="15"/>
    </row>
    <row r="73" ht="15.0" customHeight="1">
      <c r="A73" s="13" t="s">
        <v>122</v>
      </c>
      <c r="B73" s="15"/>
      <c r="C73" s="15"/>
      <c r="D73" s="15"/>
      <c r="E73" s="15"/>
      <c r="F73" s="15"/>
      <c r="G73" s="15"/>
      <c r="H73" s="15"/>
      <c r="I73" s="15">
        <v>0.0</v>
      </c>
      <c r="J73" s="14">
        <v>171.33</v>
      </c>
      <c r="K73" s="15">
        <v>0.0</v>
      </c>
      <c r="L73" s="15">
        <v>0.0</v>
      </c>
      <c r="M73" s="16">
        <v>13.45</v>
      </c>
      <c r="N73" s="15"/>
      <c r="O73" s="15"/>
      <c r="P73" s="15"/>
      <c r="Q73" s="15"/>
      <c r="R73" s="15"/>
      <c r="S73" s="15"/>
      <c r="T73" s="15"/>
      <c r="U73" s="15"/>
      <c r="V73" s="15"/>
    </row>
    <row r="74" ht="15.0" customHeight="1">
      <c r="A74" s="13" t="s">
        <v>123</v>
      </c>
      <c r="B74" s="15"/>
      <c r="C74" s="15"/>
      <c r="D74" s="15"/>
      <c r="E74" s="15"/>
      <c r="F74" s="15"/>
      <c r="G74" s="15"/>
      <c r="H74" s="15"/>
      <c r="I74" s="21">
        <v>-1078.76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15.0" customHeight="1">
      <c r="A75" s="13" t="s">
        <v>123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>
        <v>0.0</v>
      </c>
      <c r="N75" s="15"/>
      <c r="O75" s="15"/>
      <c r="P75" s="15"/>
      <c r="Q75" s="15"/>
      <c r="R75" s="15"/>
      <c r="S75" s="15"/>
      <c r="T75" s="15"/>
      <c r="U75" s="15"/>
      <c r="V75" s="15"/>
    </row>
    <row r="76" ht="15.0" customHeight="1">
      <c r="A76" s="13" t="s">
        <v>124</v>
      </c>
      <c r="B76" s="15"/>
      <c r="C76" s="15"/>
      <c r="D76" s="15"/>
      <c r="E76" s="15"/>
      <c r="F76" s="15"/>
      <c r="G76" s="15"/>
      <c r="H76" s="15"/>
      <c r="I76" s="14">
        <v>1288.15</v>
      </c>
      <c r="J76" s="14">
        <v>1127.62</v>
      </c>
      <c r="K76" s="14">
        <v>733.8</v>
      </c>
      <c r="L76" s="14">
        <v>641.94</v>
      </c>
      <c r="M76" s="14">
        <v>417.32</v>
      </c>
      <c r="N76" s="14">
        <v>519.78</v>
      </c>
      <c r="O76" s="14">
        <v>377.98</v>
      </c>
      <c r="P76" s="15"/>
      <c r="Q76" s="15"/>
      <c r="R76" s="15"/>
      <c r="S76" s="15"/>
      <c r="T76" s="15"/>
      <c r="U76" s="15"/>
      <c r="V76" s="15"/>
    </row>
    <row r="77" ht="15.0" customHeight="1">
      <c r="A77" s="13" t="s">
        <v>125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20">
        <v>-5.15</v>
      </c>
      <c r="R77" s="21">
        <v>-219.85</v>
      </c>
      <c r="S77" s="20">
        <v>-0.02</v>
      </c>
      <c r="T77" s="15"/>
      <c r="U77" s="15"/>
      <c r="V77" s="15"/>
    </row>
    <row r="78" ht="15.0" customHeight="1">
      <c r="A78" s="13" t="s">
        <v>126</v>
      </c>
      <c r="B78" s="15"/>
      <c r="C78" s="15"/>
      <c r="D78" s="15"/>
      <c r="E78" s="15"/>
      <c r="F78" s="15"/>
      <c r="G78" s="15"/>
      <c r="H78" s="15"/>
      <c r="I78" s="15"/>
      <c r="J78" s="15">
        <v>0.0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ht="15.0" customHeight="1">
      <c r="A79" s="18" t="s">
        <v>127</v>
      </c>
      <c r="B79" s="19">
        <v>216.64</v>
      </c>
      <c r="C79" s="23">
        <v>-1598.81</v>
      </c>
      <c r="D79" s="23">
        <v>-1562.36</v>
      </c>
      <c r="E79" s="23">
        <v>-1103.35</v>
      </c>
      <c r="F79" s="19">
        <v>9435.35</v>
      </c>
      <c r="G79" s="23">
        <v>-1734.16</v>
      </c>
      <c r="H79" s="23">
        <v>-1890.08</v>
      </c>
      <c r="I79" s="23">
        <v>-1024.62</v>
      </c>
      <c r="J79" s="22">
        <v>-79.04</v>
      </c>
      <c r="K79" s="23">
        <v>-1244.05</v>
      </c>
      <c r="L79" s="23">
        <v>-1106.84</v>
      </c>
      <c r="M79" s="23">
        <v>-581.74</v>
      </c>
      <c r="N79" s="23">
        <v>-507.0</v>
      </c>
      <c r="O79" s="23">
        <v>-562.45</v>
      </c>
      <c r="P79" s="23">
        <v>-209.08</v>
      </c>
      <c r="Q79" s="23">
        <v>-405.9</v>
      </c>
      <c r="R79" s="19">
        <v>721.46</v>
      </c>
      <c r="S79" s="23">
        <v>-145.78</v>
      </c>
      <c r="T79" s="23">
        <v>-195.54</v>
      </c>
      <c r="U79" s="23">
        <v>-192.29</v>
      </c>
      <c r="V79" s="24">
        <v>38.28</v>
      </c>
    </row>
    <row r="80" ht="15.0" customHeight="1">
      <c r="A80" s="13" t="s">
        <v>128</v>
      </c>
      <c r="B80" s="15"/>
      <c r="C80" s="15"/>
      <c r="D80" s="15"/>
      <c r="E80" s="15">
        <v>0.0</v>
      </c>
      <c r="F80" s="17">
        <v>0.0</v>
      </c>
      <c r="G80" s="15"/>
      <c r="H80" s="15">
        <v>0.0</v>
      </c>
      <c r="I80" s="15"/>
      <c r="J80" s="15"/>
      <c r="K80" s="17">
        <v>0.0</v>
      </c>
      <c r="L80" s="17">
        <v>0.0</v>
      </c>
      <c r="M80" s="15"/>
      <c r="N80" s="15">
        <v>0.0</v>
      </c>
      <c r="O80" s="15"/>
      <c r="P80" s="15"/>
      <c r="Q80" s="14">
        <v>806.64</v>
      </c>
      <c r="R80" s="21">
        <v>-1662.78</v>
      </c>
      <c r="S80" s="14">
        <v>291.53</v>
      </c>
      <c r="T80" s="14">
        <v>406.7</v>
      </c>
      <c r="U80" s="15"/>
      <c r="V80" s="20">
        <v>-76.56</v>
      </c>
    </row>
    <row r="81" ht="15.0" customHeight="1">
      <c r="A81" s="18" t="s">
        <v>129</v>
      </c>
      <c r="B81" s="19">
        <v>1352.71</v>
      </c>
      <c r="C81" s="19">
        <v>344.98</v>
      </c>
      <c r="D81" s="23">
        <v>-343.65</v>
      </c>
      <c r="E81" s="23">
        <v>-1110.4</v>
      </c>
      <c r="F81" s="19">
        <v>7250.35</v>
      </c>
      <c r="G81" s="23">
        <v>-2970.74</v>
      </c>
      <c r="H81" s="23">
        <v>-5841.86</v>
      </c>
      <c r="I81" s="23">
        <v>-330.26</v>
      </c>
      <c r="J81" s="23">
        <v>-815.2</v>
      </c>
      <c r="K81" s="23">
        <v>-1579.19</v>
      </c>
      <c r="L81" s="19">
        <v>144.71</v>
      </c>
      <c r="M81" s="19">
        <v>541.18</v>
      </c>
      <c r="N81" s="19">
        <v>366.32</v>
      </c>
      <c r="O81" s="23">
        <v>-399.14</v>
      </c>
      <c r="P81" s="19">
        <v>133.17</v>
      </c>
      <c r="Q81" s="19">
        <v>866.35</v>
      </c>
      <c r="R81" s="23">
        <v>-144.07</v>
      </c>
      <c r="S81" s="19">
        <v>1106.22</v>
      </c>
      <c r="T81" s="19">
        <v>915.17</v>
      </c>
      <c r="U81" s="19">
        <v>303.86</v>
      </c>
      <c r="V81" s="19">
        <v>113.29</v>
      </c>
    </row>
    <row r="82" ht="15.0" customHeight="1">
      <c r="A82" s="13" t="s">
        <v>130</v>
      </c>
      <c r="B82" s="16">
        <v>48.75</v>
      </c>
      <c r="C82" s="16">
        <v>56.64</v>
      </c>
      <c r="D82" s="16">
        <v>98.06</v>
      </c>
      <c r="E82" s="16">
        <v>25.66</v>
      </c>
      <c r="F82" s="20">
        <v>-3.52</v>
      </c>
      <c r="G82" s="14">
        <v>158.55</v>
      </c>
      <c r="H82" s="16">
        <v>45.87</v>
      </c>
      <c r="I82" s="16">
        <v>14.75</v>
      </c>
      <c r="J82" s="16">
        <v>11.31</v>
      </c>
      <c r="K82" s="16">
        <v>25.0</v>
      </c>
      <c r="L82" s="16">
        <v>31.36</v>
      </c>
      <c r="M82" s="16">
        <v>56.41</v>
      </c>
      <c r="N82" s="20">
        <v>-34.1</v>
      </c>
      <c r="O82" s="16">
        <v>7.44</v>
      </c>
      <c r="P82" s="14">
        <v>114.16</v>
      </c>
      <c r="Q82" s="21">
        <v>-171.44</v>
      </c>
      <c r="R82" s="21">
        <v>-170.99</v>
      </c>
      <c r="S82" s="14">
        <v>402.61</v>
      </c>
      <c r="T82" s="16">
        <v>25.28</v>
      </c>
      <c r="U82" s="16">
        <v>17.86</v>
      </c>
      <c r="V82" s="16">
        <v>20.93</v>
      </c>
    </row>
    <row r="83" ht="15.0" customHeight="1">
      <c r="A83" s="13" t="s">
        <v>131</v>
      </c>
      <c r="B83" s="15"/>
      <c r="C83" s="16">
        <v>2.23</v>
      </c>
      <c r="D83" s="16">
        <v>10.15</v>
      </c>
      <c r="E83" s="15">
        <v>0.0</v>
      </c>
      <c r="F83" s="20">
        <v>-27.98</v>
      </c>
      <c r="G83" s="16">
        <v>6.77</v>
      </c>
      <c r="H83" s="15"/>
      <c r="I83" s="20">
        <v>-1.64</v>
      </c>
      <c r="J83" s="20">
        <v>-8.23</v>
      </c>
      <c r="K83" s="16">
        <v>8.32</v>
      </c>
      <c r="L83" s="16">
        <v>4.52</v>
      </c>
      <c r="M83" s="16">
        <v>53.46</v>
      </c>
      <c r="N83" s="20">
        <v>-52.36</v>
      </c>
      <c r="O83" s="20">
        <v>-25.7</v>
      </c>
      <c r="P83" s="15"/>
      <c r="Q83" s="21">
        <v>-312.42</v>
      </c>
      <c r="R83" s="14">
        <v>130.68</v>
      </c>
      <c r="S83" s="20">
        <v>-11.39</v>
      </c>
      <c r="T83" s="15"/>
      <c r="U83" s="15"/>
      <c r="V83" s="15"/>
    </row>
    <row r="84" ht="15.0" customHeight="1">
      <c r="A84" s="13" t="s">
        <v>132</v>
      </c>
      <c r="B84" s="16">
        <v>48.75</v>
      </c>
      <c r="C84" s="16">
        <v>57.18</v>
      </c>
      <c r="D84" s="16">
        <v>37.64</v>
      </c>
      <c r="E84" s="16">
        <v>1.24</v>
      </c>
      <c r="F84" s="16">
        <v>8.15</v>
      </c>
      <c r="G84" s="14">
        <v>119.09</v>
      </c>
      <c r="H84" s="15"/>
      <c r="I84" s="16">
        <v>3.97</v>
      </c>
      <c r="J84" s="16">
        <v>7.48</v>
      </c>
      <c r="K84" s="16">
        <v>5.12</v>
      </c>
      <c r="L84" s="16">
        <v>14.35</v>
      </c>
      <c r="M84" s="20">
        <v>-9.71</v>
      </c>
      <c r="N84" s="16">
        <v>5.24</v>
      </c>
      <c r="O84" s="16">
        <v>1.33</v>
      </c>
      <c r="P84" s="15"/>
      <c r="Q84" s="20">
        <v>-27.74</v>
      </c>
      <c r="R84" s="16">
        <v>2.0</v>
      </c>
      <c r="S84" s="16">
        <v>8.81</v>
      </c>
      <c r="T84" s="15"/>
      <c r="U84" s="15"/>
      <c r="V84" s="15"/>
    </row>
    <row r="85" ht="15.0" customHeight="1">
      <c r="A85" s="13" t="s">
        <v>133</v>
      </c>
      <c r="B85" s="16">
        <v>48.75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ht="15.0" customHeight="1">
      <c r="A86" s="13" t="s">
        <v>134</v>
      </c>
      <c r="B86" s="15"/>
      <c r="C86" s="15"/>
      <c r="D86" s="16">
        <v>56.9</v>
      </c>
      <c r="E86" s="16">
        <v>24.42</v>
      </c>
      <c r="F86" s="16">
        <v>16.31</v>
      </c>
      <c r="G86" s="16">
        <v>32.7</v>
      </c>
      <c r="H86" s="15"/>
      <c r="I86" s="16">
        <v>12.42</v>
      </c>
      <c r="J86" s="16">
        <v>12.06</v>
      </c>
      <c r="K86" s="16">
        <v>10.66</v>
      </c>
      <c r="L86" s="16">
        <v>12.48</v>
      </c>
      <c r="M86" s="16">
        <v>12.66</v>
      </c>
      <c r="N86" s="16">
        <v>13.02</v>
      </c>
      <c r="O86" s="16">
        <v>31.81</v>
      </c>
      <c r="P86" s="15"/>
      <c r="Q86" s="15"/>
      <c r="R86" s="20">
        <v>-11.35</v>
      </c>
      <c r="S86" s="16">
        <v>17.69</v>
      </c>
      <c r="T86" s="16">
        <v>25.28</v>
      </c>
      <c r="U86" s="15"/>
      <c r="V86" s="16">
        <v>20.93</v>
      </c>
    </row>
    <row r="87" ht="15.0" customHeight="1">
      <c r="A87" s="13" t="s">
        <v>135</v>
      </c>
      <c r="B87" s="15"/>
      <c r="C87" s="20">
        <v>-2.77</v>
      </c>
      <c r="D87" s="20">
        <v>-6.62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 ht="15.0" customHeight="1">
      <c r="A88" s="13" t="s">
        <v>136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>
        <v>0.0</v>
      </c>
      <c r="U88" s="15"/>
      <c r="V88" s="15"/>
    </row>
    <row r="89" ht="15.0" customHeight="1">
      <c r="A89" s="13" t="s">
        <v>137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20">
        <v>-62.01</v>
      </c>
      <c r="R89" s="16">
        <v>11.35</v>
      </c>
      <c r="S89" s="15"/>
      <c r="T89" s="15"/>
      <c r="U89" s="15"/>
      <c r="V89" s="15"/>
    </row>
    <row r="90" ht="15.0" customHeight="1">
      <c r="A90" s="13" t="s">
        <v>136</v>
      </c>
      <c r="B90" s="15"/>
      <c r="C90" s="15"/>
      <c r="D90" s="15"/>
      <c r="E90" s="17">
        <v>0.0</v>
      </c>
      <c r="F90" s="15"/>
      <c r="G90" s="15"/>
      <c r="H90" s="15"/>
      <c r="I90" s="15"/>
      <c r="J90" s="17">
        <v>0.0</v>
      </c>
      <c r="K90" s="16">
        <v>0.9</v>
      </c>
      <c r="L90" s="17">
        <v>0.0</v>
      </c>
      <c r="M90" s="15">
        <v>0.0</v>
      </c>
      <c r="N90" s="15"/>
      <c r="O90" s="15"/>
      <c r="P90" s="15"/>
      <c r="Q90" s="14">
        <v>151.78</v>
      </c>
      <c r="R90" s="21">
        <v>-292.33</v>
      </c>
      <c r="S90" s="15"/>
      <c r="T90" s="15"/>
      <c r="U90" s="15"/>
      <c r="V90" s="15"/>
    </row>
    <row r="91" ht="15.0" customHeight="1">
      <c r="A91" s="13" t="s">
        <v>138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6">
        <v>51.21</v>
      </c>
      <c r="R91" s="16">
        <v>49.66</v>
      </c>
      <c r="S91" s="14">
        <v>387.5</v>
      </c>
      <c r="T91" s="15"/>
      <c r="U91" s="15"/>
      <c r="V91" s="15"/>
    </row>
    <row r="92" ht="15.0" customHeight="1">
      <c r="A92" s="13" t="s">
        <v>139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6">
        <v>32.44</v>
      </c>
      <c r="R92" s="16">
        <v>9.12</v>
      </c>
      <c r="S92" s="16">
        <v>1.94</v>
      </c>
      <c r="T92" s="15"/>
      <c r="U92" s="15"/>
      <c r="V92" s="15"/>
    </row>
    <row r="93" ht="15.0" customHeight="1">
      <c r="A93" s="13" t="s">
        <v>140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4">
        <v>108.53</v>
      </c>
      <c r="R93" s="20">
        <v>-49.43</v>
      </c>
      <c r="S93" s="16">
        <v>13.17</v>
      </c>
      <c r="T93" s="15"/>
      <c r="U93" s="15"/>
      <c r="V93" s="15"/>
    </row>
    <row r="94" ht="15.0" customHeight="1">
      <c r="A94" s="13" t="s">
        <v>141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21">
        <v>-312.42</v>
      </c>
      <c r="R94" s="21">
        <v>-130.68</v>
      </c>
      <c r="S94" s="14">
        <v>387.5</v>
      </c>
      <c r="T94" s="15"/>
      <c r="U94" s="15"/>
      <c r="V94" s="15"/>
    </row>
    <row r="95" ht="15.0" customHeight="1">
      <c r="A95" s="13" t="s">
        <v>142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6">
        <v>15.63</v>
      </c>
      <c r="U95" s="15"/>
      <c r="V95" s="16">
        <v>6.3</v>
      </c>
    </row>
    <row r="96" ht="15.0" customHeight="1">
      <c r="A96" s="13" t="s">
        <v>143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6">
        <v>9.65</v>
      </c>
      <c r="U96" s="15"/>
      <c r="V96" s="16">
        <v>14.63</v>
      </c>
    </row>
    <row r="97" ht="15.0" customHeight="1">
      <c r="A97" s="13" t="s">
        <v>144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7">
        <v>0.0</v>
      </c>
      <c r="O97" s="15">
        <v>0.0</v>
      </c>
      <c r="P97" s="15"/>
      <c r="Q97" s="20">
        <v>-27.74</v>
      </c>
      <c r="R97" s="15"/>
      <c r="S97" s="15"/>
      <c r="T97" s="15"/>
      <c r="U97" s="15"/>
      <c r="V97" s="15"/>
    </row>
    <row r="98" ht="15.0" customHeight="1">
      <c r="A98" s="18" t="s">
        <v>145</v>
      </c>
      <c r="B98" s="24">
        <v>48.75</v>
      </c>
      <c r="C98" s="24">
        <v>56.64</v>
      </c>
      <c r="D98" s="24">
        <v>98.06</v>
      </c>
      <c r="E98" s="24">
        <v>25.66</v>
      </c>
      <c r="F98" s="22">
        <v>-3.52</v>
      </c>
      <c r="G98" s="19">
        <v>158.55</v>
      </c>
      <c r="H98" s="24">
        <v>45.87</v>
      </c>
      <c r="I98" s="24">
        <v>14.75</v>
      </c>
      <c r="J98" s="24">
        <v>11.31</v>
      </c>
      <c r="K98" s="24">
        <v>25.0</v>
      </c>
      <c r="L98" s="24">
        <v>31.36</v>
      </c>
      <c r="M98" s="24">
        <v>56.41</v>
      </c>
      <c r="N98" s="22">
        <v>-34.1</v>
      </c>
      <c r="O98" s="24">
        <v>7.44</v>
      </c>
      <c r="P98" s="19">
        <v>114.16</v>
      </c>
      <c r="Q98" s="23">
        <v>-199.19</v>
      </c>
      <c r="R98" s="23">
        <v>-170.99</v>
      </c>
      <c r="S98" s="19">
        <v>402.61</v>
      </c>
      <c r="T98" s="24">
        <v>25.28</v>
      </c>
      <c r="U98" s="24">
        <v>17.86</v>
      </c>
      <c r="V98" s="24">
        <v>20.93</v>
      </c>
    </row>
    <row r="99" ht="15.0" customHeight="1">
      <c r="A99" s="18" t="s">
        <v>146</v>
      </c>
      <c r="B99" s="19">
        <v>1303.95</v>
      </c>
      <c r="C99" s="19">
        <v>288.34</v>
      </c>
      <c r="D99" s="23">
        <v>-441.71</v>
      </c>
      <c r="E99" s="23">
        <v>-1136.06</v>
      </c>
      <c r="F99" s="19">
        <v>7253.87</v>
      </c>
      <c r="G99" s="23">
        <v>-3129.29</v>
      </c>
      <c r="H99" s="23">
        <v>-5887.73</v>
      </c>
      <c r="I99" s="23">
        <v>-345.02</v>
      </c>
      <c r="J99" s="23">
        <v>-826.51</v>
      </c>
      <c r="K99" s="23">
        <v>-1604.18</v>
      </c>
      <c r="L99" s="19">
        <v>113.35</v>
      </c>
      <c r="M99" s="19">
        <v>484.77</v>
      </c>
      <c r="N99" s="19">
        <v>400.43</v>
      </c>
      <c r="O99" s="23">
        <v>-406.58</v>
      </c>
      <c r="P99" s="24">
        <v>19.02</v>
      </c>
      <c r="Q99" s="19">
        <v>1037.79</v>
      </c>
      <c r="R99" s="24">
        <v>26.93</v>
      </c>
      <c r="S99" s="19">
        <v>703.61</v>
      </c>
      <c r="T99" s="19">
        <v>889.89</v>
      </c>
      <c r="U99" s="19">
        <v>286.0</v>
      </c>
      <c r="V99" s="24">
        <v>92.36</v>
      </c>
    </row>
    <row r="100" ht="15.0" customHeight="1">
      <c r="A100" s="18" t="s">
        <v>147</v>
      </c>
      <c r="B100" s="19">
        <v>1303.95</v>
      </c>
      <c r="C100" s="19">
        <v>288.34</v>
      </c>
      <c r="D100" s="23">
        <v>-441.71</v>
      </c>
      <c r="E100" s="23">
        <v>-1136.06</v>
      </c>
      <c r="F100" s="19">
        <v>7253.87</v>
      </c>
      <c r="G100" s="23">
        <v>-3129.29</v>
      </c>
      <c r="H100" s="23">
        <v>-5887.73</v>
      </c>
      <c r="I100" s="23">
        <v>-345.02</v>
      </c>
      <c r="J100" s="23">
        <v>-826.51</v>
      </c>
      <c r="K100" s="23">
        <v>-1604.18</v>
      </c>
      <c r="L100" s="19">
        <v>113.35</v>
      </c>
      <c r="M100" s="19">
        <v>484.77</v>
      </c>
      <c r="N100" s="19">
        <v>400.43</v>
      </c>
      <c r="O100" s="23">
        <v>-406.58</v>
      </c>
      <c r="P100" s="24">
        <v>19.02</v>
      </c>
      <c r="Q100" s="19">
        <v>1037.79</v>
      </c>
      <c r="R100" s="24">
        <v>26.93</v>
      </c>
      <c r="S100" s="19">
        <v>703.61</v>
      </c>
      <c r="T100" s="19">
        <v>889.89</v>
      </c>
      <c r="U100" s="19">
        <v>286.0</v>
      </c>
      <c r="V100" s="24">
        <v>92.36</v>
      </c>
    </row>
    <row r="101" ht="15.0" customHeight="1">
      <c r="A101" s="13" t="s">
        <v>148</v>
      </c>
      <c r="B101" s="15">
        <v>0.0</v>
      </c>
      <c r="C101" s="14">
        <v>118.8</v>
      </c>
      <c r="D101" s="21">
        <v>-676.09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  <row r="102" ht="15.0" customHeight="1">
      <c r="A102" s="18" t="s">
        <v>149</v>
      </c>
      <c r="B102" s="25">
        <v>0.0</v>
      </c>
      <c r="C102" s="19">
        <v>118.8</v>
      </c>
      <c r="D102" s="23">
        <v>-676.09</v>
      </c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</row>
    <row r="103" ht="15.0" customHeight="1">
      <c r="A103" s="13" t="s">
        <v>150</v>
      </c>
      <c r="B103" s="16">
        <v>31.75</v>
      </c>
      <c r="C103" s="16">
        <v>6.71</v>
      </c>
      <c r="D103" s="20">
        <v>-4.79</v>
      </c>
      <c r="E103" s="20">
        <v>-33.61</v>
      </c>
      <c r="F103" s="16">
        <v>13.12</v>
      </c>
      <c r="G103" s="16">
        <v>0.26</v>
      </c>
      <c r="H103" s="20">
        <v>-29.54</v>
      </c>
      <c r="I103" s="20">
        <v>-31.24</v>
      </c>
      <c r="J103" s="16">
        <v>39.04</v>
      </c>
      <c r="K103" s="20">
        <v>-23.07</v>
      </c>
      <c r="L103" s="20">
        <v>-38.3</v>
      </c>
      <c r="M103" s="20">
        <v>-6.22</v>
      </c>
      <c r="N103" s="16">
        <v>19.93</v>
      </c>
      <c r="O103" s="20">
        <v>-44.54</v>
      </c>
      <c r="P103" s="20">
        <v>-29.4</v>
      </c>
      <c r="Q103" s="16">
        <v>10.33</v>
      </c>
      <c r="R103" s="20">
        <v>-18.63</v>
      </c>
      <c r="S103" s="16">
        <v>23.28</v>
      </c>
      <c r="T103" s="16">
        <v>23.93</v>
      </c>
      <c r="U103" s="16">
        <v>24.99</v>
      </c>
      <c r="V103" s="16">
        <v>28.74</v>
      </c>
    </row>
    <row r="104" ht="15.0" customHeight="1">
      <c r="A104" s="18" t="s">
        <v>151</v>
      </c>
      <c r="B104" s="24">
        <v>31.75</v>
      </c>
      <c r="C104" s="24">
        <v>6.71</v>
      </c>
      <c r="D104" s="22">
        <v>-4.79</v>
      </c>
      <c r="E104" s="22">
        <v>-33.61</v>
      </c>
      <c r="F104" s="24">
        <v>13.12</v>
      </c>
      <c r="G104" s="24">
        <v>0.26</v>
      </c>
      <c r="H104" s="22">
        <v>-29.54</v>
      </c>
      <c r="I104" s="22">
        <v>-31.24</v>
      </c>
      <c r="J104" s="24">
        <v>39.04</v>
      </c>
      <c r="K104" s="22">
        <v>-23.07</v>
      </c>
      <c r="L104" s="22">
        <v>-38.3</v>
      </c>
      <c r="M104" s="22">
        <v>-6.22</v>
      </c>
      <c r="N104" s="24">
        <v>19.93</v>
      </c>
      <c r="O104" s="22">
        <v>-44.54</v>
      </c>
      <c r="P104" s="22">
        <v>-29.4</v>
      </c>
      <c r="Q104" s="24">
        <v>10.33</v>
      </c>
      <c r="R104" s="22">
        <v>-18.63</v>
      </c>
      <c r="S104" s="24">
        <v>23.28</v>
      </c>
      <c r="T104" s="24">
        <v>23.93</v>
      </c>
      <c r="U104" s="24">
        <v>24.99</v>
      </c>
      <c r="V104" s="24">
        <v>28.74</v>
      </c>
    </row>
    <row r="105" ht="15.0" customHeight="1">
      <c r="A105" s="13" t="s">
        <v>152</v>
      </c>
      <c r="B105" s="15"/>
      <c r="C105" s="17">
        <v>0.0</v>
      </c>
      <c r="D105" s="15"/>
      <c r="E105" s="15"/>
      <c r="F105" s="15"/>
      <c r="G105" s="15"/>
      <c r="H105" s="15"/>
      <c r="I105" s="17">
        <v>0.0</v>
      </c>
      <c r="J105" s="15"/>
      <c r="K105" s="15">
        <v>0.0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ht="15.0" customHeight="1">
      <c r="A106" s="13" t="s">
        <v>153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7">
        <v>0.0</v>
      </c>
      <c r="P106" s="15"/>
      <c r="Q106" s="15"/>
      <c r="R106" s="15"/>
      <c r="S106" s="15"/>
      <c r="T106" s="15"/>
      <c r="U106" s="15"/>
      <c r="V106" s="15"/>
    </row>
    <row r="107" ht="15.0" customHeight="1">
      <c r="A107" s="18" t="s">
        <v>154</v>
      </c>
      <c r="B107" s="19">
        <v>1272.2</v>
      </c>
      <c r="C107" s="19">
        <v>400.43</v>
      </c>
      <c r="D107" s="23">
        <v>-1113.02</v>
      </c>
      <c r="E107" s="23">
        <v>-1102.45</v>
      </c>
      <c r="F107" s="19">
        <v>7240.74</v>
      </c>
      <c r="G107" s="23">
        <v>-3129.56</v>
      </c>
      <c r="H107" s="23">
        <v>-5858.19</v>
      </c>
      <c r="I107" s="23">
        <v>-313.77</v>
      </c>
      <c r="J107" s="23">
        <v>-865.55</v>
      </c>
      <c r="K107" s="23">
        <v>-1581.11</v>
      </c>
      <c r="L107" s="19">
        <v>151.65</v>
      </c>
      <c r="M107" s="19">
        <v>490.99</v>
      </c>
      <c r="N107" s="19">
        <v>380.5</v>
      </c>
      <c r="O107" s="23">
        <v>-362.04</v>
      </c>
      <c r="P107" s="24">
        <v>48.42</v>
      </c>
      <c r="Q107" s="19">
        <v>1027.46</v>
      </c>
      <c r="R107" s="24">
        <v>45.56</v>
      </c>
      <c r="S107" s="19">
        <v>680.33</v>
      </c>
      <c r="T107" s="19">
        <v>865.96</v>
      </c>
      <c r="U107" s="19">
        <v>261.01</v>
      </c>
      <c r="V107" s="24">
        <v>63.63</v>
      </c>
    </row>
    <row r="108" ht="15.0" customHeight="1">
      <c r="A108" s="18" t="s">
        <v>155</v>
      </c>
      <c r="B108" s="19">
        <v>1272.2</v>
      </c>
      <c r="C108" s="19">
        <v>281.63</v>
      </c>
      <c r="D108" s="23">
        <v>-436.92</v>
      </c>
      <c r="E108" s="23">
        <v>-1102.45</v>
      </c>
      <c r="F108" s="19">
        <v>7240.74</v>
      </c>
      <c r="G108" s="23">
        <v>-3129.56</v>
      </c>
      <c r="H108" s="23">
        <v>-5858.19</v>
      </c>
      <c r="I108" s="23">
        <v>-313.77</v>
      </c>
      <c r="J108" s="23">
        <v>-865.55</v>
      </c>
      <c r="K108" s="23">
        <v>-1581.11</v>
      </c>
      <c r="L108" s="19">
        <v>151.65</v>
      </c>
      <c r="M108" s="19">
        <v>490.99</v>
      </c>
      <c r="N108" s="19">
        <v>380.5</v>
      </c>
      <c r="O108" s="23">
        <v>-362.04</v>
      </c>
      <c r="P108" s="24">
        <v>48.42</v>
      </c>
      <c r="Q108" s="19">
        <v>1027.46</v>
      </c>
      <c r="R108" s="24">
        <v>45.56</v>
      </c>
      <c r="S108" s="19">
        <v>680.33</v>
      </c>
      <c r="T108" s="19">
        <v>865.96</v>
      </c>
      <c r="U108" s="19">
        <v>261.01</v>
      </c>
      <c r="V108" s="24">
        <v>63.63</v>
      </c>
    </row>
    <row r="109" ht="15.0" customHeight="1">
      <c r="A109" s="13" t="s">
        <v>156</v>
      </c>
      <c r="B109" s="17">
        <v>0.0</v>
      </c>
      <c r="C109" s="15">
        <v>0.0</v>
      </c>
      <c r="D109" s="15"/>
      <c r="E109" s="15"/>
      <c r="F109" s="17">
        <v>0.0</v>
      </c>
      <c r="G109" s="15"/>
      <c r="H109" s="15"/>
      <c r="I109" s="15">
        <v>0.0</v>
      </c>
      <c r="J109" s="17">
        <v>0.0</v>
      </c>
      <c r="K109" s="17">
        <v>0.0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 ht="15.0" customHeight="1">
      <c r="A110" s="18" t="s">
        <v>157</v>
      </c>
      <c r="B110" s="19">
        <v>1272.2</v>
      </c>
      <c r="C110" s="19">
        <v>400.43</v>
      </c>
      <c r="D110" s="23">
        <v>-1113.02</v>
      </c>
      <c r="E110" s="23">
        <v>-1102.45</v>
      </c>
      <c r="F110" s="19">
        <v>7240.74</v>
      </c>
      <c r="G110" s="23">
        <v>-3129.56</v>
      </c>
      <c r="H110" s="23">
        <v>-5858.19</v>
      </c>
      <c r="I110" s="23">
        <v>-313.77</v>
      </c>
      <c r="J110" s="23">
        <v>-865.55</v>
      </c>
      <c r="K110" s="23">
        <v>-1581.11</v>
      </c>
      <c r="L110" s="19">
        <v>151.65</v>
      </c>
      <c r="M110" s="19">
        <v>490.99</v>
      </c>
      <c r="N110" s="19">
        <v>380.5</v>
      </c>
      <c r="O110" s="23">
        <v>-362.04</v>
      </c>
      <c r="P110" s="24">
        <v>48.42</v>
      </c>
      <c r="Q110" s="19">
        <v>1027.46</v>
      </c>
      <c r="R110" s="24">
        <v>45.56</v>
      </c>
      <c r="S110" s="19">
        <v>680.33</v>
      </c>
      <c r="T110" s="19">
        <v>865.96</v>
      </c>
      <c r="U110" s="19">
        <v>261.01</v>
      </c>
      <c r="V110" s="24">
        <v>63.63</v>
      </c>
    </row>
    <row r="111" ht="15.0" customHeight="1">
      <c r="A111" s="13" t="s">
        <v>146</v>
      </c>
      <c r="B111" s="14">
        <v>1303.95</v>
      </c>
      <c r="C111" s="14">
        <v>407.14</v>
      </c>
      <c r="D111" s="21">
        <v>-1117.8</v>
      </c>
      <c r="E111" s="21">
        <v>-1136.06</v>
      </c>
      <c r="F111" s="14">
        <v>7253.87</v>
      </c>
      <c r="G111" s="21">
        <v>-3129.29</v>
      </c>
      <c r="H111" s="21">
        <v>-5887.73</v>
      </c>
      <c r="I111" s="21">
        <v>-345.02</v>
      </c>
      <c r="J111" s="21">
        <v>-826.51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ht="15.0" customHeight="1">
      <c r="A112" s="13" t="s">
        <v>158</v>
      </c>
      <c r="B112" s="14">
        <v>109.6</v>
      </c>
      <c r="C112" s="21">
        <v>-348.55</v>
      </c>
      <c r="D112" s="21">
        <v>-218.66</v>
      </c>
      <c r="E112" s="20">
        <v>-34.85</v>
      </c>
      <c r="F112" s="14">
        <v>580.4</v>
      </c>
      <c r="G112" s="16">
        <v>54.09</v>
      </c>
      <c r="H112" s="14">
        <v>100.72</v>
      </c>
      <c r="I112" s="21">
        <v>-148.29</v>
      </c>
      <c r="J112" s="21">
        <v>-119.56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ht="15.0" customHeight="1">
      <c r="A113" s="13" t="s">
        <v>159</v>
      </c>
      <c r="B113" s="15"/>
      <c r="C113" s="15"/>
      <c r="D113" s="15"/>
      <c r="E113" s="15"/>
      <c r="F113" s="15"/>
      <c r="G113" s="15">
        <v>0.0</v>
      </c>
      <c r="H113" s="16">
        <v>0.55</v>
      </c>
      <c r="I113" s="16">
        <v>1.5</v>
      </c>
      <c r="J113" s="20">
        <v>-0.73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  <row r="114" ht="15.0" customHeight="1">
      <c r="A114" s="13" t="s">
        <v>160</v>
      </c>
      <c r="B114" s="15">
        <v>0.0</v>
      </c>
      <c r="C114" s="20">
        <v>-1.27</v>
      </c>
      <c r="D114" s="16">
        <v>0.95</v>
      </c>
      <c r="E114" s="20">
        <v>-3.97</v>
      </c>
      <c r="F114" s="20">
        <v>-5.92</v>
      </c>
      <c r="G114" s="16">
        <v>42.17</v>
      </c>
      <c r="H114" s="16">
        <v>10.1</v>
      </c>
      <c r="I114" s="20">
        <v>-34.24</v>
      </c>
      <c r="J114" s="16">
        <v>1.07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</row>
    <row r="115" ht="15.0" customHeight="1">
      <c r="A115" s="18" t="s">
        <v>161</v>
      </c>
      <c r="B115" s="19">
        <v>109.6</v>
      </c>
      <c r="C115" s="23">
        <v>-349.82</v>
      </c>
      <c r="D115" s="23">
        <v>-217.71</v>
      </c>
      <c r="E115" s="22">
        <v>-38.82</v>
      </c>
      <c r="F115" s="19">
        <v>574.48</v>
      </c>
      <c r="G115" s="24">
        <v>96.25</v>
      </c>
      <c r="H115" s="19">
        <v>111.36</v>
      </c>
      <c r="I115" s="23">
        <v>-181.02</v>
      </c>
      <c r="J115" s="23">
        <v>-119.22</v>
      </c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</row>
    <row r="116" ht="15.0" customHeight="1">
      <c r="A116" s="13" t="s">
        <v>162</v>
      </c>
      <c r="B116" s="14">
        <v>1382.53</v>
      </c>
      <c r="C116" s="16">
        <v>50.61</v>
      </c>
      <c r="D116" s="21">
        <v>-1330.73</v>
      </c>
      <c r="E116" s="21">
        <v>-1141.27</v>
      </c>
      <c r="F116" s="14">
        <v>7815.22</v>
      </c>
      <c r="G116" s="21">
        <v>-3033.31</v>
      </c>
      <c r="H116" s="21">
        <v>-5746.83</v>
      </c>
      <c r="I116" s="21">
        <v>-494.8</v>
      </c>
      <c r="J116" s="21">
        <v>-984.77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</row>
    <row r="117" ht="15.0" customHeight="1">
      <c r="A117" s="13" t="s">
        <v>163</v>
      </c>
      <c r="B117" s="16">
        <v>31.02</v>
      </c>
      <c r="C117" s="16">
        <v>6.71</v>
      </c>
      <c r="D117" s="20">
        <v>-4.79</v>
      </c>
      <c r="E117" s="20">
        <v>-33.61</v>
      </c>
      <c r="F117" s="16">
        <v>13.12</v>
      </c>
      <c r="G117" s="16">
        <v>0.26</v>
      </c>
      <c r="H117" s="20">
        <v>-29.54</v>
      </c>
      <c r="I117" s="20">
        <v>-31.24</v>
      </c>
      <c r="J117" s="16">
        <v>39.04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</row>
    <row r="118" ht="15.0" customHeight="1">
      <c r="A118" s="13" t="s">
        <v>164</v>
      </c>
      <c r="B118" s="15"/>
      <c r="C118" s="15"/>
      <c r="D118" s="15"/>
      <c r="E118" s="17">
        <v>0.0</v>
      </c>
      <c r="F118" s="15"/>
      <c r="G118" s="15"/>
      <c r="H118" s="15"/>
      <c r="I118" s="15">
        <v>0.0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</row>
    <row r="119" ht="15.0" customHeight="1">
      <c r="A119" s="18" t="s">
        <v>165</v>
      </c>
      <c r="B119" s="19">
        <v>1413.55</v>
      </c>
      <c r="C119" s="24">
        <v>57.32</v>
      </c>
      <c r="D119" s="23">
        <v>-1335.52</v>
      </c>
      <c r="E119" s="23">
        <v>-1174.88</v>
      </c>
      <c r="F119" s="19">
        <v>7828.34</v>
      </c>
      <c r="G119" s="23">
        <v>-3033.04</v>
      </c>
      <c r="H119" s="23">
        <v>-5776.37</v>
      </c>
      <c r="I119" s="23">
        <v>-526.04</v>
      </c>
      <c r="J119" s="23">
        <v>-945.73</v>
      </c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</row>
    <row r="120" ht="15.0" customHeight="1">
      <c r="A120" s="13" t="s">
        <v>166</v>
      </c>
      <c r="B120" s="16">
        <v>82.35</v>
      </c>
      <c r="C120" s="16">
        <v>78.3</v>
      </c>
      <c r="D120" s="16">
        <v>76.93</v>
      </c>
      <c r="E120" s="16">
        <v>75.11</v>
      </c>
      <c r="F120" s="16">
        <v>74.87</v>
      </c>
      <c r="G120" s="16">
        <v>2.45</v>
      </c>
      <c r="H120" s="16">
        <v>2.45</v>
      </c>
      <c r="I120" s="16">
        <v>2.45</v>
      </c>
      <c r="J120" s="16">
        <v>0.75</v>
      </c>
      <c r="K120" s="16">
        <v>0.32</v>
      </c>
      <c r="L120" s="16">
        <v>0.33</v>
      </c>
      <c r="M120" s="16">
        <v>0.33</v>
      </c>
      <c r="N120" s="16">
        <v>0.33</v>
      </c>
      <c r="O120" s="16">
        <v>0.33</v>
      </c>
      <c r="P120" s="16">
        <v>0.32</v>
      </c>
      <c r="Q120" s="16">
        <v>0.32</v>
      </c>
      <c r="R120" s="16">
        <v>0.32</v>
      </c>
      <c r="S120" s="16">
        <v>0.32</v>
      </c>
      <c r="T120" s="16">
        <v>0.32</v>
      </c>
      <c r="U120" s="16">
        <v>0.32</v>
      </c>
      <c r="V120" s="16">
        <v>0.32</v>
      </c>
    </row>
    <row r="121" ht="15.0" customHeight="1">
      <c r="A121" s="13" t="s">
        <v>167</v>
      </c>
      <c r="B121" s="16">
        <v>82.35</v>
      </c>
      <c r="C121" s="16">
        <v>78.3</v>
      </c>
      <c r="D121" s="16">
        <v>76.93</v>
      </c>
      <c r="E121" s="16">
        <v>75.11</v>
      </c>
      <c r="F121" s="16">
        <v>74.87</v>
      </c>
      <c r="G121" s="16">
        <v>2.45</v>
      </c>
      <c r="H121" s="16">
        <v>2.45</v>
      </c>
      <c r="I121" s="16">
        <v>2.45</v>
      </c>
      <c r="J121" s="16">
        <v>0.75</v>
      </c>
      <c r="K121" s="16">
        <v>0.32</v>
      </c>
      <c r="L121" s="16">
        <v>0.33</v>
      </c>
      <c r="M121" s="16">
        <v>0.33</v>
      </c>
      <c r="N121" s="16">
        <v>0.33</v>
      </c>
      <c r="O121" s="16">
        <v>0.33</v>
      </c>
      <c r="P121" s="16">
        <v>0.32</v>
      </c>
      <c r="Q121" s="16">
        <v>0.32</v>
      </c>
      <c r="R121" s="16">
        <v>0.32</v>
      </c>
      <c r="S121" s="16">
        <v>0.32</v>
      </c>
      <c r="T121" s="16">
        <v>0.32</v>
      </c>
      <c r="U121" s="16">
        <v>0.32</v>
      </c>
      <c r="V121" s="16">
        <v>0.32</v>
      </c>
    </row>
    <row r="122" ht="15.0" customHeight="1">
      <c r="A122" s="13" t="s">
        <v>168</v>
      </c>
      <c r="B122" s="16">
        <v>15.45</v>
      </c>
      <c r="C122" s="16">
        <v>5.11</v>
      </c>
      <c r="D122" s="20">
        <v>-14.47</v>
      </c>
      <c r="E122" s="20">
        <v>-15.13</v>
      </c>
      <c r="F122" s="16">
        <v>96.71</v>
      </c>
      <c r="G122" s="21">
        <v>-1274.29</v>
      </c>
      <c r="H122" s="21">
        <v>-2398.95</v>
      </c>
      <c r="I122" s="21">
        <v>-128.26</v>
      </c>
      <c r="J122" s="21">
        <v>-1159.1</v>
      </c>
      <c r="K122" s="21">
        <v>-4880.23</v>
      </c>
      <c r="L122" s="14">
        <v>464.56</v>
      </c>
      <c r="M122" s="14">
        <v>1505.69</v>
      </c>
      <c r="N122" s="14">
        <v>1160.22</v>
      </c>
      <c r="O122" s="21">
        <v>-1113.06</v>
      </c>
      <c r="P122" s="14">
        <v>151.89</v>
      </c>
      <c r="Q122" s="14">
        <v>3216.54</v>
      </c>
      <c r="R122" s="14">
        <v>142.67</v>
      </c>
      <c r="S122" s="14">
        <v>2124.71</v>
      </c>
      <c r="T122" s="14">
        <v>2701.78</v>
      </c>
      <c r="U122" s="14">
        <v>814.54</v>
      </c>
      <c r="V122" s="14">
        <v>199.86</v>
      </c>
    </row>
    <row r="123" ht="15.0" customHeight="1">
      <c r="A123" s="13" t="s">
        <v>169</v>
      </c>
      <c r="B123" s="15">
        <v>0.0</v>
      </c>
      <c r="C123" s="16">
        <v>3.64</v>
      </c>
      <c r="D123" s="20">
        <v>-5.81</v>
      </c>
      <c r="E123" s="20">
        <v>-15.13</v>
      </c>
      <c r="F123" s="16">
        <v>96.71</v>
      </c>
      <c r="G123" s="21">
        <v>-1274.29</v>
      </c>
      <c r="H123" s="21">
        <v>-2398.95</v>
      </c>
      <c r="I123" s="21">
        <v>-128.26</v>
      </c>
      <c r="J123" s="21">
        <v>-1159.1</v>
      </c>
      <c r="K123" s="21">
        <v>-4880.23</v>
      </c>
      <c r="L123" s="14">
        <v>464.56</v>
      </c>
      <c r="M123" s="14">
        <v>1505.69</v>
      </c>
      <c r="N123" s="14">
        <v>1160.22</v>
      </c>
      <c r="O123" s="21">
        <v>-1113.06</v>
      </c>
      <c r="P123" s="14">
        <v>151.89</v>
      </c>
      <c r="Q123" s="14">
        <v>3216.92</v>
      </c>
      <c r="R123" s="14">
        <v>142.55</v>
      </c>
      <c r="S123" s="14">
        <v>2124.21</v>
      </c>
      <c r="T123" s="14">
        <v>2701.78</v>
      </c>
      <c r="U123" s="14">
        <v>814.54</v>
      </c>
      <c r="V123" s="14">
        <v>199.86</v>
      </c>
    </row>
    <row r="124" ht="15.0" customHeight="1">
      <c r="A124" s="13" t="s">
        <v>170</v>
      </c>
      <c r="B124" s="16">
        <v>15.45</v>
      </c>
      <c r="C124" s="16">
        <v>5.11</v>
      </c>
      <c r="D124" s="20">
        <v>-14.47</v>
      </c>
      <c r="E124" s="20">
        <v>-15.13</v>
      </c>
      <c r="F124" s="16">
        <v>96.71</v>
      </c>
      <c r="G124" s="21">
        <v>-1274.29</v>
      </c>
      <c r="H124" s="21">
        <v>-2398.95</v>
      </c>
      <c r="I124" s="21">
        <v>-128.26</v>
      </c>
      <c r="J124" s="21">
        <v>-1159.1</v>
      </c>
      <c r="K124" s="21">
        <v>-4880.23</v>
      </c>
      <c r="L124" s="14">
        <v>464.56</v>
      </c>
      <c r="M124" s="14">
        <v>1505.69</v>
      </c>
      <c r="N124" s="14">
        <v>1160.22</v>
      </c>
      <c r="O124" s="21">
        <v>-1113.06</v>
      </c>
      <c r="P124" s="14">
        <v>151.89</v>
      </c>
      <c r="Q124" s="14">
        <v>3216.54</v>
      </c>
      <c r="R124" s="14">
        <v>142.67</v>
      </c>
      <c r="S124" s="14">
        <v>2124.71</v>
      </c>
      <c r="T124" s="14">
        <v>2701.78</v>
      </c>
      <c r="U124" s="14">
        <v>814.54</v>
      </c>
      <c r="V124" s="14">
        <v>199.77</v>
      </c>
    </row>
    <row r="125" ht="15.0" customHeight="1">
      <c r="A125" s="13" t="s">
        <v>171</v>
      </c>
      <c r="B125" s="15">
        <v>0.0</v>
      </c>
      <c r="C125" s="16">
        <v>3.64</v>
      </c>
      <c r="D125" s="20">
        <v>-5.81</v>
      </c>
      <c r="E125" s="20">
        <v>-15.13</v>
      </c>
      <c r="F125" s="16">
        <v>96.71</v>
      </c>
      <c r="G125" s="21">
        <v>-1274.29</v>
      </c>
      <c r="H125" s="21">
        <v>-2398.95</v>
      </c>
      <c r="I125" s="21">
        <v>-128.26</v>
      </c>
      <c r="J125" s="21">
        <v>-1159.1</v>
      </c>
      <c r="K125" s="21">
        <v>-4880.23</v>
      </c>
      <c r="L125" s="14">
        <v>464.56</v>
      </c>
      <c r="M125" s="14">
        <v>1505.69</v>
      </c>
      <c r="N125" s="14">
        <v>1160.22</v>
      </c>
      <c r="O125" s="21">
        <v>-1113.06</v>
      </c>
      <c r="P125" s="14">
        <v>151.89</v>
      </c>
      <c r="Q125" s="14">
        <v>3216.92</v>
      </c>
      <c r="R125" s="14">
        <v>142.55</v>
      </c>
      <c r="S125" s="14">
        <v>2124.21</v>
      </c>
      <c r="T125" s="14">
        <v>2701.78</v>
      </c>
      <c r="U125" s="14">
        <v>814.54</v>
      </c>
      <c r="V125" s="14">
        <v>199.77</v>
      </c>
    </row>
    <row r="126" ht="15.0" customHeight="1">
      <c r="A126" s="13" t="s">
        <v>172</v>
      </c>
      <c r="B126" s="14">
        <v>1272.2</v>
      </c>
      <c r="C126" s="14">
        <v>400.43</v>
      </c>
      <c r="D126" s="21">
        <v>-1113.02</v>
      </c>
      <c r="E126" s="21">
        <v>-1102.45</v>
      </c>
      <c r="F126" s="14">
        <v>7240.74</v>
      </c>
      <c r="G126" s="21">
        <v>-3129.56</v>
      </c>
      <c r="H126" s="21">
        <v>-5858.19</v>
      </c>
      <c r="I126" s="21">
        <v>-313.77</v>
      </c>
      <c r="J126" s="21">
        <v>-865.55</v>
      </c>
      <c r="K126" s="21">
        <v>-1581.11</v>
      </c>
      <c r="L126" s="14">
        <v>151.65</v>
      </c>
      <c r="M126" s="14">
        <v>490.99</v>
      </c>
      <c r="N126" s="14">
        <v>380.5</v>
      </c>
      <c r="O126" s="21">
        <v>-362.04</v>
      </c>
      <c r="P126" s="16">
        <v>48.42</v>
      </c>
      <c r="Q126" s="14">
        <v>1027.46</v>
      </c>
      <c r="R126" s="16">
        <v>45.56</v>
      </c>
      <c r="S126" s="14">
        <v>680.33</v>
      </c>
      <c r="T126" s="14">
        <v>865.96</v>
      </c>
      <c r="U126" s="14">
        <v>261.01</v>
      </c>
      <c r="V126" s="16">
        <v>63.63</v>
      </c>
    </row>
    <row r="127" ht="15.0" customHeight="1">
      <c r="A127" s="13" t="s">
        <v>173</v>
      </c>
      <c r="B127" s="15">
        <v>0.0</v>
      </c>
      <c r="C127" s="14">
        <v>281.63</v>
      </c>
      <c r="D127" s="21">
        <v>-436.92</v>
      </c>
      <c r="E127" s="21">
        <v>-1102.45</v>
      </c>
      <c r="F127" s="14">
        <v>7240.74</v>
      </c>
      <c r="G127" s="21">
        <v>-3129.56</v>
      </c>
      <c r="H127" s="21">
        <v>-5858.19</v>
      </c>
      <c r="I127" s="21">
        <v>-313.77</v>
      </c>
      <c r="J127" s="21">
        <v>-865.55</v>
      </c>
      <c r="K127" s="21">
        <v>-1581.11</v>
      </c>
      <c r="L127" s="14">
        <v>151.65</v>
      </c>
      <c r="M127" s="14">
        <v>490.99</v>
      </c>
      <c r="N127" s="14">
        <v>380.5</v>
      </c>
      <c r="O127" s="21">
        <v>-362.04</v>
      </c>
      <c r="P127" s="16">
        <v>48.42</v>
      </c>
      <c r="Q127" s="14">
        <v>1027.46</v>
      </c>
      <c r="R127" s="16">
        <v>45.56</v>
      </c>
      <c r="S127" s="14">
        <v>680.33</v>
      </c>
      <c r="T127" s="14">
        <v>865.96</v>
      </c>
      <c r="U127" s="14">
        <v>261.01</v>
      </c>
      <c r="V127" s="16">
        <v>63.63</v>
      </c>
    </row>
    <row r="128" ht="15.0" customHeight="1">
      <c r="A128" s="13" t="s">
        <v>174</v>
      </c>
      <c r="B128" s="14">
        <v>216.21</v>
      </c>
      <c r="C128" s="16">
        <v>0.23</v>
      </c>
      <c r="D128" s="16">
        <v>0.21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</row>
    <row r="129" ht="15.0" customHeight="1">
      <c r="A129" s="13" t="s">
        <v>175</v>
      </c>
      <c r="B129" s="15">
        <v>0.0</v>
      </c>
      <c r="C129" s="16">
        <v>68.89</v>
      </c>
      <c r="D129" s="16">
        <v>50.24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</row>
    <row r="130" ht="15.0" customHeight="1">
      <c r="A130" s="13" t="s">
        <v>176</v>
      </c>
      <c r="B130" s="16">
        <v>24.7</v>
      </c>
      <c r="C130" s="16">
        <v>39.06</v>
      </c>
      <c r="D130" s="16">
        <v>27.63</v>
      </c>
      <c r="E130" s="16">
        <v>34.45</v>
      </c>
      <c r="F130" s="16">
        <v>29.89</v>
      </c>
      <c r="G130" s="16">
        <v>15.87</v>
      </c>
      <c r="H130" s="15"/>
      <c r="I130" s="16">
        <v>12.92</v>
      </c>
      <c r="J130" s="16">
        <v>7.79</v>
      </c>
      <c r="K130" s="16">
        <v>11.23</v>
      </c>
      <c r="L130" s="16">
        <v>6.13</v>
      </c>
      <c r="M130" s="16">
        <v>5.91</v>
      </c>
      <c r="N130" s="16">
        <v>6.19</v>
      </c>
      <c r="O130" s="16">
        <v>4.95</v>
      </c>
      <c r="P130" s="15"/>
      <c r="Q130" s="16">
        <v>3.43</v>
      </c>
      <c r="R130" s="16">
        <v>3.73</v>
      </c>
      <c r="S130" s="16">
        <v>2.23</v>
      </c>
      <c r="T130" s="15"/>
      <c r="U130" s="15"/>
      <c r="V130" s="15"/>
    </row>
    <row r="131" ht="15.0" customHeight="1">
      <c r="A131" s="13" t="s">
        <v>177</v>
      </c>
      <c r="B131" s="15"/>
      <c r="C131" s="15"/>
      <c r="D131" s="15"/>
      <c r="E131" s="15"/>
      <c r="F131" s="16">
        <v>5.81</v>
      </c>
      <c r="G131" s="16">
        <v>2.15</v>
      </c>
      <c r="H131" s="15"/>
      <c r="I131" s="16">
        <v>6.34</v>
      </c>
      <c r="J131" s="16">
        <v>3.94</v>
      </c>
      <c r="K131" s="16">
        <v>8.32</v>
      </c>
      <c r="L131" s="16">
        <v>3.43</v>
      </c>
      <c r="M131" s="16">
        <v>3.16</v>
      </c>
      <c r="N131" s="16">
        <v>3.02</v>
      </c>
      <c r="O131" s="16">
        <v>2.5</v>
      </c>
      <c r="P131" s="15"/>
      <c r="Q131" s="16">
        <v>0.8</v>
      </c>
      <c r="R131" s="16">
        <v>1.5</v>
      </c>
      <c r="S131" s="16">
        <v>0.73</v>
      </c>
      <c r="T131" s="15"/>
      <c r="U131" s="15"/>
      <c r="V131" s="15"/>
    </row>
    <row r="132" ht="15.0" customHeight="1">
      <c r="A132" s="13" t="s">
        <v>178</v>
      </c>
      <c r="B132" s="16">
        <v>14.58</v>
      </c>
      <c r="C132" s="16">
        <v>21.87</v>
      </c>
      <c r="D132" s="16">
        <v>11.82</v>
      </c>
      <c r="E132" s="16">
        <v>16.16</v>
      </c>
      <c r="F132" s="16">
        <v>13.15</v>
      </c>
      <c r="G132" s="16">
        <v>12.57</v>
      </c>
      <c r="H132" s="15"/>
      <c r="I132" s="16">
        <v>5.11</v>
      </c>
      <c r="J132" s="16">
        <v>2.98</v>
      </c>
      <c r="K132" s="16">
        <v>2.88</v>
      </c>
      <c r="L132" s="16">
        <v>2.65</v>
      </c>
      <c r="M132" s="16">
        <v>2.65</v>
      </c>
      <c r="N132" s="16">
        <v>2.27</v>
      </c>
      <c r="O132" s="16">
        <v>2.05</v>
      </c>
      <c r="P132" s="15"/>
      <c r="Q132" s="16">
        <v>1.74</v>
      </c>
      <c r="R132" s="16">
        <v>1.43</v>
      </c>
      <c r="S132" s="16">
        <v>1.33</v>
      </c>
      <c r="T132" s="15"/>
      <c r="U132" s="15"/>
      <c r="V132" s="15"/>
    </row>
    <row r="133" ht="15.0" customHeight="1">
      <c r="A133" s="13" t="s">
        <v>179</v>
      </c>
      <c r="B133" s="15"/>
      <c r="C133" s="15"/>
      <c r="D133" s="15"/>
      <c r="E133" s="15"/>
      <c r="F133" s="16">
        <v>10.88</v>
      </c>
      <c r="G133" s="16">
        <v>1.07</v>
      </c>
      <c r="H133" s="15"/>
      <c r="I133" s="16">
        <v>1.47</v>
      </c>
      <c r="J133" s="16">
        <v>0.87</v>
      </c>
      <c r="K133" s="16">
        <v>0.03</v>
      </c>
      <c r="L133" s="16">
        <v>0.03</v>
      </c>
      <c r="M133" s="16">
        <v>0.04</v>
      </c>
      <c r="N133" s="16">
        <v>0.08</v>
      </c>
      <c r="O133" s="16">
        <v>0.05</v>
      </c>
      <c r="P133" s="15"/>
      <c r="Q133" s="15"/>
      <c r="R133" s="15"/>
      <c r="S133" s="15"/>
      <c r="T133" s="15"/>
      <c r="U133" s="15"/>
      <c r="V133" s="15"/>
    </row>
    <row r="134" ht="15.0" customHeight="1">
      <c r="A134" s="13" t="s">
        <v>180</v>
      </c>
      <c r="B134" s="15"/>
      <c r="C134" s="15"/>
      <c r="D134" s="15"/>
      <c r="E134" s="15"/>
      <c r="F134" s="16">
        <v>0.05</v>
      </c>
      <c r="G134" s="16">
        <v>0.08</v>
      </c>
      <c r="H134" s="15"/>
      <c r="I134" s="15"/>
      <c r="J134" s="15"/>
      <c r="K134" s="15"/>
      <c r="L134" s="16">
        <v>0.02</v>
      </c>
      <c r="M134" s="16">
        <v>0.07</v>
      </c>
      <c r="N134" s="16">
        <v>0.83</v>
      </c>
      <c r="O134" s="16">
        <v>0.36</v>
      </c>
      <c r="P134" s="15"/>
      <c r="Q134" s="16">
        <v>0.89</v>
      </c>
      <c r="R134" s="16">
        <v>0.8</v>
      </c>
      <c r="S134" s="16">
        <v>0.17</v>
      </c>
      <c r="T134" s="15"/>
      <c r="U134" s="15"/>
      <c r="V134" s="15"/>
    </row>
    <row r="135" ht="15.0" customHeight="1">
      <c r="A135" s="13" t="s">
        <v>181</v>
      </c>
      <c r="B135" s="16">
        <v>1.3</v>
      </c>
      <c r="C135" s="16">
        <v>6.06</v>
      </c>
      <c r="D135" s="16">
        <v>2.84</v>
      </c>
      <c r="E135" s="16">
        <v>1.66</v>
      </c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</row>
    <row r="136" ht="15.0" customHeight="1">
      <c r="A136" s="13" t="s">
        <v>182</v>
      </c>
      <c r="B136" s="16">
        <v>8.83</v>
      </c>
      <c r="C136" s="16">
        <v>11.13</v>
      </c>
      <c r="D136" s="16">
        <v>12.97</v>
      </c>
      <c r="E136" s="16">
        <v>16.63</v>
      </c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</row>
    <row r="137" ht="15.0" customHeight="1">
      <c r="A137" s="13" t="s">
        <v>183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20">
        <v>-2.51</v>
      </c>
      <c r="Q137" s="20">
        <v>-2.41</v>
      </c>
      <c r="R137" s="20">
        <v>-40.8</v>
      </c>
      <c r="S137" s="20">
        <v>-11.28</v>
      </c>
      <c r="T137" s="20">
        <v>-15.66</v>
      </c>
      <c r="U137" s="20">
        <v>-15.3</v>
      </c>
      <c r="V137" s="20">
        <v>-24.64</v>
      </c>
    </row>
    <row r="138" ht="15.0" customHeight="1">
      <c r="A138" s="13" t="s">
        <v>184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4">
        <v>370.65</v>
      </c>
      <c r="Q138" s="14">
        <v>254.15</v>
      </c>
      <c r="R138" s="14">
        <v>315.49</v>
      </c>
      <c r="S138" s="14">
        <v>221.89</v>
      </c>
      <c r="T138" s="14">
        <v>192.8</v>
      </c>
      <c r="U138" s="14">
        <v>137.17</v>
      </c>
      <c r="V138" s="16">
        <v>93.26</v>
      </c>
    </row>
    <row r="139" ht="15.0" customHeight="1">
      <c r="A139" s="13" t="s">
        <v>81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4">
        <v>638.59</v>
      </c>
      <c r="Q139" s="14">
        <v>728.95</v>
      </c>
      <c r="R139" s="14">
        <v>520.85</v>
      </c>
      <c r="S139" s="14">
        <v>437.28</v>
      </c>
      <c r="T139" s="14">
        <v>336.44</v>
      </c>
      <c r="U139" s="14">
        <v>329.96</v>
      </c>
      <c r="V139" s="14">
        <v>273.61</v>
      </c>
    </row>
    <row r="140" ht="15.0" customHeight="1">
      <c r="A140" s="13" t="s">
        <v>185</v>
      </c>
      <c r="B140" s="14">
        <v>419.17</v>
      </c>
      <c r="C140" s="14">
        <v>438.66</v>
      </c>
      <c r="D140" s="14">
        <v>233.52</v>
      </c>
      <c r="E140" s="14">
        <v>176.48</v>
      </c>
      <c r="F140" s="14">
        <v>241.44</v>
      </c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</row>
    <row r="141" ht="15.0" customHeight="1">
      <c r="A141" s="13" t="s">
        <v>186</v>
      </c>
      <c r="B141" s="16">
        <v>94.35</v>
      </c>
      <c r="C141" s="14">
        <v>708.09</v>
      </c>
      <c r="D141" s="14">
        <v>1132.81</v>
      </c>
      <c r="E141" s="14">
        <v>900.34</v>
      </c>
      <c r="F141" s="14">
        <v>918.91</v>
      </c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 ht="15.0" customHeight="1">
      <c r="A142" s="13" t="s">
        <v>187</v>
      </c>
      <c r="B142" s="14">
        <v>768.68</v>
      </c>
      <c r="C142" s="14">
        <v>447.5</v>
      </c>
      <c r="D142" s="14">
        <v>204.14</v>
      </c>
      <c r="E142" s="16">
        <v>92.71</v>
      </c>
      <c r="F142" s="14">
        <v>122.48</v>
      </c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</row>
    <row r="143" ht="15.0" customHeight="1">
      <c r="A143" s="13" t="s">
        <v>188</v>
      </c>
      <c r="B143" s="14">
        <v>863.03</v>
      </c>
      <c r="C143" s="14">
        <v>1155.58</v>
      </c>
      <c r="D143" s="14">
        <v>1336.95</v>
      </c>
      <c r="E143" s="14">
        <v>993.05</v>
      </c>
      <c r="F143" s="14">
        <v>1358.35</v>
      </c>
      <c r="G143" s="14">
        <v>1446.52</v>
      </c>
      <c r="H143" s="14">
        <v>1436.08</v>
      </c>
      <c r="I143" s="14">
        <v>993.1</v>
      </c>
      <c r="J143" s="14">
        <v>476.65</v>
      </c>
      <c r="K143" s="14">
        <v>483.07</v>
      </c>
      <c r="L143" s="14">
        <v>461.83</v>
      </c>
      <c r="M143" s="14">
        <v>431.37</v>
      </c>
      <c r="N143" s="14">
        <v>584.82</v>
      </c>
      <c r="O143" s="14">
        <v>918.53</v>
      </c>
      <c r="P143" s="14">
        <v>638.59</v>
      </c>
      <c r="Q143" s="14">
        <v>728.95</v>
      </c>
      <c r="R143" s="14">
        <v>520.85</v>
      </c>
      <c r="S143" s="14">
        <v>437.28</v>
      </c>
      <c r="T143" s="14">
        <v>336.44</v>
      </c>
      <c r="U143" s="14">
        <v>329.96</v>
      </c>
      <c r="V143" s="14">
        <v>273.61</v>
      </c>
    </row>
    <row r="144" ht="15.0" customHeight="1">
      <c r="A144" s="13" t="s">
        <v>189</v>
      </c>
      <c r="B144" s="15"/>
      <c r="C144" s="15"/>
      <c r="D144" s="15"/>
      <c r="E144" s="14">
        <v>993.05</v>
      </c>
      <c r="F144" s="14">
        <v>1358.35</v>
      </c>
      <c r="G144" s="14">
        <v>1446.52</v>
      </c>
      <c r="H144" s="14">
        <v>1436.08</v>
      </c>
      <c r="I144" s="14">
        <v>993.1</v>
      </c>
      <c r="J144" s="14">
        <v>476.65</v>
      </c>
      <c r="K144" s="14">
        <v>483.07</v>
      </c>
      <c r="L144" s="14">
        <v>461.83</v>
      </c>
      <c r="M144" s="14">
        <v>431.37</v>
      </c>
      <c r="N144" s="14">
        <v>584.82</v>
      </c>
      <c r="O144" s="14">
        <v>932.25</v>
      </c>
      <c r="P144" s="14">
        <v>638.59</v>
      </c>
      <c r="Q144" s="14">
        <v>728.95</v>
      </c>
      <c r="R144" s="14">
        <v>520.85</v>
      </c>
      <c r="S144" s="14">
        <v>437.28</v>
      </c>
      <c r="T144" s="14">
        <v>336.44</v>
      </c>
      <c r="U144" s="15"/>
      <c r="V144" s="14">
        <v>273.61</v>
      </c>
    </row>
    <row r="145" ht="15.0" customHeight="1">
      <c r="A145" s="13" t="s">
        <v>190</v>
      </c>
      <c r="B145" s="15"/>
      <c r="C145" s="15"/>
      <c r="D145" s="21">
        <v>-613.83</v>
      </c>
      <c r="E145" s="16">
        <v>20.0</v>
      </c>
      <c r="F145" s="21">
        <v>-700.0</v>
      </c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  <row r="146" ht="15.0" customHeight="1">
      <c r="A146" s="13" t="s">
        <v>191</v>
      </c>
      <c r="B146" s="20">
        <v>-71.9</v>
      </c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 ht="15.0" customHeight="1">
      <c r="A147" s="13" t="s">
        <v>192</v>
      </c>
      <c r="B147" s="14">
        <v>1425.0</v>
      </c>
      <c r="C147" s="14">
        <v>3294.0</v>
      </c>
      <c r="D147" s="14">
        <v>1650.0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</row>
    <row r="148" ht="15.0" customHeight="1">
      <c r="A148" s="13" t="s">
        <v>193</v>
      </c>
      <c r="B148" s="16">
        <v>82.35</v>
      </c>
      <c r="C148" s="16">
        <v>78.3</v>
      </c>
      <c r="D148" s="16">
        <v>76.93</v>
      </c>
      <c r="E148" s="16">
        <v>75.11</v>
      </c>
      <c r="F148" s="16">
        <v>74.87</v>
      </c>
      <c r="G148" s="16">
        <v>2.45</v>
      </c>
      <c r="H148" s="16">
        <v>2.45</v>
      </c>
      <c r="I148" s="16">
        <v>2.45</v>
      </c>
      <c r="J148" s="15"/>
      <c r="K148" s="16">
        <v>0.32</v>
      </c>
      <c r="L148" s="16">
        <v>0.33</v>
      </c>
      <c r="M148" s="16">
        <v>0.33</v>
      </c>
      <c r="N148" s="16">
        <v>0.33</v>
      </c>
      <c r="O148" s="16">
        <v>0.33</v>
      </c>
      <c r="P148" s="15"/>
      <c r="Q148" s="15"/>
      <c r="R148" s="15"/>
      <c r="S148" s="15"/>
      <c r="T148" s="15"/>
      <c r="U148" s="15"/>
      <c r="V148" s="15"/>
    </row>
    <row r="149" ht="15.0" customHeight="1">
      <c r="A149" s="13" t="s">
        <v>194</v>
      </c>
      <c r="B149" s="16">
        <v>82.35</v>
      </c>
      <c r="C149" s="16">
        <v>78.3</v>
      </c>
      <c r="D149" s="16">
        <v>76.93</v>
      </c>
      <c r="E149" s="16">
        <v>75.11</v>
      </c>
      <c r="F149" s="16">
        <v>74.87</v>
      </c>
      <c r="G149" s="16">
        <v>2.45</v>
      </c>
      <c r="H149" s="16">
        <v>2.45</v>
      </c>
      <c r="I149" s="16">
        <v>2.45</v>
      </c>
      <c r="J149" s="15"/>
      <c r="K149" s="16">
        <v>0.32</v>
      </c>
      <c r="L149" s="16">
        <v>0.33</v>
      </c>
      <c r="M149" s="16">
        <v>0.33</v>
      </c>
      <c r="N149" s="16">
        <v>0.33</v>
      </c>
      <c r="O149" s="16">
        <v>0.33</v>
      </c>
      <c r="P149" s="15"/>
      <c r="Q149" s="15"/>
      <c r="R149" s="15"/>
      <c r="S149" s="15"/>
      <c r="T149" s="15"/>
      <c r="U149" s="15"/>
      <c r="V149" s="15"/>
    </row>
    <row r="150" ht="15.0" customHeight="1">
      <c r="A150" s="13" t="s">
        <v>195</v>
      </c>
      <c r="B150" s="16">
        <v>15.45</v>
      </c>
      <c r="C150" s="16">
        <v>5.11</v>
      </c>
      <c r="D150" s="20">
        <v>-14.47</v>
      </c>
      <c r="E150" s="20">
        <v>-15.13</v>
      </c>
      <c r="F150" s="16">
        <v>96.71</v>
      </c>
      <c r="G150" s="21">
        <v>-1274.29</v>
      </c>
      <c r="H150" s="21">
        <v>-2398.95</v>
      </c>
      <c r="I150" s="21">
        <v>-128.26</v>
      </c>
      <c r="J150" s="15"/>
      <c r="K150" s="21">
        <v>-4880.23</v>
      </c>
      <c r="L150" s="14">
        <v>464.56</v>
      </c>
      <c r="M150" s="14">
        <v>1505.69</v>
      </c>
      <c r="N150" s="14">
        <v>1160.22</v>
      </c>
      <c r="O150" s="21">
        <v>-1113.06</v>
      </c>
      <c r="P150" s="15"/>
      <c r="Q150" s="15"/>
      <c r="R150" s="15"/>
      <c r="S150" s="15"/>
      <c r="T150" s="15"/>
      <c r="U150" s="15"/>
      <c r="V150" s="15"/>
    </row>
    <row r="151" ht="15.0" customHeight="1">
      <c r="A151" s="13" t="s">
        <v>196</v>
      </c>
      <c r="B151" s="16">
        <v>15.45</v>
      </c>
      <c r="C151" s="16">
        <v>5.11</v>
      </c>
      <c r="D151" s="20">
        <v>-14.47</v>
      </c>
      <c r="E151" s="20">
        <v>-15.13</v>
      </c>
      <c r="F151" s="16">
        <v>96.71</v>
      </c>
      <c r="G151" s="21">
        <v>-1274.29</v>
      </c>
      <c r="H151" s="21">
        <v>-2398.95</v>
      </c>
      <c r="I151" s="21">
        <v>-128.26</v>
      </c>
      <c r="J151" s="15"/>
      <c r="K151" s="21">
        <v>-4880.23</v>
      </c>
      <c r="L151" s="14">
        <v>464.56</v>
      </c>
      <c r="M151" s="14">
        <v>1505.69</v>
      </c>
      <c r="N151" s="14">
        <v>1160.22</v>
      </c>
      <c r="O151" s="21">
        <v>-1113.06</v>
      </c>
      <c r="P151" s="15"/>
      <c r="Q151" s="15"/>
      <c r="R151" s="15"/>
      <c r="S151" s="15"/>
      <c r="T151" s="15"/>
      <c r="U151" s="15"/>
      <c r="V151" s="15"/>
    </row>
    <row r="152" ht="15.0" customHeight="1">
      <c r="A152" s="13" t="s">
        <v>197</v>
      </c>
      <c r="B152" s="14">
        <v>1272.2</v>
      </c>
      <c r="C152" s="14">
        <v>400.43</v>
      </c>
      <c r="D152" s="21">
        <v>-1113.02</v>
      </c>
      <c r="E152" s="21">
        <v>-1102.45</v>
      </c>
      <c r="F152" s="14">
        <v>7240.74</v>
      </c>
      <c r="G152" s="21">
        <v>-3129.56</v>
      </c>
      <c r="H152" s="21">
        <v>-5858.19</v>
      </c>
      <c r="I152" s="21">
        <v>-313.77</v>
      </c>
      <c r="J152" s="15"/>
      <c r="K152" s="21">
        <v>-1581.11</v>
      </c>
      <c r="L152" s="14">
        <v>151.65</v>
      </c>
      <c r="M152" s="14">
        <v>490.99</v>
      </c>
      <c r="N152" s="14">
        <v>380.5</v>
      </c>
      <c r="O152" s="21">
        <v>-362.04</v>
      </c>
      <c r="P152" s="15"/>
      <c r="Q152" s="15"/>
      <c r="R152" s="15"/>
      <c r="S152" s="15"/>
      <c r="T152" s="15"/>
      <c r="U152" s="15"/>
      <c r="V152" s="15"/>
    </row>
    <row r="153" ht="15.0" customHeight="1">
      <c r="A153" s="13" t="s">
        <v>198</v>
      </c>
      <c r="B153" s="14">
        <v>1272.2</v>
      </c>
      <c r="C153" s="14">
        <v>400.43</v>
      </c>
      <c r="D153" s="21">
        <v>-1113.02</v>
      </c>
      <c r="E153" s="21">
        <v>-1102.45</v>
      </c>
      <c r="F153" s="14">
        <v>7240.74</v>
      </c>
      <c r="G153" s="21">
        <v>-3129.56</v>
      </c>
      <c r="H153" s="21">
        <v>-5858.19</v>
      </c>
      <c r="I153" s="21">
        <v>-313.77</v>
      </c>
      <c r="J153" s="15"/>
      <c r="K153" s="21">
        <v>-1581.11</v>
      </c>
      <c r="L153" s="14">
        <v>151.65</v>
      </c>
      <c r="M153" s="14">
        <v>490.99</v>
      </c>
      <c r="N153" s="14">
        <v>380.5</v>
      </c>
      <c r="O153" s="21">
        <v>-362.04</v>
      </c>
      <c r="P153" s="15"/>
      <c r="Q153" s="15"/>
      <c r="R153" s="15"/>
      <c r="S153" s="15"/>
      <c r="T153" s="15"/>
      <c r="U153" s="15"/>
      <c r="V153" s="15"/>
    </row>
    <row r="154" ht="15.0" customHeight="1">
      <c r="A154" s="13" t="s">
        <v>199</v>
      </c>
      <c r="B154" s="15">
        <v>0.0</v>
      </c>
      <c r="C154" s="16">
        <v>3.64</v>
      </c>
      <c r="D154" s="20">
        <v>-5.81</v>
      </c>
      <c r="E154" s="20">
        <v>-15.13</v>
      </c>
      <c r="F154" s="16">
        <v>96.71</v>
      </c>
      <c r="G154" s="21">
        <v>-1274.29</v>
      </c>
      <c r="H154" s="21">
        <v>-2398.95</v>
      </c>
      <c r="I154" s="21">
        <v>-128.26</v>
      </c>
      <c r="J154" s="15"/>
      <c r="K154" s="21">
        <v>-4880.23</v>
      </c>
      <c r="L154" s="14">
        <v>464.56</v>
      </c>
      <c r="M154" s="14">
        <v>1505.69</v>
      </c>
      <c r="N154" s="14">
        <v>1160.22</v>
      </c>
      <c r="O154" s="21">
        <v>-1113.06</v>
      </c>
      <c r="P154" s="15"/>
      <c r="Q154" s="15"/>
      <c r="R154" s="15"/>
      <c r="S154" s="15"/>
      <c r="T154" s="15"/>
      <c r="U154" s="15"/>
      <c r="V154" s="15"/>
    </row>
    <row r="155" ht="15.0" customHeight="1">
      <c r="A155" s="13" t="s">
        <v>200</v>
      </c>
      <c r="B155" s="15">
        <v>0.0</v>
      </c>
      <c r="C155" s="16">
        <v>3.64</v>
      </c>
      <c r="D155" s="20">
        <v>-5.81</v>
      </c>
      <c r="E155" s="20">
        <v>-15.13</v>
      </c>
      <c r="F155" s="16">
        <v>96.71</v>
      </c>
      <c r="G155" s="21">
        <v>-1274.29</v>
      </c>
      <c r="H155" s="21">
        <v>-2398.95</v>
      </c>
      <c r="I155" s="21">
        <v>-128.26</v>
      </c>
      <c r="J155" s="15"/>
      <c r="K155" s="21">
        <v>-4880.23</v>
      </c>
      <c r="L155" s="14">
        <v>464.56</v>
      </c>
      <c r="M155" s="14">
        <v>1505.69</v>
      </c>
      <c r="N155" s="14">
        <v>1160.22</v>
      </c>
      <c r="O155" s="21">
        <v>-1113.06</v>
      </c>
      <c r="P155" s="15"/>
      <c r="Q155" s="15"/>
      <c r="R155" s="15"/>
      <c r="S155" s="15"/>
      <c r="T155" s="15"/>
      <c r="U155" s="15"/>
      <c r="V155" s="15"/>
    </row>
    <row r="156" ht="15.0" customHeight="1">
      <c r="A156" s="13" t="s">
        <v>201</v>
      </c>
      <c r="B156" s="15">
        <v>0.0</v>
      </c>
      <c r="C156" s="14">
        <v>281.63</v>
      </c>
      <c r="D156" s="21">
        <v>-436.92</v>
      </c>
      <c r="E156" s="21">
        <v>-1102.45</v>
      </c>
      <c r="F156" s="14">
        <v>7240.74</v>
      </c>
      <c r="G156" s="21">
        <v>-3129.56</v>
      </c>
      <c r="H156" s="21">
        <v>-5858.19</v>
      </c>
      <c r="I156" s="21">
        <v>-313.77</v>
      </c>
      <c r="J156" s="15"/>
      <c r="K156" s="21">
        <v>-1581.11</v>
      </c>
      <c r="L156" s="14">
        <v>151.65</v>
      </c>
      <c r="M156" s="14">
        <v>490.99</v>
      </c>
      <c r="N156" s="14">
        <v>380.5</v>
      </c>
      <c r="O156" s="21">
        <v>-362.04</v>
      </c>
      <c r="P156" s="15"/>
      <c r="Q156" s="15"/>
      <c r="R156" s="15"/>
      <c r="S156" s="15"/>
      <c r="T156" s="15"/>
      <c r="U156" s="15"/>
      <c r="V156" s="15"/>
    </row>
    <row r="157" ht="15.0" customHeight="1">
      <c r="A157" s="13" t="s">
        <v>202</v>
      </c>
      <c r="B157" s="15">
        <v>0.0</v>
      </c>
      <c r="C157" s="14">
        <v>281.63</v>
      </c>
      <c r="D157" s="21">
        <v>-436.92</v>
      </c>
      <c r="E157" s="21">
        <v>-1102.45</v>
      </c>
      <c r="F157" s="14">
        <v>7240.74</v>
      </c>
      <c r="G157" s="21">
        <v>-3129.56</v>
      </c>
      <c r="H157" s="21">
        <v>-5858.19</v>
      </c>
      <c r="I157" s="21">
        <v>-313.77</v>
      </c>
      <c r="J157" s="15"/>
      <c r="K157" s="21">
        <v>-1581.11</v>
      </c>
      <c r="L157" s="14">
        <v>151.65</v>
      </c>
      <c r="M157" s="14">
        <v>490.99</v>
      </c>
      <c r="N157" s="14">
        <v>380.5</v>
      </c>
      <c r="O157" s="21">
        <v>-362.04</v>
      </c>
      <c r="P157" s="15"/>
      <c r="Q157" s="15"/>
      <c r="R157" s="15"/>
      <c r="S157" s="15"/>
      <c r="T157" s="15"/>
      <c r="U157" s="15"/>
      <c r="V157" s="15"/>
    </row>
    <row r="158" ht="15.0" customHeight="1">
      <c r="A158" s="13" t="s">
        <v>203</v>
      </c>
      <c r="B158" s="15">
        <v>0.0</v>
      </c>
      <c r="C158" s="16">
        <v>1.0</v>
      </c>
      <c r="D158" s="16">
        <v>1.0</v>
      </c>
      <c r="E158" s="16">
        <v>1.0</v>
      </c>
      <c r="F158" s="16">
        <v>1.0</v>
      </c>
      <c r="G158" s="16">
        <v>1.0</v>
      </c>
      <c r="H158" s="16">
        <v>1.0</v>
      </c>
      <c r="I158" s="16">
        <v>1.0</v>
      </c>
      <c r="J158" s="15"/>
      <c r="K158" s="16">
        <v>1.0</v>
      </c>
      <c r="L158" s="16">
        <v>1.0</v>
      </c>
      <c r="M158" s="16">
        <v>1.0</v>
      </c>
      <c r="N158" s="16">
        <v>1.0</v>
      </c>
      <c r="O158" s="16">
        <v>1.0</v>
      </c>
      <c r="P158" s="15"/>
      <c r="Q158" s="15"/>
      <c r="R158" s="15"/>
      <c r="S158" s="15"/>
      <c r="T158" s="15"/>
      <c r="U158" s="15"/>
      <c r="V158" s="15"/>
    </row>
    <row r="159" ht="15.0" customHeight="1">
      <c r="A159" s="13" t="s">
        <v>204</v>
      </c>
      <c r="B159" s="15">
        <v>0.0</v>
      </c>
      <c r="C159" s="16">
        <v>1.0</v>
      </c>
      <c r="D159" s="16">
        <v>1.0</v>
      </c>
      <c r="E159" s="16">
        <v>1.0</v>
      </c>
      <c r="F159" s="16">
        <v>1.0</v>
      </c>
      <c r="G159" s="16">
        <v>1.0</v>
      </c>
      <c r="H159" s="16">
        <v>1.0</v>
      </c>
      <c r="I159" s="16">
        <v>1.0</v>
      </c>
      <c r="J159" s="15"/>
      <c r="K159" s="16">
        <v>1.0</v>
      </c>
      <c r="L159" s="16">
        <v>1.0</v>
      </c>
      <c r="M159" s="16">
        <v>1.0</v>
      </c>
      <c r="N159" s="16">
        <v>1.0</v>
      </c>
      <c r="O159" s="16">
        <v>1.0</v>
      </c>
      <c r="P159" s="15"/>
      <c r="Q159" s="15"/>
      <c r="R159" s="15"/>
      <c r="S159" s="15"/>
      <c r="T159" s="15"/>
      <c r="U159" s="15"/>
      <c r="V159" s="15"/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46091.5206340393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43100.0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39082.0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206</v>
      </c>
      <c r="C15" s="10" t="s">
        <v>206</v>
      </c>
      <c r="D15" s="10" t="s">
        <v>206</v>
      </c>
      <c r="E15" s="10" t="s">
        <v>206</v>
      </c>
      <c r="F15" s="10" t="s">
        <v>206</v>
      </c>
      <c r="G15" s="10" t="s">
        <v>206</v>
      </c>
      <c r="H15" s="10" t="s">
        <v>206</v>
      </c>
      <c r="I15" s="10" t="s">
        <v>206</v>
      </c>
      <c r="J15" s="10" t="s">
        <v>206</v>
      </c>
      <c r="K15" s="10" t="s">
        <v>206</v>
      </c>
      <c r="L15" s="10" t="s">
        <v>206</v>
      </c>
      <c r="M15" s="10" t="s">
        <v>206</v>
      </c>
      <c r="N15" s="10" t="s">
        <v>206</v>
      </c>
      <c r="O15" s="10" t="s">
        <v>206</v>
      </c>
      <c r="P15" s="10" t="s">
        <v>206</v>
      </c>
      <c r="Q15" s="10" t="s">
        <v>206</v>
      </c>
      <c r="R15" s="10" t="s">
        <v>206</v>
      </c>
      <c r="S15" s="10" t="s">
        <v>206</v>
      </c>
      <c r="T15" s="10" t="s">
        <v>206</v>
      </c>
      <c r="U15" s="10" t="s">
        <v>206</v>
      </c>
      <c r="V15" s="10" t="s">
        <v>206</v>
      </c>
    </row>
    <row r="17">
      <c r="A17" s="11" t="s">
        <v>207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208</v>
      </c>
      <c r="B19" s="14">
        <v>750.65</v>
      </c>
      <c r="C19" s="14">
        <v>312.43</v>
      </c>
      <c r="D19" s="14">
        <v>1930.63</v>
      </c>
      <c r="E19" s="14">
        <v>1237.84</v>
      </c>
      <c r="F19" s="15"/>
      <c r="G19" s="15"/>
      <c r="H19" s="14">
        <v>1481.86</v>
      </c>
      <c r="I19" s="14">
        <v>1521.38</v>
      </c>
      <c r="J19" s="14">
        <v>940.71</v>
      </c>
      <c r="K19" s="14">
        <v>917.88</v>
      </c>
      <c r="L19" s="14">
        <v>1114.45</v>
      </c>
      <c r="M19" s="14">
        <v>975.5</v>
      </c>
      <c r="N19" s="14">
        <v>743.2</v>
      </c>
      <c r="O19" s="14">
        <v>875.99</v>
      </c>
      <c r="P19" s="15"/>
      <c r="Q19" s="14">
        <v>808.46</v>
      </c>
      <c r="R19" s="15"/>
      <c r="S19" s="15"/>
      <c r="T19" s="15"/>
      <c r="U19" s="15"/>
      <c r="V19" s="15"/>
    </row>
    <row r="20" ht="15.0" customHeight="1">
      <c r="A20" s="13" t="s">
        <v>209</v>
      </c>
      <c r="B20" s="14">
        <v>750.65</v>
      </c>
      <c r="C20" s="14">
        <v>312.43</v>
      </c>
      <c r="D20" s="14">
        <v>1232.49</v>
      </c>
      <c r="E20" s="14">
        <v>816.75</v>
      </c>
      <c r="F20" s="14">
        <v>839.63</v>
      </c>
      <c r="G20" s="14">
        <v>889.03</v>
      </c>
      <c r="H20" s="14">
        <v>926.81</v>
      </c>
      <c r="I20" s="14">
        <v>1064.94</v>
      </c>
      <c r="J20" s="14">
        <v>570.68</v>
      </c>
      <c r="K20" s="14">
        <v>635.07</v>
      </c>
      <c r="L20" s="14">
        <v>756.79</v>
      </c>
      <c r="M20" s="14">
        <v>707.85</v>
      </c>
      <c r="N20" s="14">
        <v>518.04</v>
      </c>
      <c r="O20" s="14">
        <v>700.21</v>
      </c>
      <c r="P20" s="14">
        <v>521.74</v>
      </c>
      <c r="Q20" s="15"/>
      <c r="R20" s="14">
        <v>497.22</v>
      </c>
      <c r="S20" s="14">
        <v>509.84</v>
      </c>
      <c r="T20" s="14">
        <v>356.71</v>
      </c>
      <c r="U20" s="14">
        <v>230.21</v>
      </c>
      <c r="V20" s="14">
        <v>167.64</v>
      </c>
    </row>
    <row r="21" ht="15.0" customHeight="1">
      <c r="A21" s="13" t="s">
        <v>210</v>
      </c>
      <c r="B21" s="15"/>
      <c r="C21" s="15"/>
      <c r="D21" s="15"/>
      <c r="E21" s="15"/>
      <c r="F21" s="15"/>
      <c r="G21" s="14">
        <v>859.73</v>
      </c>
      <c r="H21" s="14">
        <v>901.67</v>
      </c>
      <c r="I21" s="14">
        <v>993.49</v>
      </c>
      <c r="J21" s="14">
        <v>562.02</v>
      </c>
      <c r="K21" s="14">
        <v>612.97</v>
      </c>
      <c r="L21" s="14">
        <v>756.77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ht="15.0" customHeight="1">
      <c r="A22" s="13" t="s">
        <v>211</v>
      </c>
      <c r="B22" s="15"/>
      <c r="C22" s="15"/>
      <c r="D22" s="15"/>
      <c r="E22" s="15"/>
      <c r="F22" s="15"/>
      <c r="G22" s="15"/>
      <c r="H22" s="17">
        <v>0.0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ht="15.0" customHeight="1">
      <c r="A23" s="13" t="s">
        <v>211</v>
      </c>
      <c r="B23" s="15"/>
      <c r="C23" s="15"/>
      <c r="D23" s="15"/>
      <c r="E23" s="15"/>
      <c r="F23" s="14">
        <v>806.75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ht="15.0" customHeight="1">
      <c r="A24" s="13" t="s">
        <v>212</v>
      </c>
      <c r="B24" s="15"/>
      <c r="C24" s="15"/>
      <c r="D24" s="15"/>
      <c r="E24" s="15"/>
      <c r="F24" s="15"/>
      <c r="G24" s="15"/>
      <c r="H24" s="15">
        <v>0.0</v>
      </c>
      <c r="I24" s="16">
        <v>2.61</v>
      </c>
      <c r="J24" s="15"/>
      <c r="K24" s="15"/>
      <c r="L24" s="15"/>
      <c r="M24" s="15"/>
      <c r="N24" s="16">
        <v>25.52</v>
      </c>
      <c r="O24" s="16">
        <v>14.57</v>
      </c>
      <c r="P24" s="16">
        <v>11.83</v>
      </c>
      <c r="Q24" s="15"/>
      <c r="R24" s="16">
        <v>46.86</v>
      </c>
      <c r="S24" s="15"/>
      <c r="T24" s="15"/>
      <c r="U24" s="15"/>
      <c r="V24" s="15"/>
    </row>
    <row r="25" ht="15.0" customHeight="1">
      <c r="A25" s="13" t="s">
        <v>213</v>
      </c>
      <c r="B25" s="15"/>
      <c r="C25" s="15"/>
      <c r="D25" s="15"/>
      <c r="E25" s="15"/>
      <c r="F25" s="15"/>
      <c r="G25" s="15"/>
      <c r="H25" s="15"/>
      <c r="I25" s="17">
        <v>0.0</v>
      </c>
      <c r="J25" s="15"/>
      <c r="K25" s="15"/>
      <c r="L25" s="15"/>
      <c r="M25" s="15"/>
      <c r="N25" s="17">
        <v>0.0</v>
      </c>
      <c r="O25" s="15">
        <v>0.0</v>
      </c>
      <c r="P25" s="15"/>
      <c r="Q25" s="15"/>
      <c r="R25" s="15"/>
      <c r="S25" s="15"/>
      <c r="T25" s="15"/>
      <c r="U25" s="15"/>
      <c r="V25" s="15"/>
    </row>
    <row r="26" ht="15.0" customHeight="1">
      <c r="A26" s="13" t="s">
        <v>214</v>
      </c>
      <c r="B26" s="15">
        <v>0.0</v>
      </c>
      <c r="C26" s="15">
        <v>0.0</v>
      </c>
      <c r="D26" s="16">
        <v>21.0</v>
      </c>
      <c r="E26" s="16">
        <v>15.2</v>
      </c>
      <c r="F26" s="16">
        <v>11.1</v>
      </c>
      <c r="G26" s="16">
        <v>8.22</v>
      </c>
      <c r="H26" s="16">
        <v>11.91</v>
      </c>
      <c r="I26" s="16">
        <v>11.69</v>
      </c>
      <c r="J26" s="16">
        <v>10.19</v>
      </c>
      <c r="K26" s="16">
        <v>0.23</v>
      </c>
      <c r="L26" s="16">
        <v>0.38</v>
      </c>
      <c r="M26" s="16">
        <v>0.48</v>
      </c>
      <c r="N26" s="16">
        <v>0.39</v>
      </c>
      <c r="O26" s="16">
        <v>0.34</v>
      </c>
      <c r="P26" s="16">
        <v>0.32</v>
      </c>
      <c r="Q26" s="16">
        <v>0.31</v>
      </c>
      <c r="R26" s="16">
        <v>16.97</v>
      </c>
      <c r="S26" s="16">
        <v>60.03</v>
      </c>
      <c r="T26" s="14">
        <v>126.39</v>
      </c>
      <c r="U26" s="15">
        <v>0.0</v>
      </c>
      <c r="V26" s="15"/>
    </row>
    <row r="27" ht="15.0" customHeight="1">
      <c r="A27" s="13" t="s">
        <v>215</v>
      </c>
      <c r="B27" s="16">
        <v>27.09</v>
      </c>
      <c r="C27" s="16">
        <v>23.1</v>
      </c>
      <c r="D27" s="14">
        <v>228.2</v>
      </c>
      <c r="E27" s="14">
        <v>173.04</v>
      </c>
      <c r="F27" s="14">
        <v>165.33</v>
      </c>
      <c r="G27" s="14">
        <v>177.23</v>
      </c>
      <c r="H27" s="14">
        <v>170.19</v>
      </c>
      <c r="I27" s="14">
        <v>219.27</v>
      </c>
      <c r="J27" s="16">
        <v>73.12</v>
      </c>
      <c r="K27" s="16">
        <v>57.03</v>
      </c>
      <c r="L27" s="16">
        <v>61.19</v>
      </c>
      <c r="M27" s="16">
        <v>68.89</v>
      </c>
      <c r="N27" s="16">
        <v>73.47</v>
      </c>
      <c r="O27" s="16">
        <v>59.84</v>
      </c>
      <c r="P27" s="15"/>
      <c r="Q27" s="16">
        <v>39.47</v>
      </c>
      <c r="R27" s="15"/>
      <c r="S27" s="15"/>
      <c r="T27" s="16">
        <v>18.98</v>
      </c>
      <c r="U27" s="16">
        <v>26.4</v>
      </c>
      <c r="V27" s="16">
        <v>14.8</v>
      </c>
    </row>
    <row r="28" ht="15.0" customHeight="1">
      <c r="A28" s="13" t="s">
        <v>216</v>
      </c>
      <c r="B28" s="16">
        <v>15.17</v>
      </c>
      <c r="C28" s="16">
        <v>14.45</v>
      </c>
      <c r="D28" s="14">
        <v>104.43</v>
      </c>
      <c r="E28" s="16">
        <v>84.13</v>
      </c>
      <c r="F28" s="16">
        <v>80.04</v>
      </c>
      <c r="G28" s="14">
        <v>152.02</v>
      </c>
      <c r="H28" s="14">
        <v>144.35</v>
      </c>
      <c r="I28" s="14">
        <v>166.86</v>
      </c>
      <c r="J28" s="16">
        <v>51.17</v>
      </c>
      <c r="K28" s="16">
        <v>36.11</v>
      </c>
      <c r="L28" s="16">
        <v>29.43</v>
      </c>
      <c r="M28" s="16">
        <v>36.42</v>
      </c>
      <c r="N28" s="16">
        <v>36.39</v>
      </c>
      <c r="O28" s="16">
        <v>25.45</v>
      </c>
      <c r="P28" s="16">
        <v>32.56</v>
      </c>
      <c r="Q28" s="15"/>
      <c r="R28" s="16">
        <v>3.12</v>
      </c>
      <c r="S28" s="16">
        <v>11.18</v>
      </c>
      <c r="T28" s="15"/>
      <c r="U28" s="15"/>
      <c r="V28" s="15"/>
    </row>
    <row r="29" ht="15.0" customHeight="1">
      <c r="A29" s="13" t="s">
        <v>217</v>
      </c>
      <c r="B29" s="16">
        <v>11.49</v>
      </c>
      <c r="C29" s="16">
        <v>8.22</v>
      </c>
      <c r="D29" s="16">
        <v>40.64</v>
      </c>
      <c r="E29" s="16">
        <v>33.31</v>
      </c>
      <c r="F29" s="16">
        <v>36.64</v>
      </c>
      <c r="G29" s="16">
        <v>14.04</v>
      </c>
      <c r="H29" s="16">
        <v>18.05</v>
      </c>
      <c r="I29" s="16">
        <v>21.86</v>
      </c>
      <c r="J29" s="16">
        <v>17.35</v>
      </c>
      <c r="K29" s="16">
        <v>14.78</v>
      </c>
      <c r="L29" s="16">
        <v>16.44</v>
      </c>
      <c r="M29" s="16">
        <v>15.52</v>
      </c>
      <c r="N29" s="16">
        <v>20.34</v>
      </c>
      <c r="O29" s="16">
        <v>14.68</v>
      </c>
      <c r="P29" s="16">
        <v>17.49</v>
      </c>
      <c r="Q29" s="15"/>
      <c r="R29" s="16">
        <v>8.26</v>
      </c>
      <c r="S29" s="16">
        <v>6.59</v>
      </c>
      <c r="T29" s="15"/>
      <c r="U29" s="15"/>
      <c r="V29" s="15"/>
    </row>
    <row r="30" ht="15.0" customHeight="1">
      <c r="A30" s="13" t="s">
        <v>218</v>
      </c>
      <c r="B30" s="15"/>
      <c r="C30" s="15"/>
      <c r="D30" s="15"/>
      <c r="E30" s="15"/>
      <c r="F30" s="15"/>
      <c r="G30" s="15">
        <v>0.0</v>
      </c>
      <c r="H30" s="16">
        <v>0.4</v>
      </c>
      <c r="I30" s="16">
        <v>5.3</v>
      </c>
      <c r="J30" s="16">
        <v>4.6</v>
      </c>
      <c r="K30" s="16">
        <v>6.14</v>
      </c>
      <c r="L30" s="16">
        <v>8.54</v>
      </c>
      <c r="M30" s="16">
        <v>9.17</v>
      </c>
      <c r="N30" s="16">
        <v>10.14</v>
      </c>
      <c r="O30" s="16">
        <v>11.7</v>
      </c>
      <c r="P30" s="16">
        <v>9.32</v>
      </c>
      <c r="Q30" s="15"/>
      <c r="R30" s="16">
        <v>7.98</v>
      </c>
      <c r="S30" s="16">
        <v>8.18</v>
      </c>
      <c r="T30" s="15"/>
      <c r="U30" s="15"/>
      <c r="V30" s="15"/>
    </row>
    <row r="31" ht="15.0" customHeight="1">
      <c r="A31" s="13" t="s">
        <v>219</v>
      </c>
      <c r="B31" s="16">
        <v>0.44</v>
      </c>
      <c r="C31" s="16">
        <v>0.42</v>
      </c>
      <c r="D31" s="16">
        <v>83.13</v>
      </c>
      <c r="E31" s="16">
        <v>55.6</v>
      </c>
      <c r="F31" s="16">
        <v>48.65</v>
      </c>
      <c r="G31" s="16">
        <v>11.16</v>
      </c>
      <c r="H31" s="16">
        <v>7.39</v>
      </c>
      <c r="I31" s="16">
        <v>25.25</v>
      </c>
      <c r="J31" s="15">
        <v>0.0</v>
      </c>
      <c r="K31" s="15"/>
      <c r="L31" s="16">
        <v>6.78</v>
      </c>
      <c r="M31" s="16">
        <v>7.78</v>
      </c>
      <c r="N31" s="16">
        <v>6.59</v>
      </c>
      <c r="O31" s="16">
        <v>8.02</v>
      </c>
      <c r="P31" s="15"/>
      <c r="Q31" s="15"/>
      <c r="R31" s="15"/>
      <c r="S31" s="15"/>
      <c r="T31" s="15"/>
      <c r="U31" s="15"/>
      <c r="V31" s="15"/>
    </row>
    <row r="32" ht="15.0" customHeight="1">
      <c r="A32" s="13" t="s">
        <v>219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7">
        <v>0.0</v>
      </c>
      <c r="P32" s="15"/>
      <c r="Q32" s="15"/>
      <c r="R32" s="15"/>
      <c r="S32" s="15"/>
      <c r="T32" s="15"/>
      <c r="U32" s="15"/>
      <c r="V32" s="15"/>
    </row>
    <row r="33" ht="15.0" customHeight="1">
      <c r="A33" s="13" t="s">
        <v>220</v>
      </c>
      <c r="B33" s="15"/>
      <c r="C33" s="15">
        <v>0.0</v>
      </c>
      <c r="D33" s="15"/>
      <c r="E33" s="15">
        <v>0.0</v>
      </c>
      <c r="F33" s="15"/>
      <c r="G33" s="15">
        <v>0.0</v>
      </c>
      <c r="H33" s="15">
        <v>0.0</v>
      </c>
      <c r="I33" s="15"/>
      <c r="J33" s="15"/>
      <c r="K33" s="15"/>
      <c r="L33" s="15"/>
      <c r="M33" s="15"/>
      <c r="N33" s="17">
        <v>0.0</v>
      </c>
      <c r="O33" s="15"/>
      <c r="P33" s="15"/>
      <c r="Q33" s="15"/>
      <c r="R33" s="15"/>
      <c r="S33" s="15"/>
      <c r="T33" s="15"/>
      <c r="U33" s="15"/>
      <c r="V33" s="15"/>
    </row>
    <row r="34" ht="15.0" customHeight="1">
      <c r="A34" s="13" t="s">
        <v>221</v>
      </c>
      <c r="B34" s="14">
        <v>381.84</v>
      </c>
      <c r="C34" s="14">
        <v>501.01</v>
      </c>
      <c r="D34" s="14">
        <v>2170.07</v>
      </c>
      <c r="E34" s="14">
        <v>2459.03</v>
      </c>
      <c r="F34" s="14">
        <v>2411.91</v>
      </c>
      <c r="G34" s="14">
        <v>1134.03</v>
      </c>
      <c r="H34" s="14">
        <v>1351.35</v>
      </c>
      <c r="I34" s="14">
        <v>1875.48</v>
      </c>
      <c r="J34" s="14">
        <v>1750.45</v>
      </c>
      <c r="K34" s="14">
        <v>1025.07</v>
      </c>
      <c r="L34" s="14">
        <v>1320.74</v>
      </c>
      <c r="M34" s="14">
        <v>1239.86</v>
      </c>
      <c r="N34" s="14">
        <v>807.11</v>
      </c>
      <c r="O34" s="14">
        <v>646.08</v>
      </c>
      <c r="P34" s="14">
        <v>871.72</v>
      </c>
      <c r="Q34" s="14">
        <v>1444.67</v>
      </c>
      <c r="R34" s="14">
        <v>829.94</v>
      </c>
      <c r="S34" s="14">
        <v>1052.71</v>
      </c>
      <c r="T34" s="14">
        <v>1291.11</v>
      </c>
      <c r="U34" s="14">
        <v>833.41</v>
      </c>
      <c r="V34" s="14">
        <v>467.16</v>
      </c>
    </row>
    <row r="35" ht="15.0" customHeight="1">
      <c r="A35" s="13" t="s">
        <v>222</v>
      </c>
      <c r="B35" s="14">
        <v>247.12</v>
      </c>
      <c r="C35" s="14">
        <v>229.91</v>
      </c>
      <c r="D35" s="14">
        <v>698.14</v>
      </c>
      <c r="E35" s="14">
        <v>421.09</v>
      </c>
      <c r="F35" s="14">
        <v>414.01</v>
      </c>
      <c r="G35" s="14">
        <v>621.55</v>
      </c>
      <c r="H35" s="14">
        <v>555.05</v>
      </c>
      <c r="I35" s="14">
        <v>453.83</v>
      </c>
      <c r="J35" s="14">
        <v>370.03</v>
      </c>
      <c r="K35" s="14">
        <v>282.8</v>
      </c>
      <c r="L35" s="14">
        <v>357.66</v>
      </c>
      <c r="M35" s="14">
        <v>267.65</v>
      </c>
      <c r="N35" s="14">
        <v>199.64</v>
      </c>
      <c r="O35" s="14">
        <v>161.21</v>
      </c>
      <c r="P35" s="14">
        <v>215.59</v>
      </c>
      <c r="Q35" s="15"/>
      <c r="R35" s="14">
        <v>141.09</v>
      </c>
      <c r="S35" s="14">
        <v>202.26</v>
      </c>
      <c r="T35" s="14">
        <v>139.74</v>
      </c>
      <c r="U35" s="14">
        <v>123.5</v>
      </c>
      <c r="V35" s="16">
        <v>58.52</v>
      </c>
    </row>
    <row r="36" ht="15.0" customHeight="1">
      <c r="A36" s="13" t="s">
        <v>223</v>
      </c>
      <c r="B36" s="16">
        <v>97.57</v>
      </c>
      <c r="C36" s="15"/>
      <c r="D36" s="15"/>
      <c r="E36" s="15"/>
      <c r="F36" s="15"/>
      <c r="G36" s="16">
        <v>29.31</v>
      </c>
      <c r="H36" s="16">
        <v>25.15</v>
      </c>
      <c r="I36" s="16">
        <v>71.44</v>
      </c>
      <c r="J36" s="16">
        <v>8.66</v>
      </c>
      <c r="K36" s="16">
        <v>22.1</v>
      </c>
      <c r="L36" s="16">
        <v>0.02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3" t="s">
        <v>224</v>
      </c>
      <c r="B37" s="16">
        <v>0.64</v>
      </c>
      <c r="C37" s="16">
        <v>23.44</v>
      </c>
      <c r="D37" s="14">
        <v>143.61</v>
      </c>
      <c r="E37" s="16">
        <v>47.35</v>
      </c>
      <c r="F37" s="16">
        <v>32.88</v>
      </c>
      <c r="G37" s="16">
        <v>39.39</v>
      </c>
      <c r="H37" s="16">
        <v>44.72</v>
      </c>
      <c r="I37" s="16">
        <v>12.12</v>
      </c>
      <c r="J37" s="16">
        <v>10.14</v>
      </c>
      <c r="K37" s="16">
        <v>8.12</v>
      </c>
      <c r="L37" s="16">
        <v>10.69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ht="15.0" customHeight="1">
      <c r="A38" s="13" t="s">
        <v>225</v>
      </c>
      <c r="B38" s="14">
        <v>117.85</v>
      </c>
      <c r="C38" s="16">
        <v>86.42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ht="15.0" customHeight="1">
      <c r="A39" s="13" t="s">
        <v>226</v>
      </c>
      <c r="B39" s="15"/>
      <c r="C39" s="15"/>
      <c r="D39" s="15"/>
      <c r="E39" s="15"/>
      <c r="F39" s="15"/>
      <c r="G39" s="14">
        <v>582.16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3" t="s">
        <v>226</v>
      </c>
      <c r="B40" s="16">
        <v>31.06</v>
      </c>
      <c r="C40" s="14">
        <v>120.05</v>
      </c>
      <c r="D40" s="14">
        <v>554.53</v>
      </c>
      <c r="E40" s="14">
        <v>373.75</v>
      </c>
      <c r="F40" s="15"/>
      <c r="G40" s="15"/>
      <c r="H40" s="14">
        <v>510.33</v>
      </c>
      <c r="I40" s="14">
        <v>441.71</v>
      </c>
      <c r="J40" s="14">
        <v>359.89</v>
      </c>
      <c r="K40" s="14">
        <v>274.69</v>
      </c>
      <c r="L40" s="14">
        <v>346.97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5.0" customHeight="1">
      <c r="A41" s="13" t="s">
        <v>227</v>
      </c>
      <c r="B41" s="15"/>
      <c r="C41" s="14">
        <v>319.62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15.0" customHeight="1">
      <c r="A42" s="13" t="s">
        <v>228</v>
      </c>
      <c r="B42" s="15">
        <v>0.0</v>
      </c>
      <c r="C42" s="15"/>
      <c r="D42" s="15"/>
      <c r="E42" s="15"/>
      <c r="F42" s="15"/>
      <c r="G42" s="17">
        <v>0.0</v>
      </c>
      <c r="H42" s="15"/>
      <c r="I42" s="15"/>
      <c r="J42" s="17">
        <v>0.0</v>
      </c>
      <c r="K42" s="15">
        <v>0.0</v>
      </c>
      <c r="L42" s="15"/>
      <c r="M42" s="17">
        <v>0.0</v>
      </c>
      <c r="N42" s="15"/>
      <c r="O42" s="17">
        <v>0.0</v>
      </c>
      <c r="P42" s="17">
        <v>0.0</v>
      </c>
      <c r="Q42" s="17">
        <v>0.0</v>
      </c>
      <c r="R42" s="15"/>
      <c r="S42" s="15"/>
      <c r="T42" s="15"/>
      <c r="U42" s="15"/>
      <c r="V42" s="15"/>
    </row>
    <row r="43" ht="15.0" customHeight="1">
      <c r="A43" s="18" t="s">
        <v>229</v>
      </c>
      <c r="B43" s="19">
        <v>1406.69</v>
      </c>
      <c r="C43" s="19">
        <v>1386.06</v>
      </c>
      <c r="D43" s="19">
        <v>4349.9</v>
      </c>
      <c r="E43" s="19">
        <v>3885.11</v>
      </c>
      <c r="F43" s="19">
        <v>3841.97</v>
      </c>
      <c r="G43" s="19">
        <v>2830.05</v>
      </c>
      <c r="H43" s="19">
        <v>3015.3</v>
      </c>
      <c r="I43" s="19">
        <v>3627.81</v>
      </c>
      <c r="J43" s="19">
        <v>2774.46</v>
      </c>
      <c r="K43" s="19">
        <v>2000.2</v>
      </c>
      <c r="L43" s="19">
        <v>2496.76</v>
      </c>
      <c r="M43" s="19">
        <v>2284.73</v>
      </c>
      <c r="N43" s="19">
        <v>1624.17</v>
      </c>
      <c r="O43" s="19">
        <v>1582.26</v>
      </c>
      <c r="P43" s="19">
        <v>1680.57</v>
      </c>
      <c r="Q43" s="19">
        <v>2292.91</v>
      </c>
      <c r="R43" s="19">
        <v>1551.43</v>
      </c>
      <c r="S43" s="19">
        <v>1850.79</v>
      </c>
      <c r="T43" s="19">
        <v>1932.93</v>
      </c>
      <c r="U43" s="19">
        <v>1213.52</v>
      </c>
      <c r="V43" s="19">
        <v>708.11</v>
      </c>
    </row>
    <row r="44" ht="15.0" customHeight="1">
      <c r="A44" s="13" t="s">
        <v>230</v>
      </c>
      <c r="B44" s="15"/>
      <c r="C44" s="15"/>
      <c r="D44" s="15"/>
      <c r="E44" s="15"/>
      <c r="F44" s="15"/>
      <c r="G44" s="16">
        <v>69.96</v>
      </c>
      <c r="H44" s="14">
        <v>210.39</v>
      </c>
      <c r="I44" s="14">
        <v>412.57</v>
      </c>
      <c r="J44" s="16">
        <v>41.15</v>
      </c>
      <c r="K44" s="16">
        <v>37.99</v>
      </c>
      <c r="L44" s="16">
        <v>61.97</v>
      </c>
      <c r="M44" s="16">
        <v>58.93</v>
      </c>
      <c r="N44" s="14">
        <v>115.4</v>
      </c>
      <c r="O44" s="16">
        <v>43.06</v>
      </c>
      <c r="P44" s="16">
        <v>17.36</v>
      </c>
      <c r="Q44" s="15">
        <v>0.0</v>
      </c>
      <c r="R44" s="16">
        <v>24.24</v>
      </c>
      <c r="S44" s="15">
        <v>0.0</v>
      </c>
      <c r="T44" s="15"/>
      <c r="U44" s="15"/>
      <c r="V44" s="15"/>
    </row>
    <row r="45" ht="15.0" customHeight="1">
      <c r="A45" s="13" t="s">
        <v>231</v>
      </c>
      <c r="B45" s="15"/>
      <c r="C45" s="15"/>
      <c r="D45" s="15">
        <v>0.0</v>
      </c>
      <c r="E45" s="15">
        <v>0.0</v>
      </c>
      <c r="F45" s="16">
        <v>7.5</v>
      </c>
      <c r="G45" s="16">
        <v>69.96</v>
      </c>
      <c r="H45" s="14">
        <v>208.42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ht="15.0" customHeight="1">
      <c r="A46" s="13" t="s">
        <v>232</v>
      </c>
      <c r="B46" s="15">
        <v>0.0</v>
      </c>
      <c r="C46" s="16">
        <v>2.12</v>
      </c>
      <c r="D46" s="16">
        <v>4.35</v>
      </c>
      <c r="E46" s="16">
        <v>14.5</v>
      </c>
      <c r="F46" s="16">
        <v>5.58</v>
      </c>
      <c r="G46" s="15"/>
      <c r="H46" s="16">
        <v>1.97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ht="15.0" customHeight="1">
      <c r="A47" s="13" t="s">
        <v>233</v>
      </c>
      <c r="B47" s="15">
        <f t="shared" ref="B47:C47" si="1">SUM(B58,B64)</f>
        <v>1298.61</v>
      </c>
      <c r="C47" s="15">
        <f t="shared" si="1"/>
        <v>1198.52</v>
      </c>
      <c r="D47" s="15">
        <f>20977.92-D48</f>
        <v>17632.11</v>
      </c>
      <c r="E47" s="15">
        <f>20651.51-E48</f>
        <v>18090.32</v>
      </c>
      <c r="F47" s="15">
        <f>21966.94-F48</f>
        <v>19509.62</v>
      </c>
      <c r="G47" s="15">
        <f>26373.54-G48</f>
        <v>22601.63</v>
      </c>
      <c r="H47" s="15">
        <v>27516.08</v>
      </c>
      <c r="I47" s="15">
        <v>31218.77</v>
      </c>
      <c r="J47" s="15">
        <v>18475.74</v>
      </c>
      <c r="K47" s="15">
        <v>13765.51</v>
      </c>
      <c r="L47" s="15">
        <v>14773.4</v>
      </c>
      <c r="M47" s="15">
        <v>12136.61</v>
      </c>
      <c r="N47" s="15">
        <v>12664.92</v>
      </c>
      <c r="O47" s="15">
        <v>13875.91</v>
      </c>
      <c r="P47" s="15"/>
      <c r="Q47" s="14">
        <v>9884.94</v>
      </c>
      <c r="R47" s="15"/>
      <c r="S47" s="15"/>
      <c r="T47" s="15"/>
      <c r="U47" s="15"/>
      <c r="V47" s="15"/>
    </row>
    <row r="48" ht="15.0" customHeight="1">
      <c r="A48" s="13" t="s">
        <v>234</v>
      </c>
      <c r="B48" s="15"/>
      <c r="C48" s="15"/>
      <c r="D48" s="14">
        <v>3345.81</v>
      </c>
      <c r="E48" s="14">
        <v>2561.19</v>
      </c>
      <c r="F48" s="14">
        <v>2457.32</v>
      </c>
      <c r="G48" s="14">
        <v>3771.91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ht="15.0" customHeight="1">
      <c r="A49" s="13" t="s">
        <v>235</v>
      </c>
      <c r="B49" s="15"/>
      <c r="C49" s="15"/>
      <c r="D49" s="15"/>
      <c r="E49" s="15"/>
      <c r="F49" s="15"/>
      <c r="G49" s="15"/>
      <c r="H49" s="15">
        <v>0.0</v>
      </c>
      <c r="I49" s="15">
        <v>0.0</v>
      </c>
      <c r="J49" s="15">
        <v>0.0</v>
      </c>
      <c r="K49" s="14">
        <v>277.23</v>
      </c>
      <c r="L49" s="14">
        <v>178.93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ht="15.0" customHeight="1">
      <c r="A50" s="13" t="s">
        <v>236</v>
      </c>
      <c r="B50" s="15"/>
      <c r="C50" s="15"/>
      <c r="D50" s="15"/>
      <c r="E50" s="15"/>
      <c r="F50" s="15"/>
      <c r="G50" s="15">
        <v>0.0</v>
      </c>
      <c r="H50" s="15"/>
      <c r="I50" s="17">
        <v>0.0</v>
      </c>
      <c r="J50" s="17">
        <v>0.0</v>
      </c>
      <c r="K50" s="16">
        <v>1.02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ht="15.0" customHeight="1">
      <c r="A51" s="13" t="s">
        <v>237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7">
        <v>0.0</v>
      </c>
      <c r="N51" s="15">
        <v>0.0</v>
      </c>
      <c r="O51" s="17">
        <v>0.0</v>
      </c>
      <c r="P51" s="15"/>
      <c r="Q51" s="15"/>
      <c r="R51" s="15"/>
      <c r="S51" s="15"/>
      <c r="T51" s="15"/>
      <c r="U51" s="15"/>
      <c r="V51" s="15"/>
    </row>
    <row r="52" ht="15.0" customHeight="1">
      <c r="A52" s="13" t="s">
        <v>238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>
        <v>13770.85</v>
      </c>
      <c r="Q52" s="15"/>
      <c r="R52" s="14">
        <v>6529.4</v>
      </c>
      <c r="S52" s="14">
        <v>6529.4</v>
      </c>
      <c r="T52" s="14">
        <v>5396.41</v>
      </c>
      <c r="U52" s="14">
        <v>5273.65</v>
      </c>
      <c r="V52" s="14">
        <v>4297.34</v>
      </c>
    </row>
    <row r="53" ht="15.0" customHeight="1">
      <c r="A53" s="13" t="s">
        <v>239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4">
        <v>444.97</v>
      </c>
      <c r="Q53" s="15"/>
      <c r="R53" s="14">
        <v>306.14</v>
      </c>
      <c r="S53" s="14">
        <v>130.85</v>
      </c>
      <c r="T53" s="14">
        <v>194.89</v>
      </c>
      <c r="U53" s="14">
        <v>109.03</v>
      </c>
      <c r="V53" s="14">
        <v>108.11</v>
      </c>
    </row>
    <row r="54" ht="15.0" customHeight="1">
      <c r="A54" s="13" t="s">
        <v>81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21">
        <v>-3704.92</v>
      </c>
      <c r="Q54" s="15"/>
      <c r="R54" s="21">
        <v>-2617.62</v>
      </c>
      <c r="S54" s="21">
        <v>-2096.77</v>
      </c>
      <c r="T54" s="21">
        <v>-1830.91</v>
      </c>
      <c r="U54" s="21">
        <v>-1548.35</v>
      </c>
      <c r="V54" s="21">
        <v>-1260.38</v>
      </c>
    </row>
    <row r="55" ht="15.0" customHeight="1">
      <c r="A55" s="13" t="s">
        <v>240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6">
        <v>72.88</v>
      </c>
      <c r="Q55" s="15"/>
      <c r="R55" s="16">
        <v>61.76</v>
      </c>
      <c r="S55" s="16">
        <v>58.83</v>
      </c>
      <c r="T55" s="16">
        <v>56.67</v>
      </c>
      <c r="U55" s="16">
        <v>29.22</v>
      </c>
      <c r="V55" s="16">
        <v>28.19</v>
      </c>
    </row>
    <row r="56" ht="15.0" customHeight="1">
      <c r="A56" s="13" t="s">
        <v>241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4">
        <v>1685.91</v>
      </c>
      <c r="Q56" s="15"/>
      <c r="R56" s="14">
        <v>1324.17</v>
      </c>
      <c r="S56" s="14">
        <v>526.84</v>
      </c>
      <c r="T56" s="14">
        <v>296.84</v>
      </c>
      <c r="U56" s="14">
        <v>101.82</v>
      </c>
      <c r="V56" s="16">
        <v>87.09</v>
      </c>
    </row>
    <row r="57" ht="15.0" customHeight="1">
      <c r="A57" s="13" t="s">
        <v>242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21">
        <v>-995.72</v>
      </c>
      <c r="S57" s="21">
        <v>-130.85</v>
      </c>
      <c r="T57" s="21">
        <v>-120.91</v>
      </c>
      <c r="U57" s="14">
        <v>407.25</v>
      </c>
      <c r="V57" s="20">
        <v>-62.31</v>
      </c>
    </row>
    <row r="58" ht="15.0" customHeight="1">
      <c r="A58" s="13" t="s">
        <v>243</v>
      </c>
      <c r="B58" s="14">
        <v>1285.22</v>
      </c>
      <c r="C58" s="14">
        <v>1180.81</v>
      </c>
      <c r="D58" s="15">
        <v>16814.18</v>
      </c>
      <c r="E58" s="15">
        <v>17386.5</v>
      </c>
      <c r="F58" s="15">
        <v>18716.13</v>
      </c>
      <c r="G58" s="15">
        <v>21824.31</v>
      </c>
      <c r="H58" s="15">
        <v>26803.64</v>
      </c>
      <c r="I58" s="15">
        <v>30491.73</v>
      </c>
      <c r="J58" s="15">
        <v>18046.03</v>
      </c>
      <c r="K58" s="15">
        <v>13188.37</v>
      </c>
      <c r="L58" s="15">
        <v>14460.43</v>
      </c>
      <c r="M58" s="15">
        <v>11887.53</v>
      </c>
      <c r="N58" s="15">
        <v>12400.7</v>
      </c>
      <c r="O58" s="15">
        <v>13617.67</v>
      </c>
      <c r="P58" s="15"/>
      <c r="Q58" s="15"/>
      <c r="R58" s="15"/>
      <c r="S58" s="15"/>
      <c r="T58" s="15"/>
      <c r="U58" s="15"/>
      <c r="V58" s="15"/>
    </row>
    <row r="59" ht="15.0" customHeight="1">
      <c r="A59" s="13" t="s">
        <v>243</v>
      </c>
      <c r="B59" s="15">
        <v>14735.87</v>
      </c>
      <c r="C59" s="15">
        <v>14587.97</v>
      </c>
      <c r="D59" s="15">
        <v>30094.71</v>
      </c>
      <c r="E59" s="15">
        <v>30427.91</v>
      </c>
      <c r="F59" s="15">
        <v>32277.69</v>
      </c>
      <c r="G59" s="15">
        <v>35191.32</v>
      </c>
      <c r="H59" s="15">
        <v>38828.75</v>
      </c>
      <c r="I59" s="15">
        <v>38657.38</v>
      </c>
      <c r="J59" s="15">
        <v>25528.58</v>
      </c>
      <c r="K59" s="15">
        <v>19234.96</v>
      </c>
      <c r="L59" s="15">
        <v>18772.63</v>
      </c>
      <c r="M59" s="15">
        <v>16376.96</v>
      </c>
      <c r="N59" s="15">
        <v>16901.95</v>
      </c>
      <c r="O59" s="15">
        <v>17758.63</v>
      </c>
      <c r="P59" s="15">
        <v>15272.02</v>
      </c>
      <c r="Q59" s="15"/>
      <c r="R59" s="14">
        <v>8450.67</v>
      </c>
      <c r="S59" s="14">
        <v>8040.5</v>
      </c>
      <c r="T59" s="14">
        <v>6799.83</v>
      </c>
      <c r="U59" s="14">
        <v>6174.68</v>
      </c>
      <c r="V59" s="14">
        <v>5396.65</v>
      </c>
    </row>
    <row r="60" ht="15.0" customHeight="1">
      <c r="A60" s="13" t="s">
        <v>244</v>
      </c>
      <c r="B60" s="17">
        <v>-13450.65</v>
      </c>
      <c r="C60" s="17">
        <v>-13407.17</v>
      </c>
      <c r="D60" s="17">
        <v>-13280.52</v>
      </c>
      <c r="E60" s="17">
        <v>-13041.41</v>
      </c>
      <c r="F60" s="17">
        <v>-13561.56</v>
      </c>
      <c r="G60" s="17">
        <v>-13367.0</v>
      </c>
      <c r="H60" s="17">
        <v>-12025.11</v>
      </c>
      <c r="I60" s="21">
        <v>-8165.65</v>
      </c>
      <c r="J60" s="21">
        <v>-7482.55</v>
      </c>
      <c r="K60" s="21">
        <v>-6046.59</v>
      </c>
      <c r="L60" s="21">
        <v>-4492.11</v>
      </c>
      <c r="M60" s="21">
        <v>-4489.42</v>
      </c>
      <c r="N60" s="21">
        <v>-4501.26</v>
      </c>
      <c r="O60" s="21">
        <v>-4140.96</v>
      </c>
      <c r="P60" s="15"/>
      <c r="Q60" s="15"/>
      <c r="R60" s="15"/>
      <c r="S60" s="15"/>
      <c r="T60" s="15"/>
      <c r="U60" s="15"/>
      <c r="V60" s="15"/>
    </row>
    <row r="61" ht="15.0" customHeight="1">
      <c r="A61" s="13" t="s">
        <v>245</v>
      </c>
      <c r="B61" s="15"/>
      <c r="C61" s="15"/>
      <c r="D61" s="15"/>
      <c r="E61" s="15"/>
      <c r="F61" s="15"/>
      <c r="G61" s="15"/>
      <c r="H61" s="15"/>
      <c r="I61" s="15"/>
      <c r="J61" s="15"/>
      <c r="K61" s="15">
        <v>0.0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ht="15.0" customHeight="1">
      <c r="A62" s="13" t="s">
        <v>246</v>
      </c>
      <c r="B62" s="15"/>
      <c r="C62" s="15"/>
      <c r="D62" s="15"/>
      <c r="E62" s="15"/>
      <c r="F62" s="15"/>
      <c r="G62" s="17">
        <v>0.0</v>
      </c>
      <c r="H62" s="17">
        <v>0.0</v>
      </c>
      <c r="I62" s="15"/>
      <c r="J62" s="15"/>
      <c r="K62" s="15"/>
      <c r="L62" s="16">
        <v>0.99</v>
      </c>
      <c r="M62" s="15">
        <v>0.0</v>
      </c>
      <c r="N62" s="17">
        <v>0.0</v>
      </c>
      <c r="O62" s="15"/>
      <c r="P62" s="15"/>
      <c r="Q62" s="15"/>
      <c r="R62" s="15"/>
      <c r="S62" s="15"/>
      <c r="T62" s="15"/>
      <c r="U62" s="15"/>
      <c r="V62" s="15"/>
    </row>
    <row r="63" ht="15.0" customHeight="1">
      <c r="A63" s="13" t="s">
        <v>247</v>
      </c>
      <c r="B63" s="14">
        <v>161.22</v>
      </c>
      <c r="C63" s="14">
        <v>116.74</v>
      </c>
      <c r="D63" s="14">
        <v>789.54</v>
      </c>
      <c r="E63" s="14">
        <v>677.52</v>
      </c>
      <c r="F63" s="14">
        <v>760.22</v>
      </c>
      <c r="G63" s="14">
        <v>666.18</v>
      </c>
      <c r="H63" s="14">
        <v>579.1</v>
      </c>
      <c r="I63" s="14">
        <v>574.18</v>
      </c>
      <c r="J63" s="14">
        <v>394.79</v>
      </c>
      <c r="K63" s="14">
        <v>270.66</v>
      </c>
      <c r="L63" s="14">
        <v>290.25</v>
      </c>
      <c r="M63" s="14">
        <v>230.26</v>
      </c>
      <c r="N63" s="14">
        <v>245.83</v>
      </c>
      <c r="O63" s="14">
        <v>234.82</v>
      </c>
      <c r="P63" s="15"/>
      <c r="Q63" s="15"/>
      <c r="R63" s="15"/>
      <c r="S63" s="15"/>
      <c r="T63" s="15"/>
      <c r="U63" s="15"/>
      <c r="V63" s="15"/>
    </row>
    <row r="64" ht="15.0" customHeight="1">
      <c r="A64" s="13" t="s">
        <v>248</v>
      </c>
      <c r="B64" s="16">
        <v>13.39</v>
      </c>
      <c r="C64" s="16">
        <v>17.71</v>
      </c>
      <c r="D64" s="16">
        <v>28.38</v>
      </c>
      <c r="E64" s="16">
        <v>26.31</v>
      </c>
      <c r="F64" s="16">
        <v>33.27</v>
      </c>
      <c r="G64" s="14">
        <v>111.14</v>
      </c>
      <c r="H64" s="14">
        <v>133.34</v>
      </c>
      <c r="I64" s="14">
        <v>152.87</v>
      </c>
      <c r="J64" s="16">
        <v>34.92</v>
      </c>
      <c r="K64" s="16">
        <v>28.24</v>
      </c>
      <c r="L64" s="16">
        <v>22.72</v>
      </c>
      <c r="M64" s="16">
        <v>18.82</v>
      </c>
      <c r="N64" s="16">
        <v>18.39</v>
      </c>
      <c r="O64" s="16">
        <v>23.42</v>
      </c>
      <c r="P64" s="15"/>
      <c r="Q64" s="15"/>
      <c r="R64" s="15"/>
      <c r="S64" s="15"/>
      <c r="T64" s="15"/>
      <c r="U64" s="15"/>
      <c r="V64" s="15"/>
    </row>
    <row r="65" ht="15.0" customHeight="1">
      <c r="A65" s="13" t="s">
        <v>249</v>
      </c>
      <c r="B65" s="14">
        <v>215.9</v>
      </c>
      <c r="C65" s="14">
        <v>208.6</v>
      </c>
      <c r="D65" s="14">
        <v>212.13</v>
      </c>
      <c r="E65" s="15"/>
      <c r="F65" s="15"/>
      <c r="G65" s="14">
        <v>267.8</v>
      </c>
      <c r="H65" s="14">
        <v>266.83</v>
      </c>
      <c r="I65" s="14">
        <v>265.17</v>
      </c>
      <c r="J65" s="14">
        <v>123.74</v>
      </c>
      <c r="K65" s="15"/>
      <c r="L65" s="16">
        <v>95.37</v>
      </c>
      <c r="M65" s="16">
        <v>83.43</v>
      </c>
      <c r="N65" s="16">
        <v>78.4</v>
      </c>
      <c r="O65" s="16">
        <v>79.41</v>
      </c>
      <c r="P65" s="15"/>
      <c r="Q65" s="15"/>
      <c r="R65" s="15"/>
      <c r="S65" s="15"/>
      <c r="T65" s="15"/>
      <c r="U65" s="15"/>
      <c r="V65" s="15"/>
    </row>
    <row r="66" ht="15.0" customHeight="1">
      <c r="A66" s="13" t="s">
        <v>250</v>
      </c>
      <c r="B66" s="21">
        <v>-202.51</v>
      </c>
      <c r="C66" s="21">
        <v>-190.89</v>
      </c>
      <c r="D66" s="21">
        <v>-183.75</v>
      </c>
      <c r="E66" s="15"/>
      <c r="F66" s="15"/>
      <c r="G66" s="21">
        <v>-156.65</v>
      </c>
      <c r="H66" s="21">
        <v>-133.48</v>
      </c>
      <c r="I66" s="21">
        <v>-112.3</v>
      </c>
      <c r="J66" s="20">
        <v>-88.81</v>
      </c>
      <c r="K66" s="15"/>
      <c r="L66" s="20">
        <v>-71.66</v>
      </c>
      <c r="M66" s="20">
        <v>-64.6</v>
      </c>
      <c r="N66" s="20">
        <v>-60.01</v>
      </c>
      <c r="O66" s="20">
        <v>-55.99</v>
      </c>
      <c r="P66" s="15"/>
      <c r="Q66" s="15"/>
      <c r="R66" s="15"/>
      <c r="S66" s="15"/>
      <c r="T66" s="15"/>
      <c r="U66" s="15"/>
      <c r="V66" s="15"/>
    </row>
    <row r="67" ht="15.0" customHeight="1">
      <c r="A67" s="13" t="s">
        <v>251</v>
      </c>
      <c r="B67" s="17">
        <v>0.0</v>
      </c>
      <c r="C67" s="17">
        <v>0.0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  <row r="68" ht="15.0" customHeight="1">
      <c r="A68" s="13" t="s">
        <v>251</v>
      </c>
      <c r="B68" s="15"/>
      <c r="C68" s="15"/>
      <c r="D68" s="15"/>
      <c r="E68" s="15"/>
      <c r="F68" s="15"/>
      <c r="G68" s="15"/>
      <c r="H68" s="15"/>
      <c r="I68" s="15">
        <v>0.0</v>
      </c>
      <c r="J68" s="15"/>
      <c r="K68" s="15"/>
      <c r="L68" s="20">
        <v>-0.99</v>
      </c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ht="15.0" customHeight="1">
      <c r="A69" s="13" t="s">
        <v>252</v>
      </c>
      <c r="B69" s="15"/>
      <c r="C69" s="15"/>
      <c r="D69" s="14">
        <v>274.92</v>
      </c>
      <c r="E69" s="14">
        <v>199.36</v>
      </c>
      <c r="F69" s="14">
        <v>220.18</v>
      </c>
      <c r="G69" s="14">
        <v>559.56</v>
      </c>
      <c r="H69" s="14">
        <v>872.83</v>
      </c>
      <c r="I69" s="14">
        <v>664.07</v>
      </c>
      <c r="J69" s="14">
        <v>799.85</v>
      </c>
      <c r="K69" s="14">
        <v>408.37</v>
      </c>
      <c r="L69" s="14">
        <v>413.86</v>
      </c>
      <c r="M69" s="14">
        <v>409.1</v>
      </c>
      <c r="N69" s="14">
        <v>322.9</v>
      </c>
      <c r="O69" s="14">
        <v>167.6</v>
      </c>
      <c r="P69" s="15"/>
      <c r="Q69" s="16">
        <v>88.7</v>
      </c>
      <c r="R69" s="15"/>
      <c r="S69" s="15"/>
      <c r="T69" s="15"/>
      <c r="U69" s="15"/>
      <c r="V69" s="15"/>
    </row>
    <row r="70" ht="15.0" customHeight="1">
      <c r="A70" s="13" t="s">
        <v>253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6">
        <v>38.97</v>
      </c>
      <c r="N70" s="16">
        <v>32.85</v>
      </c>
      <c r="O70" s="16">
        <v>19.65</v>
      </c>
      <c r="P70" s="15"/>
      <c r="Q70" s="15"/>
      <c r="R70" s="15"/>
      <c r="S70" s="15"/>
      <c r="T70" s="15"/>
      <c r="U70" s="15"/>
      <c r="V70" s="15"/>
    </row>
    <row r="71" ht="15.0" customHeight="1">
      <c r="A71" s="13" t="s">
        <v>254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2.68</v>
      </c>
      <c r="P71" s="16">
        <v>9.35</v>
      </c>
      <c r="Q71" s="15"/>
      <c r="R71" s="16">
        <v>9.95</v>
      </c>
      <c r="S71" s="15">
        <v>0.0</v>
      </c>
      <c r="T71" s="15"/>
      <c r="U71" s="15"/>
      <c r="V71" s="15"/>
    </row>
    <row r="72" ht="15.0" customHeight="1">
      <c r="A72" s="13" t="s">
        <v>255</v>
      </c>
      <c r="B72" s="15"/>
      <c r="C72" s="15"/>
      <c r="D72" s="15"/>
      <c r="E72" s="15"/>
      <c r="F72" s="15"/>
      <c r="G72" s="15">
        <v>0.0</v>
      </c>
      <c r="H72" s="16">
        <v>1.84</v>
      </c>
      <c r="I72" s="16">
        <v>0.03</v>
      </c>
      <c r="J72" s="16">
        <v>1.87</v>
      </c>
      <c r="K72" s="16">
        <v>2.25</v>
      </c>
      <c r="L72" s="16">
        <v>4.03</v>
      </c>
      <c r="M72" s="16">
        <v>21.88</v>
      </c>
      <c r="N72" s="16">
        <v>51.65</v>
      </c>
      <c r="O72" s="16">
        <v>31.14</v>
      </c>
      <c r="P72" s="16">
        <v>40.04</v>
      </c>
      <c r="Q72" s="15"/>
      <c r="R72" s="15">
        <v>0.0</v>
      </c>
      <c r="S72" s="15"/>
      <c r="T72" s="15"/>
      <c r="U72" s="15"/>
      <c r="V72" s="15"/>
    </row>
    <row r="73" ht="15.0" customHeight="1">
      <c r="A73" s="13" t="s">
        <v>256</v>
      </c>
      <c r="B73" s="15"/>
      <c r="C73" s="15"/>
      <c r="D73" s="15">
        <v>0.0</v>
      </c>
      <c r="E73" s="15">
        <v>0.0</v>
      </c>
      <c r="F73" s="15"/>
      <c r="G73" s="15"/>
      <c r="H73" s="15">
        <v>0.0</v>
      </c>
      <c r="I73" s="15">
        <v>0.0</v>
      </c>
      <c r="J73" s="17">
        <v>0.0</v>
      </c>
      <c r="K73" s="15">
        <v>0.0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 ht="15.0" customHeight="1">
      <c r="A74" s="13" t="s">
        <v>257</v>
      </c>
      <c r="B74" s="16">
        <v>37.7</v>
      </c>
      <c r="C74" s="16">
        <v>32.18</v>
      </c>
      <c r="D74" s="16">
        <v>57.54</v>
      </c>
      <c r="E74" s="16">
        <v>56.46</v>
      </c>
      <c r="F74" s="16">
        <v>60.2</v>
      </c>
      <c r="G74" s="14">
        <v>120.22</v>
      </c>
      <c r="H74" s="14">
        <v>174.99</v>
      </c>
      <c r="I74" s="16">
        <v>88.52</v>
      </c>
      <c r="J74" s="16">
        <v>84.09</v>
      </c>
      <c r="K74" s="16">
        <v>1.95</v>
      </c>
      <c r="L74" s="16">
        <v>30.94</v>
      </c>
      <c r="M74" s="16">
        <v>50.18</v>
      </c>
      <c r="N74" s="16">
        <v>2.46</v>
      </c>
      <c r="O74" s="16">
        <v>27.06</v>
      </c>
      <c r="P74" s="16">
        <v>9.59</v>
      </c>
      <c r="Q74" s="15"/>
      <c r="R74" s="16">
        <v>15.07</v>
      </c>
      <c r="S74" s="16">
        <v>45.43</v>
      </c>
      <c r="T74" s="16">
        <v>19.2</v>
      </c>
      <c r="U74" s="16">
        <v>12.81</v>
      </c>
      <c r="V74" s="16">
        <v>5.89</v>
      </c>
    </row>
    <row r="75" ht="15.0" customHeight="1">
      <c r="A75" s="13" t="s">
        <v>258</v>
      </c>
      <c r="B75" s="15"/>
      <c r="C75" s="15"/>
      <c r="D75" s="15"/>
      <c r="E75" s="15"/>
      <c r="F75" s="15"/>
      <c r="G75" s="15"/>
      <c r="H75" s="16">
        <v>13.92</v>
      </c>
      <c r="I75" s="16">
        <v>1.32</v>
      </c>
      <c r="J75" s="16">
        <v>1.57</v>
      </c>
      <c r="K75" s="16">
        <v>1.84</v>
      </c>
      <c r="L75" s="16">
        <v>2.05</v>
      </c>
      <c r="M75" s="15"/>
      <c r="N75" s="15"/>
      <c r="O75" s="15"/>
      <c r="P75" s="15"/>
      <c r="Q75" s="15"/>
      <c r="R75" s="15"/>
      <c r="S75" s="16">
        <v>12.26</v>
      </c>
      <c r="T75" s="16">
        <v>15.33</v>
      </c>
      <c r="U75" s="16">
        <v>18.73</v>
      </c>
      <c r="V75" s="16">
        <v>70.32</v>
      </c>
    </row>
    <row r="76" ht="15.0" customHeight="1">
      <c r="A76" s="13" t="s">
        <v>259</v>
      </c>
      <c r="B76" s="15"/>
      <c r="C76" s="15"/>
      <c r="D76" s="15"/>
      <c r="E76" s="15"/>
      <c r="F76" s="15"/>
      <c r="G76" s="15"/>
      <c r="H76" s="14">
        <v>161.07</v>
      </c>
      <c r="I76" s="16">
        <v>87.2</v>
      </c>
      <c r="J76" s="16">
        <v>82.52</v>
      </c>
      <c r="K76" s="16">
        <v>0.11</v>
      </c>
      <c r="L76" s="16">
        <v>28.89</v>
      </c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ht="15.0" customHeight="1">
      <c r="A77" s="13" t="s">
        <v>260</v>
      </c>
      <c r="B77" s="14">
        <v>2300.28</v>
      </c>
      <c r="C77" s="16">
        <v>0.58</v>
      </c>
      <c r="D77" s="16">
        <v>2.32</v>
      </c>
      <c r="E77" s="16">
        <v>1.28</v>
      </c>
      <c r="F77" s="16">
        <v>1.13</v>
      </c>
      <c r="G77" s="14">
        <v>293.85</v>
      </c>
      <c r="H77" s="14">
        <v>510.16</v>
      </c>
      <c r="I77" s="14">
        <v>290.36</v>
      </c>
      <c r="J77" s="14">
        <v>301.89</v>
      </c>
      <c r="K77" s="16">
        <v>42.3</v>
      </c>
      <c r="L77" s="16">
        <v>43.32</v>
      </c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 ht="15.0" customHeight="1">
      <c r="A78" s="13" t="s">
        <v>261</v>
      </c>
      <c r="B78" s="14">
        <v>252.85</v>
      </c>
      <c r="C78" s="14">
        <v>188.66</v>
      </c>
      <c r="D78" s="14">
        <v>156.24</v>
      </c>
      <c r="E78" s="16">
        <v>91.13</v>
      </c>
      <c r="F78" s="14">
        <v>109.9</v>
      </c>
      <c r="G78" s="16">
        <v>92.56</v>
      </c>
      <c r="H78" s="14">
        <v>135.99</v>
      </c>
      <c r="I78" s="14">
        <v>271.79</v>
      </c>
      <c r="J78" s="14">
        <v>408.81</v>
      </c>
      <c r="K78" s="14">
        <v>344.03</v>
      </c>
      <c r="L78" s="14">
        <v>302.37</v>
      </c>
      <c r="M78" s="14">
        <v>270.56</v>
      </c>
      <c r="N78" s="14">
        <v>189.23</v>
      </c>
      <c r="O78" s="20">
        <v>-5.85</v>
      </c>
      <c r="P78" s="16">
        <v>21.3</v>
      </c>
      <c r="Q78" s="15"/>
      <c r="R78" s="16">
        <v>4.14</v>
      </c>
      <c r="S78" s="14">
        <v>220.57</v>
      </c>
      <c r="T78" s="14">
        <v>158.06</v>
      </c>
      <c r="U78" s="16">
        <v>18.15</v>
      </c>
      <c r="V78" s="14">
        <v>110.59</v>
      </c>
    </row>
    <row r="79" ht="15.0" customHeight="1">
      <c r="A79" s="13" t="s">
        <v>262</v>
      </c>
      <c r="B79" s="16">
        <v>67.67</v>
      </c>
      <c r="C79" s="16">
        <v>63.14</v>
      </c>
      <c r="D79" s="16">
        <v>55.83</v>
      </c>
      <c r="E79" s="16">
        <v>47.51</v>
      </c>
      <c r="F79" s="16">
        <v>45.96</v>
      </c>
      <c r="G79" s="16">
        <v>47.16</v>
      </c>
      <c r="H79" s="16">
        <v>43.88</v>
      </c>
      <c r="I79" s="16">
        <v>7.4</v>
      </c>
      <c r="J79" s="15">
        <v>0.0</v>
      </c>
      <c r="K79" s="16">
        <v>14.85</v>
      </c>
      <c r="L79" s="16">
        <v>30.21</v>
      </c>
      <c r="M79" s="16">
        <v>24.52</v>
      </c>
      <c r="N79" s="16">
        <v>41.69</v>
      </c>
      <c r="O79" s="16">
        <v>87.85</v>
      </c>
      <c r="P79" s="15"/>
      <c r="Q79" s="15"/>
      <c r="R79" s="15"/>
      <c r="S79" s="15"/>
      <c r="T79" s="15"/>
      <c r="U79" s="15"/>
      <c r="V79" s="15"/>
    </row>
    <row r="80" ht="15.0" customHeight="1">
      <c r="A80" s="13" t="s">
        <v>263</v>
      </c>
      <c r="B80" s="15">
        <v>0.0</v>
      </c>
      <c r="C80" s="15"/>
      <c r="D80" s="16">
        <v>2.99</v>
      </c>
      <c r="E80" s="16">
        <v>2.99</v>
      </c>
      <c r="F80" s="16">
        <v>2.99</v>
      </c>
      <c r="G80" s="16">
        <v>5.77</v>
      </c>
      <c r="H80" s="16">
        <v>5.97</v>
      </c>
      <c r="I80" s="16">
        <v>5.97</v>
      </c>
      <c r="J80" s="16">
        <v>3.19</v>
      </c>
      <c r="K80" s="16">
        <v>2.99</v>
      </c>
      <c r="L80" s="16">
        <v>2.99</v>
      </c>
      <c r="M80" s="16">
        <v>2.99</v>
      </c>
      <c r="N80" s="16">
        <v>5.03</v>
      </c>
      <c r="O80" s="16">
        <v>5.07</v>
      </c>
      <c r="P80" s="16">
        <v>4.55</v>
      </c>
      <c r="Q80" s="15"/>
      <c r="R80" s="14">
        <v>1083.4</v>
      </c>
      <c r="S80" s="14">
        <v>959.71</v>
      </c>
      <c r="T80" s="16">
        <v>3.22</v>
      </c>
      <c r="U80" s="14">
        <v>173.65</v>
      </c>
      <c r="V80" s="16">
        <v>15.0</v>
      </c>
    </row>
    <row r="81" ht="15.0" customHeight="1">
      <c r="A81" s="13" t="s">
        <v>234</v>
      </c>
      <c r="B81" s="14">
        <v>3398.15</v>
      </c>
      <c r="C81" s="14">
        <v>2789.35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 ht="15.0" customHeight="1">
      <c r="A82" s="13" t="s">
        <v>264</v>
      </c>
      <c r="B82" s="15">
        <v>0.0</v>
      </c>
      <c r="C82" s="15">
        <v>0.0</v>
      </c>
      <c r="D82" s="15"/>
      <c r="E82" s="15"/>
      <c r="F82" s="17">
        <v>0.0</v>
      </c>
      <c r="G82" s="17">
        <v>0.0</v>
      </c>
      <c r="H82" s="17">
        <v>0.0</v>
      </c>
      <c r="I82" s="15"/>
      <c r="J82" s="15">
        <v>0.0</v>
      </c>
      <c r="K82" s="15"/>
      <c r="L82" s="15"/>
      <c r="M82" s="15">
        <v>0.0</v>
      </c>
      <c r="N82" s="17">
        <v>0.0</v>
      </c>
      <c r="O82" s="15"/>
      <c r="P82" s="15"/>
      <c r="Q82" s="15"/>
      <c r="R82" s="15"/>
      <c r="S82" s="15"/>
      <c r="T82" s="15"/>
      <c r="U82" s="15"/>
      <c r="V82" s="15"/>
    </row>
    <row r="83" ht="15.0" customHeight="1">
      <c r="A83" s="18" t="s">
        <v>265</v>
      </c>
      <c r="B83" s="19">
        <v>7516.47</v>
      </c>
      <c r="C83" s="19">
        <v>4391.27</v>
      </c>
      <c r="D83" s="25">
        <v>21257.18</v>
      </c>
      <c r="E83" s="25">
        <v>20865.37</v>
      </c>
      <c r="F83" s="25">
        <v>22200.2</v>
      </c>
      <c r="G83" s="25">
        <v>27003.06</v>
      </c>
      <c r="H83" s="25">
        <v>28599.3</v>
      </c>
      <c r="I83" s="25">
        <v>32295.41</v>
      </c>
      <c r="J83" s="25">
        <v>19316.75</v>
      </c>
      <c r="K83" s="25">
        <v>14211.87</v>
      </c>
      <c r="L83" s="25">
        <v>15249.23</v>
      </c>
      <c r="M83" s="25">
        <v>12604.65</v>
      </c>
      <c r="N83" s="25">
        <v>13103.22</v>
      </c>
      <c r="O83" s="25">
        <v>14086.57</v>
      </c>
      <c r="P83" s="25">
        <v>13873.04</v>
      </c>
      <c r="Q83" s="19">
        <v>9973.64</v>
      </c>
      <c r="R83" s="19">
        <v>7666.2</v>
      </c>
      <c r="S83" s="19">
        <v>8320.76</v>
      </c>
      <c r="T83" s="19">
        <v>6224.56</v>
      </c>
      <c r="U83" s="19">
        <v>6211.12</v>
      </c>
      <c r="V83" s="19">
        <v>4716.31</v>
      </c>
    </row>
    <row r="84" ht="15.0" customHeight="1">
      <c r="A84" s="13" t="s">
        <v>266</v>
      </c>
      <c r="B84" s="16">
        <v>58.74</v>
      </c>
      <c r="C84" s="15">
        <v>13858.01</v>
      </c>
      <c r="D84" s="14">
        <v>412.05</v>
      </c>
      <c r="E84" s="14">
        <v>187.2</v>
      </c>
      <c r="F84" s="16">
        <v>26.8</v>
      </c>
      <c r="G84" s="15"/>
      <c r="H84" s="15">
        <v>0.0</v>
      </c>
      <c r="I84" s="14">
        <v>187.55</v>
      </c>
      <c r="J84" s="14">
        <v>193.67</v>
      </c>
      <c r="K84" s="16">
        <v>24.11</v>
      </c>
      <c r="L84" s="15"/>
      <c r="M84" s="14">
        <v>135.75</v>
      </c>
      <c r="N84" s="15"/>
      <c r="O84" s="16">
        <v>4.64</v>
      </c>
      <c r="P84" s="16">
        <v>12.79</v>
      </c>
      <c r="Q84" s="15">
        <v>0.0</v>
      </c>
      <c r="R84" s="15"/>
      <c r="S84" s="15"/>
      <c r="T84" s="15">
        <v>0.0</v>
      </c>
      <c r="U84" s="15"/>
      <c r="V84" s="15"/>
    </row>
    <row r="85" ht="15.0" customHeight="1">
      <c r="A85" s="13" t="s">
        <v>267</v>
      </c>
      <c r="B85" s="17">
        <v>0.0</v>
      </c>
      <c r="C85" s="15"/>
      <c r="D85" s="15"/>
      <c r="E85" s="15">
        <v>0.0</v>
      </c>
      <c r="F85" s="15"/>
      <c r="G85" s="15"/>
      <c r="H85" s="15"/>
      <c r="I85" s="15"/>
      <c r="J85" s="15"/>
      <c r="K85" s="17">
        <v>0.0</v>
      </c>
      <c r="L85" s="15"/>
      <c r="M85" s="17">
        <v>0.0</v>
      </c>
      <c r="N85" s="15"/>
      <c r="O85" s="15"/>
      <c r="P85" s="15">
        <v>0.0</v>
      </c>
      <c r="Q85" s="15">
        <v>0.0</v>
      </c>
      <c r="R85" s="14">
        <v>995.73</v>
      </c>
      <c r="S85" s="14">
        <v>143.12</v>
      </c>
      <c r="T85" s="14">
        <v>136.24</v>
      </c>
      <c r="U85" s="21">
        <v>-388.52</v>
      </c>
      <c r="V85" s="14">
        <v>132.63</v>
      </c>
    </row>
    <row r="86" ht="15.0" customHeight="1">
      <c r="A86" s="18" t="s">
        <v>268</v>
      </c>
      <c r="B86" s="19">
        <v>8981.9</v>
      </c>
      <c r="C86" s="25">
        <v>19635.34</v>
      </c>
      <c r="D86" s="25">
        <v>26019.13</v>
      </c>
      <c r="E86" s="25">
        <v>24937.68</v>
      </c>
      <c r="F86" s="25">
        <v>26068.98</v>
      </c>
      <c r="G86" s="25">
        <v>29833.11</v>
      </c>
      <c r="H86" s="25">
        <v>31614.6</v>
      </c>
      <c r="I86" s="25">
        <v>36110.78</v>
      </c>
      <c r="J86" s="25">
        <v>22284.88</v>
      </c>
      <c r="K86" s="25">
        <v>16236.18</v>
      </c>
      <c r="L86" s="25">
        <v>17745.99</v>
      </c>
      <c r="M86" s="25">
        <v>15025.13</v>
      </c>
      <c r="N86" s="25">
        <v>14727.39</v>
      </c>
      <c r="O86" s="25">
        <v>15673.48</v>
      </c>
      <c r="P86" s="25">
        <v>15566.4</v>
      </c>
      <c r="Q86" s="25">
        <v>12266.55</v>
      </c>
      <c r="R86" s="25">
        <v>10213.36</v>
      </c>
      <c r="S86" s="25">
        <v>10314.67</v>
      </c>
      <c r="T86" s="19">
        <v>8293.72</v>
      </c>
      <c r="U86" s="19">
        <v>7036.12</v>
      </c>
      <c r="V86" s="19">
        <v>5557.06</v>
      </c>
    </row>
    <row r="87" ht="15.0" customHeight="1">
      <c r="A87" s="13" t="s">
        <v>269</v>
      </c>
      <c r="B87" s="15"/>
      <c r="C87" s="15"/>
      <c r="D87" s="15"/>
      <c r="E87" s="15"/>
      <c r="F87" s="15"/>
      <c r="G87" s="15"/>
      <c r="H87" s="15"/>
      <c r="I87" s="15"/>
      <c r="J87" s="15"/>
      <c r="K87" s="16">
        <v>82.66</v>
      </c>
      <c r="L87" s="14">
        <v>121.91</v>
      </c>
      <c r="M87" s="16">
        <v>90.93</v>
      </c>
      <c r="N87" s="16">
        <v>64.94</v>
      </c>
      <c r="O87" s="14">
        <v>102.21</v>
      </c>
      <c r="P87" s="14">
        <v>102.73</v>
      </c>
      <c r="Q87" s="14">
        <v>100.33</v>
      </c>
      <c r="R87" s="14">
        <v>438.69</v>
      </c>
      <c r="S87" s="14">
        <v>409.82</v>
      </c>
      <c r="T87" s="15">
        <v>0.0</v>
      </c>
      <c r="U87" s="14">
        <v>119.93</v>
      </c>
      <c r="V87" s="16">
        <v>83.94</v>
      </c>
    </row>
    <row r="88" ht="15.0" customHeight="1">
      <c r="A88" s="13" t="s">
        <v>270</v>
      </c>
      <c r="B88" s="14">
        <v>276.78</v>
      </c>
      <c r="C88" s="15">
        <v>11380.52</v>
      </c>
      <c r="D88" s="14">
        <v>2460.69</v>
      </c>
      <c r="E88" s="14">
        <v>446.59</v>
      </c>
      <c r="F88" s="14">
        <v>940.94</v>
      </c>
      <c r="G88" s="15">
        <v>27147.54</v>
      </c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ht="15.0" customHeight="1">
      <c r="A89" s="13" t="s">
        <v>271</v>
      </c>
      <c r="B89" s="15"/>
      <c r="C89" s="15"/>
      <c r="D89" s="15"/>
      <c r="E89" s="15"/>
      <c r="F89" s="15"/>
      <c r="G89" s="15"/>
      <c r="H89" s="15">
        <v>25888.72</v>
      </c>
      <c r="I89" s="14">
        <v>650.45</v>
      </c>
      <c r="J89" s="14">
        <v>330.69</v>
      </c>
      <c r="K89" s="14">
        <v>2520.0</v>
      </c>
      <c r="L89" s="14">
        <v>1122.37</v>
      </c>
      <c r="M89" s="14">
        <v>1631.59</v>
      </c>
      <c r="N89" s="14">
        <v>2057.18</v>
      </c>
      <c r="O89" s="14">
        <v>878.02</v>
      </c>
      <c r="P89" s="14">
        <v>2101.88</v>
      </c>
      <c r="Q89" s="14">
        <v>565.87</v>
      </c>
      <c r="R89" s="14">
        <v>473.02</v>
      </c>
      <c r="S89" s="14">
        <v>1339.62</v>
      </c>
      <c r="T89" s="14">
        <v>622.75</v>
      </c>
      <c r="U89" s="15"/>
      <c r="V89" s="14">
        <v>180.39</v>
      </c>
    </row>
    <row r="90" ht="15.0" customHeight="1">
      <c r="A90" s="13" t="s">
        <v>272</v>
      </c>
      <c r="B90" s="14">
        <v>459.73</v>
      </c>
      <c r="C90" s="14">
        <v>383.96</v>
      </c>
      <c r="D90" s="14">
        <v>499.05</v>
      </c>
      <c r="E90" s="14">
        <v>362.64</v>
      </c>
      <c r="F90" s="14">
        <v>444.68</v>
      </c>
      <c r="G90" s="14">
        <v>764.93</v>
      </c>
      <c r="H90" s="14">
        <v>1322.94</v>
      </c>
      <c r="I90" s="14">
        <v>822.67</v>
      </c>
      <c r="J90" s="14">
        <v>375.35</v>
      </c>
      <c r="K90" s="14">
        <v>279.08</v>
      </c>
      <c r="L90" s="14">
        <v>353.75</v>
      </c>
      <c r="M90" s="14">
        <v>323.11</v>
      </c>
      <c r="N90" s="14">
        <v>391.75</v>
      </c>
      <c r="O90" s="14">
        <v>275.19</v>
      </c>
      <c r="P90" s="14">
        <v>250.2</v>
      </c>
      <c r="Q90" s="14">
        <v>510.19</v>
      </c>
      <c r="R90" s="14">
        <v>206.31</v>
      </c>
      <c r="S90" s="14">
        <v>133.23</v>
      </c>
      <c r="T90" s="14">
        <v>111.43</v>
      </c>
      <c r="U90" s="14">
        <v>322.98</v>
      </c>
      <c r="V90" s="16">
        <v>56.5</v>
      </c>
    </row>
    <row r="91" ht="15.0" customHeight="1">
      <c r="A91" s="13" t="s">
        <v>273</v>
      </c>
      <c r="B91" s="14">
        <v>201.93</v>
      </c>
      <c r="C91" s="14">
        <v>138.76</v>
      </c>
      <c r="D91" s="14">
        <v>694.56</v>
      </c>
      <c r="E91" s="14">
        <v>552.08</v>
      </c>
      <c r="F91" s="14">
        <v>532.41</v>
      </c>
      <c r="G91" s="14">
        <v>339.23</v>
      </c>
      <c r="H91" s="16">
        <v>97.4</v>
      </c>
      <c r="I91" s="14">
        <v>432.09</v>
      </c>
      <c r="J91" s="14">
        <v>244.64</v>
      </c>
      <c r="K91" s="14">
        <v>126.18</v>
      </c>
      <c r="L91" s="14">
        <v>371.53</v>
      </c>
      <c r="M91" s="14">
        <v>111.5</v>
      </c>
      <c r="N91" s="14">
        <v>187.3</v>
      </c>
      <c r="O91" s="14">
        <v>257.07</v>
      </c>
      <c r="P91" s="14">
        <v>311.05</v>
      </c>
      <c r="Q91" s="15"/>
      <c r="R91" s="14">
        <v>167.4</v>
      </c>
      <c r="S91" s="14">
        <v>135.34</v>
      </c>
      <c r="T91" s="16">
        <v>94.27</v>
      </c>
      <c r="U91" s="16">
        <v>29.3</v>
      </c>
      <c r="V91" s="16">
        <v>51.01</v>
      </c>
    </row>
    <row r="92" ht="15.0" customHeight="1">
      <c r="A92" s="13" t="s">
        <v>274</v>
      </c>
      <c r="B92" s="16">
        <v>29.47</v>
      </c>
      <c r="C92" s="16">
        <v>24.72</v>
      </c>
      <c r="D92" s="14">
        <v>228.41</v>
      </c>
      <c r="E92" s="14">
        <v>176.77</v>
      </c>
      <c r="F92" s="14">
        <v>168.02</v>
      </c>
      <c r="G92" s="14">
        <v>187.2</v>
      </c>
      <c r="H92" s="16">
        <v>77.5</v>
      </c>
      <c r="I92" s="16">
        <v>67.33</v>
      </c>
      <c r="J92" s="16">
        <v>48.89</v>
      </c>
      <c r="K92" s="16">
        <v>58.27</v>
      </c>
      <c r="L92" s="16">
        <v>40.7</v>
      </c>
      <c r="M92" s="16">
        <v>15.32</v>
      </c>
      <c r="N92" s="16">
        <v>67.7</v>
      </c>
      <c r="O92" s="16">
        <v>75.36</v>
      </c>
      <c r="P92" s="14">
        <v>105.68</v>
      </c>
      <c r="Q92" s="15"/>
      <c r="R92" s="16">
        <v>50.97</v>
      </c>
      <c r="S92" s="16">
        <v>56.34</v>
      </c>
      <c r="T92" s="16">
        <v>26.92</v>
      </c>
      <c r="U92" s="16">
        <v>40.46</v>
      </c>
      <c r="V92" s="16">
        <v>15.41</v>
      </c>
    </row>
    <row r="93" ht="15.0" customHeight="1">
      <c r="A93" s="13" t="s">
        <v>275</v>
      </c>
      <c r="B93" s="14">
        <v>697.38</v>
      </c>
      <c r="C93" s="14">
        <v>1965.47</v>
      </c>
      <c r="D93" s="14">
        <v>147.11</v>
      </c>
      <c r="E93" s="14">
        <v>2466.32</v>
      </c>
      <c r="F93" s="14">
        <v>2558.95</v>
      </c>
      <c r="G93" s="14">
        <v>484.99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ht="15.0" customHeight="1">
      <c r="A94" s="13" t="s">
        <v>276</v>
      </c>
      <c r="B94" s="15"/>
      <c r="C94" s="15"/>
      <c r="D94" s="15"/>
      <c r="E94" s="15"/>
      <c r="F94" s="15"/>
      <c r="G94" s="15"/>
      <c r="H94" s="15"/>
      <c r="I94" s="15"/>
      <c r="J94" s="15"/>
      <c r="K94" s="16">
        <v>40.82</v>
      </c>
      <c r="L94" s="16">
        <v>51.5</v>
      </c>
      <c r="M94" s="16">
        <v>89.08</v>
      </c>
      <c r="N94" s="16">
        <v>46.39</v>
      </c>
      <c r="O94" s="16">
        <v>58.47</v>
      </c>
      <c r="P94" s="16">
        <v>50.65</v>
      </c>
      <c r="Q94" s="15"/>
      <c r="R94" s="16">
        <v>40.85</v>
      </c>
      <c r="S94" s="16">
        <v>43.28</v>
      </c>
      <c r="T94" s="16">
        <v>34.87</v>
      </c>
      <c r="U94" s="16">
        <v>27.73</v>
      </c>
      <c r="V94" s="16">
        <v>21.16</v>
      </c>
    </row>
    <row r="95" ht="15.0" customHeight="1">
      <c r="A95" s="13" t="s">
        <v>277</v>
      </c>
      <c r="B95" s="15"/>
      <c r="C95" s="15"/>
      <c r="D95" s="15"/>
      <c r="E95" s="15"/>
      <c r="F95" s="15">
        <v>0.0</v>
      </c>
      <c r="G95" s="14">
        <v>170.21</v>
      </c>
      <c r="H95" s="14">
        <v>282.81</v>
      </c>
      <c r="I95" s="16">
        <v>48.24</v>
      </c>
      <c r="J95" s="16">
        <v>6.62</v>
      </c>
      <c r="K95" s="16">
        <v>33.65</v>
      </c>
      <c r="L95" s="16">
        <v>25.96</v>
      </c>
      <c r="M95" s="16">
        <v>2.65</v>
      </c>
      <c r="N95" s="15"/>
      <c r="O95" s="16">
        <v>10.31</v>
      </c>
      <c r="P95" s="16">
        <v>5.91</v>
      </c>
      <c r="Q95" s="15"/>
      <c r="R95" s="16">
        <v>24.7</v>
      </c>
      <c r="S95" s="15"/>
      <c r="T95" s="15"/>
      <c r="U95" s="15"/>
      <c r="V95" s="15"/>
    </row>
    <row r="96" ht="15.0" customHeight="1">
      <c r="A96" s="13" t="s">
        <v>278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>
        <v>0.0</v>
      </c>
      <c r="T96" s="16">
        <v>10.95</v>
      </c>
      <c r="U96" s="15">
        <v>0.0</v>
      </c>
      <c r="V96" s="15"/>
    </row>
    <row r="97" ht="15.0" customHeight="1">
      <c r="A97" s="13" t="s">
        <v>279</v>
      </c>
      <c r="B97" s="15">
        <v>0.0</v>
      </c>
      <c r="C97" s="17">
        <v>0.0</v>
      </c>
      <c r="D97" s="15"/>
      <c r="E97" s="15"/>
      <c r="F97" s="15"/>
      <c r="G97" s="15"/>
      <c r="H97" s="15"/>
      <c r="I97" s="17">
        <v>0.0</v>
      </c>
      <c r="J97" s="15"/>
      <c r="K97" s="17">
        <v>0.0</v>
      </c>
      <c r="L97" s="15"/>
      <c r="M97" s="15"/>
      <c r="N97" s="15">
        <v>0.0</v>
      </c>
      <c r="O97" s="15"/>
      <c r="P97" s="15">
        <v>0.0</v>
      </c>
      <c r="Q97" s="15"/>
      <c r="R97" s="15"/>
      <c r="S97" s="15"/>
      <c r="T97" s="15"/>
      <c r="U97" s="15"/>
      <c r="V97" s="15"/>
    </row>
    <row r="98" ht="15.0" customHeight="1">
      <c r="A98" s="18" t="s">
        <v>280</v>
      </c>
      <c r="B98" s="19">
        <v>1665.29</v>
      </c>
      <c r="C98" s="25">
        <v>13893.43</v>
      </c>
      <c r="D98" s="19">
        <v>4029.83</v>
      </c>
      <c r="E98" s="19">
        <v>4004.4</v>
      </c>
      <c r="F98" s="19">
        <v>4645.0</v>
      </c>
      <c r="G98" s="25">
        <v>29094.09</v>
      </c>
      <c r="H98" s="25">
        <v>27669.38</v>
      </c>
      <c r="I98" s="19">
        <v>2020.78</v>
      </c>
      <c r="J98" s="19">
        <v>1006.19</v>
      </c>
      <c r="K98" s="19">
        <v>3140.66</v>
      </c>
      <c r="L98" s="19">
        <v>2087.72</v>
      </c>
      <c r="M98" s="19">
        <v>2264.19</v>
      </c>
      <c r="N98" s="19">
        <v>2815.26</v>
      </c>
      <c r="O98" s="19">
        <v>1656.62</v>
      </c>
      <c r="P98" s="19">
        <v>2928.1</v>
      </c>
      <c r="Q98" s="19">
        <v>1176.38</v>
      </c>
      <c r="R98" s="19">
        <v>1401.94</v>
      </c>
      <c r="S98" s="19">
        <v>2117.62</v>
      </c>
      <c r="T98" s="19">
        <v>901.2</v>
      </c>
      <c r="U98" s="19">
        <v>540.38</v>
      </c>
      <c r="V98" s="19">
        <v>408.41</v>
      </c>
    </row>
    <row r="99" ht="15.0" customHeight="1">
      <c r="A99" s="13" t="s">
        <v>281</v>
      </c>
      <c r="B99" s="15">
        <v>0.0</v>
      </c>
      <c r="C99" s="16">
        <v>1.05</v>
      </c>
      <c r="D99" s="16">
        <v>1.05</v>
      </c>
      <c r="E99" s="16">
        <v>1.92</v>
      </c>
      <c r="F99" s="16">
        <v>12.37</v>
      </c>
      <c r="G99" s="16">
        <v>12.17</v>
      </c>
      <c r="H99" s="16">
        <v>97.78</v>
      </c>
      <c r="I99" s="14">
        <v>376.48</v>
      </c>
      <c r="J99" s="14">
        <v>226.99</v>
      </c>
      <c r="K99" s="14">
        <v>367.7</v>
      </c>
      <c r="L99" s="14">
        <v>331.89</v>
      </c>
      <c r="M99" s="14">
        <v>161.1</v>
      </c>
      <c r="N99" s="16">
        <v>50.95</v>
      </c>
      <c r="O99" s="16">
        <v>36.49</v>
      </c>
      <c r="P99" s="16">
        <v>33.6</v>
      </c>
      <c r="Q99" s="16">
        <v>34.67</v>
      </c>
      <c r="R99" s="16">
        <v>37.34</v>
      </c>
      <c r="S99" s="16">
        <v>39.12</v>
      </c>
      <c r="T99" s="16">
        <v>32.0</v>
      </c>
      <c r="U99" s="16">
        <v>41.33</v>
      </c>
      <c r="V99" s="16">
        <v>92.02</v>
      </c>
    </row>
    <row r="100" ht="15.0" customHeight="1">
      <c r="A100" s="13" t="s">
        <v>282</v>
      </c>
      <c r="B100" s="14">
        <v>1502.14</v>
      </c>
      <c r="C100" s="14">
        <v>630.59</v>
      </c>
      <c r="D100" s="15">
        <v>16637.36</v>
      </c>
      <c r="E100" s="15">
        <v>17523.95</v>
      </c>
      <c r="F100" s="15">
        <v>16875.36</v>
      </c>
      <c r="G100" s="14">
        <v>685.03</v>
      </c>
      <c r="H100" s="14">
        <v>1081.1</v>
      </c>
      <c r="I100" s="15">
        <v>25159.92</v>
      </c>
      <c r="J100" s="15">
        <v>14020.29</v>
      </c>
      <c r="K100" s="14">
        <v>8905.84</v>
      </c>
      <c r="L100" s="15">
        <v>10094.84</v>
      </c>
      <c r="M100" s="14">
        <v>7539.12</v>
      </c>
      <c r="N100" s="14">
        <v>7114.13</v>
      </c>
      <c r="O100" s="14">
        <v>9472.15</v>
      </c>
      <c r="P100" s="14">
        <v>7465.91</v>
      </c>
      <c r="Q100" s="14">
        <v>6379.21</v>
      </c>
      <c r="R100" s="14">
        <v>4778.17</v>
      </c>
      <c r="S100" s="14">
        <v>2875.2</v>
      </c>
      <c r="T100" s="14">
        <v>2564.55</v>
      </c>
      <c r="U100" s="14">
        <v>3600.41</v>
      </c>
      <c r="V100" s="14">
        <v>2471.82</v>
      </c>
    </row>
    <row r="101" ht="15.0" customHeight="1">
      <c r="A101" s="13" t="s">
        <v>283</v>
      </c>
      <c r="B101" s="15"/>
      <c r="C101" s="15"/>
      <c r="D101" s="15"/>
      <c r="E101" s="15"/>
      <c r="F101" s="15"/>
      <c r="G101" s="14">
        <v>4496.5</v>
      </c>
      <c r="H101" s="14">
        <v>4189.43</v>
      </c>
      <c r="I101" s="15">
        <v>28566.48</v>
      </c>
      <c r="J101" s="15">
        <v>17488.49</v>
      </c>
      <c r="K101" s="14">
        <v>9273.54</v>
      </c>
      <c r="L101" s="15">
        <v>10426.73</v>
      </c>
      <c r="M101" s="14">
        <v>7700.22</v>
      </c>
      <c r="N101" s="14">
        <v>7165.08</v>
      </c>
      <c r="O101" s="14">
        <v>9508.64</v>
      </c>
      <c r="P101" s="15"/>
      <c r="Q101" s="15"/>
      <c r="R101" s="15"/>
      <c r="S101" s="15"/>
      <c r="T101" s="15"/>
      <c r="U101" s="15"/>
      <c r="V101" s="15"/>
    </row>
    <row r="102" ht="15.0" customHeight="1">
      <c r="A102" s="13" t="s">
        <v>284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>
        <v>0.0</v>
      </c>
      <c r="N102" s="15"/>
      <c r="O102" s="15"/>
      <c r="P102" s="15"/>
      <c r="Q102" s="15"/>
      <c r="R102" s="15"/>
      <c r="S102" s="15"/>
      <c r="T102" s="15"/>
      <c r="U102" s="15"/>
      <c r="V102" s="15"/>
    </row>
    <row r="103" ht="15.0" customHeight="1">
      <c r="A103" s="13" t="s">
        <v>285</v>
      </c>
      <c r="B103" s="15"/>
      <c r="C103" s="15"/>
      <c r="D103" s="15"/>
      <c r="E103" s="15"/>
      <c r="F103" s="15"/>
      <c r="G103" s="15"/>
      <c r="H103" s="15"/>
      <c r="I103" s="17">
        <v>0.0</v>
      </c>
      <c r="J103" s="15">
        <v>0.0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ht="15.0" customHeight="1">
      <c r="A104" s="13" t="s">
        <v>286</v>
      </c>
      <c r="B104" s="15"/>
      <c r="C104" s="15"/>
      <c r="D104" s="15"/>
      <c r="E104" s="15"/>
      <c r="F104" s="15"/>
      <c r="G104" s="16">
        <v>77.94</v>
      </c>
      <c r="H104" s="14">
        <v>606.46</v>
      </c>
      <c r="I104" s="14">
        <v>561.12</v>
      </c>
      <c r="J104" s="14">
        <v>334.48</v>
      </c>
      <c r="K104" s="14">
        <v>154.41</v>
      </c>
      <c r="L104" s="14">
        <v>174.01</v>
      </c>
      <c r="M104" s="15"/>
      <c r="N104" s="15"/>
      <c r="O104" s="16">
        <v>92.3</v>
      </c>
      <c r="P104" s="15"/>
      <c r="Q104" s="16">
        <v>45.96</v>
      </c>
      <c r="R104" s="15"/>
      <c r="S104" s="16">
        <v>46.7</v>
      </c>
      <c r="T104" s="14">
        <v>269.76</v>
      </c>
      <c r="U104" s="14">
        <v>100.0</v>
      </c>
      <c r="V104" s="16">
        <v>90.4</v>
      </c>
    </row>
    <row r="105" ht="15.0" customHeight="1">
      <c r="A105" s="13" t="s">
        <v>274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>
        <v>39.93</v>
      </c>
      <c r="P105" s="16">
        <v>77.54</v>
      </c>
      <c r="Q105" s="15"/>
      <c r="R105" s="14">
        <v>214.82</v>
      </c>
      <c r="S105" s="14">
        <v>356.73</v>
      </c>
      <c r="T105" s="15">
        <v>0.0</v>
      </c>
      <c r="U105" s="15"/>
      <c r="V105" s="15"/>
    </row>
    <row r="106" ht="15.0" customHeight="1">
      <c r="A106" s="13" t="s">
        <v>287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6">
        <v>52.37</v>
      </c>
      <c r="P106" s="16">
        <v>67.19</v>
      </c>
      <c r="Q106" s="15"/>
      <c r="R106" s="16">
        <v>67.77</v>
      </c>
      <c r="S106" s="15"/>
      <c r="T106" s="15"/>
      <c r="U106" s="15"/>
      <c r="V106" s="15"/>
    </row>
    <row r="107" ht="15.0" customHeight="1">
      <c r="A107" s="13" t="s">
        <v>288</v>
      </c>
      <c r="B107" s="15"/>
      <c r="C107" s="15"/>
      <c r="D107" s="15"/>
      <c r="E107" s="15"/>
      <c r="F107" s="15"/>
      <c r="G107" s="15">
        <v>0.0</v>
      </c>
      <c r="H107" s="17">
        <v>0.0</v>
      </c>
      <c r="I107" s="15"/>
      <c r="J107" s="15">
        <v>0.0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ht="15.0" customHeight="1">
      <c r="A108" s="13" t="s">
        <v>289</v>
      </c>
      <c r="B108" s="14">
        <v>2534.44</v>
      </c>
      <c r="C108" s="14">
        <v>1795.63</v>
      </c>
      <c r="D108" s="14">
        <v>3564.96</v>
      </c>
      <c r="E108" s="14">
        <v>280.76</v>
      </c>
      <c r="F108" s="14">
        <v>255.29</v>
      </c>
      <c r="G108" s="14">
        <v>3799.3</v>
      </c>
      <c r="H108" s="14">
        <v>3010.55</v>
      </c>
      <c r="I108" s="14">
        <v>3030.08</v>
      </c>
      <c r="J108" s="14">
        <v>3241.2</v>
      </c>
      <c r="K108" s="15"/>
      <c r="L108" s="15"/>
      <c r="M108" s="15"/>
      <c r="N108" s="15"/>
      <c r="O108" s="15"/>
      <c r="P108" s="16">
        <v>4.62</v>
      </c>
      <c r="Q108" s="15"/>
      <c r="R108" s="16">
        <v>15.7</v>
      </c>
      <c r="S108" s="14">
        <v>1112.75</v>
      </c>
      <c r="T108" s="14">
        <v>1299.35</v>
      </c>
      <c r="U108" s="15"/>
      <c r="V108" s="15"/>
    </row>
    <row r="109" ht="15.0" customHeight="1">
      <c r="A109" s="13" t="s">
        <v>290</v>
      </c>
      <c r="B109" s="16">
        <v>10.34</v>
      </c>
      <c r="C109" s="15"/>
      <c r="D109" s="15"/>
      <c r="E109" s="15">
        <v>0.0</v>
      </c>
      <c r="F109" s="15">
        <v>0.0</v>
      </c>
      <c r="G109" s="16">
        <v>16.64</v>
      </c>
      <c r="H109" s="15"/>
      <c r="I109" s="15"/>
      <c r="J109" s="15"/>
      <c r="K109" s="15"/>
      <c r="L109" s="15"/>
      <c r="M109" s="15"/>
      <c r="N109" s="16">
        <v>3.0</v>
      </c>
      <c r="O109" s="15"/>
      <c r="P109" s="15"/>
      <c r="Q109" s="15"/>
      <c r="R109" s="15">
        <v>0.0</v>
      </c>
      <c r="S109" s="16">
        <v>25.42</v>
      </c>
      <c r="T109" s="16">
        <v>16.6</v>
      </c>
      <c r="U109" s="16">
        <v>23.77</v>
      </c>
      <c r="V109" s="16">
        <v>54.7</v>
      </c>
    </row>
    <row r="110" ht="15.0" customHeight="1">
      <c r="A110" s="13" t="s">
        <v>291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6">
        <v>20.1</v>
      </c>
      <c r="T110" s="16">
        <v>23.66</v>
      </c>
      <c r="U110" s="16">
        <v>25.92</v>
      </c>
      <c r="V110" s="16">
        <v>3.07</v>
      </c>
    </row>
    <row r="111" ht="15.0" customHeight="1">
      <c r="A111" s="13" t="s">
        <v>291</v>
      </c>
      <c r="B111" s="15"/>
      <c r="C111" s="15"/>
      <c r="D111" s="15"/>
      <c r="E111" s="15"/>
      <c r="F111" s="15">
        <v>0.0</v>
      </c>
      <c r="G111" s="16">
        <v>34.71</v>
      </c>
      <c r="H111" s="16">
        <v>32.84</v>
      </c>
      <c r="I111" s="16">
        <v>63.0</v>
      </c>
      <c r="J111" s="14">
        <v>193.73</v>
      </c>
      <c r="K111" s="16">
        <v>9.14</v>
      </c>
      <c r="L111" s="16">
        <v>9.34</v>
      </c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ht="15.0" customHeight="1">
      <c r="A112" s="13" t="s">
        <v>292</v>
      </c>
      <c r="B112" s="15">
        <v>0.0</v>
      </c>
      <c r="C112" s="16">
        <v>5.16</v>
      </c>
      <c r="D112" s="16">
        <v>20.38</v>
      </c>
      <c r="E112" s="16">
        <v>25.86</v>
      </c>
      <c r="F112" s="16">
        <v>25.02</v>
      </c>
      <c r="G112" s="16">
        <v>26.59</v>
      </c>
      <c r="H112" s="14">
        <v>119.43</v>
      </c>
      <c r="I112" s="14">
        <v>120.84</v>
      </c>
      <c r="J112" s="16">
        <v>63.49</v>
      </c>
      <c r="K112" s="16">
        <v>50.67</v>
      </c>
      <c r="L112" s="16">
        <v>98.78</v>
      </c>
      <c r="M112" s="16">
        <v>72.02</v>
      </c>
      <c r="N112" s="16">
        <v>68.0</v>
      </c>
      <c r="O112" s="15"/>
      <c r="P112" s="15"/>
      <c r="Q112" s="15"/>
      <c r="R112" s="15"/>
      <c r="S112" s="16">
        <v>3.57</v>
      </c>
      <c r="T112" s="16">
        <v>12.81</v>
      </c>
      <c r="U112" s="16">
        <v>10.52</v>
      </c>
      <c r="V112" s="16">
        <v>9.53</v>
      </c>
    </row>
    <row r="113" ht="15.0" customHeight="1">
      <c r="A113" s="13" t="s">
        <v>293</v>
      </c>
      <c r="B113" s="16">
        <v>1.08</v>
      </c>
      <c r="C113" s="16">
        <v>1.12</v>
      </c>
      <c r="D113" s="16">
        <v>12.43</v>
      </c>
      <c r="E113" s="16">
        <v>17.32</v>
      </c>
      <c r="F113" s="16">
        <v>12.87</v>
      </c>
      <c r="G113" s="15">
        <v>0.0</v>
      </c>
      <c r="H113" s="14">
        <v>454.19</v>
      </c>
      <c r="I113" s="14">
        <v>377.28</v>
      </c>
      <c r="J113" s="16">
        <v>77.26</v>
      </c>
      <c r="K113" s="16">
        <v>94.6</v>
      </c>
      <c r="L113" s="16">
        <v>65.89</v>
      </c>
      <c r="M113" s="16">
        <v>34.43</v>
      </c>
      <c r="N113" s="16">
        <v>51.11</v>
      </c>
      <c r="O113" s="15"/>
      <c r="P113" s="15"/>
      <c r="Q113" s="15"/>
      <c r="R113" s="15"/>
      <c r="S113" s="15"/>
      <c r="T113" s="15"/>
      <c r="U113" s="15"/>
      <c r="V113" s="15"/>
    </row>
    <row r="114" ht="15.0" customHeight="1">
      <c r="A114" s="13" t="s">
        <v>294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21">
        <v>-144.74</v>
      </c>
      <c r="Q114" s="15"/>
      <c r="R114" s="21">
        <v>-282.58</v>
      </c>
      <c r="S114" s="21">
        <v>-452.52</v>
      </c>
      <c r="T114" s="21">
        <v>-299.18</v>
      </c>
      <c r="U114" s="15"/>
      <c r="V114" s="15"/>
    </row>
    <row r="115" ht="15.0" customHeight="1">
      <c r="A115" s="18" t="s">
        <v>295</v>
      </c>
      <c r="B115" s="19">
        <v>4048.0</v>
      </c>
      <c r="C115" s="19">
        <v>2433.54</v>
      </c>
      <c r="D115" s="25">
        <v>20236.18</v>
      </c>
      <c r="E115" s="25">
        <v>17849.8</v>
      </c>
      <c r="F115" s="25">
        <v>17180.9</v>
      </c>
      <c r="G115" s="19">
        <v>4574.44</v>
      </c>
      <c r="H115" s="19">
        <v>4795.89</v>
      </c>
      <c r="I115" s="25">
        <v>29127.59</v>
      </c>
      <c r="J115" s="25">
        <v>17822.97</v>
      </c>
      <c r="K115" s="19">
        <v>9427.95</v>
      </c>
      <c r="L115" s="25">
        <v>10600.74</v>
      </c>
      <c r="M115" s="19">
        <v>7806.67</v>
      </c>
      <c r="N115" s="19">
        <v>7287.19</v>
      </c>
      <c r="O115" s="19">
        <v>9600.94</v>
      </c>
      <c r="P115" s="19">
        <v>7504.13</v>
      </c>
      <c r="Q115" s="19">
        <v>6459.84</v>
      </c>
      <c r="R115" s="19">
        <v>4831.21</v>
      </c>
      <c r="S115" s="19">
        <v>4027.07</v>
      </c>
      <c r="T115" s="19">
        <v>3919.56</v>
      </c>
      <c r="U115" s="19">
        <v>3801.95</v>
      </c>
      <c r="V115" s="19">
        <v>2721.53</v>
      </c>
    </row>
    <row r="116" ht="15.0" customHeight="1">
      <c r="A116" s="13" t="s">
        <v>296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>
        <v>0.0</v>
      </c>
      <c r="P116" s="14">
        <v>144.74</v>
      </c>
      <c r="Q116" s="15"/>
      <c r="R116" s="14">
        <v>298.52</v>
      </c>
      <c r="S116" s="14">
        <v>488.13</v>
      </c>
      <c r="T116" s="14">
        <v>313.9</v>
      </c>
      <c r="U116" s="15"/>
      <c r="V116" s="15"/>
    </row>
    <row r="117" ht="15.0" customHeight="1">
      <c r="A117" s="13" t="s">
        <v>297</v>
      </c>
      <c r="B117" s="15">
        <v>0.0</v>
      </c>
      <c r="C117" s="14">
        <v>1483.82</v>
      </c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</row>
    <row r="118" ht="15.0" customHeight="1">
      <c r="A118" s="18" t="s">
        <v>298</v>
      </c>
      <c r="B118" s="19">
        <v>5713.29</v>
      </c>
      <c r="C118" s="25">
        <v>17810.79</v>
      </c>
      <c r="D118" s="25">
        <v>24266.01</v>
      </c>
      <c r="E118" s="25">
        <v>21854.2</v>
      </c>
      <c r="F118" s="25">
        <v>21825.9</v>
      </c>
      <c r="G118" s="25">
        <v>33668.53</v>
      </c>
      <c r="H118" s="25">
        <v>32465.27</v>
      </c>
      <c r="I118" s="25">
        <v>31148.38</v>
      </c>
      <c r="J118" s="25">
        <v>18829.16</v>
      </c>
      <c r="K118" s="25">
        <v>12568.61</v>
      </c>
      <c r="L118" s="25">
        <v>12688.46</v>
      </c>
      <c r="M118" s="25">
        <v>10070.86</v>
      </c>
      <c r="N118" s="25">
        <v>10102.46</v>
      </c>
      <c r="O118" s="25">
        <v>11257.56</v>
      </c>
      <c r="P118" s="25">
        <v>10576.96</v>
      </c>
      <c r="Q118" s="19">
        <v>7636.23</v>
      </c>
      <c r="R118" s="19">
        <v>6531.67</v>
      </c>
      <c r="S118" s="19">
        <v>6632.82</v>
      </c>
      <c r="T118" s="19">
        <v>5134.65</v>
      </c>
      <c r="U118" s="19">
        <v>4342.33</v>
      </c>
      <c r="V118" s="19">
        <v>3129.94</v>
      </c>
    </row>
    <row r="119" ht="15.0" customHeight="1">
      <c r="A119" s="13" t="s">
        <v>299</v>
      </c>
      <c r="B119" s="14">
        <v>271.8</v>
      </c>
      <c r="C119" s="14">
        <v>271.8</v>
      </c>
      <c r="D119" s="14">
        <v>257.7</v>
      </c>
      <c r="E119" s="14">
        <v>252.54</v>
      </c>
      <c r="F119" s="14">
        <v>250.45</v>
      </c>
      <c r="G119" s="14">
        <v>4602.78</v>
      </c>
      <c r="H119" s="14">
        <v>4602.78</v>
      </c>
      <c r="I119" s="14">
        <v>4602.78</v>
      </c>
      <c r="J119" s="14">
        <v>2454.06</v>
      </c>
      <c r="K119" s="14">
        <v>1842.36</v>
      </c>
      <c r="L119" s="14">
        <v>1842.23</v>
      </c>
      <c r="M119" s="14">
        <v>1842.73</v>
      </c>
      <c r="N119" s="14">
        <v>1843.2</v>
      </c>
      <c r="O119" s="14">
        <v>1843.15</v>
      </c>
      <c r="P119" s="14">
        <v>111.65</v>
      </c>
      <c r="Q119" s="14">
        <v>1728.64</v>
      </c>
      <c r="R119" s="14">
        <v>111.65</v>
      </c>
      <c r="S119" s="14">
        <v>111.65</v>
      </c>
      <c r="T119" s="14">
        <v>111.65</v>
      </c>
      <c r="U119" s="14">
        <v>111.65</v>
      </c>
      <c r="V119" s="15">
        <v>0.0</v>
      </c>
    </row>
    <row r="120" ht="15.0" customHeight="1">
      <c r="A120" s="13" t="s">
        <v>300</v>
      </c>
      <c r="B120" s="16">
        <v>82.35</v>
      </c>
      <c r="C120" s="16">
        <v>82.35</v>
      </c>
      <c r="D120" s="16">
        <v>77.31</v>
      </c>
      <c r="E120" s="16">
        <v>75.61</v>
      </c>
      <c r="F120" s="16">
        <v>74.87</v>
      </c>
      <c r="G120" s="14">
        <v>583.07</v>
      </c>
      <c r="H120" s="14">
        <v>583.07</v>
      </c>
      <c r="I120" s="14">
        <v>583.07</v>
      </c>
      <c r="J120" s="14">
        <v>177.37</v>
      </c>
      <c r="K120" s="16">
        <v>77.38</v>
      </c>
      <c r="L120" s="16">
        <v>77.38</v>
      </c>
      <c r="M120" s="16">
        <v>77.38</v>
      </c>
      <c r="N120" s="16">
        <v>77.38</v>
      </c>
      <c r="O120" s="16">
        <v>77.38</v>
      </c>
      <c r="P120" s="16">
        <v>75.59</v>
      </c>
      <c r="Q120" s="15"/>
      <c r="R120" s="16">
        <v>75.59</v>
      </c>
      <c r="S120" s="16">
        <v>75.59</v>
      </c>
      <c r="T120" s="16">
        <v>75.59</v>
      </c>
      <c r="U120" s="16">
        <v>75.59</v>
      </c>
      <c r="V120" s="16">
        <v>75.59</v>
      </c>
    </row>
    <row r="121" ht="15.0" customHeight="1">
      <c r="A121" s="13" t="s">
        <v>301</v>
      </c>
      <c r="B121" s="15"/>
      <c r="C121" s="15">
        <v>0.0</v>
      </c>
      <c r="D121" s="15">
        <v>0.0</v>
      </c>
      <c r="E121" s="15">
        <v>0.0</v>
      </c>
      <c r="F121" s="15">
        <v>0.0</v>
      </c>
      <c r="G121" s="20">
        <v>-0.28</v>
      </c>
      <c r="H121" s="20">
        <v>-0.28</v>
      </c>
      <c r="I121" s="20">
        <v>-0.28</v>
      </c>
      <c r="J121" s="20">
        <v>-0.25</v>
      </c>
      <c r="K121" s="20">
        <v>-0.85</v>
      </c>
      <c r="L121" s="20">
        <v>-0.98</v>
      </c>
      <c r="M121" s="20">
        <v>-0.48</v>
      </c>
      <c r="N121" s="20">
        <v>-0.01</v>
      </c>
      <c r="O121" s="20">
        <v>-0.05</v>
      </c>
      <c r="P121" s="20">
        <v>-0.38</v>
      </c>
      <c r="Q121" s="15"/>
      <c r="R121" s="20">
        <v>-0.22</v>
      </c>
      <c r="S121" s="20">
        <v>-0.23</v>
      </c>
      <c r="T121" s="20">
        <v>-0.01</v>
      </c>
      <c r="U121" s="20">
        <v>-0.01</v>
      </c>
      <c r="V121" s="20">
        <v>-0.03</v>
      </c>
    </row>
    <row r="122" ht="15.0" customHeight="1">
      <c r="A122" s="13" t="s">
        <v>302</v>
      </c>
      <c r="B122" s="14">
        <v>189.46</v>
      </c>
      <c r="C122" s="14">
        <v>189.46</v>
      </c>
      <c r="D122" s="14">
        <v>180.39</v>
      </c>
      <c r="E122" s="14">
        <v>176.93</v>
      </c>
      <c r="F122" s="14">
        <v>175.57</v>
      </c>
      <c r="G122" s="14">
        <v>3698.35</v>
      </c>
      <c r="H122" s="14">
        <v>3698.35</v>
      </c>
      <c r="I122" s="14">
        <v>3698.35</v>
      </c>
      <c r="J122" s="14">
        <v>2165.29</v>
      </c>
      <c r="K122" s="14">
        <v>1654.19</v>
      </c>
      <c r="L122" s="14">
        <v>1654.19</v>
      </c>
      <c r="M122" s="14">
        <v>1654.19</v>
      </c>
      <c r="N122" s="14">
        <v>1654.19</v>
      </c>
      <c r="O122" s="14">
        <v>1654.18</v>
      </c>
      <c r="P122" s="14">
        <v>1541.82</v>
      </c>
      <c r="Q122" s="15"/>
      <c r="R122" s="15">
        <v>0.0</v>
      </c>
      <c r="S122" s="15"/>
      <c r="T122" s="15"/>
      <c r="U122" s="15"/>
      <c r="V122" s="15"/>
    </row>
    <row r="123" ht="15.0" customHeight="1">
      <c r="A123" s="13" t="s">
        <v>303</v>
      </c>
      <c r="B123" s="15"/>
      <c r="C123" s="15"/>
      <c r="D123" s="15">
        <v>0.0</v>
      </c>
      <c r="E123" s="15">
        <v>0.0</v>
      </c>
      <c r="F123" s="15">
        <v>0.0</v>
      </c>
      <c r="G123" s="14">
        <v>321.65</v>
      </c>
      <c r="H123" s="14">
        <v>321.65</v>
      </c>
      <c r="I123" s="14">
        <v>321.65</v>
      </c>
      <c r="J123" s="14">
        <v>111.65</v>
      </c>
      <c r="K123" s="14">
        <v>111.65</v>
      </c>
      <c r="L123" s="14">
        <v>111.65</v>
      </c>
      <c r="M123" s="14">
        <v>111.65</v>
      </c>
      <c r="N123" s="14">
        <v>111.65</v>
      </c>
      <c r="O123" s="14">
        <v>111.65</v>
      </c>
      <c r="P123" s="15"/>
      <c r="Q123" s="15"/>
      <c r="R123" s="15"/>
      <c r="S123" s="15"/>
      <c r="T123" s="15"/>
      <c r="U123" s="15"/>
      <c r="V123" s="15"/>
    </row>
    <row r="124" ht="15.0" customHeight="1">
      <c r="A124" s="13" t="s">
        <v>304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>
        <v>0.0</v>
      </c>
      <c r="N124" s="15">
        <v>0.0</v>
      </c>
      <c r="O124" s="15"/>
      <c r="P124" s="21">
        <v>-1505.37</v>
      </c>
      <c r="Q124" s="15"/>
      <c r="R124" s="16">
        <v>36.28</v>
      </c>
      <c r="S124" s="16">
        <v>36.29</v>
      </c>
      <c r="T124" s="16">
        <v>36.07</v>
      </c>
      <c r="U124" s="16">
        <v>36.07</v>
      </c>
      <c r="V124" s="20">
        <v>-75.56</v>
      </c>
    </row>
    <row r="125" ht="15.0" customHeight="1">
      <c r="A125" s="13" t="s">
        <v>305</v>
      </c>
      <c r="B125" s="14">
        <v>2937.96</v>
      </c>
      <c r="C125" s="14">
        <v>1555.43</v>
      </c>
      <c r="D125" s="14">
        <v>1504.82</v>
      </c>
      <c r="E125" s="14">
        <v>2835.55</v>
      </c>
      <c r="F125" s="14">
        <v>3976.82</v>
      </c>
      <c r="G125" s="21">
        <v>-8440.89</v>
      </c>
      <c r="H125" s="21">
        <v>-5455.88</v>
      </c>
      <c r="I125" s="14">
        <v>327.66</v>
      </c>
      <c r="J125" s="14">
        <v>938.46</v>
      </c>
      <c r="K125" s="14">
        <v>1940.14</v>
      </c>
      <c r="L125" s="14">
        <v>3304.32</v>
      </c>
      <c r="M125" s="14">
        <v>3160.85</v>
      </c>
      <c r="N125" s="14">
        <v>2823.68</v>
      </c>
      <c r="O125" s="14">
        <v>2634.06</v>
      </c>
      <c r="P125" s="14">
        <v>2836.13</v>
      </c>
      <c r="Q125" s="14">
        <v>2883.16</v>
      </c>
      <c r="R125" s="14">
        <v>3494.68</v>
      </c>
      <c r="S125" s="15"/>
      <c r="T125" s="15"/>
      <c r="U125" s="15"/>
      <c r="V125" s="14">
        <v>111.65</v>
      </c>
    </row>
    <row r="126" ht="15.0" customHeight="1">
      <c r="A126" s="13" t="s">
        <v>306</v>
      </c>
      <c r="B126" s="14">
        <v>2750.02</v>
      </c>
      <c r="C126" s="14">
        <v>1175.83</v>
      </c>
      <c r="D126" s="14">
        <v>776.67</v>
      </c>
      <c r="E126" s="15"/>
      <c r="F126" s="15"/>
      <c r="G126" s="15"/>
      <c r="H126" s="21">
        <v>-5803.05</v>
      </c>
      <c r="I126" s="16">
        <v>81.75</v>
      </c>
      <c r="J126" s="14">
        <v>545.77</v>
      </c>
      <c r="K126" s="14">
        <v>1427.59</v>
      </c>
      <c r="L126" s="14">
        <v>3094.28</v>
      </c>
      <c r="M126" s="14">
        <v>3178.46</v>
      </c>
      <c r="N126" s="14">
        <v>2918.19</v>
      </c>
      <c r="O126" s="14">
        <v>2637.35</v>
      </c>
      <c r="P126" s="15"/>
      <c r="Q126" s="15"/>
      <c r="R126" s="15"/>
      <c r="S126" s="15"/>
      <c r="T126" s="15"/>
      <c r="U126" s="15"/>
      <c r="V126" s="15"/>
    </row>
    <row r="127" ht="15.0" customHeight="1">
      <c r="A127" s="13" t="s">
        <v>307</v>
      </c>
      <c r="B127" s="14">
        <v>187.93</v>
      </c>
      <c r="C127" s="14">
        <v>379.6</v>
      </c>
      <c r="D127" s="14">
        <v>728.15</v>
      </c>
      <c r="E127" s="15"/>
      <c r="F127" s="15"/>
      <c r="G127" s="15"/>
      <c r="H127" s="14">
        <v>347.17</v>
      </c>
      <c r="I127" s="14">
        <v>245.91</v>
      </c>
      <c r="J127" s="14">
        <v>392.69</v>
      </c>
      <c r="K127" s="14">
        <v>512.75</v>
      </c>
      <c r="L127" s="14">
        <v>210.08</v>
      </c>
      <c r="M127" s="20">
        <v>-17.65</v>
      </c>
      <c r="N127" s="20">
        <v>-94.48</v>
      </c>
      <c r="O127" s="20">
        <v>-3.21</v>
      </c>
      <c r="P127" s="15"/>
      <c r="Q127" s="15"/>
      <c r="R127" s="15"/>
      <c r="S127" s="14">
        <v>3494.85</v>
      </c>
      <c r="T127" s="14">
        <v>2971.84</v>
      </c>
      <c r="U127" s="14">
        <v>2270.72</v>
      </c>
      <c r="V127" s="14">
        <v>1936.27</v>
      </c>
    </row>
    <row r="128" ht="15.0" customHeight="1">
      <c r="A128" s="13" t="s">
        <v>308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20">
        <v>-0.2</v>
      </c>
      <c r="L128" s="20">
        <v>-0.05</v>
      </c>
      <c r="M128" s="16">
        <v>0.05</v>
      </c>
      <c r="N128" s="20">
        <v>-0.04</v>
      </c>
      <c r="O128" s="20">
        <v>-0.08</v>
      </c>
      <c r="P128" s="15"/>
      <c r="Q128" s="15"/>
      <c r="R128" s="15"/>
      <c r="S128" s="15"/>
      <c r="T128" s="15"/>
      <c r="U128" s="15"/>
      <c r="V128" s="15"/>
    </row>
    <row r="129" ht="15.0" customHeight="1">
      <c r="A129" s="13" t="s">
        <v>309</v>
      </c>
      <c r="B129" s="15">
        <v>0.0</v>
      </c>
      <c r="C129" s="15"/>
      <c r="D129" s="17">
        <v>0.0</v>
      </c>
      <c r="E129" s="15"/>
      <c r="F129" s="15"/>
      <c r="G129" s="15"/>
      <c r="H129" s="15"/>
      <c r="I129" s="15"/>
      <c r="J129" s="17">
        <v>0.0</v>
      </c>
      <c r="K129" s="15">
        <v>0.0</v>
      </c>
      <c r="L129" s="15"/>
      <c r="M129" s="15"/>
      <c r="N129" s="17">
        <v>0.0</v>
      </c>
      <c r="O129" s="15"/>
      <c r="P129" s="15"/>
      <c r="Q129" s="15"/>
      <c r="R129" s="15"/>
      <c r="S129" s="15"/>
      <c r="T129" s="15"/>
      <c r="U129" s="15"/>
      <c r="V129" s="21">
        <v>-1824.63</v>
      </c>
    </row>
    <row r="130" ht="15.0" customHeight="1">
      <c r="A130" s="13" t="s">
        <v>310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4">
        <v>1617.02</v>
      </c>
      <c r="Q130" s="15"/>
      <c r="R130" s="16">
        <v>75.36</v>
      </c>
      <c r="S130" s="16">
        <v>75.36</v>
      </c>
      <c r="T130" s="16">
        <v>75.58</v>
      </c>
      <c r="U130" s="16">
        <v>75.58</v>
      </c>
      <c r="V130" s="14">
        <v>2011.83</v>
      </c>
    </row>
    <row r="131" ht="15.0" customHeight="1">
      <c r="A131" s="18" t="s">
        <v>311</v>
      </c>
      <c r="B131" s="19">
        <v>3209.76</v>
      </c>
      <c r="C131" s="19">
        <v>1827.23</v>
      </c>
      <c r="D131" s="19">
        <v>1762.51</v>
      </c>
      <c r="E131" s="19">
        <v>3088.08</v>
      </c>
      <c r="F131" s="19">
        <v>4227.26</v>
      </c>
      <c r="G131" s="23">
        <v>-3838.11</v>
      </c>
      <c r="H131" s="23">
        <v>-853.1</v>
      </c>
      <c r="I131" s="19">
        <v>4930.44</v>
      </c>
      <c r="J131" s="19">
        <v>3392.52</v>
      </c>
      <c r="K131" s="19">
        <v>3782.5</v>
      </c>
      <c r="L131" s="19">
        <v>5146.55</v>
      </c>
      <c r="M131" s="19">
        <v>5003.57</v>
      </c>
      <c r="N131" s="19">
        <v>4666.87</v>
      </c>
      <c r="O131" s="19">
        <v>4477.22</v>
      </c>
      <c r="P131" s="19">
        <v>4564.8</v>
      </c>
      <c r="Q131" s="19">
        <v>4611.79</v>
      </c>
      <c r="R131" s="19">
        <v>3681.69</v>
      </c>
      <c r="S131" s="19">
        <v>3681.85</v>
      </c>
      <c r="T131" s="19">
        <v>3159.07</v>
      </c>
      <c r="U131" s="19">
        <v>2457.95</v>
      </c>
      <c r="V131" s="19">
        <v>2123.48</v>
      </c>
    </row>
    <row r="132" ht="15.0" customHeight="1">
      <c r="A132" s="13" t="s">
        <v>150</v>
      </c>
      <c r="B132" s="16">
        <v>58.85</v>
      </c>
      <c r="C132" s="20">
        <v>-2.68</v>
      </c>
      <c r="D132" s="20">
        <v>-9.39</v>
      </c>
      <c r="E132" s="20">
        <v>-4.6</v>
      </c>
      <c r="F132" s="16">
        <v>15.81</v>
      </c>
      <c r="G132" s="16">
        <v>2.69</v>
      </c>
      <c r="H132" s="16">
        <v>2.43</v>
      </c>
      <c r="I132" s="16">
        <v>31.96</v>
      </c>
      <c r="J132" s="16">
        <v>63.21</v>
      </c>
      <c r="K132" s="21">
        <v>-114.92</v>
      </c>
      <c r="L132" s="20">
        <v>-89.01</v>
      </c>
      <c r="M132" s="20">
        <v>-49.3</v>
      </c>
      <c r="N132" s="20">
        <v>-41.94</v>
      </c>
      <c r="O132" s="20">
        <v>-61.3</v>
      </c>
      <c r="P132" s="14">
        <v>424.64</v>
      </c>
      <c r="Q132" s="16">
        <v>18.52</v>
      </c>
      <c r="R132" s="16">
        <v>15.93</v>
      </c>
      <c r="S132" s="16">
        <v>35.6</v>
      </c>
      <c r="T132" s="16">
        <v>14.72</v>
      </c>
      <c r="U132" s="14">
        <v>235.84</v>
      </c>
      <c r="V132" s="14">
        <v>303.65</v>
      </c>
    </row>
    <row r="133" ht="15.0" customHeight="1">
      <c r="A133" s="18" t="s">
        <v>312</v>
      </c>
      <c r="B133" s="24">
        <v>58.85</v>
      </c>
      <c r="C133" s="22">
        <v>-2.68</v>
      </c>
      <c r="D133" s="22">
        <v>-9.39</v>
      </c>
      <c r="E133" s="22">
        <v>-4.6</v>
      </c>
      <c r="F133" s="24">
        <v>15.81</v>
      </c>
      <c r="G133" s="24">
        <v>2.69</v>
      </c>
      <c r="H133" s="24">
        <v>2.43</v>
      </c>
      <c r="I133" s="24">
        <v>31.96</v>
      </c>
      <c r="J133" s="24">
        <v>63.21</v>
      </c>
      <c r="K133" s="23">
        <v>-114.92</v>
      </c>
      <c r="L133" s="22">
        <v>-89.01</v>
      </c>
      <c r="M133" s="22">
        <v>-49.3</v>
      </c>
      <c r="N133" s="22">
        <v>-41.94</v>
      </c>
      <c r="O133" s="22">
        <v>-61.3</v>
      </c>
      <c r="P133" s="19">
        <v>424.64</v>
      </c>
      <c r="Q133" s="24">
        <v>18.52</v>
      </c>
      <c r="R133" s="24">
        <v>15.93</v>
      </c>
      <c r="S133" s="24">
        <v>35.6</v>
      </c>
      <c r="T133" s="24">
        <v>14.72</v>
      </c>
      <c r="U133" s="19">
        <v>235.84</v>
      </c>
      <c r="V133" s="19">
        <v>303.65</v>
      </c>
    </row>
    <row r="134" ht="15.0" customHeight="1">
      <c r="A134" s="13" t="s">
        <v>313</v>
      </c>
      <c r="B134" s="17">
        <v>0.0</v>
      </c>
      <c r="C134" s="17">
        <v>0.0</v>
      </c>
      <c r="D134" s="15"/>
      <c r="E134" s="17">
        <v>0.0</v>
      </c>
      <c r="F134" s="15"/>
      <c r="G134" s="15">
        <v>0.0</v>
      </c>
      <c r="H134" s="15"/>
      <c r="I134" s="15"/>
      <c r="J134" s="15"/>
      <c r="K134" s="15"/>
      <c r="L134" s="15"/>
      <c r="M134" s="17">
        <v>0.0</v>
      </c>
      <c r="N134" s="15"/>
      <c r="O134" s="15"/>
      <c r="P134" s="15"/>
      <c r="Q134" s="15"/>
      <c r="R134" s="15"/>
      <c r="S134" s="15"/>
      <c r="T134" s="15"/>
      <c r="U134" s="15"/>
      <c r="V134" s="15"/>
    </row>
    <row r="135" ht="15.0" customHeight="1">
      <c r="A135" s="18" t="s">
        <v>314</v>
      </c>
      <c r="B135" s="19">
        <v>3268.61</v>
      </c>
      <c r="C135" s="19">
        <v>1824.55</v>
      </c>
      <c r="D135" s="19">
        <v>1753.13</v>
      </c>
      <c r="E135" s="19">
        <v>3083.48</v>
      </c>
      <c r="F135" s="19">
        <v>4243.08</v>
      </c>
      <c r="G135" s="23">
        <v>-3835.42</v>
      </c>
      <c r="H135" s="23">
        <v>-850.67</v>
      </c>
      <c r="I135" s="19">
        <v>4962.4</v>
      </c>
      <c r="J135" s="19">
        <v>3455.73</v>
      </c>
      <c r="K135" s="19">
        <v>3667.58</v>
      </c>
      <c r="L135" s="19">
        <v>5057.53</v>
      </c>
      <c r="M135" s="19">
        <v>4954.27</v>
      </c>
      <c r="N135" s="19">
        <v>4624.93</v>
      </c>
      <c r="O135" s="19">
        <v>4415.91</v>
      </c>
      <c r="P135" s="19">
        <v>4989.44</v>
      </c>
      <c r="Q135" s="19">
        <v>4630.32</v>
      </c>
      <c r="R135" s="19">
        <v>3697.62</v>
      </c>
      <c r="S135" s="19">
        <v>3717.46</v>
      </c>
      <c r="T135" s="19">
        <v>3173.79</v>
      </c>
      <c r="U135" s="19">
        <v>2693.79</v>
      </c>
      <c r="V135" s="19">
        <v>2427.12</v>
      </c>
    </row>
    <row r="136" ht="15.0" customHeight="1">
      <c r="A136" s="13" t="s">
        <v>315</v>
      </c>
      <c r="B136" s="15"/>
      <c r="C136" s="15"/>
      <c r="D136" s="15"/>
      <c r="E136" s="15">
        <v>0.0</v>
      </c>
      <c r="F136" s="15">
        <v>0.0</v>
      </c>
      <c r="G136" s="17">
        <v>0.0</v>
      </c>
      <c r="H136" s="15"/>
      <c r="I136" s="15"/>
      <c r="J136" s="15"/>
      <c r="K136" s="15"/>
      <c r="L136" s="15"/>
      <c r="M136" s="15"/>
      <c r="N136" s="15"/>
      <c r="O136" s="15"/>
      <c r="P136" s="15"/>
      <c r="Q136" s="15">
        <v>0.0</v>
      </c>
      <c r="R136" s="20">
        <v>-15.93</v>
      </c>
      <c r="S136" s="20">
        <v>-35.6</v>
      </c>
      <c r="T136" s="20">
        <v>-14.72</v>
      </c>
      <c r="U136" s="15"/>
      <c r="V136" s="15"/>
    </row>
    <row r="137" ht="15.0" customHeight="1">
      <c r="A137" s="18" t="s">
        <v>316</v>
      </c>
      <c r="B137" s="19">
        <v>8981.9</v>
      </c>
      <c r="C137" s="25">
        <v>19635.34</v>
      </c>
      <c r="D137" s="25">
        <v>26019.13</v>
      </c>
      <c r="E137" s="25">
        <v>24937.68</v>
      </c>
      <c r="F137" s="25">
        <v>26068.98</v>
      </c>
      <c r="G137" s="25">
        <v>29833.11</v>
      </c>
      <c r="H137" s="25">
        <v>31614.6</v>
      </c>
      <c r="I137" s="25">
        <v>36110.78</v>
      </c>
      <c r="J137" s="25">
        <v>22284.88</v>
      </c>
      <c r="K137" s="25">
        <v>16236.18</v>
      </c>
      <c r="L137" s="25">
        <v>17745.99</v>
      </c>
      <c r="M137" s="25">
        <v>15025.13</v>
      </c>
      <c r="N137" s="25">
        <v>14727.39</v>
      </c>
      <c r="O137" s="25">
        <v>15673.48</v>
      </c>
      <c r="P137" s="25">
        <v>15566.4</v>
      </c>
      <c r="Q137" s="25">
        <v>12266.55</v>
      </c>
      <c r="R137" s="25">
        <v>10213.36</v>
      </c>
      <c r="S137" s="25">
        <v>10314.67</v>
      </c>
      <c r="T137" s="19">
        <v>8293.72</v>
      </c>
      <c r="U137" s="19">
        <v>7036.12</v>
      </c>
      <c r="V137" s="19">
        <v>5557.06</v>
      </c>
    </row>
    <row r="138" ht="15.0" customHeight="1">
      <c r="A138" s="13" t="s">
        <v>317</v>
      </c>
      <c r="B138" s="16">
        <v>82.35</v>
      </c>
      <c r="C138" s="16">
        <v>82.35</v>
      </c>
      <c r="D138" s="16">
        <v>77.31</v>
      </c>
      <c r="E138" s="16">
        <v>75.61</v>
      </c>
      <c r="F138" s="16">
        <v>74.87</v>
      </c>
      <c r="G138" s="16">
        <v>2.45</v>
      </c>
      <c r="H138" s="16">
        <v>2.45</v>
      </c>
      <c r="I138" s="16">
        <v>2.45</v>
      </c>
      <c r="J138" s="16">
        <v>0.75</v>
      </c>
      <c r="K138" s="16">
        <v>0.32</v>
      </c>
      <c r="L138" s="16">
        <v>0.32</v>
      </c>
      <c r="M138" s="16">
        <v>0.33</v>
      </c>
      <c r="N138" s="16">
        <v>0.33</v>
      </c>
      <c r="O138" s="16">
        <v>0.33</v>
      </c>
      <c r="P138" s="16">
        <v>0.32</v>
      </c>
      <c r="Q138" s="16">
        <v>0.32</v>
      </c>
      <c r="R138" s="16">
        <v>0.32</v>
      </c>
      <c r="S138" s="16">
        <v>0.32</v>
      </c>
      <c r="T138" s="16">
        <v>0.32</v>
      </c>
      <c r="U138" s="16">
        <v>0.32</v>
      </c>
      <c r="V138" s="16">
        <v>0.32</v>
      </c>
    </row>
    <row r="139" ht="15.0" customHeight="1">
      <c r="A139" s="13" t="s">
        <v>318</v>
      </c>
      <c r="B139" s="15">
        <v>0.0</v>
      </c>
      <c r="C139" s="15">
        <v>0.0</v>
      </c>
      <c r="D139" s="15">
        <v>0.0</v>
      </c>
      <c r="E139" s="15">
        <v>0.0</v>
      </c>
      <c r="F139" s="15">
        <v>0.0</v>
      </c>
      <c r="G139" s="15">
        <v>0.0</v>
      </c>
      <c r="H139" s="15">
        <v>0.0</v>
      </c>
      <c r="I139" s="15">
        <v>0.0</v>
      </c>
      <c r="J139" s="15">
        <v>0.0</v>
      </c>
      <c r="K139" s="15">
        <v>0.0</v>
      </c>
      <c r="L139" s="15">
        <v>0.0</v>
      </c>
      <c r="M139" s="15">
        <v>0.0</v>
      </c>
      <c r="N139" s="15">
        <v>0.0</v>
      </c>
      <c r="O139" s="15">
        <v>0.0</v>
      </c>
      <c r="P139" s="15">
        <v>0.0</v>
      </c>
      <c r="Q139" s="15">
        <v>0.0</v>
      </c>
      <c r="R139" s="15">
        <v>0.0</v>
      </c>
      <c r="S139" s="15">
        <v>0.0</v>
      </c>
      <c r="T139" s="15">
        <v>0.0</v>
      </c>
      <c r="U139" s="15">
        <v>0.0</v>
      </c>
      <c r="V139" s="15">
        <v>0.0</v>
      </c>
    </row>
    <row r="140" ht="15.0" customHeight="1">
      <c r="A140" s="13" t="s">
        <v>319</v>
      </c>
      <c r="B140" s="16">
        <v>82.35</v>
      </c>
      <c r="C140" s="16">
        <v>82.35</v>
      </c>
      <c r="D140" s="16">
        <v>77.31</v>
      </c>
      <c r="E140" s="16">
        <v>75.61</v>
      </c>
      <c r="F140" s="16">
        <v>74.87</v>
      </c>
      <c r="G140" s="16">
        <v>2.45</v>
      </c>
      <c r="H140" s="16">
        <v>2.45</v>
      </c>
      <c r="I140" s="16">
        <v>2.45</v>
      </c>
      <c r="J140" s="16">
        <v>0.75</v>
      </c>
      <c r="K140" s="16">
        <v>0.33</v>
      </c>
      <c r="L140" s="16">
        <v>0.33</v>
      </c>
      <c r="M140" s="16">
        <v>0.33</v>
      </c>
      <c r="N140" s="16">
        <v>0.33</v>
      </c>
      <c r="O140" s="16">
        <v>0.33</v>
      </c>
      <c r="P140" s="16">
        <v>0.32</v>
      </c>
      <c r="Q140" s="16">
        <v>0.32</v>
      </c>
      <c r="R140" s="16">
        <v>0.32</v>
      </c>
      <c r="S140" s="16">
        <v>0.32</v>
      </c>
      <c r="T140" s="16">
        <v>0.32</v>
      </c>
      <c r="U140" s="16">
        <v>0.32</v>
      </c>
      <c r="V140" s="16">
        <v>0.32</v>
      </c>
    </row>
    <row r="141" ht="15.0" customHeight="1">
      <c r="A141" s="13" t="s">
        <v>320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6">
        <v>19.36</v>
      </c>
      <c r="S141" s="16">
        <v>25.95</v>
      </c>
      <c r="T141" s="15"/>
      <c r="U141" s="15"/>
      <c r="V141" s="15"/>
    </row>
    <row r="142" ht="15.0" customHeight="1">
      <c r="A142" s="13" t="s">
        <v>321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4">
        <v>565.65</v>
      </c>
      <c r="T142" s="14">
        <v>647.67</v>
      </c>
      <c r="U142" s="14">
        <v>268.72</v>
      </c>
      <c r="V142" s="14">
        <v>206.61</v>
      </c>
    </row>
    <row r="143" ht="15.0" customHeight="1">
      <c r="A143" s="13" t="s">
        <v>322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4">
        <v>464.14</v>
      </c>
      <c r="V143" s="16">
        <v>80.88</v>
      </c>
    </row>
    <row r="144" ht="15.0" customHeight="1">
      <c r="A144" s="13" t="s">
        <v>323</v>
      </c>
      <c r="B144" s="14">
        <v>3231.82</v>
      </c>
      <c r="C144" s="14">
        <v>3761.1</v>
      </c>
      <c r="D144" s="14">
        <v>3712.08</v>
      </c>
      <c r="E144" s="14">
        <v>2760.83</v>
      </c>
      <c r="F144" s="14">
        <v>2835.91</v>
      </c>
      <c r="G144" s="14">
        <v>4312.4</v>
      </c>
      <c r="H144" s="14">
        <v>3044.13</v>
      </c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</row>
    <row r="145" ht="15.0" customHeight="1">
      <c r="A145" s="13" t="s">
        <v>324</v>
      </c>
      <c r="B145" s="14">
        <v>697.4</v>
      </c>
      <c r="C145" s="14">
        <v>1965.47</v>
      </c>
      <c r="D145" s="14">
        <v>143.88</v>
      </c>
      <c r="E145" s="14">
        <v>2483.17</v>
      </c>
      <c r="F145" s="14">
        <v>377.45</v>
      </c>
      <c r="G145" s="14">
        <v>181.56</v>
      </c>
      <c r="H145" s="14">
        <v>370.25</v>
      </c>
      <c r="I145" s="14">
        <v>170.58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  <row r="146" ht="15.0" customHeight="1">
      <c r="A146" s="13" t="s">
        <v>325</v>
      </c>
      <c r="B146" s="14">
        <v>2421.35</v>
      </c>
      <c r="C146" s="14">
        <v>310.15</v>
      </c>
      <c r="D146" s="14">
        <v>1909.14</v>
      </c>
      <c r="E146" s="16">
        <v>75.54</v>
      </c>
      <c r="F146" s="14">
        <v>755.52</v>
      </c>
      <c r="G146" s="14">
        <v>405.78</v>
      </c>
      <c r="H146" s="14">
        <v>740.5</v>
      </c>
      <c r="I146" s="14">
        <v>363.42</v>
      </c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 ht="15.0" customHeight="1">
      <c r="A147" s="13" t="s">
        <v>326</v>
      </c>
      <c r="B147" s="14">
        <v>113.07</v>
      </c>
      <c r="C147" s="14">
        <v>1423.63</v>
      </c>
      <c r="D147" s="14">
        <v>1563.39</v>
      </c>
      <c r="E147" s="16">
        <v>80.38</v>
      </c>
      <c r="F147" s="14">
        <v>1548.19</v>
      </c>
      <c r="G147" s="14">
        <v>1147.77</v>
      </c>
      <c r="H147" s="14">
        <v>744.31</v>
      </c>
      <c r="I147" s="14">
        <v>409.68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</row>
    <row r="148" ht="15.0" customHeight="1">
      <c r="A148" s="13" t="s">
        <v>327</v>
      </c>
      <c r="B148" s="15">
        <v>0.0</v>
      </c>
      <c r="C148" s="16">
        <v>61.84</v>
      </c>
      <c r="D148" s="16">
        <v>95.67</v>
      </c>
      <c r="E148" s="14">
        <v>121.74</v>
      </c>
      <c r="F148" s="14">
        <v>154.75</v>
      </c>
      <c r="G148" s="14">
        <v>2577.29</v>
      </c>
      <c r="H148" s="14">
        <v>1189.08</v>
      </c>
      <c r="I148" s="14">
        <v>2086.4</v>
      </c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</row>
    <row r="149" ht="15.0" customHeight="1">
      <c r="A149" s="13" t="s">
        <v>328</v>
      </c>
      <c r="B149" s="16">
        <v>0.01</v>
      </c>
      <c r="C149" s="15"/>
      <c r="D149" s="15"/>
      <c r="E149" s="15"/>
      <c r="F149" s="15"/>
      <c r="G149" s="17">
        <v>0.0</v>
      </c>
      <c r="H149" s="15">
        <v>0.0</v>
      </c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</row>
    <row r="150" ht="15.0" customHeight="1">
      <c r="A150" s="13" t="s">
        <v>329</v>
      </c>
      <c r="B150" s="14">
        <v>1779.89</v>
      </c>
      <c r="C150" s="15">
        <v>12091.36</v>
      </c>
      <c r="D150" s="15">
        <v>19570.14</v>
      </c>
      <c r="E150" s="15">
        <v>19010.18</v>
      </c>
      <c r="F150" s="15">
        <v>19164.31</v>
      </c>
      <c r="G150" s="15">
        <v>27694.65</v>
      </c>
      <c r="H150" s="15">
        <v>26928.23</v>
      </c>
      <c r="I150" s="15">
        <v>26242.46</v>
      </c>
      <c r="J150" s="15">
        <v>14577.98</v>
      </c>
      <c r="K150" s="15">
        <v>11876.2</v>
      </c>
      <c r="L150" s="15">
        <v>11671.01</v>
      </c>
      <c r="M150" s="14">
        <v>9261.65</v>
      </c>
      <c r="N150" s="14">
        <v>9236.25</v>
      </c>
      <c r="O150" s="15"/>
      <c r="P150" s="15"/>
      <c r="Q150" s="15"/>
      <c r="R150" s="15"/>
      <c r="S150" s="15"/>
      <c r="T150" s="15"/>
      <c r="U150" s="15"/>
      <c r="V150" s="15"/>
    </row>
    <row r="151" ht="15.0" customHeight="1">
      <c r="A151" s="13" t="s">
        <v>330</v>
      </c>
      <c r="B151" s="14">
        <v>263.52</v>
      </c>
      <c r="C151" s="15">
        <v>11451.7</v>
      </c>
      <c r="D151" s="14">
        <v>2460.34</v>
      </c>
      <c r="E151" s="14">
        <v>402.95</v>
      </c>
      <c r="F151" s="14">
        <v>1136.45</v>
      </c>
      <c r="G151" s="14">
        <v>3129.46</v>
      </c>
      <c r="H151" s="14">
        <v>673.15</v>
      </c>
      <c r="I151" s="14">
        <v>444.45</v>
      </c>
      <c r="J151" s="14">
        <v>330.69</v>
      </c>
      <c r="K151" s="14">
        <v>2602.66</v>
      </c>
      <c r="L151" s="14">
        <v>1244.28</v>
      </c>
      <c r="M151" s="14">
        <v>1722.53</v>
      </c>
      <c r="N151" s="14">
        <v>2122.12</v>
      </c>
      <c r="O151" s="15"/>
      <c r="P151" s="15"/>
      <c r="Q151" s="15"/>
      <c r="R151" s="15"/>
      <c r="S151" s="15"/>
      <c r="T151" s="15"/>
      <c r="U151" s="15"/>
      <c r="V151" s="15"/>
    </row>
    <row r="152" ht="15.0" customHeight="1">
      <c r="A152" s="13" t="s">
        <v>331</v>
      </c>
      <c r="B152" s="14">
        <v>1132.18</v>
      </c>
      <c r="C152" s="16">
        <v>93.15</v>
      </c>
      <c r="D152" s="15">
        <v>15906.8</v>
      </c>
      <c r="E152" s="15">
        <v>17387.12</v>
      </c>
      <c r="F152" s="14">
        <v>1840.41</v>
      </c>
      <c r="G152" s="15">
        <v>16439.51</v>
      </c>
      <c r="H152" s="15">
        <v>15959.2</v>
      </c>
      <c r="I152" s="14">
        <v>1395.21</v>
      </c>
      <c r="J152" s="14">
        <v>870.07</v>
      </c>
      <c r="K152" s="14">
        <v>3725.05</v>
      </c>
      <c r="L152" s="14">
        <v>4312.82</v>
      </c>
      <c r="M152" s="14">
        <v>3815.36</v>
      </c>
      <c r="N152" s="14">
        <v>3760.25</v>
      </c>
      <c r="O152" s="15"/>
      <c r="P152" s="15"/>
      <c r="Q152" s="15"/>
      <c r="R152" s="15"/>
      <c r="S152" s="15"/>
      <c r="T152" s="14">
        <v>238.0</v>
      </c>
      <c r="U152" s="15"/>
      <c r="V152" s="15"/>
    </row>
    <row r="153" ht="15.0" customHeight="1">
      <c r="A153" s="13" t="s">
        <v>332</v>
      </c>
      <c r="B153" s="14">
        <v>103.74</v>
      </c>
      <c r="C153" s="14">
        <v>202.61</v>
      </c>
      <c r="D153" s="14">
        <v>832.25</v>
      </c>
      <c r="E153" s="14">
        <v>270.23</v>
      </c>
      <c r="F153" s="15">
        <v>15405.86</v>
      </c>
      <c r="G153" s="14">
        <v>5185.05</v>
      </c>
      <c r="H153" s="14">
        <v>5843.64</v>
      </c>
      <c r="I153" s="15">
        <v>16077.46</v>
      </c>
      <c r="J153" s="15">
        <v>10765.21</v>
      </c>
      <c r="K153" s="14">
        <v>5380.48</v>
      </c>
      <c r="L153" s="14">
        <v>5979.95</v>
      </c>
      <c r="M153" s="14">
        <v>3526.62</v>
      </c>
      <c r="N153" s="14">
        <v>3010.85</v>
      </c>
      <c r="O153" s="15"/>
      <c r="P153" s="15"/>
      <c r="Q153" s="15"/>
      <c r="R153" s="15"/>
      <c r="S153" s="15"/>
      <c r="T153" s="14">
        <v>238.0</v>
      </c>
      <c r="U153" s="15"/>
      <c r="V153" s="15"/>
    </row>
    <row r="154" ht="15.0" customHeight="1">
      <c r="A154" s="13" t="s">
        <v>333</v>
      </c>
      <c r="B154" s="14">
        <v>280.46</v>
      </c>
      <c r="C154" s="14">
        <v>343.9</v>
      </c>
      <c r="D154" s="14">
        <v>370.75</v>
      </c>
      <c r="E154" s="14">
        <v>949.87</v>
      </c>
      <c r="F154" s="14">
        <v>781.59</v>
      </c>
      <c r="G154" s="14">
        <v>2940.63</v>
      </c>
      <c r="H154" s="14">
        <v>4452.24</v>
      </c>
      <c r="I154" s="14">
        <v>8184.27</v>
      </c>
      <c r="J154" s="14">
        <v>2612.0</v>
      </c>
      <c r="K154" s="14">
        <v>168.01</v>
      </c>
      <c r="L154" s="14">
        <v>133.95</v>
      </c>
      <c r="M154" s="14">
        <v>197.14</v>
      </c>
      <c r="N154" s="14">
        <v>343.03</v>
      </c>
      <c r="O154" s="15"/>
      <c r="P154" s="15"/>
      <c r="Q154" s="15"/>
      <c r="R154" s="15"/>
      <c r="S154" s="15"/>
      <c r="T154" s="15"/>
      <c r="U154" s="15"/>
      <c r="V154" s="15"/>
    </row>
    <row r="155" ht="15.0" customHeight="1">
      <c r="A155" s="13" t="s">
        <v>334</v>
      </c>
      <c r="B155" s="15"/>
      <c r="C155" s="15">
        <v>0.0</v>
      </c>
      <c r="D155" s="15">
        <v>0.0</v>
      </c>
      <c r="E155" s="15"/>
      <c r="F155" s="15"/>
      <c r="G155" s="15"/>
      <c r="H155" s="17">
        <v>0.0</v>
      </c>
      <c r="I155" s="14">
        <v>141.07</v>
      </c>
      <c r="J155" s="15"/>
      <c r="K155" s="17">
        <v>0.0</v>
      </c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</row>
    <row r="156" ht="15.0" customHeight="1">
      <c r="A156" s="13" t="s">
        <v>335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4">
        <v>296.84</v>
      </c>
      <c r="U156" s="15"/>
      <c r="V156" s="15"/>
    </row>
    <row r="157" ht="15.0" customHeight="1">
      <c r="A157" s="13" t="s">
        <v>336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4">
        <v>1112.56</v>
      </c>
      <c r="S157" s="14">
        <v>1803.62</v>
      </c>
      <c r="T157" s="14">
        <v>843.47</v>
      </c>
      <c r="U157" s="14">
        <v>492.06</v>
      </c>
      <c r="V157" s="14">
        <v>489.29</v>
      </c>
    </row>
    <row r="158" ht="15.0" customHeight="1">
      <c r="A158" s="13" t="s">
        <v>337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4">
        <v>5995.82</v>
      </c>
      <c r="S158" s="14">
        <v>5964.39</v>
      </c>
      <c r="T158" s="14">
        <v>5055.78</v>
      </c>
      <c r="U158" s="15"/>
      <c r="V158" s="15"/>
    </row>
    <row r="159" ht="15.0" customHeight="1">
      <c r="A159" s="13" t="s">
        <v>338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21">
        <v>-2454.85</v>
      </c>
      <c r="S159" s="21">
        <v>-2076.11</v>
      </c>
      <c r="T159" s="21">
        <v>-1744.05</v>
      </c>
      <c r="U159" s="15"/>
      <c r="V159" s="15"/>
    </row>
    <row r="160" ht="15.0" customHeight="1">
      <c r="A160" s="13" t="s">
        <v>339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6">
        <v>33.34</v>
      </c>
      <c r="S160" s="16">
        <v>38.17</v>
      </c>
      <c r="T160" s="16">
        <v>43.79</v>
      </c>
      <c r="U160" s="16">
        <v>21.97</v>
      </c>
      <c r="V160" s="16">
        <v>18.75</v>
      </c>
    </row>
    <row r="161" ht="15.0" customHeight="1">
      <c r="A161" s="13" t="s">
        <v>340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20">
        <v>-28.42</v>
      </c>
      <c r="S161" s="20">
        <v>-20.66</v>
      </c>
      <c r="T161" s="20">
        <v>-12.87</v>
      </c>
      <c r="U161" s="20">
        <v>-11.43</v>
      </c>
      <c r="V161" s="20">
        <v>-9.44</v>
      </c>
    </row>
    <row r="162" ht="15.0" customHeight="1">
      <c r="A162" s="13" t="s">
        <v>341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6">
        <v>4.62</v>
      </c>
      <c r="Q162" s="15"/>
      <c r="R162" s="16">
        <v>15.7</v>
      </c>
      <c r="S162" s="14">
        <v>1112.75</v>
      </c>
      <c r="T162" s="14">
        <v>1299.35</v>
      </c>
      <c r="U162" s="14">
        <v>944.37</v>
      </c>
      <c r="V162" s="15"/>
    </row>
    <row r="163" ht="15.0" customHeight="1">
      <c r="A163" s="13" t="s">
        <v>342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6">
        <v>38.63</v>
      </c>
      <c r="T163" s="16">
        <v>47.66</v>
      </c>
      <c r="U163" s="15"/>
      <c r="V163" s="15"/>
    </row>
    <row r="164" ht="15.0" customHeight="1">
      <c r="A164" s="13" t="s">
        <v>343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>
        <v>0.0</v>
      </c>
      <c r="Q164" s="15"/>
      <c r="R164" s="16">
        <v>7.85</v>
      </c>
      <c r="S164" s="14">
        <v>195.16</v>
      </c>
      <c r="T164" s="14">
        <v>1171.16</v>
      </c>
      <c r="U164" s="14">
        <v>921.81</v>
      </c>
      <c r="V164" s="15"/>
    </row>
    <row r="165" ht="15.0" customHeight="1">
      <c r="A165" s="13" t="s">
        <v>344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6">
        <v>4.62</v>
      </c>
      <c r="Q165" s="15"/>
      <c r="R165" s="16">
        <v>7.85</v>
      </c>
      <c r="S165" s="14">
        <v>878.96</v>
      </c>
      <c r="T165" s="16">
        <v>80.53</v>
      </c>
      <c r="U165" s="16">
        <v>22.55</v>
      </c>
      <c r="V165" s="15"/>
    </row>
    <row r="166" ht="15.0" customHeight="1">
      <c r="A166" s="13" t="s">
        <v>329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4">
        <v>2101.88</v>
      </c>
      <c r="Q166" s="15"/>
      <c r="R166" s="15"/>
      <c r="S166" s="15"/>
      <c r="T166" s="15"/>
      <c r="U166" s="15"/>
      <c r="V166" s="15"/>
    </row>
    <row r="167" ht="15.0" customHeight="1">
      <c r="A167" s="13" t="s">
        <v>345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4">
        <v>2101.88</v>
      </c>
      <c r="Q167" s="15"/>
      <c r="R167" s="14">
        <v>473.02</v>
      </c>
      <c r="S167" s="14">
        <v>1339.62</v>
      </c>
      <c r="T167" s="14">
        <v>541.0</v>
      </c>
      <c r="U167" s="15"/>
      <c r="V167" s="15"/>
    </row>
    <row r="168" ht="15.0" customHeight="1">
      <c r="A168" s="13" t="s">
        <v>346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4">
        <v>1294.04</v>
      </c>
      <c r="S168" s="14">
        <v>526.84</v>
      </c>
      <c r="T168" s="15"/>
      <c r="U168" s="14">
        <v>101.82</v>
      </c>
      <c r="V168" s="16">
        <v>87.09</v>
      </c>
    </row>
    <row r="169" ht="15.0" customHeight="1">
      <c r="A169" s="13" t="s">
        <v>347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4">
        <v>9836.6</v>
      </c>
      <c r="S169" s="14">
        <v>8626.17</v>
      </c>
      <c r="T169" s="14">
        <v>7153.34</v>
      </c>
      <c r="U169" s="14">
        <v>6305.72</v>
      </c>
      <c r="V169" s="14">
        <v>5511.93</v>
      </c>
    </row>
    <row r="170" ht="15.0" customHeight="1">
      <c r="A170" s="13" t="s">
        <v>348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20">
        <v>-30.13</v>
      </c>
      <c r="S170" s="15"/>
      <c r="T170" s="15"/>
      <c r="U170" s="15"/>
      <c r="V170" s="15"/>
    </row>
    <row r="171" ht="15.0" customHeight="1">
      <c r="A171" s="13" t="s">
        <v>349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4">
        <v>911.72</v>
      </c>
      <c r="S171" s="14">
        <v>3987.95</v>
      </c>
      <c r="T171" s="14">
        <v>2986.0</v>
      </c>
      <c r="U171" s="15"/>
      <c r="V171" s="15"/>
    </row>
    <row r="172" ht="15.0" customHeight="1">
      <c r="A172" s="13" t="s">
        <v>350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6">
        <v>38.0</v>
      </c>
      <c r="U172" s="15"/>
      <c r="V172" s="15"/>
    </row>
    <row r="173" ht="15.0" customHeight="1">
      <c r="A173" s="13" t="s">
        <v>351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4">
        <v>239.0</v>
      </c>
      <c r="U173" s="15"/>
      <c r="V173" s="15"/>
    </row>
    <row r="174" ht="15.0" customHeight="1">
      <c r="A174" s="13" t="s">
        <v>352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4">
        <v>438.69</v>
      </c>
      <c r="S174" s="14">
        <v>2648.32</v>
      </c>
      <c r="T174" s="14">
        <v>1692.0</v>
      </c>
      <c r="U174" s="15"/>
      <c r="V174" s="15"/>
    </row>
    <row r="175" ht="15.0" customHeight="1">
      <c r="A175" s="13" t="s">
        <v>353</v>
      </c>
      <c r="B175" s="16">
        <v>82.35</v>
      </c>
      <c r="C175" s="16">
        <v>82.35</v>
      </c>
      <c r="D175" s="16">
        <v>77.31</v>
      </c>
      <c r="E175" s="16">
        <v>75.61</v>
      </c>
      <c r="F175" s="16">
        <v>74.87</v>
      </c>
      <c r="G175" s="16">
        <v>2.45</v>
      </c>
      <c r="H175" s="16">
        <v>2.45</v>
      </c>
      <c r="I175" s="16">
        <v>2.45</v>
      </c>
      <c r="J175" s="16">
        <v>0.59</v>
      </c>
      <c r="K175" s="16">
        <v>0.32</v>
      </c>
      <c r="L175" s="16">
        <v>0.32</v>
      </c>
      <c r="M175" s="16">
        <v>0.33</v>
      </c>
      <c r="N175" s="16">
        <v>0.33</v>
      </c>
      <c r="O175" s="16">
        <v>0.33</v>
      </c>
      <c r="P175" s="16">
        <v>0.32</v>
      </c>
      <c r="Q175" s="16">
        <v>0.32</v>
      </c>
      <c r="R175" s="16">
        <v>0.32</v>
      </c>
      <c r="S175" s="16">
        <v>0.32</v>
      </c>
      <c r="T175" s="16">
        <v>0.32</v>
      </c>
      <c r="U175" s="16">
        <v>0.32</v>
      </c>
      <c r="V175" s="16">
        <v>0.32</v>
      </c>
    </row>
    <row r="176" ht="15.0" customHeight="1">
      <c r="A176" s="13" t="s">
        <v>354</v>
      </c>
      <c r="B176" s="15">
        <v>0.0</v>
      </c>
      <c r="C176" s="15">
        <v>0.0</v>
      </c>
      <c r="D176" s="15">
        <v>0.0</v>
      </c>
      <c r="E176" s="15">
        <v>0.0</v>
      </c>
      <c r="F176" s="15">
        <v>0.0</v>
      </c>
      <c r="G176" s="15">
        <v>0.0</v>
      </c>
      <c r="H176" s="15">
        <v>0.0</v>
      </c>
      <c r="I176" s="15">
        <v>0.0</v>
      </c>
      <c r="J176" s="15">
        <v>0.0</v>
      </c>
      <c r="K176" s="15">
        <v>0.0</v>
      </c>
      <c r="L176" s="15">
        <v>0.0</v>
      </c>
      <c r="M176" s="15">
        <v>0.0</v>
      </c>
      <c r="N176" s="15">
        <v>0.0</v>
      </c>
      <c r="O176" s="15">
        <v>0.0</v>
      </c>
      <c r="P176" s="15">
        <v>0.0</v>
      </c>
      <c r="Q176" s="15">
        <v>0.0</v>
      </c>
      <c r="R176" s="15">
        <v>0.0</v>
      </c>
      <c r="S176" s="15">
        <v>0.0</v>
      </c>
      <c r="T176" s="15">
        <v>0.0</v>
      </c>
      <c r="U176" s="15"/>
      <c r="V176" s="15">
        <v>0.0</v>
      </c>
    </row>
    <row r="177" ht="15.0" customHeight="1">
      <c r="A177" s="13" t="s">
        <v>355</v>
      </c>
      <c r="B177" s="16">
        <v>82.35</v>
      </c>
      <c r="C177" s="16">
        <v>82.35</v>
      </c>
      <c r="D177" s="16">
        <v>77.31</v>
      </c>
      <c r="E177" s="16">
        <v>75.61</v>
      </c>
      <c r="F177" s="16">
        <v>74.87</v>
      </c>
      <c r="G177" s="16">
        <v>2.45</v>
      </c>
      <c r="H177" s="16">
        <v>2.45</v>
      </c>
      <c r="I177" s="16">
        <v>2.45</v>
      </c>
      <c r="J177" s="16">
        <v>0.6</v>
      </c>
      <c r="K177" s="16">
        <v>0.33</v>
      </c>
      <c r="L177" s="16">
        <v>0.33</v>
      </c>
      <c r="M177" s="16">
        <v>0.33</v>
      </c>
      <c r="N177" s="16">
        <v>0.33</v>
      </c>
      <c r="O177" s="16">
        <v>0.33</v>
      </c>
      <c r="P177" s="16">
        <v>0.32</v>
      </c>
      <c r="Q177" s="16">
        <v>0.32</v>
      </c>
      <c r="R177" s="16">
        <v>0.32</v>
      </c>
      <c r="S177" s="16">
        <v>0.32</v>
      </c>
      <c r="T177" s="16">
        <v>0.32</v>
      </c>
      <c r="U177" s="16">
        <v>0.32</v>
      </c>
      <c r="V177" s="16">
        <v>0.32</v>
      </c>
    </row>
    <row r="178" ht="15.0" customHeight="1">
      <c r="A178" s="13" t="s">
        <v>356</v>
      </c>
      <c r="B178" s="16">
        <v>1.0</v>
      </c>
      <c r="C178" s="16">
        <v>1.0</v>
      </c>
      <c r="D178" s="16">
        <v>1.0</v>
      </c>
      <c r="E178" s="16">
        <v>1.0</v>
      </c>
      <c r="F178" s="16">
        <v>1.0</v>
      </c>
      <c r="G178" s="16">
        <v>1.0</v>
      </c>
      <c r="H178" s="16">
        <v>1.0</v>
      </c>
      <c r="I178" s="16">
        <v>1.0</v>
      </c>
      <c r="J178" s="16">
        <v>0.8</v>
      </c>
      <c r="K178" s="16">
        <v>1.0</v>
      </c>
      <c r="L178" s="16">
        <v>1.0</v>
      </c>
      <c r="M178" s="16">
        <v>1.0</v>
      </c>
      <c r="N178" s="16">
        <v>1.0</v>
      </c>
      <c r="O178" s="16">
        <v>1.0</v>
      </c>
      <c r="P178" s="16">
        <v>1.0</v>
      </c>
      <c r="Q178" s="16">
        <v>1.0</v>
      </c>
      <c r="R178" s="16">
        <v>1.0</v>
      </c>
      <c r="S178" s="16">
        <v>1.0</v>
      </c>
      <c r="T178" s="16">
        <v>1.0</v>
      </c>
      <c r="U178" s="16">
        <v>1.0</v>
      </c>
      <c r="V178" s="16">
        <v>1.0</v>
      </c>
    </row>
    <row r="179" ht="15.0" customHeight="1">
      <c r="A179" s="13" t="s">
        <v>357</v>
      </c>
      <c r="B179" s="15"/>
      <c r="C179" s="15"/>
      <c r="D179" s="15"/>
      <c r="E179" s="15"/>
      <c r="F179" s="15"/>
      <c r="G179" s="15">
        <v>0.0</v>
      </c>
      <c r="H179" s="15">
        <v>0.0</v>
      </c>
      <c r="I179" s="15">
        <v>0.0</v>
      </c>
      <c r="J179" s="16">
        <v>18.0</v>
      </c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</row>
    <row r="180" ht="15.0" customHeight="1">
      <c r="A180" s="13" t="s">
        <v>358</v>
      </c>
      <c r="B180" s="15"/>
      <c r="C180" s="15"/>
      <c r="D180" s="15"/>
      <c r="E180" s="15"/>
      <c r="F180" s="15"/>
      <c r="G180" s="15"/>
      <c r="H180" s="15"/>
      <c r="I180" s="15">
        <v>0.0</v>
      </c>
      <c r="J180" s="16">
        <v>0.2</v>
      </c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</row>
    <row r="181" ht="15.0" customHeight="1">
      <c r="A181" s="13" t="s">
        <v>359</v>
      </c>
      <c r="B181" s="15"/>
      <c r="C181" s="15"/>
      <c r="D181" s="15"/>
      <c r="E181" s="15"/>
      <c r="F181" s="15"/>
      <c r="G181" s="15"/>
      <c r="H181" s="15"/>
      <c r="I181" s="15">
        <v>0.0</v>
      </c>
      <c r="J181" s="16">
        <v>18.0</v>
      </c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46091.5206347801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43008.0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40908.0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39082.0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361</v>
      </c>
      <c r="C15" s="10" t="s">
        <v>361</v>
      </c>
      <c r="D15" s="10" t="s">
        <v>361</v>
      </c>
      <c r="E15" s="10" t="s">
        <v>361</v>
      </c>
      <c r="F15" s="10" t="s">
        <v>361</v>
      </c>
      <c r="G15" s="10" t="s">
        <v>361</v>
      </c>
      <c r="H15" s="10" t="s">
        <v>361</v>
      </c>
      <c r="I15" s="10" t="s">
        <v>361</v>
      </c>
      <c r="J15" s="10" t="s">
        <v>361</v>
      </c>
      <c r="K15" s="10" t="s">
        <v>361</v>
      </c>
      <c r="L15" s="10" t="s">
        <v>361</v>
      </c>
      <c r="M15" s="10" t="s">
        <v>361</v>
      </c>
      <c r="N15" s="10" t="s">
        <v>361</v>
      </c>
      <c r="O15" s="10" t="s">
        <v>361</v>
      </c>
      <c r="P15" s="10" t="s">
        <v>361</v>
      </c>
      <c r="Q15" s="10" t="s">
        <v>361</v>
      </c>
      <c r="R15" s="10" t="s">
        <v>361</v>
      </c>
      <c r="S15" s="10" t="s">
        <v>361</v>
      </c>
      <c r="T15" s="10" t="s">
        <v>361</v>
      </c>
      <c r="U15" s="10" t="s">
        <v>361</v>
      </c>
      <c r="V15" s="10" t="s">
        <v>361</v>
      </c>
    </row>
    <row r="17">
      <c r="A17" s="11" t="s">
        <v>362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363</v>
      </c>
      <c r="B19" s="14">
        <v>1352.71</v>
      </c>
      <c r="C19" s="14">
        <v>344.98</v>
      </c>
      <c r="D19" s="21">
        <v>-1013.12</v>
      </c>
      <c r="E19" s="21">
        <v>-1110.4</v>
      </c>
      <c r="F19" s="14">
        <v>7250.35</v>
      </c>
      <c r="G19" s="21">
        <v>-2970.74</v>
      </c>
      <c r="H19" s="21">
        <v>-5841.86</v>
      </c>
      <c r="I19" s="21">
        <v>-330.26</v>
      </c>
      <c r="J19" s="21">
        <v>-815.2</v>
      </c>
      <c r="K19" s="21">
        <v>-1579.19</v>
      </c>
      <c r="L19" s="14">
        <v>144.71</v>
      </c>
      <c r="M19" s="14">
        <v>541.18</v>
      </c>
      <c r="N19" s="14">
        <v>362.45</v>
      </c>
      <c r="O19" s="21">
        <v>-399.0</v>
      </c>
      <c r="P19" s="14">
        <v>133.17</v>
      </c>
      <c r="Q19" s="14">
        <v>866.35</v>
      </c>
      <c r="R19" s="21">
        <v>-144.06</v>
      </c>
      <c r="S19" s="14">
        <v>1106.22</v>
      </c>
      <c r="T19" s="14">
        <v>915.17</v>
      </c>
      <c r="U19" s="14">
        <v>301.96</v>
      </c>
      <c r="V19" s="14">
        <v>115.8</v>
      </c>
    </row>
    <row r="20" ht="15.0" customHeight="1">
      <c r="A20" s="13" t="s">
        <v>364</v>
      </c>
      <c r="B20" s="15">
        <v>0.0</v>
      </c>
      <c r="C20" s="14">
        <v>121.57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ht="15.0" customHeight="1">
      <c r="A21" s="13" t="s">
        <v>365</v>
      </c>
      <c r="B21" s="20">
        <v>-27.57</v>
      </c>
      <c r="C21" s="20">
        <v>-93.07</v>
      </c>
      <c r="D21" s="20">
        <v>-31.56</v>
      </c>
      <c r="E21" s="20">
        <v>-18.92</v>
      </c>
      <c r="F21" s="20">
        <v>-35.65</v>
      </c>
      <c r="G21" s="20">
        <v>-35.63</v>
      </c>
      <c r="H21" s="20">
        <v>-27.15</v>
      </c>
      <c r="I21" s="20">
        <v>-12.38</v>
      </c>
      <c r="J21" s="20">
        <v>-23.57</v>
      </c>
      <c r="K21" s="20">
        <v>-7.12</v>
      </c>
      <c r="L21" s="20">
        <v>-22.65</v>
      </c>
      <c r="M21" s="20">
        <v>-54.42</v>
      </c>
      <c r="N21" s="20">
        <v>-66.45</v>
      </c>
      <c r="O21" s="21">
        <v>-101.02</v>
      </c>
      <c r="P21" s="20">
        <v>-82.5</v>
      </c>
      <c r="Q21" s="15"/>
      <c r="R21" s="15"/>
      <c r="S21" s="15"/>
      <c r="T21" s="15"/>
      <c r="U21" s="15"/>
      <c r="V21" s="15"/>
    </row>
    <row r="22" ht="15.0" customHeight="1">
      <c r="A22" s="13" t="s">
        <v>366</v>
      </c>
      <c r="B22" s="14">
        <v>334.47</v>
      </c>
      <c r="C22" s="14">
        <v>838.67</v>
      </c>
      <c r="D22" s="14">
        <v>780.99</v>
      </c>
      <c r="E22" s="14">
        <v>1309.2</v>
      </c>
      <c r="F22" s="14">
        <v>3253.39</v>
      </c>
      <c r="G22" s="14">
        <v>2478.42</v>
      </c>
      <c r="H22" s="14">
        <v>4332.08</v>
      </c>
      <c r="I22" s="14">
        <v>1387.82</v>
      </c>
      <c r="J22" s="14">
        <v>1676.02</v>
      </c>
      <c r="K22" s="14">
        <v>1829.55</v>
      </c>
      <c r="L22" s="14">
        <v>461.83</v>
      </c>
      <c r="M22" s="14">
        <v>431.37</v>
      </c>
      <c r="N22" s="14">
        <v>584.82</v>
      </c>
      <c r="O22" s="14">
        <v>932.25</v>
      </c>
      <c r="P22" s="14">
        <v>638.59</v>
      </c>
      <c r="Q22" s="14">
        <v>728.95</v>
      </c>
      <c r="R22" s="14">
        <v>520.85</v>
      </c>
      <c r="S22" s="14">
        <v>437.28</v>
      </c>
      <c r="T22" s="14">
        <v>336.44</v>
      </c>
      <c r="U22" s="14">
        <v>329.96</v>
      </c>
      <c r="V22" s="14">
        <v>279.26</v>
      </c>
    </row>
    <row r="23" ht="15.0" customHeight="1">
      <c r="A23" s="13" t="s">
        <v>367</v>
      </c>
      <c r="B23" s="21">
        <v>-721.85</v>
      </c>
      <c r="C23" s="21">
        <v>-526.69</v>
      </c>
      <c r="D23" s="21">
        <v>-179.92</v>
      </c>
      <c r="E23" s="16">
        <v>95.27</v>
      </c>
      <c r="F23" s="14">
        <v>321.98</v>
      </c>
      <c r="G23" s="16">
        <v>50.28</v>
      </c>
      <c r="H23" s="16">
        <v>38.58</v>
      </c>
      <c r="I23" s="21">
        <v>-1341.36</v>
      </c>
      <c r="J23" s="21">
        <v>-231.78</v>
      </c>
      <c r="K23" s="20">
        <v>-36.08</v>
      </c>
      <c r="L23" s="20">
        <v>-74.37</v>
      </c>
      <c r="M23" s="21">
        <v>-126.8</v>
      </c>
      <c r="N23" s="20">
        <v>-78.74</v>
      </c>
      <c r="O23" s="16">
        <v>30.17</v>
      </c>
      <c r="P23" s="21">
        <v>-119.49</v>
      </c>
      <c r="Q23" s="21">
        <v>-152.79</v>
      </c>
      <c r="R23" s="14">
        <v>275.15</v>
      </c>
      <c r="S23" s="21">
        <v>-176.86</v>
      </c>
      <c r="T23" s="21">
        <v>-371.5</v>
      </c>
      <c r="U23" s="21">
        <v>-117.17</v>
      </c>
      <c r="V23" s="20">
        <v>-14.1</v>
      </c>
    </row>
    <row r="24" ht="15.0" customHeight="1">
      <c r="A24" s="13" t="s">
        <v>368</v>
      </c>
      <c r="B24" s="20">
        <v>-79.11</v>
      </c>
      <c r="C24" s="21">
        <v>-131.39</v>
      </c>
      <c r="D24" s="20">
        <v>-47.15</v>
      </c>
      <c r="E24" s="20">
        <v>-10.29</v>
      </c>
      <c r="F24" s="20">
        <v>-6.37</v>
      </c>
      <c r="G24" s="20">
        <v>-14.83</v>
      </c>
      <c r="H24" s="20">
        <v>-12.27</v>
      </c>
      <c r="I24" s="20">
        <v>-11.86</v>
      </c>
      <c r="J24" s="20">
        <v>-7.4</v>
      </c>
      <c r="K24" s="20">
        <v>-9.91</v>
      </c>
      <c r="L24" s="20">
        <v>-20.86</v>
      </c>
      <c r="M24" s="20">
        <v>-7.45</v>
      </c>
      <c r="N24" s="15"/>
      <c r="O24" s="15"/>
      <c r="P24" s="15"/>
      <c r="Q24" s="20">
        <v>-13.75</v>
      </c>
      <c r="R24" s="20">
        <v>-56.31</v>
      </c>
      <c r="S24" s="20">
        <v>-81.21</v>
      </c>
      <c r="T24" s="15"/>
      <c r="U24" s="15"/>
      <c r="V24" s="15"/>
    </row>
    <row r="25" ht="15.0" customHeight="1">
      <c r="A25" s="13" t="s">
        <v>185</v>
      </c>
      <c r="B25" s="14">
        <v>569.89</v>
      </c>
      <c r="C25" s="14">
        <v>2034.45</v>
      </c>
      <c r="D25" s="14">
        <v>1404.97</v>
      </c>
      <c r="E25" s="14">
        <v>1003.54</v>
      </c>
      <c r="F25" s="14">
        <v>1437.62</v>
      </c>
      <c r="G25" s="14">
        <v>1644.51</v>
      </c>
      <c r="H25" s="14">
        <v>1454.85</v>
      </c>
      <c r="I25" s="14">
        <v>1105.34</v>
      </c>
      <c r="J25" s="14">
        <v>542.15</v>
      </c>
      <c r="K25" s="14">
        <v>480.43</v>
      </c>
      <c r="L25" s="14">
        <v>454.24</v>
      </c>
      <c r="M25" s="14">
        <v>449.97</v>
      </c>
      <c r="N25" s="15"/>
      <c r="O25" s="15"/>
      <c r="P25" s="15"/>
      <c r="Q25" s="14">
        <v>254.15</v>
      </c>
      <c r="R25" s="14">
        <v>315.49</v>
      </c>
      <c r="S25" s="14">
        <v>221.89</v>
      </c>
      <c r="T25" s="15"/>
      <c r="U25" s="15"/>
      <c r="V25" s="15"/>
    </row>
    <row r="26" ht="15.0" customHeight="1">
      <c r="A26" s="13" t="s">
        <v>369</v>
      </c>
      <c r="B26" s="15"/>
      <c r="C26" s="15"/>
      <c r="D26" s="15"/>
      <c r="E26" s="15">
        <v>0.0</v>
      </c>
      <c r="F26" s="14">
        <v>439.56</v>
      </c>
      <c r="G26" s="15"/>
      <c r="H26" s="15">
        <v>0.0</v>
      </c>
      <c r="I26" s="16">
        <v>8.84</v>
      </c>
      <c r="J26" s="16">
        <v>63.55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ht="15.0" customHeight="1">
      <c r="A27" s="13" t="s">
        <v>370</v>
      </c>
      <c r="B27" s="20">
        <v>-1.05</v>
      </c>
      <c r="C27" s="20">
        <v>-4.39</v>
      </c>
      <c r="D27" s="20">
        <v>-16.69</v>
      </c>
      <c r="E27" s="20">
        <v>-91.1</v>
      </c>
      <c r="F27" s="17">
        <v>-11713.29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ht="15.0" customHeight="1">
      <c r="A28" s="13" t="s">
        <v>371</v>
      </c>
      <c r="B28" s="15">
        <v>0.0</v>
      </c>
      <c r="C28" s="20">
        <v>-2.43</v>
      </c>
      <c r="D28" s="20">
        <v>-1.04</v>
      </c>
      <c r="E28" s="16">
        <v>0.4</v>
      </c>
      <c r="F28" s="16">
        <v>7.7</v>
      </c>
      <c r="G28" s="20">
        <v>-38.3</v>
      </c>
      <c r="H28" s="20">
        <v>-13.89</v>
      </c>
      <c r="I28" s="20">
        <v>-4.77</v>
      </c>
      <c r="J28" s="16">
        <v>5.98</v>
      </c>
      <c r="K28" s="16">
        <v>17.78</v>
      </c>
      <c r="L28" s="20">
        <v>-2.42</v>
      </c>
      <c r="M28" s="20">
        <v>-5.64</v>
      </c>
      <c r="N28" s="16">
        <v>14.17</v>
      </c>
      <c r="O28" s="16">
        <v>6.67</v>
      </c>
      <c r="P28" s="16">
        <v>7.72</v>
      </c>
      <c r="Q28" s="20">
        <v>-7.12</v>
      </c>
      <c r="R28" s="20">
        <v>-13.53</v>
      </c>
      <c r="S28" s="20">
        <v>-9.24</v>
      </c>
      <c r="T28" s="20">
        <v>-2.29</v>
      </c>
      <c r="U28" s="20">
        <v>-0.99</v>
      </c>
      <c r="V28" s="16">
        <v>4.47</v>
      </c>
    </row>
    <row r="29" ht="15.0" customHeight="1">
      <c r="A29" s="13" t="s">
        <v>372</v>
      </c>
      <c r="B29" s="15"/>
      <c r="C29" s="15"/>
      <c r="D29" s="15"/>
      <c r="E29" s="15">
        <v>0.0</v>
      </c>
      <c r="F29" s="21">
        <v>-170.24</v>
      </c>
      <c r="G29" s="21">
        <v>-107.06</v>
      </c>
      <c r="H29" s="20">
        <v>-0.39</v>
      </c>
      <c r="I29" s="20">
        <v>-39.02</v>
      </c>
      <c r="J29" s="20">
        <v>-43.96</v>
      </c>
      <c r="K29" s="16">
        <v>38.98</v>
      </c>
      <c r="L29" s="16">
        <v>71.8</v>
      </c>
      <c r="M29" s="16">
        <v>44.26</v>
      </c>
      <c r="N29" s="20">
        <v>-54.57</v>
      </c>
      <c r="O29" s="16">
        <v>18.81</v>
      </c>
      <c r="P29" s="16">
        <v>96.72</v>
      </c>
      <c r="Q29" s="15"/>
      <c r="R29" s="15"/>
      <c r="S29" s="15"/>
      <c r="T29" s="15"/>
      <c r="U29" s="15"/>
      <c r="V29" s="15"/>
    </row>
    <row r="30" ht="15.0" customHeight="1">
      <c r="A30" s="13" t="s">
        <v>373</v>
      </c>
      <c r="B30" s="20">
        <v>-6.51</v>
      </c>
      <c r="C30" s="14">
        <v>156.95</v>
      </c>
      <c r="D30" s="14">
        <v>938.08</v>
      </c>
      <c r="E30" s="14">
        <v>275.14</v>
      </c>
      <c r="F30" s="14">
        <v>140.11</v>
      </c>
      <c r="G30" s="14">
        <v>125.28</v>
      </c>
      <c r="H30" s="14">
        <v>352.71</v>
      </c>
      <c r="I30" s="21">
        <v>-183.77</v>
      </c>
      <c r="J30" s="21">
        <v>-194.97</v>
      </c>
      <c r="K30" s="14">
        <v>619.36</v>
      </c>
      <c r="L30" s="14">
        <v>805.32</v>
      </c>
      <c r="M30" s="14">
        <v>240.13</v>
      </c>
      <c r="N30" s="21">
        <v>-114.68</v>
      </c>
      <c r="O30" s="16">
        <v>77.93</v>
      </c>
      <c r="P30" s="20">
        <v>-25.56</v>
      </c>
      <c r="Q30" s="21">
        <v>-260.14</v>
      </c>
      <c r="R30" s="14">
        <v>321.54</v>
      </c>
      <c r="S30" s="21">
        <v>-248.13</v>
      </c>
      <c r="T30" s="20">
        <v>-74.78</v>
      </c>
      <c r="U30" s="16">
        <v>51.65</v>
      </c>
      <c r="V30" s="21">
        <v>-124.61</v>
      </c>
    </row>
    <row r="31" ht="15.0" customHeight="1">
      <c r="A31" s="13" t="s">
        <v>374</v>
      </c>
      <c r="B31" s="20">
        <v>-77.75</v>
      </c>
      <c r="C31" s="21">
        <v>-366.47</v>
      </c>
      <c r="D31" s="21">
        <v>-269.18</v>
      </c>
      <c r="E31" s="16">
        <v>34.84</v>
      </c>
      <c r="F31" s="14">
        <v>212.57</v>
      </c>
      <c r="G31" s="14">
        <v>272.57</v>
      </c>
      <c r="H31" s="21">
        <v>-147.48</v>
      </c>
      <c r="I31" s="20">
        <v>-41.25</v>
      </c>
      <c r="J31" s="14">
        <v>290.65</v>
      </c>
      <c r="K31" s="21">
        <v>-139.69</v>
      </c>
      <c r="L31" s="14">
        <v>140.85</v>
      </c>
      <c r="M31" s="21">
        <v>-271.82</v>
      </c>
      <c r="N31" s="14">
        <v>113.24</v>
      </c>
      <c r="O31" s="21">
        <v>-191.27</v>
      </c>
      <c r="P31" s="16">
        <v>85.65</v>
      </c>
      <c r="Q31" s="14">
        <v>145.66</v>
      </c>
      <c r="R31" s="16">
        <v>63.81</v>
      </c>
      <c r="S31" s="21">
        <v>-174.44</v>
      </c>
      <c r="T31" s="20">
        <v>-54.1</v>
      </c>
      <c r="U31" s="21">
        <v>-101.14</v>
      </c>
      <c r="V31" s="20">
        <v>-1.45</v>
      </c>
    </row>
    <row r="32" ht="15.0" customHeight="1">
      <c r="A32" s="13" t="s">
        <v>375</v>
      </c>
      <c r="B32" s="21">
        <v>-352.22</v>
      </c>
      <c r="C32" s="14">
        <v>303.4</v>
      </c>
      <c r="D32" s="21">
        <v>-119.56</v>
      </c>
      <c r="E32" s="21">
        <v>-103.93</v>
      </c>
      <c r="F32" s="21">
        <v>-361.76</v>
      </c>
      <c r="G32" s="21">
        <v>-394.41</v>
      </c>
      <c r="H32" s="14">
        <v>1110.33</v>
      </c>
      <c r="I32" s="14">
        <v>203.71</v>
      </c>
      <c r="J32" s="20">
        <v>-52.3</v>
      </c>
      <c r="K32" s="16">
        <v>30.12</v>
      </c>
      <c r="L32" s="20">
        <v>-11.38</v>
      </c>
      <c r="M32" s="20">
        <v>-83.17</v>
      </c>
      <c r="N32" s="16">
        <v>88.25</v>
      </c>
      <c r="O32" s="16">
        <v>17.93</v>
      </c>
      <c r="P32" s="16">
        <v>99.28</v>
      </c>
      <c r="Q32" s="20">
        <v>-16.52</v>
      </c>
      <c r="R32" s="21">
        <v>-127.68</v>
      </c>
      <c r="S32" s="20">
        <v>-4.22</v>
      </c>
      <c r="T32" s="15"/>
      <c r="U32" s="15"/>
      <c r="V32" s="15"/>
    </row>
    <row r="33" ht="15.0" customHeight="1">
      <c r="A33" s="13" t="s">
        <v>376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20">
        <v>-44.41</v>
      </c>
      <c r="R33" s="20">
        <v>-45.93</v>
      </c>
      <c r="S33" s="20">
        <v>-8.66</v>
      </c>
      <c r="T33" s="20">
        <v>-34.63</v>
      </c>
      <c r="U33" s="20">
        <v>-20.24</v>
      </c>
      <c r="V33" s="20">
        <v>-4.91</v>
      </c>
    </row>
    <row r="34" ht="15.0" customHeight="1">
      <c r="A34" s="13" t="s">
        <v>377</v>
      </c>
      <c r="B34" s="15"/>
      <c r="C34" s="15"/>
      <c r="D34" s="15"/>
      <c r="E34" s="15"/>
      <c r="F34" s="15"/>
      <c r="G34" s="15"/>
      <c r="H34" s="15"/>
      <c r="I34" s="15"/>
      <c r="J34" s="15"/>
      <c r="K34" s="16">
        <v>9.8</v>
      </c>
      <c r="L34" s="16">
        <v>20.48</v>
      </c>
      <c r="M34" s="16">
        <v>6.49</v>
      </c>
      <c r="N34" s="15"/>
      <c r="O34" s="15"/>
      <c r="P34" s="15"/>
      <c r="Q34" s="15"/>
      <c r="R34" s="15"/>
      <c r="S34" s="15"/>
      <c r="T34" s="15"/>
      <c r="U34" s="15"/>
      <c r="V34" s="15"/>
    </row>
    <row r="35" ht="15.0" customHeight="1">
      <c r="A35" s="13" t="s">
        <v>90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21">
        <v>-156.63</v>
      </c>
      <c r="R35" s="15"/>
      <c r="S35" s="15"/>
      <c r="T35" s="15"/>
      <c r="U35" s="15"/>
      <c r="V35" s="15"/>
    </row>
    <row r="36" ht="15.0" customHeight="1">
      <c r="A36" s="13" t="s">
        <v>378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>
        <v>0.0</v>
      </c>
      <c r="U36" s="15">
        <v>0.0</v>
      </c>
      <c r="V36" s="16">
        <v>43.6</v>
      </c>
    </row>
    <row r="37" ht="15.0" customHeight="1">
      <c r="A37" s="13" t="s">
        <v>379</v>
      </c>
      <c r="B37" s="15"/>
      <c r="C37" s="15"/>
      <c r="D37" s="15"/>
      <c r="E37" s="15"/>
      <c r="F37" s="15"/>
      <c r="G37" s="15"/>
      <c r="H37" s="15"/>
      <c r="I37" s="15"/>
      <c r="J37" s="15"/>
      <c r="K37" s="21">
        <v>-489.74</v>
      </c>
      <c r="L37" s="21">
        <v>-453.22</v>
      </c>
      <c r="M37" s="21">
        <v>-453.38</v>
      </c>
      <c r="N37" s="15"/>
      <c r="O37" s="15"/>
      <c r="P37" s="15"/>
      <c r="Q37" s="15"/>
      <c r="R37" s="15"/>
      <c r="S37" s="15"/>
      <c r="T37" s="15"/>
      <c r="U37" s="15"/>
      <c r="V37" s="15"/>
    </row>
    <row r="38" ht="15.0" customHeight="1">
      <c r="A38" s="13" t="s">
        <v>380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4">
        <v>204.86</v>
      </c>
      <c r="U38" s="16">
        <v>43.4</v>
      </c>
      <c r="V38" s="20">
        <v>-21.77</v>
      </c>
    </row>
    <row r="39" ht="15.0" customHeight="1">
      <c r="A39" s="13" t="s">
        <v>381</v>
      </c>
      <c r="B39" s="15"/>
      <c r="C39" s="17">
        <v>0.0</v>
      </c>
      <c r="D39" s="15">
        <v>0.0</v>
      </c>
      <c r="E39" s="15">
        <v>0.0</v>
      </c>
      <c r="F39" s="15">
        <v>0.0</v>
      </c>
      <c r="G39" s="15"/>
      <c r="H39" s="17">
        <v>0.0</v>
      </c>
      <c r="I39" s="15"/>
      <c r="J39" s="17">
        <v>0.0</v>
      </c>
      <c r="K39" s="15">
        <v>0.0</v>
      </c>
      <c r="L39" s="17">
        <v>0.0</v>
      </c>
      <c r="M39" s="17">
        <v>0.0</v>
      </c>
      <c r="N39" s="17">
        <v>0.0</v>
      </c>
      <c r="O39" s="15"/>
      <c r="P39" s="15">
        <v>0.0</v>
      </c>
      <c r="Q39" s="15"/>
      <c r="R39" s="15"/>
      <c r="S39" s="15"/>
      <c r="T39" s="15"/>
      <c r="U39" s="15"/>
      <c r="V39" s="15"/>
    </row>
    <row r="40" ht="15.0" customHeight="1">
      <c r="A40" s="18" t="s">
        <v>382</v>
      </c>
      <c r="B40" s="19">
        <v>991.0</v>
      </c>
      <c r="C40" s="19">
        <v>2675.58</v>
      </c>
      <c r="D40" s="19">
        <v>1445.81</v>
      </c>
      <c r="E40" s="19">
        <v>1383.75</v>
      </c>
      <c r="F40" s="19">
        <v>775.96</v>
      </c>
      <c r="G40" s="19">
        <v>1010.07</v>
      </c>
      <c r="H40" s="19">
        <v>1245.51</v>
      </c>
      <c r="I40" s="19">
        <v>741.03</v>
      </c>
      <c r="J40" s="19">
        <v>1209.17</v>
      </c>
      <c r="K40" s="19">
        <v>764.29</v>
      </c>
      <c r="L40" s="19">
        <v>1514.33</v>
      </c>
      <c r="M40" s="19">
        <v>710.71</v>
      </c>
      <c r="N40" s="19">
        <v>848.48</v>
      </c>
      <c r="O40" s="19">
        <v>392.46</v>
      </c>
      <c r="P40" s="19">
        <v>833.58</v>
      </c>
      <c r="Q40" s="19">
        <v>1343.75</v>
      </c>
      <c r="R40" s="19">
        <v>1109.33</v>
      </c>
      <c r="S40" s="19">
        <v>1062.63</v>
      </c>
      <c r="T40" s="19">
        <v>919.16</v>
      </c>
      <c r="U40" s="19">
        <v>487.42</v>
      </c>
      <c r="V40" s="19">
        <v>276.29</v>
      </c>
    </row>
    <row r="41" ht="15.0" customHeight="1">
      <c r="A41" s="13" t="s">
        <v>383</v>
      </c>
      <c r="B41" s="20">
        <v>-14.0</v>
      </c>
      <c r="C41" s="21">
        <v>-106.03</v>
      </c>
      <c r="D41" s="21">
        <v>-124.91</v>
      </c>
      <c r="E41" s="20">
        <v>-72.65</v>
      </c>
      <c r="F41" s="20">
        <v>-57.38</v>
      </c>
      <c r="G41" s="20">
        <v>-48.47</v>
      </c>
      <c r="H41" s="20">
        <v>-65.74</v>
      </c>
      <c r="I41" s="20">
        <v>-71.25</v>
      </c>
      <c r="J41" s="21">
        <v>-2868.14</v>
      </c>
      <c r="K41" s="21">
        <v>-127.87</v>
      </c>
      <c r="L41" s="21">
        <v>-2413.99</v>
      </c>
      <c r="M41" s="21">
        <v>-150.08</v>
      </c>
      <c r="N41" s="21">
        <v>-614.05</v>
      </c>
      <c r="O41" s="21">
        <v>-1248.08</v>
      </c>
      <c r="P41" s="21">
        <v>-2983.16</v>
      </c>
      <c r="Q41" s="21">
        <v>-885.67</v>
      </c>
      <c r="R41" s="21">
        <v>-1107.86</v>
      </c>
      <c r="S41" s="21">
        <v>-1571.19</v>
      </c>
      <c r="T41" s="21">
        <v>-1253.62</v>
      </c>
      <c r="U41" s="21">
        <v>-1218.27</v>
      </c>
      <c r="V41" s="21">
        <v>-610.16</v>
      </c>
    </row>
    <row r="42" ht="15.0" customHeight="1">
      <c r="A42" s="13" t="s">
        <v>384</v>
      </c>
      <c r="B42" s="20">
        <v>-67.67</v>
      </c>
      <c r="C42" s="21">
        <v>-524.29</v>
      </c>
      <c r="D42" s="21">
        <v>-488.01</v>
      </c>
      <c r="E42" s="21">
        <v>-252.19</v>
      </c>
      <c r="F42" s="21">
        <v>-406.8</v>
      </c>
      <c r="G42" s="21">
        <v>-363.66</v>
      </c>
      <c r="H42" s="21">
        <v>-288.75</v>
      </c>
      <c r="I42" s="21">
        <v>-159.5</v>
      </c>
      <c r="J42" s="21">
        <v>-154.16</v>
      </c>
      <c r="K42" s="21">
        <v>-170.84</v>
      </c>
      <c r="L42" s="21">
        <v>-246.79</v>
      </c>
      <c r="M42" s="21">
        <v>-145.25</v>
      </c>
      <c r="N42" s="21">
        <v>-178.39</v>
      </c>
      <c r="O42" s="21">
        <v>-162.27</v>
      </c>
      <c r="P42" s="21">
        <v>-267.58</v>
      </c>
      <c r="Q42" s="21">
        <v>-120.88</v>
      </c>
      <c r="R42" s="21">
        <v>-175.28</v>
      </c>
      <c r="S42" s="21">
        <v>-107.39</v>
      </c>
      <c r="T42" s="21">
        <v>-138.0</v>
      </c>
      <c r="U42" s="20">
        <v>-46.72</v>
      </c>
      <c r="V42" s="20">
        <v>-62.72</v>
      </c>
    </row>
    <row r="43" ht="15.0" customHeight="1">
      <c r="A43" s="13" t="s">
        <v>385</v>
      </c>
      <c r="B43" s="16">
        <v>0.35</v>
      </c>
      <c r="C43" s="14">
        <v>7213.03</v>
      </c>
      <c r="D43" s="14">
        <v>450.27</v>
      </c>
      <c r="E43" s="14">
        <v>290.21</v>
      </c>
      <c r="F43" s="14">
        <v>1014.17</v>
      </c>
      <c r="G43" s="16">
        <v>73.64</v>
      </c>
      <c r="H43" s="14">
        <v>195.65</v>
      </c>
      <c r="I43" s="14">
        <v>661.15</v>
      </c>
      <c r="J43" s="14">
        <v>3164.49</v>
      </c>
      <c r="K43" s="16">
        <v>17.37</v>
      </c>
      <c r="L43" s="14">
        <v>324.81</v>
      </c>
      <c r="M43" s="14">
        <v>511.92</v>
      </c>
      <c r="N43" s="14">
        <v>1269.45</v>
      </c>
      <c r="O43" s="14">
        <v>101.61</v>
      </c>
      <c r="P43" s="16">
        <v>0.37</v>
      </c>
      <c r="Q43" s="14">
        <v>229.08</v>
      </c>
      <c r="R43" s="16">
        <v>80.66</v>
      </c>
      <c r="S43" s="14">
        <v>182.03</v>
      </c>
      <c r="T43" s="14">
        <v>1006.34</v>
      </c>
      <c r="U43" s="14">
        <v>382.49</v>
      </c>
      <c r="V43" s="16">
        <v>25.01</v>
      </c>
    </row>
    <row r="44" ht="15.0" customHeight="1">
      <c r="A44" s="13" t="s">
        <v>386</v>
      </c>
      <c r="B44" s="15">
        <v>11288.25</v>
      </c>
      <c r="C44" s="16">
        <v>6.38</v>
      </c>
      <c r="D44" s="20">
        <v>-8.03</v>
      </c>
      <c r="E44" s="16">
        <v>0.82</v>
      </c>
      <c r="F44" s="16">
        <v>64.01</v>
      </c>
      <c r="G44" s="16">
        <v>28.43</v>
      </c>
      <c r="H44" s="21">
        <v>-143.59</v>
      </c>
      <c r="I44" s="20">
        <v>-19.65</v>
      </c>
      <c r="J44" s="20">
        <v>-21.15</v>
      </c>
      <c r="K44" s="16">
        <v>44.35</v>
      </c>
      <c r="L44" s="16">
        <v>30.63</v>
      </c>
      <c r="M44" s="20">
        <v>-24.83</v>
      </c>
      <c r="N44" s="16">
        <v>70.84</v>
      </c>
      <c r="O44" s="20">
        <v>-17.47</v>
      </c>
      <c r="P44" s="20">
        <v>-3.62</v>
      </c>
      <c r="Q44" s="15"/>
      <c r="R44" s="15"/>
      <c r="S44" s="15"/>
      <c r="T44" s="15"/>
      <c r="U44" s="15"/>
      <c r="V44" s="15"/>
    </row>
    <row r="45" ht="15.0" customHeight="1">
      <c r="A45" s="13" t="s">
        <v>387</v>
      </c>
      <c r="B45" s="15"/>
      <c r="C45" s="15"/>
      <c r="D45" s="15"/>
      <c r="E45" s="15"/>
      <c r="F45" s="15"/>
      <c r="G45" s="15"/>
      <c r="H45" s="15">
        <v>0.0</v>
      </c>
      <c r="I45" s="14">
        <v>935.32</v>
      </c>
      <c r="J45" s="14">
        <v>773.01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ht="15.0" customHeight="1">
      <c r="A46" s="13" t="s">
        <v>377</v>
      </c>
      <c r="B46" s="16">
        <v>79.11</v>
      </c>
      <c r="C46" s="14">
        <v>131.39</v>
      </c>
      <c r="D46" s="16">
        <v>47.15</v>
      </c>
      <c r="E46" s="16">
        <v>10.3</v>
      </c>
      <c r="F46" s="16">
        <v>6.24</v>
      </c>
      <c r="G46" s="16">
        <v>8.51</v>
      </c>
      <c r="H46" s="16">
        <v>10.29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ht="15.0" customHeight="1">
      <c r="A47" s="13" t="s">
        <v>388</v>
      </c>
      <c r="B47" s="20">
        <v>-12.0</v>
      </c>
      <c r="C47" s="20">
        <v>-79.99</v>
      </c>
      <c r="D47" s="15"/>
      <c r="E47" s="15"/>
      <c r="F47" s="15"/>
      <c r="G47" s="15"/>
      <c r="H47" s="20">
        <v>-71.12</v>
      </c>
      <c r="I47" s="20">
        <v>-69.53</v>
      </c>
      <c r="J47" s="21">
        <v>-262.69</v>
      </c>
      <c r="K47" s="15"/>
      <c r="L47" s="20">
        <v>-13.57</v>
      </c>
      <c r="M47" s="20">
        <v>-27.73</v>
      </c>
      <c r="N47" s="21">
        <v>-185.33</v>
      </c>
      <c r="O47" s="20">
        <v>-1.1</v>
      </c>
      <c r="P47" s="20">
        <v>-1.76</v>
      </c>
      <c r="Q47" s="20">
        <v>-12.48</v>
      </c>
      <c r="R47" s="20">
        <v>-75.47</v>
      </c>
      <c r="S47" s="21">
        <v>-1080.36</v>
      </c>
      <c r="T47" s="21">
        <v>-309.69</v>
      </c>
      <c r="U47" s="20">
        <v>-17.32</v>
      </c>
      <c r="V47" s="20">
        <v>-29.14</v>
      </c>
    </row>
    <row r="48" ht="15.0" customHeight="1">
      <c r="A48" s="13" t="s">
        <v>389</v>
      </c>
      <c r="B48" s="21">
        <v>-1272.9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ht="15.0" customHeight="1">
      <c r="A49" s="13" t="s">
        <v>390</v>
      </c>
      <c r="B49" s="16">
        <v>63.45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ht="15.0" customHeight="1">
      <c r="A50" s="13" t="s">
        <v>391</v>
      </c>
      <c r="B50" s="16">
        <v>1.47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20">
        <v>-0.43</v>
      </c>
      <c r="R50" s="15"/>
      <c r="S50" s="15">
        <v>0.0</v>
      </c>
      <c r="T50" s="15">
        <v>0.0</v>
      </c>
      <c r="U50" s="16">
        <v>7.16</v>
      </c>
      <c r="V50" s="15">
        <v>0.0</v>
      </c>
    </row>
    <row r="51" ht="15.0" customHeight="1">
      <c r="A51" s="13" t="s">
        <v>392</v>
      </c>
      <c r="B51" s="15"/>
      <c r="C51" s="15"/>
      <c r="D51" s="15"/>
      <c r="E51" s="15">
        <v>0.0</v>
      </c>
      <c r="F51" s="16">
        <v>0.04</v>
      </c>
      <c r="G51" s="15"/>
      <c r="H51" s="16">
        <v>20.65</v>
      </c>
      <c r="I51" s="15"/>
      <c r="J51" s="16">
        <v>1.84</v>
      </c>
      <c r="K51" s="15"/>
      <c r="L51" s="16">
        <v>0.8</v>
      </c>
      <c r="M51" s="16">
        <v>32.05</v>
      </c>
      <c r="N51" s="16">
        <v>1.98</v>
      </c>
      <c r="O51" s="15"/>
      <c r="P51" s="15"/>
      <c r="Q51" s="16">
        <v>31.28</v>
      </c>
      <c r="R51" s="16">
        <v>61.46</v>
      </c>
      <c r="S51" s="14">
        <v>216.14</v>
      </c>
      <c r="T51" s="14">
        <v>488.5</v>
      </c>
      <c r="U51" s="16">
        <v>79.65</v>
      </c>
      <c r="V51" s="15">
        <v>0.0</v>
      </c>
    </row>
    <row r="52" ht="15.0" customHeight="1">
      <c r="A52" s="13" t="s">
        <v>393</v>
      </c>
      <c r="B52" s="15"/>
      <c r="C52" s="15"/>
      <c r="D52" s="15"/>
      <c r="E52" s="15">
        <v>0.0</v>
      </c>
      <c r="F52" s="15"/>
      <c r="G52" s="15"/>
      <c r="H52" s="15"/>
      <c r="I52" s="15">
        <v>0.0</v>
      </c>
      <c r="J52" s="15">
        <v>0.0</v>
      </c>
      <c r="K52" s="15">
        <v>0.0</v>
      </c>
      <c r="L52" s="15">
        <v>0.0</v>
      </c>
      <c r="M52" s="15">
        <v>0.0</v>
      </c>
      <c r="N52" s="17">
        <v>0.0</v>
      </c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8" t="s">
        <v>394</v>
      </c>
      <c r="B53" s="25">
        <v>10066.06</v>
      </c>
      <c r="C53" s="19">
        <v>6640.48</v>
      </c>
      <c r="D53" s="23">
        <v>-123.53</v>
      </c>
      <c r="E53" s="22">
        <v>-23.51</v>
      </c>
      <c r="F53" s="19">
        <v>620.27</v>
      </c>
      <c r="G53" s="23">
        <v>-301.56</v>
      </c>
      <c r="H53" s="23">
        <v>-342.62</v>
      </c>
      <c r="I53" s="19">
        <v>1276.53</v>
      </c>
      <c r="J53" s="19">
        <v>633.2</v>
      </c>
      <c r="K53" s="23">
        <v>-237.0</v>
      </c>
      <c r="L53" s="23">
        <v>-2318.11</v>
      </c>
      <c r="M53" s="19">
        <v>196.08</v>
      </c>
      <c r="N53" s="19">
        <v>364.49</v>
      </c>
      <c r="O53" s="23">
        <v>-1327.31</v>
      </c>
      <c r="P53" s="23">
        <v>-3255.75</v>
      </c>
      <c r="Q53" s="23">
        <v>-759.11</v>
      </c>
      <c r="R53" s="23">
        <v>-1216.5</v>
      </c>
      <c r="S53" s="23">
        <v>-2360.76</v>
      </c>
      <c r="T53" s="23">
        <v>-206.46</v>
      </c>
      <c r="U53" s="23">
        <v>-813.01</v>
      </c>
      <c r="V53" s="23">
        <v>-677.01</v>
      </c>
    </row>
    <row r="54" ht="15.0" customHeight="1">
      <c r="A54" s="13" t="s">
        <v>395</v>
      </c>
      <c r="B54" s="15">
        <v>0.0</v>
      </c>
      <c r="C54" s="16">
        <v>14.11</v>
      </c>
      <c r="D54" s="15"/>
      <c r="E54" s="15">
        <v>0.0</v>
      </c>
      <c r="F54" s="16">
        <v>70.36</v>
      </c>
      <c r="G54" s="15"/>
      <c r="H54" s="15">
        <v>0.0</v>
      </c>
      <c r="I54" s="14">
        <v>200.0</v>
      </c>
      <c r="J54" s="14">
        <v>311.68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3" t="s">
        <v>396</v>
      </c>
      <c r="B55" s="21">
        <v>-255.75</v>
      </c>
      <c r="C55" s="21">
        <v>-233.66</v>
      </c>
      <c r="D55" s="21">
        <v>-233.52</v>
      </c>
      <c r="E55" s="21">
        <v>-176.48</v>
      </c>
      <c r="F55" s="21">
        <v>-241.44</v>
      </c>
      <c r="G55" s="21">
        <v>-490.71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ht="15.0" customHeight="1">
      <c r="A56" s="13" t="s">
        <v>397</v>
      </c>
      <c r="B56" s="21">
        <v>-1637.69</v>
      </c>
      <c r="C56" s="21">
        <v>-148.07</v>
      </c>
      <c r="D56" s="20">
        <v>-28.25</v>
      </c>
      <c r="E56" s="21">
        <v>-213.19</v>
      </c>
      <c r="F56" s="21">
        <v>-220.33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ht="15.0" customHeight="1">
      <c r="A57" s="13" t="s">
        <v>377</v>
      </c>
      <c r="B57" s="15"/>
      <c r="C57" s="15"/>
      <c r="D57" s="15"/>
      <c r="E57" s="15"/>
      <c r="F57" s="15"/>
      <c r="G57" s="15"/>
      <c r="H57" s="15"/>
      <c r="I57" s="16">
        <v>12.57</v>
      </c>
      <c r="J57" s="16">
        <v>7.4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ht="15.0" customHeight="1">
      <c r="A58" s="13" t="s">
        <v>398</v>
      </c>
      <c r="B58" s="15"/>
      <c r="C58" s="15"/>
      <c r="D58" s="15"/>
      <c r="E58" s="15"/>
      <c r="F58" s="15"/>
      <c r="G58" s="15"/>
      <c r="H58" s="15"/>
      <c r="I58" s="15">
        <v>0.0</v>
      </c>
      <c r="J58" s="20">
        <v>-9.72</v>
      </c>
      <c r="K58" s="20">
        <v>-2.84</v>
      </c>
      <c r="L58" s="20">
        <v>-1.42</v>
      </c>
      <c r="M58" s="20">
        <v>-98.48</v>
      </c>
      <c r="N58" s="20">
        <v>-0.57</v>
      </c>
      <c r="O58" s="20">
        <v>-60.87</v>
      </c>
      <c r="P58" s="20">
        <v>-4.26</v>
      </c>
      <c r="Q58" s="20">
        <v>-7.94</v>
      </c>
      <c r="R58" s="20">
        <v>-0.87</v>
      </c>
      <c r="S58" s="20">
        <v>-2.39</v>
      </c>
      <c r="T58" s="21">
        <v>-245.05</v>
      </c>
      <c r="U58" s="20">
        <v>-81.3</v>
      </c>
      <c r="V58" s="16">
        <v>6.38</v>
      </c>
    </row>
    <row r="59" ht="15.0" customHeight="1">
      <c r="A59" s="13" t="s">
        <v>379</v>
      </c>
      <c r="B59" s="15"/>
      <c r="C59" s="15"/>
      <c r="D59" s="15"/>
      <c r="E59" s="15"/>
      <c r="F59" s="15"/>
      <c r="G59" s="15"/>
      <c r="H59" s="15"/>
      <c r="I59" s="15"/>
      <c r="J59" s="15"/>
      <c r="K59" s="21">
        <v>-133.69</v>
      </c>
      <c r="L59" s="21">
        <v>-191.51</v>
      </c>
      <c r="M59" s="20">
        <v>-96.7</v>
      </c>
      <c r="N59" s="20">
        <v>-57.99</v>
      </c>
      <c r="O59" s="20">
        <v>-77.37</v>
      </c>
      <c r="P59" s="20">
        <v>-93.97</v>
      </c>
      <c r="Q59" s="20">
        <v>-75.36</v>
      </c>
      <c r="R59" s="21">
        <v>-150.63</v>
      </c>
      <c r="S59" s="21">
        <v>-151.16</v>
      </c>
      <c r="T59" s="20">
        <v>-75.58</v>
      </c>
      <c r="U59" s="20">
        <v>-37.78</v>
      </c>
      <c r="V59" s="20">
        <v>-37.76</v>
      </c>
    </row>
    <row r="60" ht="15.0" customHeight="1">
      <c r="A60" s="13" t="s">
        <v>379</v>
      </c>
      <c r="B60" s="21">
        <v>-102.2</v>
      </c>
      <c r="C60" s="21">
        <v>-1152.46</v>
      </c>
      <c r="D60" s="21">
        <v>-839.28</v>
      </c>
      <c r="E60" s="21">
        <v>-531.85</v>
      </c>
      <c r="F60" s="21">
        <v>-157.97</v>
      </c>
      <c r="G60" s="21">
        <v>-165.79</v>
      </c>
      <c r="H60" s="21">
        <v>-1283.72</v>
      </c>
      <c r="I60" s="21">
        <v>-1108.55</v>
      </c>
      <c r="J60" s="21">
        <v>-569.48</v>
      </c>
      <c r="K60" s="15"/>
      <c r="L60" s="15"/>
      <c r="M60" s="15"/>
      <c r="N60" s="15"/>
      <c r="O60" s="15"/>
      <c r="P60" s="15"/>
      <c r="Q60" s="21">
        <v>-284.97</v>
      </c>
      <c r="R60" s="21">
        <v>-301.97</v>
      </c>
      <c r="S60" s="21">
        <v>-217.29</v>
      </c>
      <c r="T60" s="21">
        <v>-185.78</v>
      </c>
      <c r="U60" s="21">
        <v>-127.51</v>
      </c>
      <c r="V60" s="20">
        <v>-94.64</v>
      </c>
    </row>
    <row r="61" ht="15.0" customHeight="1">
      <c r="A61" s="13" t="s">
        <v>399</v>
      </c>
      <c r="B61" s="15"/>
      <c r="C61" s="15"/>
      <c r="D61" s="15"/>
      <c r="E61" s="15">
        <v>0.0</v>
      </c>
      <c r="F61" s="14">
        <v>1467.96</v>
      </c>
      <c r="G61" s="14">
        <v>972.97</v>
      </c>
      <c r="H61" s="14">
        <v>1052.57</v>
      </c>
      <c r="I61" s="14">
        <v>588.97</v>
      </c>
      <c r="J61" s="14">
        <v>8103.73</v>
      </c>
      <c r="K61" s="14">
        <v>3091.49</v>
      </c>
      <c r="L61" s="14">
        <v>3348.19</v>
      </c>
      <c r="M61" s="14">
        <v>1737.69</v>
      </c>
      <c r="N61" s="14">
        <v>774.45</v>
      </c>
      <c r="O61" s="14">
        <v>4161.5</v>
      </c>
      <c r="P61" s="14">
        <v>2883.22</v>
      </c>
      <c r="Q61" s="14">
        <v>2809.21</v>
      </c>
      <c r="R61" s="14">
        <v>1500.69</v>
      </c>
      <c r="S61" s="14">
        <v>2042.42</v>
      </c>
      <c r="T61" s="14">
        <v>1998.68</v>
      </c>
      <c r="U61" s="14">
        <v>1820.83</v>
      </c>
      <c r="V61" s="14">
        <v>576.2</v>
      </c>
    </row>
    <row r="62" ht="15.0" customHeight="1">
      <c r="A62" s="13" t="s">
        <v>400</v>
      </c>
      <c r="B62" s="17">
        <v>-11636.17</v>
      </c>
      <c r="C62" s="21">
        <v>-8146.17</v>
      </c>
      <c r="D62" s="21">
        <v>-546.12</v>
      </c>
      <c r="E62" s="21">
        <v>-397.54</v>
      </c>
      <c r="F62" s="21">
        <v>-1077.15</v>
      </c>
      <c r="G62" s="21">
        <v>-1244.82</v>
      </c>
      <c r="H62" s="21">
        <v>-1215.84</v>
      </c>
      <c r="I62" s="21">
        <v>-1575.57</v>
      </c>
      <c r="J62" s="21">
        <v>-9107.72</v>
      </c>
      <c r="K62" s="21">
        <v>-3845.94</v>
      </c>
      <c r="L62" s="21">
        <v>-2276.85</v>
      </c>
      <c r="M62" s="21">
        <v>-2015.04</v>
      </c>
      <c r="N62" s="21">
        <v>-1732.42</v>
      </c>
      <c r="O62" s="21">
        <v>-3300.24</v>
      </c>
      <c r="P62" s="21">
        <v>-940.02</v>
      </c>
      <c r="Q62" s="21">
        <v>-2089.5</v>
      </c>
      <c r="R62" s="21">
        <v>-1718.16</v>
      </c>
      <c r="S62" s="21">
        <v>-1144.74</v>
      </c>
      <c r="T62" s="21">
        <v>-1302.3</v>
      </c>
      <c r="U62" s="21">
        <v>-862.56</v>
      </c>
      <c r="V62" s="21">
        <v>-142.83</v>
      </c>
    </row>
    <row r="63" ht="15.0" customHeight="1">
      <c r="A63" s="13" t="s">
        <v>401</v>
      </c>
      <c r="B63" s="14">
        <v>1095.41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ht="15.0" customHeight="1">
      <c r="A64" s="13" t="s">
        <v>402</v>
      </c>
      <c r="B64" s="15"/>
      <c r="C64" s="15"/>
      <c r="D64" s="15"/>
      <c r="E64" s="15"/>
      <c r="F64" s="15"/>
      <c r="G64" s="15"/>
      <c r="H64" s="15"/>
      <c r="I64" s="15">
        <v>0.0</v>
      </c>
      <c r="J64" s="14">
        <v>250.0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ht="15.0" customHeight="1">
      <c r="A65" s="13" t="s">
        <v>368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6">
        <v>16.3</v>
      </c>
      <c r="R65" s="16">
        <v>57.73</v>
      </c>
      <c r="S65" s="16">
        <v>80.66</v>
      </c>
      <c r="T65" s="16">
        <v>56.89</v>
      </c>
      <c r="U65" s="16">
        <v>29.97</v>
      </c>
      <c r="V65" s="16">
        <v>24.9</v>
      </c>
    </row>
    <row r="66" ht="15.0" customHeight="1">
      <c r="A66" s="13" t="s">
        <v>403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>
        <v>0.0</v>
      </c>
      <c r="R66" s="14">
        <v>565.65</v>
      </c>
      <c r="S66" s="16">
        <v>82.02</v>
      </c>
      <c r="T66" s="21">
        <v>-378.95</v>
      </c>
      <c r="U66" s="20">
        <v>-62.11</v>
      </c>
      <c r="V66" s="16">
        <v>1.62</v>
      </c>
    </row>
    <row r="67" ht="15.0" customHeight="1">
      <c r="A67" s="13" t="s">
        <v>404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>
        <v>0.0</v>
      </c>
      <c r="R67" s="20">
        <v>-95.8</v>
      </c>
      <c r="S67" s="20">
        <v>-23.16</v>
      </c>
      <c r="T67" s="20">
        <v>-2.98</v>
      </c>
      <c r="U67" s="20">
        <v>-66.21</v>
      </c>
      <c r="V67" s="20">
        <v>-54.51</v>
      </c>
    </row>
    <row r="68" ht="15.0" customHeight="1">
      <c r="A68" s="13" t="s">
        <v>405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6">
        <v>9.1</v>
      </c>
      <c r="R68" s="15"/>
      <c r="S68" s="15"/>
      <c r="T68" s="15"/>
      <c r="U68" s="15"/>
      <c r="V68" s="15"/>
    </row>
    <row r="69" ht="15.0" customHeight="1">
      <c r="A69" s="13" t="s">
        <v>406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4">
        <v>104.05</v>
      </c>
    </row>
    <row r="70" ht="15.0" customHeight="1">
      <c r="A70" s="13" t="s">
        <v>407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>
        <v>0.0</v>
      </c>
      <c r="U70" s="16">
        <v>1.17</v>
      </c>
      <c r="V70" s="16">
        <v>27.15</v>
      </c>
    </row>
    <row r="71" ht="15.0" customHeight="1">
      <c r="A71" s="13" t="s">
        <v>408</v>
      </c>
      <c r="B71" s="15"/>
      <c r="C71" s="15"/>
      <c r="D71" s="15"/>
      <c r="E71" s="15"/>
      <c r="F71" s="15"/>
      <c r="G71" s="15"/>
      <c r="H71" s="15"/>
      <c r="I71" s="15"/>
      <c r="J71" s="15"/>
      <c r="K71" s="16">
        <v>1.26</v>
      </c>
      <c r="L71" s="20">
        <v>-26.17</v>
      </c>
      <c r="M71" s="20">
        <v>-27.48</v>
      </c>
      <c r="N71" s="16">
        <v>1.84</v>
      </c>
      <c r="O71" s="20">
        <v>-2.08</v>
      </c>
      <c r="P71" s="16">
        <v>1.83</v>
      </c>
      <c r="Q71" s="20">
        <v>-8.36</v>
      </c>
      <c r="R71" s="20">
        <v>-1.12</v>
      </c>
      <c r="S71" s="20">
        <v>-16.43</v>
      </c>
      <c r="T71" s="15">
        <v>0.0</v>
      </c>
      <c r="U71" s="15"/>
      <c r="V71" s="15"/>
    </row>
    <row r="72" ht="15.0" customHeight="1">
      <c r="A72" s="13" t="s">
        <v>409</v>
      </c>
      <c r="B72" s="15"/>
      <c r="C72" s="15"/>
      <c r="D72" s="15"/>
      <c r="E72" s="15"/>
      <c r="F72" s="15"/>
      <c r="G72" s="15"/>
      <c r="H72" s="15"/>
      <c r="I72" s="15">
        <v>0.0</v>
      </c>
      <c r="J72" s="20">
        <v>-82.66</v>
      </c>
      <c r="K72" s="20">
        <v>-39.25</v>
      </c>
      <c r="L72" s="16">
        <v>30.97</v>
      </c>
      <c r="M72" s="16">
        <v>26.0</v>
      </c>
      <c r="N72" s="20">
        <v>-37.27</v>
      </c>
      <c r="O72" s="20">
        <v>-0.53</v>
      </c>
      <c r="P72" s="16">
        <v>2.4</v>
      </c>
      <c r="Q72" s="21">
        <v>-338.36</v>
      </c>
      <c r="R72" s="16">
        <v>28.87</v>
      </c>
      <c r="S72" s="14">
        <v>409.82</v>
      </c>
      <c r="T72" s="21">
        <v>-119.92</v>
      </c>
      <c r="U72" s="16">
        <v>35.99</v>
      </c>
      <c r="V72" s="16">
        <v>27.03</v>
      </c>
    </row>
    <row r="73" ht="15.0" customHeight="1">
      <c r="A73" s="13" t="s">
        <v>410</v>
      </c>
      <c r="B73" s="15"/>
      <c r="C73" s="15"/>
      <c r="D73" s="15"/>
      <c r="E73" s="15"/>
      <c r="F73" s="15"/>
      <c r="G73" s="15"/>
      <c r="H73" s="15"/>
      <c r="I73" s="15"/>
      <c r="J73" s="15">
        <v>0.0</v>
      </c>
      <c r="K73" s="15"/>
      <c r="L73" s="16">
        <v>1.45</v>
      </c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 ht="15.0" customHeight="1">
      <c r="A74" s="13" t="s">
        <v>411</v>
      </c>
      <c r="B74" s="17">
        <v>0.0</v>
      </c>
      <c r="C74" s="15"/>
      <c r="D74" s="15"/>
      <c r="E74" s="15"/>
      <c r="F74" s="15"/>
      <c r="G74" s="15"/>
      <c r="H74" s="17">
        <v>0.0</v>
      </c>
      <c r="I74" s="17">
        <v>0.0</v>
      </c>
      <c r="J74" s="15"/>
      <c r="K74" s="17">
        <v>0.0</v>
      </c>
      <c r="L74" s="15">
        <v>0.0</v>
      </c>
      <c r="M74" s="17">
        <v>0.0</v>
      </c>
      <c r="N74" s="15"/>
      <c r="O74" s="15"/>
      <c r="P74" s="15"/>
      <c r="Q74" s="15"/>
      <c r="R74" s="15"/>
      <c r="S74" s="15"/>
      <c r="T74" s="15"/>
      <c r="U74" s="15"/>
      <c r="V74" s="15"/>
    </row>
    <row r="75" ht="15.0" customHeight="1">
      <c r="A75" s="18" t="s">
        <v>412</v>
      </c>
      <c r="B75" s="26">
        <v>-12536.41</v>
      </c>
      <c r="C75" s="23">
        <v>-9666.25</v>
      </c>
      <c r="D75" s="23">
        <v>-1647.16</v>
      </c>
      <c r="E75" s="23">
        <v>-1319.06</v>
      </c>
      <c r="F75" s="23">
        <v>-158.59</v>
      </c>
      <c r="G75" s="23">
        <v>-928.34</v>
      </c>
      <c r="H75" s="23">
        <v>-1447.0</v>
      </c>
      <c r="I75" s="23">
        <v>-1882.58</v>
      </c>
      <c r="J75" s="23">
        <v>-1096.77</v>
      </c>
      <c r="K75" s="23">
        <v>-928.96</v>
      </c>
      <c r="L75" s="19">
        <v>884.66</v>
      </c>
      <c r="M75" s="23">
        <v>-474.03</v>
      </c>
      <c r="N75" s="23">
        <v>-1051.95</v>
      </c>
      <c r="O75" s="19">
        <v>720.41</v>
      </c>
      <c r="P75" s="19">
        <v>1849.22</v>
      </c>
      <c r="Q75" s="24">
        <v>30.1</v>
      </c>
      <c r="R75" s="23">
        <v>-115.6</v>
      </c>
      <c r="S75" s="19">
        <v>1059.75</v>
      </c>
      <c r="T75" s="23">
        <v>-255.01</v>
      </c>
      <c r="U75" s="19">
        <v>650.47</v>
      </c>
      <c r="V75" s="19">
        <v>437.57</v>
      </c>
    </row>
    <row r="76" ht="15.0" customHeight="1">
      <c r="A76" s="13" t="s">
        <v>413</v>
      </c>
      <c r="B76" s="14">
        <v>1882.97</v>
      </c>
      <c r="C76" s="14">
        <v>2170.07</v>
      </c>
      <c r="D76" s="14">
        <v>2459.03</v>
      </c>
      <c r="E76" s="14">
        <v>2411.91</v>
      </c>
      <c r="F76" s="14">
        <v>1134.03</v>
      </c>
      <c r="G76" s="14">
        <v>1351.35</v>
      </c>
      <c r="H76" s="14">
        <v>1875.48</v>
      </c>
      <c r="I76" s="14">
        <v>1750.45</v>
      </c>
      <c r="J76" s="14">
        <v>1025.07</v>
      </c>
      <c r="K76" s="14">
        <v>1320.74</v>
      </c>
      <c r="L76" s="14">
        <v>1239.86</v>
      </c>
      <c r="M76" s="14">
        <v>807.11</v>
      </c>
      <c r="N76" s="14">
        <v>646.08</v>
      </c>
      <c r="O76" s="14">
        <v>871.72</v>
      </c>
      <c r="P76" s="14">
        <v>1444.67</v>
      </c>
      <c r="Q76" s="14">
        <v>829.94</v>
      </c>
      <c r="R76" s="14">
        <v>1052.71</v>
      </c>
      <c r="S76" s="14">
        <v>1291.11</v>
      </c>
      <c r="T76" s="14">
        <v>833.41</v>
      </c>
      <c r="U76" s="14">
        <v>508.54</v>
      </c>
      <c r="V76" s="14">
        <v>471.69</v>
      </c>
    </row>
    <row r="77" ht="15.0" customHeight="1">
      <c r="A77" s="13" t="s">
        <v>414</v>
      </c>
      <c r="B77" s="14">
        <v>381.84</v>
      </c>
      <c r="C77" s="14">
        <v>1882.97</v>
      </c>
      <c r="D77" s="14">
        <v>2170.07</v>
      </c>
      <c r="E77" s="14">
        <v>2459.03</v>
      </c>
      <c r="F77" s="14">
        <v>2411.91</v>
      </c>
      <c r="G77" s="14">
        <v>1134.03</v>
      </c>
      <c r="H77" s="14">
        <v>1351.35</v>
      </c>
      <c r="I77" s="14">
        <v>1875.48</v>
      </c>
      <c r="J77" s="14">
        <v>1750.45</v>
      </c>
      <c r="K77" s="14">
        <v>1025.07</v>
      </c>
      <c r="L77" s="14">
        <v>1320.74</v>
      </c>
      <c r="M77" s="14">
        <v>1239.86</v>
      </c>
      <c r="N77" s="14">
        <v>807.11</v>
      </c>
      <c r="O77" s="14">
        <v>657.27</v>
      </c>
      <c r="P77" s="14">
        <v>871.72</v>
      </c>
      <c r="Q77" s="14">
        <v>1444.67</v>
      </c>
      <c r="R77" s="14">
        <v>829.94</v>
      </c>
      <c r="S77" s="14">
        <v>1052.71</v>
      </c>
      <c r="T77" s="14">
        <v>1291.11</v>
      </c>
      <c r="U77" s="14">
        <v>833.41</v>
      </c>
      <c r="V77" s="14">
        <v>508.54</v>
      </c>
    </row>
    <row r="78" ht="15.0" customHeight="1">
      <c r="A78" s="13" t="s">
        <v>415</v>
      </c>
      <c r="B78" s="21">
        <v>-1479.35</v>
      </c>
      <c r="C78" s="21">
        <v>-350.2</v>
      </c>
      <c r="D78" s="21">
        <v>-324.88</v>
      </c>
      <c r="E78" s="16">
        <v>41.18</v>
      </c>
      <c r="F78" s="14">
        <v>1237.64</v>
      </c>
      <c r="G78" s="21">
        <v>-219.83</v>
      </c>
      <c r="H78" s="21">
        <v>-544.11</v>
      </c>
      <c r="I78" s="14">
        <v>134.98</v>
      </c>
      <c r="J78" s="14">
        <v>745.6</v>
      </c>
      <c r="K78" s="21">
        <v>-401.67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ht="15.0" customHeight="1">
      <c r="A79" s="13" t="s">
        <v>416</v>
      </c>
      <c r="B79" s="20">
        <v>-21.78</v>
      </c>
      <c r="C79" s="16">
        <v>63.1</v>
      </c>
      <c r="D79" s="16">
        <v>35.93</v>
      </c>
      <c r="E79" s="16">
        <v>5.94</v>
      </c>
      <c r="F79" s="16">
        <v>40.24</v>
      </c>
      <c r="G79" s="16">
        <v>2.51</v>
      </c>
      <c r="H79" s="16">
        <v>19.97</v>
      </c>
      <c r="I79" s="20">
        <v>-9.95</v>
      </c>
      <c r="J79" s="20">
        <v>-20.21</v>
      </c>
      <c r="K79" s="14">
        <v>106.0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ht="15.0" customHeight="1">
      <c r="A80" s="13" t="s">
        <v>417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7">
        <v>0.0</v>
      </c>
      <c r="M80" s="15"/>
      <c r="N80" s="15">
        <v>0.0</v>
      </c>
      <c r="O80" s="17">
        <v>0.0</v>
      </c>
      <c r="P80" s="15"/>
      <c r="Q80" s="15"/>
      <c r="R80" s="17">
        <v>0.0</v>
      </c>
      <c r="S80" s="17">
        <v>0.0</v>
      </c>
      <c r="T80" s="15"/>
      <c r="U80" s="15">
        <v>0.0</v>
      </c>
      <c r="V80" s="17">
        <v>0.0</v>
      </c>
    </row>
    <row r="81" ht="15.0" customHeight="1">
      <c r="A81" s="18" t="s">
        <v>418</v>
      </c>
      <c r="B81" s="23">
        <v>-1501.14</v>
      </c>
      <c r="C81" s="23">
        <v>-287.1</v>
      </c>
      <c r="D81" s="23">
        <v>-288.95</v>
      </c>
      <c r="E81" s="24">
        <v>47.12</v>
      </c>
      <c r="F81" s="19">
        <v>1277.88</v>
      </c>
      <c r="G81" s="23">
        <v>-217.32</v>
      </c>
      <c r="H81" s="23">
        <v>-524.14</v>
      </c>
      <c r="I81" s="19">
        <v>125.03</v>
      </c>
      <c r="J81" s="19">
        <v>725.38</v>
      </c>
      <c r="K81" s="23">
        <v>-295.67</v>
      </c>
      <c r="L81" s="24">
        <v>80.87</v>
      </c>
      <c r="M81" s="19">
        <v>432.76</v>
      </c>
      <c r="N81" s="19">
        <v>161.02</v>
      </c>
      <c r="O81" s="23">
        <v>-214.45</v>
      </c>
      <c r="P81" s="23">
        <v>-572.95</v>
      </c>
      <c r="Q81" s="19">
        <v>614.74</v>
      </c>
      <c r="R81" s="23">
        <v>-222.78</v>
      </c>
      <c r="S81" s="23">
        <v>-238.39</v>
      </c>
      <c r="T81" s="19">
        <v>457.69</v>
      </c>
      <c r="U81" s="19">
        <v>324.88</v>
      </c>
      <c r="V81" s="24">
        <v>36.85</v>
      </c>
    </row>
    <row r="82" ht="15.0" customHeight="1">
      <c r="A82" s="13" t="s">
        <v>419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21">
        <v>-101.02</v>
      </c>
      <c r="P82" s="20">
        <v>-82.5</v>
      </c>
      <c r="Q82" s="15"/>
      <c r="R82" s="15"/>
      <c r="S82" s="15"/>
      <c r="T82" s="15"/>
      <c r="U82" s="15"/>
      <c r="V82" s="15"/>
    </row>
    <row r="83" ht="15.0" customHeight="1">
      <c r="A83" s="13" t="s">
        <v>420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21">
        <v>-284.97</v>
      </c>
      <c r="R83" s="21">
        <v>-301.97</v>
      </c>
      <c r="S83" s="21">
        <v>-217.29</v>
      </c>
      <c r="T83" s="21">
        <v>-185.78</v>
      </c>
      <c r="U83" s="21">
        <v>-127.51</v>
      </c>
      <c r="V83" s="20">
        <v>-94.64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421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46091.5206351157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422</v>
      </c>
      <c r="X11" s="7" t="s">
        <v>423</v>
      </c>
      <c r="Y11" s="7" t="s">
        <v>424</v>
      </c>
      <c r="Z11" s="7" t="s">
        <v>425</v>
      </c>
      <c r="AA11" s="7" t="s">
        <v>426</v>
      </c>
      <c r="AB11" s="7" t="s">
        <v>427</v>
      </c>
      <c r="AC11" s="7" t="s">
        <v>428</v>
      </c>
      <c r="AD11" s="7" t="s">
        <v>429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43738.0</v>
      </c>
      <c r="I13" s="9">
        <v>43100.0</v>
      </c>
      <c r="J13" s="9">
        <v>43100.0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41274.0</v>
      </c>
      <c r="P13" s="9">
        <v>40633.0</v>
      </c>
      <c r="Q13" s="9">
        <v>40543.0</v>
      </c>
      <c r="R13" s="9">
        <v>40178.0</v>
      </c>
      <c r="S13" s="9">
        <v>39813.0</v>
      </c>
      <c r="T13" s="9">
        <v>39082.0</v>
      </c>
      <c r="U13" s="9">
        <v>38898.0</v>
      </c>
      <c r="V13" s="9">
        <v>38717.0</v>
      </c>
      <c r="W13" s="9">
        <v>38260.0</v>
      </c>
      <c r="X13" s="9">
        <v>37802.0</v>
      </c>
      <c r="Y13" s="9">
        <v>37621.0</v>
      </c>
      <c r="Z13" s="9">
        <v>37621.0</v>
      </c>
      <c r="AA13" s="9">
        <v>36891.0</v>
      </c>
      <c r="AB13" s="9">
        <v>36891.0</v>
      </c>
      <c r="AC13" s="9">
        <v>35795.0</v>
      </c>
      <c r="AD13" s="9">
        <v>35795.0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  <c r="AC14" s="10" t="s">
        <v>42</v>
      </c>
      <c r="AD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  <c r="AC15" s="10" t="s">
        <v>44</v>
      </c>
      <c r="AD15" s="10" t="s">
        <v>44</v>
      </c>
    </row>
    <row r="17">
      <c r="A17" s="11" t="s">
        <v>430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  <c r="W18" s="12" t="s">
        <v>431</v>
      </c>
      <c r="X18" s="12" t="s">
        <v>432</v>
      </c>
      <c r="Y18" s="12" t="s">
        <v>433</v>
      </c>
      <c r="Z18" s="12" t="s">
        <v>434</v>
      </c>
      <c r="AA18" s="12" t="s">
        <v>435</v>
      </c>
      <c r="AB18" s="12" t="s">
        <v>436</v>
      </c>
      <c r="AC18" s="12" t="s">
        <v>437</v>
      </c>
      <c r="AD18" s="12" t="s">
        <v>438</v>
      </c>
    </row>
    <row r="19" ht="15.0" customHeight="1">
      <c r="A19" s="27" t="s">
        <v>439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ht="15.0" customHeight="1">
      <c r="A20" s="29" t="s">
        <v>439</v>
      </c>
      <c r="B20" s="30">
        <v>7983.27</v>
      </c>
      <c r="C20" s="31">
        <v>18315.35</v>
      </c>
      <c r="D20" s="31">
        <v>22935.25</v>
      </c>
      <c r="E20" s="31">
        <v>18590.59</v>
      </c>
      <c r="F20" s="31">
        <v>18835.88</v>
      </c>
      <c r="G20" s="31">
        <v>31218.54</v>
      </c>
      <c r="H20" s="31">
        <v>29046.86</v>
      </c>
      <c r="I20" s="31">
        <v>28485.79</v>
      </c>
      <c r="J20" s="31">
        <v>16587.49</v>
      </c>
      <c r="K20" s="31">
        <v>11044.13</v>
      </c>
      <c r="L20" s="31">
        <v>12533.49</v>
      </c>
      <c r="M20" s="31">
        <v>11944.69</v>
      </c>
      <c r="N20" s="31">
        <v>11683.63</v>
      </c>
      <c r="O20" s="31">
        <v>12563.43</v>
      </c>
      <c r="P20" s="31">
        <v>12963.76</v>
      </c>
      <c r="Q20" s="30">
        <v>9097.32</v>
      </c>
      <c r="R20" s="30">
        <v>6758.72</v>
      </c>
      <c r="S20" s="30">
        <v>9652.35</v>
      </c>
      <c r="T20" s="30">
        <v>7496.23</v>
      </c>
      <c r="U20" s="30">
        <v>7159.01</v>
      </c>
      <c r="V20" s="30">
        <v>4762.72</v>
      </c>
      <c r="W20" s="30">
        <v>3831.78</v>
      </c>
      <c r="X20" s="30">
        <v>2943.12</v>
      </c>
      <c r="Y20" s="30">
        <v>2571.22</v>
      </c>
      <c r="Z20" s="30">
        <v>2023.35</v>
      </c>
      <c r="AA20" s="30">
        <v>1560.17</v>
      </c>
      <c r="AB20" s="30">
        <v>404.08</v>
      </c>
      <c r="AC20" s="30">
        <v>1160.47</v>
      </c>
      <c r="AD20" s="31"/>
    </row>
    <row r="21" ht="15.0" customHeight="1">
      <c r="A21" s="29" t="s">
        <v>440</v>
      </c>
      <c r="B21" s="31">
        <v>20816.3</v>
      </c>
      <c r="C21" s="31">
        <v>24347.35</v>
      </c>
      <c r="D21" s="31">
        <v>26581.21</v>
      </c>
      <c r="E21" s="31">
        <v>25885.42</v>
      </c>
      <c r="F21" s="31">
        <v>24886.19</v>
      </c>
      <c r="G21" s="31">
        <v>23806.13</v>
      </c>
      <c r="H21" s="31">
        <v>20181.03</v>
      </c>
      <c r="I21" s="31">
        <v>16885.43</v>
      </c>
      <c r="J21" s="31">
        <v>15402.43</v>
      </c>
      <c r="K21" s="31">
        <v>16085.12</v>
      </c>
      <c r="L21" s="31">
        <v>15056.86</v>
      </c>
      <c r="M21" s="31">
        <v>12094.28</v>
      </c>
      <c r="N21" s="30">
        <v>9982.84</v>
      </c>
      <c r="O21" s="31">
        <v>10337.55</v>
      </c>
      <c r="P21" s="30">
        <v>9022.57</v>
      </c>
      <c r="Q21" s="30">
        <v>7628.53</v>
      </c>
      <c r="R21" s="30">
        <v>8052.9</v>
      </c>
      <c r="S21" s="30">
        <v>5868.15</v>
      </c>
      <c r="T21" s="30">
        <v>5045.46</v>
      </c>
      <c r="U21" s="30">
        <v>4224.42</v>
      </c>
      <c r="V21" s="30">
        <v>2796.61</v>
      </c>
      <c r="W21" s="30">
        <v>2283.78</v>
      </c>
      <c r="X21" s="30">
        <v>1649.78</v>
      </c>
      <c r="Y21" s="30">
        <v>1651.74</v>
      </c>
      <c r="Z21" s="31"/>
      <c r="AA21" s="31"/>
      <c r="AB21" s="31"/>
      <c r="AC21" s="31"/>
      <c r="AD21" s="31"/>
    </row>
    <row r="22" ht="15.0" customHeight="1">
      <c r="A22" s="27" t="s">
        <v>441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 ht="15.0" customHeight="1">
      <c r="A23" s="29" t="s">
        <v>441</v>
      </c>
      <c r="B23" s="30">
        <v>3295.52</v>
      </c>
      <c r="C23" s="30">
        <v>3046.83</v>
      </c>
      <c r="D23" s="30">
        <v>2325.58</v>
      </c>
      <c r="E23" s="30">
        <v>351.8</v>
      </c>
      <c r="F23" s="30">
        <v>612.52</v>
      </c>
      <c r="G23" s="30">
        <v>241.23</v>
      </c>
      <c r="H23" s="30">
        <v>427.31</v>
      </c>
      <c r="I23" s="30">
        <v>1500.55</v>
      </c>
      <c r="J23" s="30">
        <v>692.73</v>
      </c>
      <c r="K23" s="30">
        <v>675.85</v>
      </c>
      <c r="L23" s="30">
        <v>2604.49</v>
      </c>
      <c r="M23" s="30">
        <v>3972.68</v>
      </c>
      <c r="N23" s="30">
        <v>3296.83</v>
      </c>
      <c r="O23" s="30">
        <v>2818.79</v>
      </c>
      <c r="P23" s="30">
        <v>3736.02</v>
      </c>
      <c r="Q23" s="30">
        <v>3478.36</v>
      </c>
      <c r="R23" s="30">
        <v>1884.11</v>
      </c>
      <c r="S23" s="30">
        <v>4992.09</v>
      </c>
      <c r="T23" s="30">
        <v>4412.36</v>
      </c>
      <c r="U23" s="30">
        <v>3091.88</v>
      </c>
      <c r="V23" s="30">
        <v>2190.08</v>
      </c>
      <c r="W23" s="30">
        <v>1418.38</v>
      </c>
      <c r="X23" s="30">
        <v>915.08</v>
      </c>
      <c r="Y23" s="30">
        <v>1199.96</v>
      </c>
      <c r="Z23" s="30">
        <v>1159.12</v>
      </c>
      <c r="AA23" s="30">
        <v>791.97</v>
      </c>
      <c r="AB23" s="30">
        <v>634.47</v>
      </c>
      <c r="AC23" s="30">
        <v>1220.16</v>
      </c>
      <c r="AD23" s="31"/>
    </row>
    <row r="24" ht="15.0" customHeight="1">
      <c r="A24" s="29" t="s">
        <v>442</v>
      </c>
      <c r="B24" s="30">
        <v>2135.2</v>
      </c>
      <c r="C24" s="30">
        <v>1371.98</v>
      </c>
      <c r="D24" s="30">
        <v>834.05</v>
      </c>
      <c r="E24" s="30">
        <v>653.7</v>
      </c>
      <c r="F24" s="30">
        <v>705.78</v>
      </c>
      <c r="G24" s="30">
        <v>731.14</v>
      </c>
      <c r="H24" s="30">
        <v>1274.26</v>
      </c>
      <c r="I24" s="30">
        <v>2204.3</v>
      </c>
      <c r="J24" s="30">
        <v>3027.68</v>
      </c>
      <c r="K24" s="30">
        <v>3790.81</v>
      </c>
      <c r="L24" s="30">
        <v>4048.99</v>
      </c>
      <c r="M24" s="30">
        <v>3592.8</v>
      </c>
      <c r="N24" s="30">
        <v>2867.93</v>
      </c>
      <c r="O24" s="30">
        <v>3470.74</v>
      </c>
      <c r="P24" s="30">
        <v>3655.97</v>
      </c>
      <c r="Q24" s="30">
        <v>3425.82</v>
      </c>
      <c r="R24" s="30">
        <v>3773.67</v>
      </c>
      <c r="S24" s="30">
        <v>2889.2</v>
      </c>
      <c r="T24" s="30">
        <v>2333.08</v>
      </c>
      <c r="U24" s="30">
        <v>1750.38</v>
      </c>
      <c r="V24" s="30">
        <v>1180.6</v>
      </c>
      <c r="W24" s="30">
        <v>946.89</v>
      </c>
      <c r="X24" s="30">
        <v>804.22</v>
      </c>
      <c r="Y24" s="30">
        <v>1098.16</v>
      </c>
      <c r="Z24" s="31"/>
      <c r="AA24" s="31"/>
      <c r="AB24" s="31"/>
      <c r="AC24" s="31"/>
      <c r="AD24" s="31"/>
    </row>
    <row r="25" ht="15.0" customHeight="1">
      <c r="A25" s="27" t="s">
        <v>443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 ht="15.0" customHeight="1">
      <c r="A26" s="29" t="s">
        <v>444</v>
      </c>
      <c r="B26" s="32">
        <v>40.02</v>
      </c>
      <c r="C26" s="32">
        <v>37.0</v>
      </c>
      <c r="D26" s="32">
        <v>30.08</v>
      </c>
      <c r="E26" s="32">
        <v>4.65</v>
      </c>
      <c r="F26" s="32">
        <v>8.18</v>
      </c>
      <c r="G26" s="32">
        <v>98.27</v>
      </c>
      <c r="H26" s="30">
        <v>174.07</v>
      </c>
      <c r="I26" s="30">
        <v>611.28</v>
      </c>
      <c r="J26" s="30">
        <v>1163.87</v>
      </c>
      <c r="K26" s="30">
        <v>2059.84</v>
      </c>
      <c r="L26" s="30">
        <v>7937.92</v>
      </c>
      <c r="M26" s="31">
        <v>12107.83</v>
      </c>
      <c r="N26" s="31">
        <v>10047.99</v>
      </c>
      <c r="O26" s="30">
        <v>8591.03</v>
      </c>
      <c r="P26" s="31">
        <v>11655.67</v>
      </c>
      <c r="Q26" s="31">
        <v>10851.83</v>
      </c>
      <c r="R26" s="30">
        <v>5878.08</v>
      </c>
      <c r="S26" s="31">
        <v>15574.39</v>
      </c>
      <c r="T26" s="31">
        <v>13765.75</v>
      </c>
      <c r="U26" s="30">
        <v>9646.07</v>
      </c>
      <c r="V26" s="30">
        <v>6832.64</v>
      </c>
      <c r="W26" s="30">
        <v>4672.32</v>
      </c>
      <c r="X26" s="30">
        <v>3014.4</v>
      </c>
      <c r="Y26" s="30">
        <v>4019.2</v>
      </c>
      <c r="Z26" s="30">
        <v>3818.24</v>
      </c>
      <c r="AA26" s="30">
        <v>2612.48</v>
      </c>
      <c r="AB26" s="30">
        <v>2089.98</v>
      </c>
      <c r="AC26" s="30">
        <v>4019.2</v>
      </c>
      <c r="AD26" s="31"/>
    </row>
    <row r="27" ht="15.0" customHeight="1">
      <c r="A27" s="29" t="s">
        <v>445</v>
      </c>
      <c r="B27" s="32">
        <v>26.65</v>
      </c>
      <c r="C27" s="32">
        <v>39.32</v>
      </c>
      <c r="D27" s="32">
        <v>70.33</v>
      </c>
      <c r="E27" s="30">
        <v>189.01</v>
      </c>
      <c r="F27" s="30">
        <v>414.37</v>
      </c>
      <c r="G27" s="30">
        <v>831.49</v>
      </c>
      <c r="H27" s="30">
        <v>2634.39</v>
      </c>
      <c r="I27" s="30">
        <v>5745.77</v>
      </c>
      <c r="J27" s="30">
        <v>9038.21</v>
      </c>
      <c r="K27" s="31">
        <v>11553.54</v>
      </c>
      <c r="L27" s="31">
        <v>12409.51</v>
      </c>
      <c r="M27" s="31">
        <v>11058.61</v>
      </c>
      <c r="N27" s="30">
        <v>8862.1</v>
      </c>
      <c r="O27" s="31">
        <v>10787.44</v>
      </c>
      <c r="P27" s="31">
        <v>11405.93</v>
      </c>
      <c r="Q27" s="31">
        <v>10687.93</v>
      </c>
      <c r="R27" s="31">
        <v>11773.15</v>
      </c>
      <c r="S27" s="30">
        <v>9054.05</v>
      </c>
      <c r="T27" s="30">
        <v>7353.7</v>
      </c>
      <c r="U27" s="30">
        <v>5583.45</v>
      </c>
      <c r="V27" s="30">
        <v>3821.69</v>
      </c>
      <c r="W27" s="30">
        <v>3129.67</v>
      </c>
      <c r="X27" s="30">
        <v>2660.09</v>
      </c>
      <c r="Y27" s="30">
        <v>3631.51</v>
      </c>
      <c r="Z27" s="31"/>
      <c r="AA27" s="31"/>
      <c r="AB27" s="31"/>
      <c r="AC27" s="31"/>
      <c r="AD27" s="31"/>
    </row>
    <row r="28" ht="15.0" customHeight="1">
      <c r="A28" s="27" t="s">
        <v>446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</row>
    <row r="29" ht="15.0" customHeight="1">
      <c r="A29" s="29" t="s">
        <v>447</v>
      </c>
      <c r="B29" s="33">
        <v>22.28</v>
      </c>
      <c r="C29" s="33">
        <v>22.19</v>
      </c>
      <c r="D29" s="34">
        <v>-8.5</v>
      </c>
      <c r="E29" s="33">
        <v>105.82</v>
      </c>
      <c r="F29" s="34">
        <v>-12.11</v>
      </c>
      <c r="G29" s="34">
        <v>-20.72</v>
      </c>
      <c r="H29" s="34">
        <v>-95.01</v>
      </c>
      <c r="I29" s="34">
        <v>-38.74</v>
      </c>
      <c r="J29" s="34">
        <v>-281.48</v>
      </c>
      <c r="K29" s="33">
        <v>76.51</v>
      </c>
      <c r="L29" s="34">
        <v>-52.5</v>
      </c>
      <c r="M29" s="33">
        <v>10.86</v>
      </c>
      <c r="N29" s="33">
        <v>1.63</v>
      </c>
      <c r="O29" s="34">
        <v>-38.83</v>
      </c>
      <c r="P29" s="34">
        <v>-62.71</v>
      </c>
      <c r="Q29" s="33">
        <v>1.39</v>
      </c>
      <c r="R29" s="34">
        <v>-31.16</v>
      </c>
      <c r="S29" s="34">
        <v>-15.5</v>
      </c>
      <c r="T29" s="34">
        <v>-14.51</v>
      </c>
      <c r="U29" s="34">
        <v>-30.67</v>
      </c>
      <c r="V29" s="34">
        <v>-20.36</v>
      </c>
      <c r="W29" s="34">
        <v>-14.91</v>
      </c>
      <c r="X29" s="34">
        <v>-71.92</v>
      </c>
      <c r="Y29" s="34">
        <v>-30.43</v>
      </c>
      <c r="Z29" s="34">
        <v>-0.56</v>
      </c>
      <c r="AA29" s="34">
        <v>-60.58</v>
      </c>
      <c r="AB29" s="33">
        <v>55.48</v>
      </c>
      <c r="AC29" s="34">
        <v>-53.11</v>
      </c>
      <c r="AD29" s="33"/>
    </row>
    <row r="30" ht="15.0" customHeight="1">
      <c r="A30" s="29" t="s">
        <v>448</v>
      </c>
      <c r="B30" s="33">
        <v>15.16</v>
      </c>
      <c r="C30" s="34">
        <v>-6.84</v>
      </c>
      <c r="D30" s="34">
        <v>-59.28</v>
      </c>
      <c r="E30" s="34">
        <v>-46.48</v>
      </c>
      <c r="F30" s="34">
        <v>-177.92</v>
      </c>
      <c r="G30" s="34">
        <v>-53.07</v>
      </c>
      <c r="H30" s="34">
        <v>-52.91</v>
      </c>
      <c r="I30" s="34">
        <v>-16.31</v>
      </c>
      <c r="J30" s="34">
        <v>-9.8</v>
      </c>
      <c r="K30" s="34">
        <v>-10.58</v>
      </c>
      <c r="L30" s="34">
        <v>-25.59</v>
      </c>
      <c r="M30" s="34">
        <v>-16.91</v>
      </c>
      <c r="N30" s="34">
        <v>-25.39</v>
      </c>
      <c r="O30" s="34">
        <v>-27.65</v>
      </c>
      <c r="P30" s="34">
        <v>-23.05</v>
      </c>
      <c r="Q30" s="34">
        <v>-15.62</v>
      </c>
      <c r="R30" s="34">
        <v>-20.01</v>
      </c>
      <c r="S30" s="34">
        <v>-18.45</v>
      </c>
      <c r="T30" s="34">
        <v>-23.83</v>
      </c>
      <c r="U30" s="34">
        <v>-29.51</v>
      </c>
      <c r="V30" s="34">
        <v>-24.98</v>
      </c>
      <c r="W30" s="34">
        <v>-32.13</v>
      </c>
      <c r="X30" s="34">
        <v>-25.92</v>
      </c>
      <c r="Y30" s="34">
        <v>-23.36</v>
      </c>
      <c r="Z30" s="33"/>
      <c r="AA30" s="33"/>
      <c r="AB30" s="33"/>
      <c r="AC30" s="33"/>
      <c r="AD30" s="33"/>
    </row>
    <row r="31" ht="15.0" customHeight="1">
      <c r="A31" s="27" t="s">
        <v>449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 ht="15.0" customHeight="1">
      <c r="A32" s="29" t="s">
        <v>450</v>
      </c>
      <c r="B32" s="33">
        <v>0.0</v>
      </c>
      <c r="C32" s="33">
        <v>0.0</v>
      </c>
      <c r="D32" s="33">
        <v>0.0</v>
      </c>
      <c r="E32" s="33">
        <v>0.0</v>
      </c>
      <c r="F32" s="33">
        <v>0.0</v>
      </c>
      <c r="G32" s="33">
        <v>0.0</v>
      </c>
      <c r="H32" s="33">
        <v>0.0</v>
      </c>
      <c r="I32" s="33">
        <v>0.0</v>
      </c>
      <c r="J32" s="33">
        <v>0.0</v>
      </c>
      <c r="K32" s="33">
        <v>16.04</v>
      </c>
      <c r="L32" s="33">
        <v>6.43</v>
      </c>
      <c r="M32" s="33">
        <v>1.81</v>
      </c>
      <c r="N32" s="33">
        <v>1.21</v>
      </c>
      <c r="O32" s="33">
        <v>2.11</v>
      </c>
      <c r="P32" s="33">
        <v>1.76</v>
      </c>
      <c r="Q32" s="33">
        <v>1.44</v>
      </c>
      <c r="R32" s="33">
        <v>7.11</v>
      </c>
      <c r="S32" s="33">
        <v>2.02</v>
      </c>
      <c r="T32" s="33">
        <v>1.2</v>
      </c>
      <c r="U32" s="33">
        <v>1.28</v>
      </c>
      <c r="V32" s="33">
        <v>1.56</v>
      </c>
      <c r="W32" s="33">
        <v>3.57</v>
      </c>
      <c r="X32" s="33">
        <v>6.79</v>
      </c>
      <c r="Y32" s="33">
        <v>2.92</v>
      </c>
      <c r="Z32" s="33">
        <v>3.08</v>
      </c>
      <c r="AA32" s="33">
        <v>4.64</v>
      </c>
      <c r="AB32" s="33">
        <v>0.0</v>
      </c>
      <c r="AC32" s="33">
        <v>0.0</v>
      </c>
      <c r="AD32" s="33"/>
    </row>
    <row r="33" ht="15.0" customHeight="1">
      <c r="A33" s="29" t="s">
        <v>451</v>
      </c>
      <c r="B33" s="33">
        <v>0.0</v>
      </c>
      <c r="C33" s="33">
        <v>0.0</v>
      </c>
      <c r="D33" s="33">
        <v>0.0</v>
      </c>
      <c r="E33" s="33">
        <v>0.0</v>
      </c>
      <c r="F33" s="33">
        <v>0.0</v>
      </c>
      <c r="G33" s="33">
        <v>7.89</v>
      </c>
      <c r="H33" s="33">
        <v>6.93</v>
      </c>
      <c r="I33" s="33">
        <v>4.05</v>
      </c>
      <c r="J33" s="33">
        <v>3.13</v>
      </c>
      <c r="K33" s="33">
        <v>2.97</v>
      </c>
      <c r="L33" s="33">
        <v>2.31</v>
      </c>
      <c r="M33" s="33">
        <v>1.65</v>
      </c>
      <c r="N33" s="33">
        <v>2.19</v>
      </c>
      <c r="O33" s="33">
        <v>2.33</v>
      </c>
      <c r="P33" s="33">
        <v>2.11</v>
      </c>
      <c r="Q33" s="33">
        <v>2.06</v>
      </c>
      <c r="R33" s="33">
        <v>2.13</v>
      </c>
      <c r="S33" s="33">
        <v>1.74</v>
      </c>
      <c r="T33" s="33">
        <v>1.98</v>
      </c>
      <c r="U33" s="33">
        <v>2.5</v>
      </c>
      <c r="V33" s="33">
        <v>3.14</v>
      </c>
      <c r="W33" s="33">
        <v>4.1</v>
      </c>
      <c r="X33" s="33">
        <v>3.71</v>
      </c>
      <c r="Y33" s="33">
        <v>2.05</v>
      </c>
      <c r="Z33" s="33"/>
      <c r="AA33" s="33"/>
      <c r="AB33" s="33"/>
      <c r="AC33" s="33"/>
      <c r="AD33" s="33"/>
    </row>
    <row r="34" ht="15.0" customHeight="1">
      <c r="A34" s="29" t="s">
        <v>452</v>
      </c>
      <c r="B34" s="33">
        <v>0.0</v>
      </c>
      <c r="C34" s="33">
        <v>0.0</v>
      </c>
      <c r="D34" s="33">
        <v>0.0</v>
      </c>
      <c r="E34" s="33">
        <v>0.0</v>
      </c>
      <c r="F34" s="33">
        <v>0.0</v>
      </c>
      <c r="G34" s="33">
        <v>0.0</v>
      </c>
      <c r="H34" s="33">
        <v>0.0</v>
      </c>
      <c r="I34" s="33">
        <v>0.0</v>
      </c>
      <c r="J34" s="33">
        <v>0.0</v>
      </c>
      <c r="K34" s="33">
        <v>21.97</v>
      </c>
      <c r="L34" s="33">
        <v>8.8</v>
      </c>
      <c r="M34" s="33">
        <v>2.51</v>
      </c>
      <c r="N34" s="33">
        <v>1.68</v>
      </c>
      <c r="O34" s="33">
        <v>2.93</v>
      </c>
      <c r="P34" s="33">
        <v>2.44</v>
      </c>
      <c r="Q34" s="33">
        <v>2.0</v>
      </c>
      <c r="R34" s="33">
        <v>9.87</v>
      </c>
      <c r="S34" s="33">
        <v>2.81</v>
      </c>
      <c r="T34" s="33">
        <v>1.67</v>
      </c>
      <c r="U34" s="33">
        <v>1.28</v>
      </c>
      <c r="V34" s="33">
        <v>1.56</v>
      </c>
      <c r="W34" s="33">
        <v>3.57</v>
      </c>
      <c r="X34" s="33">
        <v>6.79</v>
      </c>
      <c r="Y34" s="33">
        <v>2.92</v>
      </c>
      <c r="Z34" s="33">
        <v>3.08</v>
      </c>
      <c r="AA34" s="33">
        <v>4.64</v>
      </c>
      <c r="AB34" s="33">
        <v>0.0</v>
      </c>
      <c r="AC34" s="33">
        <v>0.0</v>
      </c>
      <c r="AD34" s="33"/>
    </row>
    <row r="35" ht="15.0" customHeight="1">
      <c r="A35" s="29" t="s">
        <v>453</v>
      </c>
      <c r="B35" s="33">
        <v>0.0</v>
      </c>
      <c r="C35" s="33">
        <v>0.0</v>
      </c>
      <c r="D35" s="33">
        <v>0.0</v>
      </c>
      <c r="E35" s="33">
        <v>0.0</v>
      </c>
      <c r="F35" s="33">
        <v>0.0</v>
      </c>
      <c r="G35" s="33">
        <v>10.81</v>
      </c>
      <c r="H35" s="33">
        <v>9.49</v>
      </c>
      <c r="I35" s="33">
        <v>5.57</v>
      </c>
      <c r="J35" s="33">
        <v>4.31</v>
      </c>
      <c r="K35" s="33">
        <v>4.09</v>
      </c>
      <c r="L35" s="33">
        <v>3.19</v>
      </c>
      <c r="M35" s="33">
        <v>2.29</v>
      </c>
      <c r="N35" s="33">
        <v>3.04</v>
      </c>
      <c r="O35" s="33">
        <v>3.24</v>
      </c>
      <c r="P35" s="33">
        <v>2.93</v>
      </c>
      <c r="Q35" s="33">
        <v>2.78</v>
      </c>
      <c r="R35" s="33">
        <v>2.79</v>
      </c>
      <c r="S35" s="33">
        <v>2.14</v>
      </c>
      <c r="T35" s="33">
        <v>2.16</v>
      </c>
      <c r="U35" s="33">
        <v>2.5</v>
      </c>
      <c r="V35" s="33">
        <v>3.14</v>
      </c>
      <c r="W35" s="33">
        <v>4.1</v>
      </c>
      <c r="X35" s="33">
        <v>3.71</v>
      </c>
      <c r="Y35" s="33">
        <v>2.05</v>
      </c>
      <c r="Z35" s="33"/>
      <c r="AA35" s="33"/>
      <c r="AB35" s="33"/>
      <c r="AC35" s="33"/>
      <c r="AD35" s="33"/>
    </row>
    <row r="36" ht="15.0" customHeight="1">
      <c r="A36" s="27" t="s">
        <v>454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ht="15.0" customHeight="1">
      <c r="A37" s="29" t="s">
        <v>455</v>
      </c>
      <c r="B37" s="32">
        <v>1.03</v>
      </c>
      <c r="C37" s="32">
        <v>1.67</v>
      </c>
      <c r="D37" s="32">
        <v>1.32</v>
      </c>
      <c r="E37" s="32">
        <v>0.11</v>
      </c>
      <c r="F37" s="32">
        <v>0.14</v>
      </c>
      <c r="G37" s="31"/>
      <c r="H37" s="31"/>
      <c r="I37" s="32">
        <v>0.3</v>
      </c>
      <c r="J37" s="32">
        <v>0.26</v>
      </c>
      <c r="K37" s="32">
        <v>0.18</v>
      </c>
      <c r="L37" s="32">
        <v>0.5</v>
      </c>
      <c r="M37" s="32">
        <v>0.79</v>
      </c>
      <c r="N37" s="32">
        <v>0.71</v>
      </c>
      <c r="O37" s="32">
        <v>0.63</v>
      </c>
      <c r="P37" s="32">
        <v>0.81</v>
      </c>
      <c r="Q37" s="32">
        <v>0.75</v>
      </c>
      <c r="R37" s="32">
        <v>0.51</v>
      </c>
      <c r="S37" s="32">
        <v>1.35</v>
      </c>
      <c r="T37" s="32">
        <v>1.4</v>
      </c>
      <c r="U37" s="32">
        <v>1.26</v>
      </c>
      <c r="V37" s="32">
        <v>1.03</v>
      </c>
      <c r="W37" s="32">
        <v>0.8</v>
      </c>
      <c r="X37" s="32">
        <v>0.53</v>
      </c>
      <c r="Y37" s="32">
        <v>0.91</v>
      </c>
      <c r="Z37" s="32">
        <v>1.04</v>
      </c>
      <c r="AA37" s="32">
        <v>0.76</v>
      </c>
      <c r="AB37" s="32">
        <v>0.75</v>
      </c>
      <c r="AC37" s="32">
        <v>2.05</v>
      </c>
      <c r="AD37" s="31"/>
    </row>
    <row r="38" ht="15.0" customHeight="1">
      <c r="A38" s="29" t="s">
        <v>456</v>
      </c>
      <c r="B38" s="32">
        <v>0.61</v>
      </c>
      <c r="C38" s="31"/>
      <c r="D38" s="31"/>
      <c r="E38" s="32">
        <v>2.85</v>
      </c>
      <c r="F38" s="32">
        <v>0.43</v>
      </c>
      <c r="G38" s="32">
        <v>0.25</v>
      </c>
      <c r="H38" s="32">
        <v>0.37</v>
      </c>
      <c r="I38" s="32">
        <v>0.52</v>
      </c>
      <c r="J38" s="32">
        <v>0.58</v>
      </c>
      <c r="K38" s="32">
        <v>0.6</v>
      </c>
      <c r="L38" s="32">
        <v>0.69</v>
      </c>
      <c r="M38" s="32">
        <v>0.74</v>
      </c>
      <c r="N38" s="32">
        <v>0.7</v>
      </c>
      <c r="O38" s="32">
        <v>0.82</v>
      </c>
      <c r="P38" s="32">
        <v>0.95</v>
      </c>
      <c r="Q38" s="32">
        <v>1.03</v>
      </c>
      <c r="R38" s="32">
        <v>1.12</v>
      </c>
      <c r="S38" s="32">
        <v>1.22</v>
      </c>
      <c r="T38" s="32">
        <v>1.07</v>
      </c>
      <c r="U38" s="32">
        <v>0.94</v>
      </c>
      <c r="V38" s="32">
        <v>0.85</v>
      </c>
      <c r="W38" s="32">
        <v>0.77</v>
      </c>
      <c r="X38" s="32">
        <v>0.76</v>
      </c>
      <c r="Y38" s="32">
        <v>1.03</v>
      </c>
      <c r="Z38" s="31"/>
      <c r="AA38" s="31"/>
      <c r="AB38" s="31"/>
      <c r="AC38" s="31"/>
      <c r="AD38" s="31"/>
    </row>
    <row r="39" ht="15.0" customHeight="1">
      <c r="A39" s="27" t="s">
        <v>457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 ht="15.0" customHeight="1">
      <c r="A40" s="29" t="s">
        <v>458</v>
      </c>
      <c r="B40" s="32">
        <v>1.03</v>
      </c>
      <c r="C40" s="32">
        <v>1.67</v>
      </c>
      <c r="D40" s="32">
        <v>1.32</v>
      </c>
      <c r="E40" s="32">
        <v>0.11</v>
      </c>
      <c r="F40" s="32">
        <v>0.15</v>
      </c>
      <c r="G40" s="31"/>
      <c r="H40" s="31"/>
      <c r="I40" s="32">
        <v>0.33</v>
      </c>
      <c r="J40" s="32">
        <v>0.26</v>
      </c>
      <c r="K40" s="32">
        <v>0.18</v>
      </c>
      <c r="L40" s="32">
        <v>0.51</v>
      </c>
      <c r="M40" s="32">
        <v>0.8</v>
      </c>
      <c r="N40" s="32">
        <v>0.72</v>
      </c>
      <c r="O40" s="32">
        <v>0.64</v>
      </c>
      <c r="P40" s="32">
        <v>0.82</v>
      </c>
      <c r="Q40" s="32">
        <v>0.75</v>
      </c>
      <c r="R40" s="32">
        <v>0.51</v>
      </c>
      <c r="S40" s="32">
        <v>1.35</v>
      </c>
      <c r="T40" s="32">
        <v>1.4</v>
      </c>
      <c r="U40" s="32">
        <v>1.26</v>
      </c>
      <c r="V40" s="32">
        <v>1.03</v>
      </c>
      <c r="W40" s="32">
        <v>0.8</v>
      </c>
      <c r="X40" s="32">
        <v>0.54</v>
      </c>
      <c r="Y40" s="32">
        <v>0.91</v>
      </c>
      <c r="Z40" s="32">
        <v>1.05</v>
      </c>
      <c r="AA40" s="32">
        <v>0.77</v>
      </c>
      <c r="AB40" s="32">
        <v>0.77</v>
      </c>
      <c r="AC40" s="32">
        <v>2.12</v>
      </c>
      <c r="AD40" s="31"/>
    </row>
    <row r="41" ht="15.0" customHeight="1">
      <c r="A41" s="29" t="s">
        <v>459</v>
      </c>
      <c r="B41" s="32">
        <v>0.61</v>
      </c>
      <c r="C41" s="31"/>
      <c r="D41" s="31"/>
      <c r="E41" s="32">
        <v>26.55</v>
      </c>
      <c r="F41" s="32">
        <v>0.46</v>
      </c>
      <c r="G41" s="32">
        <v>0.26</v>
      </c>
      <c r="H41" s="32">
        <v>0.37</v>
      </c>
      <c r="I41" s="32">
        <v>0.53</v>
      </c>
      <c r="J41" s="32">
        <v>0.59</v>
      </c>
      <c r="K41" s="32">
        <v>0.61</v>
      </c>
      <c r="L41" s="32">
        <v>0.7</v>
      </c>
      <c r="M41" s="32">
        <v>0.75</v>
      </c>
      <c r="N41" s="32">
        <v>0.7</v>
      </c>
      <c r="O41" s="32">
        <v>0.82</v>
      </c>
      <c r="P41" s="32">
        <v>0.95</v>
      </c>
      <c r="Q41" s="32">
        <v>1.03</v>
      </c>
      <c r="R41" s="32">
        <v>1.12</v>
      </c>
      <c r="S41" s="32">
        <v>1.22</v>
      </c>
      <c r="T41" s="32">
        <v>1.07</v>
      </c>
      <c r="U41" s="32">
        <v>0.94</v>
      </c>
      <c r="V41" s="32">
        <v>0.85</v>
      </c>
      <c r="W41" s="32">
        <v>0.78</v>
      </c>
      <c r="X41" s="32">
        <v>0.77</v>
      </c>
      <c r="Y41" s="32">
        <v>1.04</v>
      </c>
      <c r="Z41" s="31"/>
      <c r="AA41" s="31"/>
      <c r="AB41" s="31"/>
      <c r="AC41" s="31"/>
      <c r="AD41" s="31"/>
    </row>
    <row r="42" ht="15.0" customHeight="1">
      <c r="A42" s="27" t="s">
        <v>460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 ht="15.0" customHeight="1">
      <c r="A43" s="29" t="s">
        <v>461</v>
      </c>
      <c r="B43" s="32">
        <v>1.12</v>
      </c>
      <c r="C43" s="32">
        <v>0.43</v>
      </c>
      <c r="D43" s="32">
        <v>0.47</v>
      </c>
      <c r="E43" s="32">
        <v>0.06</v>
      </c>
      <c r="F43" s="32">
        <v>0.13</v>
      </c>
      <c r="G43" s="32">
        <v>0.05</v>
      </c>
      <c r="H43" s="32">
        <v>0.08</v>
      </c>
      <c r="I43" s="32">
        <v>0.4</v>
      </c>
      <c r="J43" s="32">
        <v>0.33</v>
      </c>
      <c r="K43" s="32">
        <v>0.17</v>
      </c>
      <c r="L43" s="32">
        <v>0.57</v>
      </c>
      <c r="M43" s="32">
        <v>1.06</v>
      </c>
      <c r="N43" s="32">
        <v>1.02</v>
      </c>
      <c r="O43" s="32">
        <v>0.88</v>
      </c>
      <c r="P43" s="32">
        <v>1.47</v>
      </c>
      <c r="Q43" s="32">
        <v>1.49</v>
      </c>
      <c r="R43" s="32">
        <v>0.69</v>
      </c>
      <c r="S43" s="32">
        <v>2.55</v>
      </c>
      <c r="T43" s="32">
        <v>2.54</v>
      </c>
      <c r="U43" s="32">
        <v>2.26</v>
      </c>
      <c r="V43" s="32">
        <v>2.93</v>
      </c>
      <c r="W43" s="32">
        <v>1.49</v>
      </c>
      <c r="X43" s="32">
        <v>1.05</v>
      </c>
      <c r="Y43" s="32">
        <v>1.4</v>
      </c>
      <c r="Z43" s="32">
        <v>1.81</v>
      </c>
      <c r="AA43" s="32">
        <v>1.43</v>
      </c>
      <c r="AB43" s="32">
        <v>0.93</v>
      </c>
      <c r="AC43" s="32">
        <v>2.02</v>
      </c>
      <c r="AD43" s="31"/>
    </row>
    <row r="44" ht="15.0" customHeight="1">
      <c r="A44" s="29" t="s">
        <v>462</v>
      </c>
      <c r="B44" s="32">
        <v>0.35</v>
      </c>
      <c r="C44" s="32">
        <v>0.07</v>
      </c>
      <c r="D44" s="32">
        <v>0.07</v>
      </c>
      <c r="E44" s="32">
        <v>0.16</v>
      </c>
      <c r="F44" s="32">
        <v>0.22</v>
      </c>
      <c r="G44" s="32">
        <v>0.19</v>
      </c>
      <c r="H44" s="32">
        <v>0.37</v>
      </c>
      <c r="I44" s="32">
        <v>0.61</v>
      </c>
      <c r="J44" s="32">
        <v>0.71</v>
      </c>
      <c r="K44" s="32">
        <v>0.77</v>
      </c>
      <c r="L44" s="32">
        <v>0.98</v>
      </c>
      <c r="M44" s="32">
        <v>1.15</v>
      </c>
      <c r="N44" s="32">
        <v>1.1</v>
      </c>
      <c r="O44" s="32">
        <v>1.37</v>
      </c>
      <c r="P44" s="32">
        <v>1.68</v>
      </c>
      <c r="Q44" s="32">
        <v>1.81</v>
      </c>
      <c r="R44" s="32">
        <v>2.0</v>
      </c>
      <c r="S44" s="32">
        <v>2.39</v>
      </c>
      <c r="T44" s="32">
        <v>2.13</v>
      </c>
      <c r="U44" s="32">
        <v>1.86</v>
      </c>
      <c r="V44" s="32">
        <v>1.72</v>
      </c>
      <c r="W44" s="32">
        <v>1.4</v>
      </c>
      <c r="X44" s="32">
        <v>1.28</v>
      </c>
      <c r="Y44" s="32">
        <v>1.5</v>
      </c>
      <c r="Z44" s="31"/>
      <c r="AA44" s="31"/>
      <c r="AB44" s="31"/>
      <c r="AC44" s="31"/>
      <c r="AD44" s="31"/>
    </row>
    <row r="45" ht="15.0" customHeight="1">
      <c r="A45" s="27" t="s">
        <v>463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ht="15.0" customHeight="1">
      <c r="A46" s="29" t="s">
        <v>464</v>
      </c>
      <c r="B46" s="32">
        <v>4.49</v>
      </c>
      <c r="C46" s="32">
        <v>4.51</v>
      </c>
      <c r="D46" s="32">
        <v>65.48</v>
      </c>
      <c r="E46" s="32">
        <v>0.95</v>
      </c>
      <c r="F46" s="32">
        <v>4.49</v>
      </c>
      <c r="G46" s="32">
        <v>0.64</v>
      </c>
      <c r="H46" s="31"/>
      <c r="I46" s="31"/>
      <c r="J46" s="31"/>
      <c r="K46" s="32">
        <v>1.31</v>
      </c>
      <c r="L46" s="31"/>
      <c r="M46" s="32">
        <v>9.21</v>
      </c>
      <c r="N46" s="32">
        <v>61.46</v>
      </c>
      <c r="O46" s="31"/>
      <c r="P46" s="31"/>
      <c r="Q46" s="32">
        <v>72.01</v>
      </c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2">
        <v>1.8</v>
      </c>
      <c r="AC46" s="31"/>
      <c r="AD46" s="31"/>
    </row>
    <row r="47" ht="15.0" customHeight="1">
      <c r="A47" s="29" t="s">
        <v>465</v>
      </c>
      <c r="B47" s="32">
        <v>6.6</v>
      </c>
      <c r="C47" s="31"/>
      <c r="D47" s="32">
        <v>13.13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ht="15.0" customHeight="1">
      <c r="A48" s="27" t="s">
        <v>466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</row>
    <row r="49" ht="15.0" customHeight="1">
      <c r="A49" s="29" t="s">
        <v>467</v>
      </c>
      <c r="B49" s="32">
        <v>1.44</v>
      </c>
      <c r="C49" s="32">
        <v>2.09</v>
      </c>
      <c r="D49" s="32">
        <v>2.55</v>
      </c>
      <c r="E49" s="32">
        <v>2.3</v>
      </c>
      <c r="F49" s="32">
        <v>0.08</v>
      </c>
      <c r="G49" s="31"/>
      <c r="H49" s="31"/>
      <c r="I49" s="32">
        <v>2.33</v>
      </c>
      <c r="J49" s="31"/>
      <c r="K49" s="31"/>
      <c r="L49" s="32">
        <v>3.8</v>
      </c>
      <c r="M49" s="32">
        <v>4.17</v>
      </c>
      <c r="N49" s="32">
        <v>3.5</v>
      </c>
      <c r="O49" s="32">
        <v>4.99</v>
      </c>
      <c r="P49" s="32">
        <v>5.86</v>
      </c>
      <c r="Q49" s="32">
        <v>2.59</v>
      </c>
      <c r="R49" s="32">
        <v>3.27</v>
      </c>
      <c r="S49" s="32">
        <v>3.52</v>
      </c>
      <c r="T49" s="32">
        <v>3.62</v>
      </c>
      <c r="U49" s="32">
        <v>4.79</v>
      </c>
      <c r="V49" s="32">
        <v>6.24</v>
      </c>
      <c r="W49" s="32">
        <v>3.49</v>
      </c>
      <c r="X49" s="32">
        <v>1.7</v>
      </c>
      <c r="Y49" s="32">
        <v>2.57</v>
      </c>
      <c r="Z49" s="32">
        <v>4.18</v>
      </c>
      <c r="AA49" s="32">
        <v>2.55</v>
      </c>
      <c r="AB49" s="32">
        <v>1.72</v>
      </c>
      <c r="AC49" s="32">
        <v>2.78</v>
      </c>
      <c r="AD49" s="31"/>
    </row>
    <row r="50" ht="15.0" customHeight="1">
      <c r="A50" s="29" t="s">
        <v>468</v>
      </c>
      <c r="B50" s="32">
        <v>0.67</v>
      </c>
      <c r="C50" s="31"/>
      <c r="D50" s="31"/>
      <c r="E50" s="31"/>
      <c r="F50" s="31"/>
      <c r="G50" s="31"/>
      <c r="H50" s="31"/>
      <c r="I50" s="32">
        <v>11.49</v>
      </c>
      <c r="J50" s="32">
        <v>6.63</v>
      </c>
      <c r="K50" s="32">
        <v>5.76</v>
      </c>
      <c r="L50" s="32">
        <v>4.36</v>
      </c>
      <c r="M50" s="32">
        <v>3.88</v>
      </c>
      <c r="N50" s="32">
        <v>3.74</v>
      </c>
      <c r="O50" s="32">
        <v>3.72</v>
      </c>
      <c r="P50" s="32">
        <v>3.56</v>
      </c>
      <c r="Q50" s="32">
        <v>3.41</v>
      </c>
      <c r="R50" s="32">
        <v>3.92</v>
      </c>
      <c r="S50" s="32">
        <v>3.96</v>
      </c>
      <c r="T50" s="32">
        <v>3.82</v>
      </c>
      <c r="U50" s="32">
        <v>3.73</v>
      </c>
      <c r="V50" s="32">
        <v>3.44</v>
      </c>
      <c r="W50" s="32">
        <v>2.72</v>
      </c>
      <c r="X50" s="32">
        <v>2.34</v>
      </c>
      <c r="Y50" s="32">
        <v>2.66</v>
      </c>
      <c r="Z50" s="31"/>
      <c r="AA50" s="31"/>
      <c r="AB50" s="31"/>
      <c r="AC50" s="31"/>
      <c r="AD50" s="31"/>
    </row>
    <row r="51" ht="15.0" customHeight="1">
      <c r="A51" s="27" t="s">
        <v>469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 ht="15.0" customHeight="1">
      <c r="A52" s="29" t="s">
        <v>470</v>
      </c>
      <c r="B52" s="31"/>
      <c r="C52" s="32">
        <v>10.81</v>
      </c>
      <c r="D52" s="31"/>
      <c r="E52" s="31"/>
      <c r="F52" s="32">
        <v>0.09</v>
      </c>
      <c r="G52" s="31"/>
      <c r="H52" s="31"/>
      <c r="I52" s="31"/>
      <c r="J52" s="31"/>
      <c r="K52" s="31"/>
      <c r="L52" s="32">
        <v>14.4</v>
      </c>
      <c r="M52" s="32">
        <v>7.79</v>
      </c>
      <c r="N52" s="32">
        <v>9.05</v>
      </c>
      <c r="O52" s="31"/>
      <c r="P52" s="32">
        <v>79.61</v>
      </c>
      <c r="Q52" s="32">
        <v>3.66</v>
      </c>
      <c r="R52" s="32">
        <v>33.52</v>
      </c>
      <c r="S52" s="32">
        <v>7.9</v>
      </c>
      <c r="T52" s="32">
        <v>5.24</v>
      </c>
      <c r="U52" s="32">
        <v>11.31</v>
      </c>
      <c r="V52" s="32">
        <v>37.92</v>
      </c>
      <c r="W52" s="32">
        <v>9.07</v>
      </c>
      <c r="X52" s="32">
        <v>3.65</v>
      </c>
      <c r="Y52" s="32">
        <v>3.92</v>
      </c>
      <c r="Z52" s="32">
        <v>7.57</v>
      </c>
      <c r="AA52" s="32">
        <v>3.5</v>
      </c>
      <c r="AB52" s="32">
        <v>2.11</v>
      </c>
      <c r="AC52" s="32">
        <v>4.95</v>
      </c>
      <c r="AD52" s="31"/>
    </row>
    <row r="53" ht="15.0" customHeight="1">
      <c r="A53" s="29" t="s">
        <v>471</v>
      </c>
      <c r="B53" s="32">
        <v>1.41</v>
      </c>
      <c r="C53" s="31"/>
      <c r="D53" s="31"/>
      <c r="E53" s="31"/>
      <c r="F53" s="31"/>
      <c r="G53" s="31"/>
      <c r="H53" s="31"/>
      <c r="I53" s="31"/>
      <c r="J53" s="31"/>
      <c r="K53" s="31"/>
      <c r="L53" s="32">
        <v>23.31</v>
      </c>
      <c r="M53" s="32">
        <v>11.48</v>
      </c>
      <c r="N53" s="32">
        <v>14.14</v>
      </c>
      <c r="O53" s="32">
        <v>12.42</v>
      </c>
      <c r="P53" s="32">
        <v>7.27</v>
      </c>
      <c r="Q53" s="32">
        <v>6.37</v>
      </c>
      <c r="R53" s="32">
        <v>8.78</v>
      </c>
      <c r="S53" s="32">
        <v>8.18</v>
      </c>
      <c r="T53" s="32">
        <v>7.62</v>
      </c>
      <c r="U53" s="32">
        <v>8.86</v>
      </c>
      <c r="V53" s="32">
        <v>7.9</v>
      </c>
      <c r="W53" s="32">
        <v>5.09</v>
      </c>
      <c r="X53" s="32">
        <v>3.73</v>
      </c>
      <c r="Y53" s="32">
        <v>4.02</v>
      </c>
      <c r="Z53" s="31"/>
      <c r="AA53" s="31"/>
      <c r="AB53" s="31"/>
      <c r="AC53" s="31"/>
      <c r="AD53" s="31"/>
    </row>
    <row r="54" ht="15.0" customHeight="1">
      <c r="A54" s="27" t="s">
        <v>472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 ht="15.0" customHeight="1">
      <c r="A55" s="29" t="s">
        <v>473</v>
      </c>
      <c r="B55" s="32">
        <v>3.82</v>
      </c>
      <c r="C55" s="32">
        <v>5.25</v>
      </c>
      <c r="D55" s="31"/>
      <c r="E55" s="31"/>
      <c r="F55" s="32">
        <v>0.07</v>
      </c>
      <c r="G55" s="31"/>
      <c r="H55" s="31"/>
      <c r="I55" s="32">
        <v>37.49</v>
      </c>
      <c r="J55" s="32">
        <v>2.69</v>
      </c>
      <c r="K55" s="31"/>
      <c r="L55" s="32">
        <v>10.0</v>
      </c>
      <c r="M55" s="32">
        <v>7.48</v>
      </c>
      <c r="N55" s="32">
        <v>11.98</v>
      </c>
      <c r="O55" s="31"/>
      <c r="P55" s="32">
        <v>79.61</v>
      </c>
      <c r="Q55" s="32">
        <v>8.47</v>
      </c>
      <c r="R55" s="32">
        <v>18.6</v>
      </c>
      <c r="S55" s="32">
        <v>5.68</v>
      </c>
      <c r="T55" s="32">
        <v>5.27</v>
      </c>
      <c r="U55" s="32">
        <v>11.31</v>
      </c>
      <c r="V55" s="32">
        <v>28.53</v>
      </c>
      <c r="W55" s="32">
        <v>9.07</v>
      </c>
      <c r="X55" s="32">
        <v>2.85</v>
      </c>
      <c r="Y55" s="32">
        <v>3.92</v>
      </c>
      <c r="Z55" s="32">
        <v>7.57</v>
      </c>
      <c r="AA55" s="32">
        <v>3.64</v>
      </c>
      <c r="AB55" s="32">
        <v>2.11</v>
      </c>
      <c r="AC55" s="32">
        <v>3.47</v>
      </c>
      <c r="AD55" s="31"/>
    </row>
    <row r="56" ht="15.0" customHeight="1">
      <c r="A56" s="29" t="s">
        <v>474</v>
      </c>
      <c r="B56" s="32">
        <v>0.61</v>
      </c>
      <c r="C56" s="31"/>
      <c r="D56" s="31"/>
      <c r="E56" s="32">
        <v>2.85</v>
      </c>
      <c r="F56" s="32">
        <v>0.43</v>
      </c>
      <c r="G56" s="32">
        <v>0.25</v>
      </c>
      <c r="H56" s="32">
        <v>0.37</v>
      </c>
      <c r="I56" s="32">
        <v>0.52</v>
      </c>
      <c r="J56" s="32">
        <v>0.58</v>
      </c>
      <c r="K56" s="32">
        <v>0.6</v>
      </c>
      <c r="L56" s="32">
        <v>0.69</v>
      </c>
      <c r="M56" s="32">
        <v>0.74</v>
      </c>
      <c r="N56" s="32">
        <v>0.7</v>
      </c>
      <c r="O56" s="32">
        <v>0.82</v>
      </c>
      <c r="P56" s="32">
        <v>0.95</v>
      </c>
      <c r="Q56" s="32">
        <v>1.03</v>
      </c>
      <c r="R56" s="32">
        <v>1.12</v>
      </c>
      <c r="S56" s="32">
        <v>1.22</v>
      </c>
      <c r="T56" s="32">
        <v>1.07</v>
      </c>
      <c r="U56" s="32">
        <v>0.94</v>
      </c>
      <c r="V56" s="32">
        <v>0.85</v>
      </c>
      <c r="W56" s="32">
        <v>0.77</v>
      </c>
      <c r="X56" s="32">
        <v>0.76</v>
      </c>
      <c r="Y56" s="32">
        <v>1.03</v>
      </c>
      <c r="Z56" s="31"/>
      <c r="AA56" s="31"/>
      <c r="AB56" s="31"/>
      <c r="AC56" s="31"/>
      <c r="AD56" s="31"/>
    </row>
    <row r="57" ht="15.0" customHeight="1">
      <c r="A57" s="27" t="s">
        <v>475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 ht="15.0" customHeight="1">
      <c r="A58" s="29" t="s">
        <v>476</v>
      </c>
      <c r="B58" s="31"/>
      <c r="C58" s="32">
        <v>0.07</v>
      </c>
      <c r="D58" s="31"/>
      <c r="E58" s="31"/>
      <c r="F58" s="31">
        <v>0.0</v>
      </c>
      <c r="G58" s="31"/>
      <c r="H58" s="31"/>
      <c r="I58" s="31"/>
      <c r="J58" s="31"/>
      <c r="K58" s="31"/>
      <c r="L58" s="35">
        <v>-0.2</v>
      </c>
      <c r="M58" s="32">
        <v>0.27</v>
      </c>
      <c r="N58" s="32">
        <v>0.05</v>
      </c>
      <c r="O58" s="31"/>
      <c r="P58" s="35">
        <v>-0.84</v>
      </c>
      <c r="Q58" s="31">
        <v>0.0</v>
      </c>
      <c r="R58" s="35">
        <v>-0.36</v>
      </c>
      <c r="S58" s="35">
        <v>-0.57</v>
      </c>
      <c r="T58" s="32">
        <v>0.02</v>
      </c>
      <c r="U58" s="32">
        <v>0.03</v>
      </c>
      <c r="V58" s="35">
        <v>-0.62</v>
      </c>
      <c r="W58" s="35">
        <v>-0.26</v>
      </c>
      <c r="X58" s="32">
        <v>0.92</v>
      </c>
      <c r="Y58" s="32">
        <v>0.04</v>
      </c>
      <c r="Z58" s="35">
        <v>-0.2</v>
      </c>
      <c r="AA58" s="35">
        <v>-0.12</v>
      </c>
      <c r="AB58" s="32">
        <v>0.12</v>
      </c>
      <c r="AC58" s="32">
        <v>0.03</v>
      </c>
      <c r="AD58" s="31"/>
    </row>
    <row r="59" ht="15.0" customHeight="1">
      <c r="A59" s="29" t="s">
        <v>477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5">
        <v>-0.73</v>
      </c>
      <c r="M59" s="32">
        <v>0.19</v>
      </c>
      <c r="N59" s="35">
        <v>-1.26</v>
      </c>
      <c r="O59" s="31"/>
      <c r="P59" s="35">
        <v>-0.26</v>
      </c>
      <c r="Q59" s="32">
        <v>0.08</v>
      </c>
      <c r="R59" s="35">
        <v>-0.44</v>
      </c>
      <c r="S59" s="32">
        <v>0.33</v>
      </c>
      <c r="T59" s="32">
        <v>0.26</v>
      </c>
      <c r="U59" s="32">
        <v>0.52</v>
      </c>
      <c r="V59" s="35">
        <v>-0.39</v>
      </c>
      <c r="W59" s="35">
        <v>-0.51</v>
      </c>
      <c r="X59" s="32">
        <v>2.35</v>
      </c>
      <c r="Y59" s="32">
        <v>0.16</v>
      </c>
      <c r="Z59" s="31"/>
      <c r="AA59" s="31"/>
      <c r="AB59" s="31"/>
      <c r="AC59" s="31"/>
      <c r="AD59" s="31"/>
    </row>
    <row r="60" ht="15.0" customHeight="1">
      <c r="A60" s="27" t="s">
        <v>478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</row>
    <row r="61" ht="15.0" customHeight="1">
      <c r="A61" s="29" t="s">
        <v>479</v>
      </c>
      <c r="B61" s="32">
        <v>2.7</v>
      </c>
      <c r="C61" s="32">
        <v>2.73</v>
      </c>
      <c r="D61" s="32">
        <v>4.71</v>
      </c>
      <c r="E61" s="32">
        <v>3.35</v>
      </c>
      <c r="F61" s="32">
        <v>4.11</v>
      </c>
      <c r="G61" s="32">
        <v>5.97</v>
      </c>
      <c r="H61" s="32">
        <v>5.57</v>
      </c>
      <c r="I61" s="32">
        <v>7.6</v>
      </c>
      <c r="J61" s="32">
        <v>6.25</v>
      </c>
      <c r="K61" s="32">
        <v>2.75</v>
      </c>
      <c r="L61" s="32">
        <v>2.76</v>
      </c>
      <c r="M61" s="32">
        <v>3.21</v>
      </c>
      <c r="N61" s="32">
        <v>3.63</v>
      </c>
      <c r="O61" s="32">
        <v>3.95</v>
      </c>
      <c r="P61" s="32">
        <v>5.14</v>
      </c>
      <c r="Q61" s="32">
        <v>3.9</v>
      </c>
      <c r="R61" s="32">
        <v>2.49</v>
      </c>
      <c r="S61" s="32">
        <v>4.94</v>
      </c>
      <c r="T61" s="32">
        <v>4.31</v>
      </c>
      <c r="U61" s="32">
        <v>5.24</v>
      </c>
      <c r="V61" s="32">
        <v>6.42</v>
      </c>
      <c r="W61" s="32">
        <v>4.09</v>
      </c>
      <c r="X61" s="32">
        <v>3.42</v>
      </c>
      <c r="Y61" s="32">
        <v>2.97</v>
      </c>
      <c r="Z61" s="32">
        <v>3.17</v>
      </c>
      <c r="AA61" s="32">
        <v>2.81</v>
      </c>
      <c r="AB61" s="32">
        <v>0.59</v>
      </c>
      <c r="AC61" s="32">
        <v>2.37</v>
      </c>
      <c r="AD61" s="31"/>
    </row>
    <row r="62" ht="15.0" customHeight="1">
      <c r="A62" s="29" t="s">
        <v>480</v>
      </c>
      <c r="B62" s="32">
        <v>3.54</v>
      </c>
      <c r="C62" s="32">
        <v>4.11</v>
      </c>
      <c r="D62" s="32">
        <v>4.74</v>
      </c>
      <c r="E62" s="32">
        <v>5.21</v>
      </c>
      <c r="F62" s="32">
        <v>5.81</v>
      </c>
      <c r="G62" s="32">
        <v>5.61</v>
      </c>
      <c r="H62" s="32">
        <v>4.81</v>
      </c>
      <c r="I62" s="32">
        <v>4.22</v>
      </c>
      <c r="J62" s="32">
        <v>3.48</v>
      </c>
      <c r="K62" s="32">
        <v>3.27</v>
      </c>
      <c r="L62" s="32">
        <v>3.65</v>
      </c>
      <c r="M62" s="32">
        <v>3.9</v>
      </c>
      <c r="N62" s="32">
        <v>3.84</v>
      </c>
      <c r="O62" s="32">
        <v>4.08</v>
      </c>
      <c r="P62" s="32">
        <v>4.15</v>
      </c>
      <c r="Q62" s="32">
        <v>4.03</v>
      </c>
      <c r="R62" s="32">
        <v>4.28</v>
      </c>
      <c r="S62" s="32">
        <v>4.89</v>
      </c>
      <c r="T62" s="32">
        <v>4.66</v>
      </c>
      <c r="U62" s="32">
        <v>4.56</v>
      </c>
      <c r="V62" s="32">
        <v>4.14</v>
      </c>
      <c r="W62" s="32">
        <v>3.4</v>
      </c>
      <c r="X62" s="32">
        <v>2.63</v>
      </c>
      <c r="Y62" s="32">
        <v>2.34</v>
      </c>
      <c r="Z62" s="31"/>
      <c r="AA62" s="31"/>
      <c r="AB62" s="31"/>
      <c r="AC62" s="31"/>
      <c r="AD62" s="31"/>
    </row>
    <row r="63" ht="15.0" customHeight="1">
      <c r="A63" s="27" t="s">
        <v>481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</row>
    <row r="64" ht="15.0" customHeight="1">
      <c r="A64" s="29" t="s">
        <v>482</v>
      </c>
      <c r="B64" s="32">
        <v>5.31</v>
      </c>
      <c r="C64" s="32">
        <v>6.67</v>
      </c>
      <c r="D64" s="32">
        <v>8.74</v>
      </c>
      <c r="E64" s="32">
        <v>16.34</v>
      </c>
      <c r="F64" s="32">
        <v>11.93</v>
      </c>
      <c r="G64" s="32">
        <v>24.56</v>
      </c>
      <c r="H64" s="32">
        <v>64.83</v>
      </c>
      <c r="I64" s="32">
        <v>13.08</v>
      </c>
      <c r="J64" s="32">
        <v>18.44</v>
      </c>
      <c r="K64" s="32">
        <v>7.05</v>
      </c>
      <c r="L64" s="32">
        <v>6.6</v>
      </c>
      <c r="M64" s="32">
        <v>7.87</v>
      </c>
      <c r="N64" s="32">
        <v>8.64</v>
      </c>
      <c r="O64" s="32">
        <v>10.87</v>
      </c>
      <c r="P64" s="32">
        <v>13.75</v>
      </c>
      <c r="Q64" s="32">
        <v>8.28</v>
      </c>
      <c r="R64" s="32">
        <v>4.3</v>
      </c>
      <c r="S64" s="32">
        <v>8.16</v>
      </c>
      <c r="T64" s="32">
        <v>8.3</v>
      </c>
      <c r="U64" s="32">
        <v>9.64</v>
      </c>
      <c r="V64" s="32">
        <v>14.56</v>
      </c>
      <c r="W64" s="32">
        <v>7.83</v>
      </c>
      <c r="X64" s="32">
        <v>5.35</v>
      </c>
      <c r="Y64" s="32">
        <v>5.23</v>
      </c>
      <c r="Z64" s="32">
        <v>5.79</v>
      </c>
      <c r="AA64" s="32">
        <v>5.71</v>
      </c>
      <c r="AB64" s="32">
        <v>0.95</v>
      </c>
      <c r="AC64" s="32">
        <v>4.1</v>
      </c>
      <c r="AD64" s="31"/>
    </row>
    <row r="65" ht="15.0" customHeight="1">
      <c r="A65" s="29" t="s">
        <v>483</v>
      </c>
      <c r="B65" s="32">
        <v>9.3</v>
      </c>
      <c r="C65" s="32">
        <v>12.05</v>
      </c>
      <c r="D65" s="32">
        <v>17.44</v>
      </c>
      <c r="E65" s="32">
        <v>18.96</v>
      </c>
      <c r="F65" s="32">
        <v>19.34</v>
      </c>
      <c r="G65" s="32">
        <v>18.24</v>
      </c>
      <c r="H65" s="32">
        <v>13.7</v>
      </c>
      <c r="I65" s="32">
        <v>9.79</v>
      </c>
      <c r="J65" s="32">
        <v>8.67</v>
      </c>
      <c r="K65" s="32">
        <v>8.14</v>
      </c>
      <c r="L65" s="32">
        <v>9.13</v>
      </c>
      <c r="M65" s="32">
        <v>9.6</v>
      </c>
      <c r="N65" s="32">
        <v>8.85</v>
      </c>
      <c r="O65" s="32">
        <v>8.74</v>
      </c>
      <c r="P65" s="32">
        <v>8.24</v>
      </c>
      <c r="Q65" s="32">
        <v>7.41</v>
      </c>
      <c r="R65" s="32">
        <v>7.7</v>
      </c>
      <c r="S65" s="32">
        <v>9.0</v>
      </c>
      <c r="T65" s="32">
        <v>8.77</v>
      </c>
      <c r="U65" s="32">
        <v>8.43</v>
      </c>
      <c r="V65" s="32">
        <v>7.63</v>
      </c>
      <c r="W65" s="32">
        <v>6.08</v>
      </c>
      <c r="X65" s="32">
        <v>4.51</v>
      </c>
      <c r="Y65" s="32">
        <v>4.14</v>
      </c>
      <c r="Z65" s="31"/>
      <c r="AA65" s="31"/>
      <c r="AB65" s="31"/>
      <c r="AC65" s="31"/>
      <c r="AD65" s="31"/>
    </row>
    <row r="66" ht="15.0" customHeight="1">
      <c r="A66" s="27" t="s">
        <v>484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 ht="15.0" customHeight="1">
      <c r="A67" s="29" t="s">
        <v>485</v>
      </c>
      <c r="B67" s="32">
        <v>9.73</v>
      </c>
      <c r="C67" s="32">
        <v>14.67</v>
      </c>
      <c r="D67" s="32">
        <v>53.51</v>
      </c>
      <c r="E67" s="32">
        <v>26.46</v>
      </c>
      <c r="F67" s="32">
        <v>53.98</v>
      </c>
      <c r="G67" s="32">
        <v>86.41</v>
      </c>
      <c r="H67" s="31"/>
      <c r="I67" s="31"/>
      <c r="J67" s="32">
        <v>24.92</v>
      </c>
      <c r="K67" s="32">
        <v>13.17</v>
      </c>
      <c r="L67" s="32">
        <v>6.98</v>
      </c>
      <c r="M67" s="32">
        <v>16.28</v>
      </c>
      <c r="N67" s="32">
        <v>14.39</v>
      </c>
      <c r="O67" s="32">
        <v>30.02</v>
      </c>
      <c r="P67" s="32">
        <v>16.13</v>
      </c>
      <c r="Q67" s="32">
        <v>9.32</v>
      </c>
      <c r="R67" s="32">
        <v>6.81</v>
      </c>
      <c r="S67" s="32">
        <v>12.3</v>
      </c>
      <c r="T67" s="32">
        <v>10.51</v>
      </c>
      <c r="U67" s="32">
        <v>18.99</v>
      </c>
      <c r="V67" s="32">
        <v>29.07</v>
      </c>
      <c r="W67" s="32">
        <v>14.05</v>
      </c>
      <c r="X67" s="32">
        <v>5.84</v>
      </c>
      <c r="Y67" s="32">
        <v>4.57</v>
      </c>
      <c r="Z67" s="32">
        <v>7.92</v>
      </c>
      <c r="AA67" s="32">
        <v>6.21</v>
      </c>
      <c r="AB67" s="32">
        <v>1.08</v>
      </c>
      <c r="AC67" s="32">
        <v>4.61</v>
      </c>
      <c r="AD67" s="31"/>
    </row>
    <row r="68" ht="15.0" customHeight="1">
      <c r="A68" s="29" t="s">
        <v>486</v>
      </c>
      <c r="B68" s="32">
        <v>25.47</v>
      </c>
      <c r="C68" s="32">
        <v>36.56</v>
      </c>
      <c r="D68" s="32">
        <v>67.18</v>
      </c>
      <c r="E68" s="30">
        <v>127.5</v>
      </c>
      <c r="F68" s="30">
        <v>128.9</v>
      </c>
      <c r="G68" s="32">
        <v>81.35</v>
      </c>
      <c r="H68" s="32">
        <v>31.94</v>
      </c>
      <c r="I68" s="32">
        <v>20.99</v>
      </c>
      <c r="J68" s="32">
        <v>13.13</v>
      </c>
      <c r="K68" s="32">
        <v>13.54</v>
      </c>
      <c r="L68" s="32">
        <v>14.09</v>
      </c>
      <c r="M68" s="32">
        <v>15.49</v>
      </c>
      <c r="N68" s="32">
        <v>13.48</v>
      </c>
      <c r="O68" s="32">
        <v>13.03</v>
      </c>
      <c r="P68" s="32">
        <v>10.94</v>
      </c>
      <c r="Q68" s="32">
        <v>10.51</v>
      </c>
      <c r="R68" s="32">
        <v>11.96</v>
      </c>
      <c r="S68" s="32">
        <v>14.11</v>
      </c>
      <c r="T68" s="32">
        <v>13.02</v>
      </c>
      <c r="U68" s="32">
        <v>12.08</v>
      </c>
      <c r="V68" s="32">
        <v>9.89</v>
      </c>
      <c r="W68" s="32">
        <v>7.22</v>
      </c>
      <c r="X68" s="32">
        <v>4.86</v>
      </c>
      <c r="Y68" s="32">
        <v>4.47</v>
      </c>
      <c r="Z68" s="31"/>
      <c r="AA68" s="31"/>
      <c r="AB68" s="31"/>
      <c r="AC68" s="31"/>
      <c r="AD68" s="31"/>
    </row>
    <row r="69" ht="15.0" customHeight="1">
      <c r="A69" s="27" t="s">
        <v>487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</row>
    <row r="70" ht="15.0" customHeight="1">
      <c r="A70" s="29" t="s">
        <v>488</v>
      </c>
      <c r="B70" s="32">
        <v>10.87</v>
      </c>
      <c r="C70" s="32">
        <v>28.49</v>
      </c>
      <c r="D70" s="30">
        <v>572.1</v>
      </c>
      <c r="E70" s="32">
        <v>50.27</v>
      </c>
      <c r="F70" s="30">
        <v>118.43</v>
      </c>
      <c r="G70" s="32">
        <v>70.97</v>
      </c>
      <c r="H70" s="31"/>
      <c r="I70" s="31"/>
      <c r="J70" s="31"/>
      <c r="K70" s="32">
        <v>21.63</v>
      </c>
      <c r="L70" s="31"/>
      <c r="M70" s="32">
        <v>27.85</v>
      </c>
      <c r="N70" s="30">
        <v>217.93</v>
      </c>
      <c r="O70" s="31"/>
      <c r="P70" s="31"/>
      <c r="Q70" s="30">
        <v>189.01</v>
      </c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2">
        <v>1.15</v>
      </c>
      <c r="AC70" s="31"/>
      <c r="AD70" s="31"/>
    </row>
    <row r="71" ht="15.0" customHeight="1">
      <c r="A71" s="29" t="s">
        <v>489</v>
      </c>
      <c r="B71" s="32">
        <v>64.81</v>
      </c>
      <c r="C71" s="30">
        <v>169.17</v>
      </c>
      <c r="D71" s="30">
        <v>162.06</v>
      </c>
      <c r="E71" s="30">
        <v>748.69</v>
      </c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