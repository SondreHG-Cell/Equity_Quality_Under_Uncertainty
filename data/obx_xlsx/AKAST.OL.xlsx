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897g79Mq40nas61cxYgLeKV0YG5Y32THE4rk06HWamc="/>
    </ext>
  </extLst>
</workbook>
</file>

<file path=xl/sharedStrings.xml><?xml version="1.0" encoding="utf-8"?>
<sst xmlns="http://schemas.openxmlformats.org/spreadsheetml/2006/main" count="926" uniqueCount="533">
  <si>
    <t>Company Fundamentals - Income Statement</t>
  </si>
  <si>
    <t>Company Name</t>
  </si>
  <si>
    <t>Akastor ASA (AKAST.OL)</t>
  </si>
  <si>
    <t>Country of Exchange</t>
  </si>
  <si>
    <t>Norway</t>
  </si>
  <si>
    <t>Country of Headquarters</t>
  </si>
  <si>
    <t>TRBC Industry Group</t>
  </si>
  <si>
    <t>Oil &amp; Gas Related Equipment and Services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</si>
  <si>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</si>
  <si>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</si>
  <si>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</si>
  <si>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</si>
  <si>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</si>
  <si>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</si>
  <si>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</si>
  <si>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</si>
  <si>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</si>
  <si>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</si>
  <si>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</si>
  <si>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</si>
  <si>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</si>
  <si>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</si>
  <si>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</si>
  <si>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</si>
  <si>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</si>
  <si>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</si>
  <si>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</si>
  <si>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</si>
  <si>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</si>
  <si>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</si>
  <si>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</si>
  <si>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</si>
  <si>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</si>
  <si>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</si>
  <si>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</si>
  <si>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</si>
  <si>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</si>
  <si>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2006</t>
  </si>
  <si>
    <t>2005</t>
  </si>
  <si>
    <t>Period End Date</t>
  </si>
  <si>
    <t>Statement Date</t>
  </si>
  <si>
    <t>Standardized Currency</t>
  </si>
  <si>
    <t>NOK</t>
  </si>
  <si>
    <t>Template Type</t>
  </si>
  <si>
    <t>Industrial - Operating</t>
  </si>
  <si>
    <t>Income Statement - Company Specific (Currency: Norwegian Krone)</t>
  </si>
  <si>
    <t>Field Name</t>
  </si>
  <si>
    <t>31-12-2025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</si>
  <si>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</si>
  <si>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</si>
  <si>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</si>
  <si>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</si>
  <si>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</si>
  <si>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</si>
  <si>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</si>
  <si>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31-12-2017</t>
  </si>
  <si>
    <t>31-12-2016</t>
  </si>
  <si>
    <t>31-12-2015</t>
  </si>
  <si>
    <t>31-12-2014</t>
  </si>
  <si>
    <t>31-12-2013</t>
  </si>
  <si>
    <t>31-12-2012</t>
  </si>
  <si>
    <t>31-12-2011</t>
  </si>
  <si>
    <t>31-12-2010</t>
  </si>
  <si>
    <t>31-12-2009</t>
  </si>
  <si>
    <t>31-12-2008</t>
  </si>
  <si>
    <t>31-12-2007</t>
  </si>
  <si>
    <t>31-12-2006</t>
  </si>
  <si>
    <t>31-12-2005</t>
  </si>
  <si>
    <t>Revenues and other income</t>
  </si>
  <si>
    <t>Revenue from Goods &amp; Services - Remaining</t>
  </si>
  <si>
    <t>Lease Revenue</t>
  </si>
  <si>
    <t>Non-Recurring Income related to DRU contracts</t>
  </si>
  <si>
    <t>Profit (los) from equity-accounted investees</t>
  </si>
  <si>
    <t>Gross Rental Income</t>
  </si>
  <si>
    <t>Other Income - Balancing value</t>
  </si>
  <si>
    <t>Unwind of discounting effect</t>
  </si>
  <si>
    <t>Equity Earnings - before Tax</t>
  </si>
  <si>
    <t>Accounting gain on disposals of assets</t>
  </si>
  <si>
    <t>Revenue</t>
  </si>
  <si>
    <t>Gain on disposal</t>
  </si>
  <si>
    <t>Total Revenue</t>
  </si>
  <si>
    <t>Operating expenses</t>
  </si>
  <si>
    <t>Cost of goods and services</t>
  </si>
  <si>
    <t>Other operating expenses</t>
  </si>
  <si>
    <t>Salaries and Wages</t>
  </si>
  <si>
    <t>Operating expenses - other - rest</t>
  </si>
  <si>
    <t>Rental Expense</t>
  </si>
  <si>
    <t>Selling, General &amp; Administrative Expenses</t>
  </si>
  <si>
    <t>Other operating expenses - Remaining</t>
  </si>
  <si>
    <t>Impairment loss on receivables</t>
  </si>
  <si>
    <t>Other Operating Expenses</t>
  </si>
  <si>
    <t>Materials, Goods and Services</t>
  </si>
  <si>
    <t>Social Security Tax</t>
  </si>
  <si>
    <t>Pension Costs</t>
  </si>
  <si>
    <t>Other Employee Cost</t>
  </si>
  <si>
    <t>Depreciation and amortization -positive</t>
  </si>
  <si>
    <t>Depreciation and impairment loss</t>
  </si>
  <si>
    <t>Depreciation of Investment Property</t>
  </si>
  <si>
    <t>Depreciation</t>
  </si>
  <si>
    <t>Amortisation of Intangibles</t>
  </si>
  <si>
    <t>Depreciation and amortization - Balancing value</t>
  </si>
  <si>
    <t>Impairment - Fixed Assets</t>
  </si>
  <si>
    <t>Depreciation and amortization - Discontinued Operations</t>
  </si>
  <si>
    <t>Impairment / reversal</t>
  </si>
  <si>
    <t>Amortization of Intangibles</t>
  </si>
  <si>
    <t>Other Depreciation / Amortization / Impairment</t>
  </si>
  <si>
    <t>Amortisation</t>
  </si>
  <si>
    <t>Total Operating Expense</t>
  </si>
  <si>
    <t>Balancing Item - Income from Operations, net</t>
  </si>
  <si>
    <t>Operating profit (loss)</t>
  </si>
  <si>
    <t>Total Financial Expense</t>
  </si>
  <si>
    <t>Other Financial Expense</t>
  </si>
  <si>
    <t>Write-off of Stocks</t>
  </si>
  <si>
    <t>Total Financial Expense - Balancing value</t>
  </si>
  <si>
    <t>Total Financial Income</t>
  </si>
  <si>
    <t>Other Financial Income</t>
  </si>
  <si>
    <t>Total Financial Income - Balancing value</t>
  </si>
  <si>
    <t>Net financial items</t>
  </si>
  <si>
    <t>Finance income</t>
  </si>
  <si>
    <t>Dividend &amp; Investment Income</t>
  </si>
  <si>
    <t>Interest Income</t>
  </si>
  <si>
    <t>Interest Income related to DRU contracts</t>
  </si>
  <si>
    <t>Foreign Exchange Gain</t>
  </si>
  <si>
    <t>Fair Value Adjustments - Financial Investments</t>
  </si>
  <si>
    <t>Disposal of external investments</t>
  </si>
  <si>
    <t>Operating revenue</t>
  </si>
  <si>
    <t>Finance income - Balancing value</t>
  </si>
  <si>
    <t>Other Net Financial Income</t>
  </si>
  <si>
    <t>Finance expenses</t>
  </si>
  <si>
    <t>Interest Expenses at fair value</t>
  </si>
  <si>
    <t>Net interest expenses on borrowings</t>
  </si>
  <si>
    <t>Net foreign exchange gain/loss</t>
  </si>
  <si>
    <t>Other financial income/expenses</t>
  </si>
  <si>
    <t>Derivatives - Hedging - Gain/Loss</t>
  </si>
  <si>
    <t>Impairment loss on external receivables</t>
  </si>
  <si>
    <t>Interest expense on lease</t>
  </si>
  <si>
    <t>Finance expenses - Balancing value</t>
  </si>
  <si>
    <t>Net Financing Income/Expense - Balancing value</t>
  </si>
  <si>
    <t>Financial charges under finance leases</t>
  </si>
  <si>
    <t>Impairment of Fixed Assets</t>
  </si>
  <si>
    <t>Impairment loss on debt instruments</t>
  </si>
  <si>
    <t>Profit (loss) on foreign currency forward contracts</t>
  </si>
  <si>
    <t>Profit (loss) from equity-accounted investments</t>
  </si>
  <si>
    <t>Impairment - Financial Investments</t>
  </si>
  <si>
    <t>Hedges</t>
  </si>
  <si>
    <t>Capitalized Interest</t>
  </si>
  <si>
    <t>Refinancing Cost</t>
  </si>
  <si>
    <t>Balancing Item - Non Operating Income/(Expense), net</t>
  </si>
  <si>
    <t>Balancing Item - Pretax Income</t>
  </si>
  <si>
    <t>Profit (loss) before tax</t>
  </si>
  <si>
    <t>Tax income (expense)</t>
  </si>
  <si>
    <t>Current Tax</t>
  </si>
  <si>
    <t>Other Countries</t>
  </si>
  <si>
    <t>Asia</t>
  </si>
  <si>
    <t>South America</t>
  </si>
  <si>
    <t>North America</t>
  </si>
  <si>
    <t>Europe</t>
  </si>
  <si>
    <t>Current Tax - Balancing value</t>
  </si>
  <si>
    <t>Deferred Tax</t>
  </si>
  <si>
    <t>Deferred Tax - Balancing value</t>
  </si>
  <si>
    <t>Adjustment for Prior Years</t>
  </si>
  <si>
    <t>Tax Discontinued Operations</t>
  </si>
  <si>
    <t>Other Provision for Income Taxes</t>
  </si>
  <si>
    <t>Income Taxes - Total</t>
  </si>
  <si>
    <t>PProfit (loss) from continuing operations</t>
  </si>
  <si>
    <t>Balancing Item - Net Income Including After Tax Adjustment</t>
  </si>
  <si>
    <t>Profit (loss) from continuing operations</t>
  </si>
  <si>
    <t>Net profit (loss) from discontinued operations</t>
  </si>
  <si>
    <t>Extraordinary Items (After Tax)</t>
  </si>
  <si>
    <t>Balancing Item - Net Income After Extraordinary Items</t>
  </si>
  <si>
    <t>Profit (loss) for the period</t>
  </si>
  <si>
    <t>Non-controlling interests</t>
  </si>
  <si>
    <t>Minority interests</t>
  </si>
  <si>
    <t>Income Available to Com Excl ExtraOrd</t>
  </si>
  <si>
    <t>Balancing Item - Net Income After Extraordinary Items applicable to Common</t>
  </si>
  <si>
    <t>Equity holders of Akastor ASA</t>
  </si>
  <si>
    <t>Cash flow hedges, effective portion of changes in fair value</t>
  </si>
  <si>
    <t>Deferred tax of cash flw hedges, efective portion of changes in fair value</t>
  </si>
  <si>
    <t>Cash flow hedges, reclassification to income statement</t>
  </si>
  <si>
    <t>Deferred tax of cash flw hedges, reclassifiation to income statement</t>
  </si>
  <si>
    <t>Change in fair value reserve</t>
  </si>
  <si>
    <t>Currency translation differences - foreign operations</t>
  </si>
  <si>
    <t>Impairment (EBITDA)</t>
  </si>
  <si>
    <t>Other Comprehensive Income - Deferred Tax</t>
  </si>
  <si>
    <t>Share of OCI from equity-accounted investees</t>
  </si>
  <si>
    <t>Deferred tax effect</t>
  </si>
  <si>
    <t>Other Comprehensive Income - Associated Companies - Net of Tax</t>
  </si>
  <si>
    <t>Remeasurement gain (loss) net defined benefit liability</t>
  </si>
  <si>
    <t>Balancing Item - Other Comprehensive Income</t>
  </si>
  <si>
    <t>N et items that be reclassified to profit or loss</t>
  </si>
  <si>
    <t>Equity holders of the parent company</t>
  </si>
  <si>
    <t>Total Comprehensive Income attributable to Minority Interest</t>
  </si>
  <si>
    <t>Balancing Item - Total Comprehensive Income</t>
  </si>
  <si>
    <t>Total Comprehensive Income before Minority Interest</t>
  </si>
  <si>
    <t>As Reported Basic Weighted Avg. Shares</t>
  </si>
  <si>
    <t>Weighted average number of issued ordinary shares for the year adjusted for treasury shares</t>
  </si>
  <si>
    <t>Basic EPS Excluding ExtraOrdinary Items</t>
  </si>
  <si>
    <t>Basic / diluted earnings (loss) per share (NOK)</t>
  </si>
  <si>
    <t>Diluted EPS Excluding ExtraOrd Items</t>
  </si>
  <si>
    <t>BBasic/diluted earnings (loss) per share discontinued operations (NOK)</t>
  </si>
  <si>
    <t>Diluted Net Income</t>
  </si>
  <si>
    <t>Xord discont bus cost</t>
  </si>
  <si>
    <t>Interest Expense</t>
  </si>
  <si>
    <t>Research and Development Costs</t>
  </si>
  <si>
    <t>Other operating income/expenses</t>
  </si>
  <si>
    <t>Share-Based Compensation</t>
  </si>
  <si>
    <t>Auditor Fees - Total</t>
  </si>
  <si>
    <t>Audit Fees</t>
  </si>
  <si>
    <t>Audit-Related Fees</t>
  </si>
  <si>
    <t>Tax Fees</t>
  </si>
  <si>
    <t>Other Fees</t>
  </si>
  <si>
    <t>Variable Financial Lease Expenses</t>
  </si>
  <si>
    <t>Total Depreciation &amp; Amortization (Combined)</t>
  </si>
  <si>
    <t>Total Depreciation of Fixed Assets</t>
  </si>
  <si>
    <t>Total Amortization of Intangible Assets (excl Goodwill)</t>
  </si>
  <si>
    <t>Total Amortization of Intangible Assets (incl Goodwill)</t>
  </si>
  <si>
    <t>Interest Expense on Financial Lease Liabilities - Supplemental</t>
  </si>
  <si>
    <t>Impairment Tangibles</t>
  </si>
  <si>
    <t>Allocated Net Income incl Extra Items applicable to Common - (Instrument Level)</t>
  </si>
  <si>
    <t>Allocated Diluted Net Income incl Extra Items applicable to Common - (Instrument Level)</t>
  </si>
  <si>
    <t>Basic Weighted Average Shares used to Calculate EPS - (Instrument Level)</t>
  </si>
  <si>
    <t>Diluted Weighted Average Shares used to Calculate EPS - (Instrument Level)</t>
  </si>
  <si>
    <t>Basic EPS - Net Inc incl Extra Items appl to Common - (Instrument Level)</t>
  </si>
  <si>
    <t>Diluted EPS - Net Inc incl Extra Items appl to Common - (Instrument Level)</t>
  </si>
  <si>
    <t>Basic earnings per share (NOK) continuing operations</t>
  </si>
  <si>
    <t>Diluted EPS - Net Income excl Extra Items applicable to Common - (Instrument Level)</t>
  </si>
  <si>
    <t>Net Income excluding Extra Items applicable to Common - (Instrument Level)</t>
  </si>
  <si>
    <t>Diluted Net Income excluding Extra Items applicable to Common - (Instrument Level)</t>
  </si>
  <si>
    <t>Earnings Allocation Factor - (Instrument Level)</t>
  </si>
  <si>
    <t>Diluted Earnings Allocation Factor - (Instrument Level)</t>
  </si>
  <si>
    <t>Company Fundamentals - Balance Sheet</t>
  </si>
  <si>
    <t>Industrial - Differentiated</t>
  </si>
  <si>
    <t>Balance Sheet - Company Specific (Currency: Norwegian Krone)</t>
  </si>
  <si>
    <t>Current operating assets</t>
  </si>
  <si>
    <t>Current interest-bearing receivables</t>
  </si>
  <si>
    <t>Liquidity fund investment</t>
  </si>
  <si>
    <t>Cash and cash equivalents</t>
  </si>
  <si>
    <t>Restricted Accounts - Short-Term</t>
  </si>
  <si>
    <t>Interest-bearing deposits</t>
  </si>
  <si>
    <t>Assets classified as held for sale</t>
  </si>
  <si>
    <t>trade and other receivables</t>
  </si>
  <si>
    <t>Trade Debtors Gross</t>
  </si>
  <si>
    <t>Bad Debt Provision</t>
  </si>
  <si>
    <t>Trade receivables - Balancing value</t>
  </si>
  <si>
    <t>Advances to suppliers and prepayments</t>
  </si>
  <si>
    <t>Accrued operating revenue</t>
  </si>
  <si>
    <t>Other receivables</t>
  </si>
  <si>
    <t>Contract Assets - Short-Term - Unbilled Revenue in Excess of Advance Consideration &amp; Progress Billings</t>
  </si>
  <si>
    <t>trade and other receivables - Balancing value</t>
  </si>
  <si>
    <t>Current finance lease receivables</t>
  </si>
  <si>
    <t>Inventories</t>
  </si>
  <si>
    <t>Raw Materials</t>
  </si>
  <si>
    <t>Good under Production</t>
  </si>
  <si>
    <t>Finished Goods</t>
  </si>
  <si>
    <t>Inventories - Balancing value</t>
  </si>
  <si>
    <t>Current tax assets</t>
  </si>
  <si>
    <t>Derivative financial instruments</t>
  </si>
  <si>
    <t>Other Receivables</t>
  </si>
  <si>
    <t>Derivatives</t>
  </si>
  <si>
    <t>Amounts Recoverable on WIP</t>
  </si>
  <si>
    <t>Balancing Item - Current Assets</t>
  </si>
  <si>
    <t>Total current assets</t>
  </si>
  <si>
    <t>Deferred tax assets</t>
  </si>
  <si>
    <t>Intangible assets and goodwill</t>
  </si>
  <si>
    <t>Development costs - Net</t>
  </si>
  <si>
    <t>Development costs - Gross</t>
  </si>
  <si>
    <t>Development costs - Accumulated Amortisation</t>
  </si>
  <si>
    <t>Goodwill - Net</t>
  </si>
  <si>
    <t>Goodwill - Gross</t>
  </si>
  <si>
    <t>Goodwill - Accumulated Amortisation</t>
  </si>
  <si>
    <t>Goodwill, Net - Balancing value</t>
  </si>
  <si>
    <t>Other - Net</t>
  </si>
  <si>
    <t>Other - Gross</t>
  </si>
  <si>
    <t>Other - Accumulated Amortisation</t>
  </si>
  <si>
    <t>Other Intangibles, Net - Balancing value</t>
  </si>
  <si>
    <t>Intangible assets - Balancing value</t>
  </si>
  <si>
    <t>Intangible Assets - Accumulated Amortization &amp; Impairment - Total</t>
  </si>
  <si>
    <t>Intangible Assets - Gross - Total</t>
  </si>
  <si>
    <t>Pension Funds</t>
  </si>
  <si>
    <t>Property, Plant &amp; Equipment - Accumulated Depreciation &amp; Impairment</t>
  </si>
  <si>
    <t>Property, Plant and Equipment</t>
  </si>
  <si>
    <t>Constr w-i-p NBV c/f</t>
  </si>
  <si>
    <t>Construction in Progress</t>
  </si>
  <si>
    <t>Constr w-i-p NBV c/f - Balancing value</t>
  </si>
  <si>
    <t>Acc Depr/Imp Construction in Progress</t>
  </si>
  <si>
    <t>Plant/machinery-NBV</t>
  </si>
  <si>
    <t>Machinery and Equipment</t>
  </si>
  <si>
    <t>Plant/mach - acc depn</t>
  </si>
  <si>
    <t>Plant/Machinery, Net - Balancing value</t>
  </si>
  <si>
    <t>Transportation Equipment - Gross</t>
  </si>
  <si>
    <t>Transportation Equipment - Accumulated Depreciation &amp; Impairment</t>
  </si>
  <si>
    <t>Transportation Equipment - Net - Balancing value</t>
  </si>
  <si>
    <t>Land/buildings-NBV</t>
  </si>
  <si>
    <t>Buildings</t>
  </si>
  <si>
    <t>Land/bldgs - acc depn</t>
  </si>
  <si>
    <t>Land/buildings-NBV - Balancing value</t>
  </si>
  <si>
    <t>Property, Plant and Equipment - Balancing value</t>
  </si>
  <si>
    <t>Right-of-use assets</t>
  </si>
  <si>
    <t>Non-current interest bearing receivables</t>
  </si>
  <si>
    <t>Equity-accounted investments</t>
  </si>
  <si>
    <t>Other investments</t>
  </si>
  <si>
    <t>Other non-current assets</t>
  </si>
  <si>
    <t>Property, Plant &amp; Equipment - Gross - Total</t>
  </si>
  <si>
    <t>Non-current finance lease receivables</t>
  </si>
  <si>
    <t>Loans/Receivables</t>
  </si>
  <si>
    <t>Loans to Employees</t>
  </si>
  <si>
    <t>Restricted Deposits</t>
  </si>
  <si>
    <t>Balancing Item - Noncurrent Assets</t>
  </si>
  <si>
    <t>Investment property</t>
  </si>
  <si>
    <t>Total non-current assets</t>
  </si>
  <si>
    <t>Balancing Item - Assets</t>
  </si>
  <si>
    <t>Total assets</t>
  </si>
  <si>
    <t>Current borrowings</t>
  </si>
  <si>
    <t>Capitalized Leases - Current Portion</t>
  </si>
  <si>
    <t>Current borrowings - Balancing value</t>
  </si>
  <si>
    <t>Current operating liabilities</t>
  </si>
  <si>
    <t>Current lease liabilities</t>
  </si>
  <si>
    <t>Liabilities classified as held for sale</t>
  </si>
  <si>
    <t>Trade and other payables</t>
  </si>
  <si>
    <t>Advances from Customers</t>
  </si>
  <si>
    <t>Accrued Operating and Financial Cost</t>
  </si>
  <si>
    <t>Other Accounts Payable</t>
  </si>
  <si>
    <t>Trade payables</t>
  </si>
  <si>
    <t>Contract Liabilities - Short-Term - Advance Consideration &amp; Progress Billings in Excess of Unbilled Revenue</t>
  </si>
  <si>
    <t>Accrued operating expenses and other liabilities</t>
  </si>
  <si>
    <t>Income Taxes - Payable - Short-Term</t>
  </si>
  <si>
    <t>Other Payables</t>
  </si>
  <si>
    <t>Trade and other payables - Balancing value</t>
  </si>
  <si>
    <t>Provisions</t>
  </si>
  <si>
    <t>Current tax liabilities</t>
  </si>
  <si>
    <t>Derivative financial liabilities</t>
  </si>
  <si>
    <t>Other current liabilities</t>
  </si>
  <si>
    <t>Second Priority Lien Notes</t>
  </si>
  <si>
    <t>Balancing Item - Current Liabilities</t>
  </si>
  <si>
    <t>Total current liabilities</t>
  </si>
  <si>
    <t>Non-current borrowings</t>
  </si>
  <si>
    <t>Employee benefit obligations</t>
  </si>
  <si>
    <t>Non-current liabilities</t>
  </si>
  <si>
    <t>Deferred gain</t>
  </si>
  <si>
    <t>Deferred settlement obligations</t>
  </si>
  <si>
    <t>Misc other L/T liabs</t>
  </si>
  <si>
    <t>Other Other LT Liabilities</t>
  </si>
  <si>
    <t>Other non-current liabilities - Remaining</t>
  </si>
  <si>
    <t>Non-current lease liabilities</t>
  </si>
  <si>
    <t>Deferred tax liabilities</t>
  </si>
  <si>
    <t>Subordinated Debt</t>
  </si>
  <si>
    <t>Balancing Item - Noncurrent Liabilities</t>
  </si>
  <si>
    <t>Other non-current provisions</t>
  </si>
  <si>
    <t>Provisions - Restructuring - Long-Term</t>
  </si>
  <si>
    <t>non-current provisions - Balancing value</t>
  </si>
  <si>
    <t>Provisions - Other than Pension &amp; Post-Retirement - Long-Term</t>
  </si>
  <si>
    <t>Total non-current liabilities</t>
  </si>
  <si>
    <t>Balancing Item - Liabilities</t>
  </si>
  <si>
    <t>Total liabilities</t>
  </si>
  <si>
    <t>Total equity</t>
  </si>
  <si>
    <t>Issued capital</t>
  </si>
  <si>
    <t>Treasury Shares</t>
  </si>
  <si>
    <t>Other capital paid in</t>
  </si>
  <si>
    <t>Reserves</t>
  </si>
  <si>
    <t>Reserves - Balancing value</t>
  </si>
  <si>
    <t>Defined benefit plan actuarial gains (losses)</t>
  </si>
  <si>
    <t>Reserves and retained earnings</t>
  </si>
  <si>
    <t>Retained Earnings</t>
  </si>
  <si>
    <t>Hedging Reserves</t>
  </si>
  <si>
    <t>Accumulated Foreign Currency Translation Adjustment</t>
  </si>
  <si>
    <t>Fair value Reserve</t>
  </si>
  <si>
    <t>Retained Earnings and Reserves - Balancing value</t>
  </si>
  <si>
    <t>Currency Translation</t>
  </si>
  <si>
    <t>Capital Paid In</t>
  </si>
  <si>
    <t>Issued Capital</t>
  </si>
  <si>
    <t>Own Shares</t>
  </si>
  <si>
    <t>Balancing Item - Shareholders Equity</t>
  </si>
  <si>
    <t>Equity attributable to equity holders of Akastor ASA</t>
  </si>
  <si>
    <t>Minority Interest</t>
  </si>
  <si>
    <t>Balancing Item - Total Equity</t>
  </si>
  <si>
    <t>Balancing Item - Total Liability and Equity</t>
  </si>
  <si>
    <t>Total equity and liabilities</t>
  </si>
  <si>
    <t>Total Common Shares Outstanding</t>
  </si>
  <si>
    <t>Common Shares Issued - (Company Level)</t>
  </si>
  <si>
    <t>Common Shares Treasury - (Company Level)</t>
  </si>
  <si>
    <t>Constr w-i-p written off</t>
  </si>
  <si>
    <t>Reported Total LT Debt, Supplemental</t>
  </si>
  <si>
    <t>LT Debt due within 1 Years</t>
  </si>
  <si>
    <t>LT Debt due after 5 Years</t>
  </si>
  <si>
    <t>LT Debt due within 5 Years</t>
  </si>
  <si>
    <t>LT Debt due within 4 Years</t>
  </si>
  <si>
    <t>LT Debt due within 3 Years</t>
  </si>
  <si>
    <t>LT Debt due within 2 Years</t>
  </si>
  <si>
    <t>LT Debt due within 6 Years</t>
  </si>
  <si>
    <t>LT Debt due within 7 Years</t>
  </si>
  <si>
    <t>Pension Assets-LT</t>
  </si>
  <si>
    <t>Goodwill, net</t>
  </si>
  <si>
    <t>MISC ASSETS</t>
  </si>
  <si>
    <t>Capital Lease Maturities - Total</t>
  </si>
  <si>
    <t>Capital Lease Maturities - Due within 1 Year</t>
  </si>
  <si>
    <t>Capital Lease Maturities - Remaining Maturities</t>
  </si>
  <si>
    <t>Capital Lease Maturities - Due in Year 5</t>
  </si>
  <si>
    <t>Capital Lease Maturities - Total - Balancing value</t>
  </si>
  <si>
    <t>Common Shares Issued - (Instrument Level)</t>
  </si>
  <si>
    <t>Asset Allocation Factor - (Instrument Level)</t>
  </si>
  <si>
    <t>T/S-Ordinary Shares</t>
  </si>
  <si>
    <t>S/O-Ordinary Shares</t>
  </si>
  <si>
    <t>Company Fundamentals - Cash Flow</t>
  </si>
  <si>
    <t>Industrial - Indirect</t>
  </si>
  <si>
    <t>Cash Flow - Company Specific (Currency: Norwegian Krone)</t>
  </si>
  <si>
    <t>Depreciation, amortization and impairment</t>
  </si>
  <si>
    <t>EBITDA discontinued operations</t>
  </si>
  <si>
    <t>Depreciation of Property/Plant/Equipment</t>
  </si>
  <si>
    <t>Impairment of PPE and intangible fixed assets</t>
  </si>
  <si>
    <t>Changes in net working capital</t>
  </si>
  <si>
    <t>cash generated from operating activities</t>
  </si>
  <si>
    <t>(Profit) loss for the period - discontinued operations</t>
  </si>
  <si>
    <t>Income tax expense (benefit)</t>
  </si>
  <si>
    <t>net interest cost and unrealized currency (income) loss</t>
  </si>
  <si>
    <t>Depreciation and Impairment losses</t>
  </si>
  <si>
    <t>(Gain) loss on disposal of subsidiaries</t>
  </si>
  <si>
    <t>(Gain) loss on disposal of assets</t>
  </si>
  <si>
    <t>(Profit) loss from equity-accounted investments</t>
  </si>
  <si>
    <t>Profit) los on foreign currency forward contracts)</t>
  </si>
  <si>
    <t>Other non-cash effects</t>
  </si>
  <si>
    <t>Cash Generated from Operations - Balancing value</t>
  </si>
  <si>
    <t>Other adjustments for non-cash items and changes in operating assets and liabilities</t>
  </si>
  <si>
    <t>Dividend received</t>
  </si>
  <si>
    <t>Interest paid</t>
  </si>
  <si>
    <t>Interest paid on leases</t>
  </si>
  <si>
    <t>Interest Received</t>
  </si>
  <si>
    <t>Interest received for leases</t>
  </si>
  <si>
    <t>Income taxes paid</t>
  </si>
  <si>
    <t>Change in working capita</t>
  </si>
  <si>
    <t>Balancing Item - Operating (Indirect)</t>
  </si>
  <si>
    <t>Net cash from operating activities</t>
  </si>
  <si>
    <t>Payments for Property, Plant and Equipment</t>
  </si>
  <si>
    <t>Payments related to sale proceeds adjustment for prior years divestments</t>
  </si>
  <si>
    <t>Proceeds from finance lease receivables</t>
  </si>
  <si>
    <t>Net changes in liquidity fund investments</t>
  </si>
  <si>
    <t>Investment in joint ventures</t>
  </si>
  <si>
    <t>Acquisition of Property, Plant and Eqquipment, Positive</t>
  </si>
  <si>
    <t>Payments for capitalized development</t>
  </si>
  <si>
    <t>Acquisition of subsidiaries, net of cash acquired</t>
  </si>
  <si>
    <t>Acquisition/Sale of subsidiaries</t>
  </si>
  <si>
    <t>Proceeds from sale of businesses</t>
  </si>
  <si>
    <t>Proceeds from other investment</t>
  </si>
  <si>
    <t>Cash flow from loan to equity-accounted investments</t>
  </si>
  <si>
    <t>Sale of Associates</t>
  </si>
  <si>
    <t>Proceeds from sale of equity-accounted investments</t>
  </si>
  <si>
    <t>Proceeds from repayment of interest-bearing receivables</t>
  </si>
  <si>
    <t>Net cash flow from other investing activities</t>
  </si>
  <si>
    <t>Balancing Item - Investing</t>
  </si>
  <si>
    <t>Net cash from investing activities</t>
  </si>
  <si>
    <t>Net changes in external borrowings</t>
  </si>
  <si>
    <t>Instalment of lease liabilities</t>
  </si>
  <si>
    <t>Dividends to shareholders</t>
  </si>
  <si>
    <t>Proceeds from borrowings</t>
  </si>
  <si>
    <t>Repayment of borrowings</t>
  </si>
  <si>
    <t>Repayment of dividends</t>
  </si>
  <si>
    <t>Acquisition Minority Interest</t>
  </si>
  <si>
    <t>Proceeds from transaction with non-controlling interests</t>
  </si>
  <si>
    <t>Repurchase of treasury shares</t>
  </si>
  <si>
    <t>proceeds from employees share purchase programme</t>
  </si>
  <si>
    <t>Minority Dividends</t>
  </si>
  <si>
    <t>Issuance of Capital</t>
  </si>
  <si>
    <t>Repayment of ST Loans</t>
  </si>
  <si>
    <t>Contribution from non-controlling interests</t>
  </si>
  <si>
    <t>Balancing Item - Financing</t>
  </si>
  <si>
    <t>Net cash from financing activities</t>
  </si>
  <si>
    <t>Demerger of Aker Solutions</t>
  </si>
  <si>
    <t>Discontinued Operations Section</t>
  </si>
  <si>
    <t>Effect of exchange rate changes on cash and cash equivalents</t>
  </si>
  <si>
    <t>Cash and cash equivalents at the beginning of the period</t>
  </si>
  <si>
    <t>Cash and cash equivalents at the end of the period</t>
  </si>
  <si>
    <t>As Reported Net Change in Cash</t>
  </si>
  <si>
    <t>Balancing Item - Change in Cash</t>
  </si>
  <si>
    <t>Net increase (decrease) in cash and cash equivalents</t>
  </si>
  <si>
    <t>Net inc adj-non cash</t>
  </si>
  <si>
    <t>DISC OPS-FINANCING</t>
  </si>
  <si>
    <t>DISC OPS-INVESTING</t>
  </si>
  <si>
    <t>DISC OPS-OPTG</t>
  </si>
  <si>
    <t>DISC OPS-NET CASH</t>
  </si>
  <si>
    <t>Company Fundamentals - Valuation</t>
  </si>
  <si>
    <t>2004</t>
  </si>
  <si>
    <t>Valuation - Standardized (Currency: Norwegian Krone)</t>
  </si>
  <si>
    <t>31-12-2004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</si>
  <si>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</si>
  <si>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</si>
  <si>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</si>
  <si>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</si>
  <si>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</si>
  <si>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</si>
  <si>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</si>
  <si>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</si>
  <si>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</si>
  <si>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</si>
  <si>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</si>
  <si>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Net - Issue Specific - %</t>
  </si>
  <si>
    <t>Dividend Yield - Common Stock - Net - Issue Specific - %, 5 Year Average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</si>
  <si>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</si>
  <si>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</si>
  <si>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</si>
  <si>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</si>
  <si>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</si>
  <si>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</si>
  <si>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</si>
  <si>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</si>
  <si>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</si>
  <si>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</si>
  <si>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</si>
  <si>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</si>
  <si>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</si>
  <si>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Free Cash Flow per Share, 5 Year Average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</si>
  <si>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</si>
  <si>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</si>
  <si>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</si>
  <si>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</si>
  <si>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</si>
  <si>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</si>
  <si>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</si>
  <si>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</si>
  <si>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</si>
  <si>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</si>
  <si>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</si>
  <si>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PE Growth Ratio, 5 Year Average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</si>
  <si>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</si>
  <si>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</si>
  <si>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</si>
  <si>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</si>
  <si>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</si>
  <si>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</si>
  <si>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</si>
  <si>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</si>
  <si>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</si>
  <si>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</si>
  <si>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</si>
  <si>
    <t>Enterprise Value to Free Cash Flow, 5 Year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</si>
</sst>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9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0.0"/>
      <color rgb="FFF5475B"/>
      <name val="Calibri"/>
    </font>
    <font>
      <b/>
      <sz val="10.0"/>
      <color rgb="FF000000"/>
      <name val="Calibri"/>
    </font>
    <font>
      <b/>
      <sz val="10.0"/>
      <color rgb="FFF5475B"/>
      <name val="Calibri"/>
    </font>
    <font>
      <sz val="11.0"/>
      <color rgb="FF000000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5" numFmtId="4" xfId="0" applyAlignment="1" applyBorder="1" applyFont="1" applyNumberFormat="1">
      <alignment horizontal="left" shrinkToFit="0" vertical="center" wrapText="1"/>
    </xf>
    <xf borderId="3" fillId="0" fontId="6" numFmtId="0" xfId="0" applyAlignment="1" applyBorder="1" applyFon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0" fontId="5" numFmtId="165" xfId="0" applyAlignment="1" applyBorder="1" applyFont="1" applyNumberFormat="1">
      <alignment horizontal="left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0" fontId="7" numFmtId="165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3" fontId="6" numFmtId="0" xfId="0" applyAlignment="1" applyBorder="1" applyFill="1" applyFont="1">
      <alignment horizontal="left" shrinkToFit="0" vertical="center" wrapText="1"/>
    </xf>
    <xf borderId="3" fillId="3" fontId="8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5" numFmtId="166" xfId="0" applyAlignment="1" applyBorder="1" applyFont="1" applyNumberFormat="1">
      <alignment horizontal="right" shrinkToFit="0" vertical="center" wrapText="1"/>
    </xf>
    <xf borderId="3" fillId="0" fontId="5" numFmtId="4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3" width="15.71"/>
    <col customWidth="1" min="24" max="26" width="8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46090.4373715741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</row>
    <row r="12" ht="15.0" customHeight="1" outlineLevel="1">
      <c r="A12" s="8" t="s">
        <v>39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</row>
    <row r="13" ht="15.0" customHeight="1" outlineLevel="1">
      <c r="A13" s="8" t="s">
        <v>40</v>
      </c>
      <c r="B13" s="9">
        <v>46022.0</v>
      </c>
      <c r="C13" s="9">
        <v>45657.0</v>
      </c>
      <c r="D13" s="9">
        <v>45291.0</v>
      </c>
      <c r="E13" s="9">
        <v>45291.0</v>
      </c>
      <c r="F13" s="9">
        <v>44561.0</v>
      </c>
      <c r="G13" s="9">
        <v>44561.0</v>
      </c>
      <c r="H13" s="9">
        <v>43830.0</v>
      </c>
      <c r="I13" s="9">
        <v>43465.0</v>
      </c>
      <c r="J13" s="9">
        <v>43465.0</v>
      </c>
      <c r="K13" s="9">
        <v>42916.0</v>
      </c>
      <c r="L13" s="9">
        <v>42735.0</v>
      </c>
      <c r="M13" s="9">
        <v>42004.0</v>
      </c>
      <c r="N13" s="9">
        <v>42004.0</v>
      </c>
      <c r="O13" s="9">
        <v>41639.0</v>
      </c>
      <c r="P13" s="9">
        <v>40908.0</v>
      </c>
      <c r="Q13" s="9">
        <v>40908.0</v>
      </c>
      <c r="R13" s="9">
        <v>40543.0</v>
      </c>
      <c r="S13" s="9">
        <v>39813.0</v>
      </c>
      <c r="T13" s="9">
        <v>39447.0</v>
      </c>
      <c r="U13" s="9">
        <v>39082.0</v>
      </c>
      <c r="V13" s="9">
        <v>38807.0</v>
      </c>
    </row>
    <row r="14" ht="15.0" customHeight="1" outlineLevel="1">
      <c r="A14" s="8" t="s">
        <v>41</v>
      </c>
      <c r="B14" s="10" t="s">
        <v>42</v>
      </c>
      <c r="C14" s="10" t="s">
        <v>42</v>
      </c>
      <c r="D14" s="10" t="s">
        <v>42</v>
      </c>
      <c r="E14" s="10" t="s">
        <v>42</v>
      </c>
      <c r="F14" s="10" t="s">
        <v>42</v>
      </c>
      <c r="G14" s="10" t="s">
        <v>42</v>
      </c>
      <c r="H14" s="10" t="s">
        <v>42</v>
      </c>
      <c r="I14" s="10" t="s">
        <v>42</v>
      </c>
      <c r="J14" s="10" t="s">
        <v>42</v>
      </c>
      <c r="K14" s="10" t="s">
        <v>42</v>
      </c>
      <c r="L14" s="10" t="s">
        <v>42</v>
      </c>
      <c r="M14" s="10" t="s">
        <v>42</v>
      </c>
      <c r="N14" s="10" t="s">
        <v>42</v>
      </c>
      <c r="O14" s="10" t="s">
        <v>42</v>
      </c>
      <c r="P14" s="10" t="s">
        <v>42</v>
      </c>
      <c r="Q14" s="10" t="s">
        <v>42</v>
      </c>
      <c r="R14" s="10" t="s">
        <v>42</v>
      </c>
      <c r="S14" s="10" t="s">
        <v>42</v>
      </c>
      <c r="T14" s="10" t="s">
        <v>42</v>
      </c>
      <c r="U14" s="10" t="s">
        <v>42</v>
      </c>
      <c r="V14" s="10" t="s">
        <v>42</v>
      </c>
    </row>
    <row r="15" ht="15.0" customHeight="1" outlineLevel="1">
      <c r="A15" s="8" t="s">
        <v>43</v>
      </c>
      <c r="B15" s="10" t="s">
        <v>44</v>
      </c>
      <c r="C15" s="10" t="s">
        <v>44</v>
      </c>
      <c r="D15" s="10" t="s">
        <v>44</v>
      </c>
      <c r="E15" s="10" t="s">
        <v>44</v>
      </c>
      <c r="F15" s="10" t="s">
        <v>44</v>
      </c>
      <c r="G15" s="10" t="s">
        <v>44</v>
      </c>
      <c r="H15" s="10" t="s">
        <v>44</v>
      </c>
      <c r="I15" s="10" t="s">
        <v>44</v>
      </c>
      <c r="J15" s="10" t="s">
        <v>44</v>
      </c>
      <c r="K15" s="10" t="s">
        <v>44</v>
      </c>
      <c r="L15" s="10" t="s">
        <v>44</v>
      </c>
      <c r="M15" s="10" t="s">
        <v>44</v>
      </c>
      <c r="N15" s="10" t="s">
        <v>44</v>
      </c>
      <c r="O15" s="10" t="s">
        <v>44</v>
      </c>
      <c r="P15" s="10" t="s">
        <v>44</v>
      </c>
      <c r="Q15" s="10" t="s">
        <v>44</v>
      </c>
      <c r="R15" s="10" t="s">
        <v>44</v>
      </c>
      <c r="S15" s="10" t="s">
        <v>44</v>
      </c>
      <c r="T15" s="10" t="s">
        <v>44</v>
      </c>
      <c r="U15" s="10" t="s">
        <v>44</v>
      </c>
      <c r="V15" s="10" t="s">
        <v>44</v>
      </c>
    </row>
    <row r="17">
      <c r="A17" s="11" t="s">
        <v>45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</row>
    <row r="18">
      <c r="A18" s="11" t="s">
        <v>46</v>
      </c>
      <c r="B18" s="12" t="s">
        <v>47</v>
      </c>
      <c r="C18" s="12" t="s">
        <v>48</v>
      </c>
      <c r="D18" s="12" t="s">
        <v>49</v>
      </c>
      <c r="E18" s="12" t="s">
        <v>50</v>
      </c>
      <c r="F18" s="12" t="s">
        <v>51</v>
      </c>
      <c r="G18" s="12" t="s">
        <v>52</v>
      </c>
      <c r="H18" s="12" t="s">
        <v>53</v>
      </c>
      <c r="I18" s="12" t="s">
        <v>54</v>
      </c>
      <c r="J18" s="12" t="s">
        <v>55</v>
      </c>
      <c r="K18" s="12" t="s">
        <v>56</v>
      </c>
      <c r="L18" s="12" t="s">
        <v>57</v>
      </c>
      <c r="M18" s="12" t="s">
        <v>58</v>
      </c>
      <c r="N18" s="12" t="s">
        <v>59</v>
      </c>
      <c r="O18" s="12" t="s">
        <v>60</v>
      </c>
      <c r="P18" s="12" t="s">
        <v>61</v>
      </c>
      <c r="Q18" s="12" t="s">
        <v>62</v>
      </c>
      <c r="R18" s="12" t="s">
        <v>63</v>
      </c>
      <c r="S18" s="12" t="s">
        <v>64</v>
      </c>
      <c r="T18" s="12" t="s">
        <v>65</v>
      </c>
      <c r="U18" s="12" t="s">
        <v>66</v>
      </c>
      <c r="V18" s="12" t="s">
        <v>67</v>
      </c>
    </row>
    <row r="19" ht="15.0" customHeight="1">
      <c r="A19" s="13" t="s">
        <v>68</v>
      </c>
      <c r="B19" s="14">
        <v>390.0</v>
      </c>
      <c r="C19" s="14">
        <v>922.0</v>
      </c>
      <c r="D19" s="14">
        <v>282.0</v>
      </c>
      <c r="E19" s="14">
        <v>269.0</v>
      </c>
      <c r="F19" s="14">
        <v>953.0</v>
      </c>
      <c r="G19" s="14">
        <v>819.0</v>
      </c>
      <c r="H19" s="14">
        <v>5361.0</v>
      </c>
      <c r="I19" s="14">
        <v>3800.0</v>
      </c>
      <c r="J19" s="14">
        <v>3606.0</v>
      </c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</row>
    <row r="20" ht="15.0" customHeight="1">
      <c r="A20" s="13" t="s">
        <v>69</v>
      </c>
      <c r="B20" s="15"/>
      <c r="C20" s="14">
        <v>124.0</v>
      </c>
      <c r="D20" s="14">
        <v>121.0</v>
      </c>
      <c r="E20" s="14">
        <v>267.0</v>
      </c>
      <c r="F20" s="14">
        <v>913.0</v>
      </c>
      <c r="G20" s="14">
        <v>824.0</v>
      </c>
      <c r="H20" s="14">
        <v>5359.0</v>
      </c>
      <c r="I20" s="14">
        <v>3717.0</v>
      </c>
      <c r="J20" s="14">
        <v>3554.0</v>
      </c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</row>
    <row r="21" ht="15.0" customHeight="1">
      <c r="A21" s="13" t="s">
        <v>70</v>
      </c>
      <c r="B21" s="15"/>
      <c r="C21" s="14">
        <v>168.0</v>
      </c>
      <c r="D21" s="14">
        <v>147.0</v>
      </c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</row>
    <row r="22" ht="15.0" customHeight="1">
      <c r="A22" s="13" t="s">
        <v>71</v>
      </c>
      <c r="B22" s="15"/>
      <c r="C22" s="14">
        <v>630.0</v>
      </c>
      <c r="D22" s="15"/>
      <c r="E22" s="15"/>
      <c r="F22" s="15"/>
      <c r="G22" s="15"/>
      <c r="H22" s="15"/>
      <c r="I22" s="15"/>
      <c r="J22" s="15"/>
      <c r="K22" s="15"/>
      <c r="L22" s="14">
        <v>403.0</v>
      </c>
      <c r="M22" s="14">
        <v>277.0</v>
      </c>
      <c r="N22" s="16">
        <v>60.0</v>
      </c>
      <c r="O22" s="14">
        <v>509.0</v>
      </c>
      <c r="P22" s="17">
        <v>-8.0</v>
      </c>
      <c r="Q22" s="16">
        <v>8.0</v>
      </c>
      <c r="R22" s="14">
        <v>329.0</v>
      </c>
      <c r="S22" s="15"/>
      <c r="T22" s="15"/>
      <c r="U22" s="15"/>
      <c r="V22" s="15"/>
    </row>
    <row r="23" ht="15.0" customHeight="1">
      <c r="A23" s="13" t="s">
        <v>72</v>
      </c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6">
        <v>37.0</v>
      </c>
      <c r="M23" s="16">
        <v>71.0</v>
      </c>
      <c r="N23" s="15">
        <v>0.0</v>
      </c>
      <c r="O23" s="14">
        <v>324.0</v>
      </c>
      <c r="P23" s="15"/>
      <c r="Q23" s="15"/>
      <c r="R23" s="15"/>
      <c r="S23" s="15"/>
      <c r="T23" s="15"/>
      <c r="U23" s="15"/>
      <c r="V23" s="15"/>
    </row>
    <row r="24" ht="15.0" customHeight="1">
      <c r="A24" s="13" t="s">
        <v>73</v>
      </c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6">
        <v>23.0</v>
      </c>
      <c r="P24" s="15"/>
      <c r="Q24" s="15"/>
      <c r="R24" s="15"/>
      <c r="S24" s="15"/>
      <c r="T24" s="15"/>
      <c r="U24" s="15"/>
      <c r="V24" s="15"/>
    </row>
    <row r="25" ht="15.0" customHeight="1">
      <c r="A25" s="13" t="s">
        <v>74</v>
      </c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6">
        <v>44.0</v>
      </c>
      <c r="M25" s="14">
        <v>107.0</v>
      </c>
      <c r="N25" s="16">
        <v>35.0</v>
      </c>
      <c r="O25" s="16">
        <v>74.0</v>
      </c>
      <c r="P25" s="15"/>
      <c r="Q25" s="15"/>
      <c r="R25" s="15"/>
      <c r="S25" s="15"/>
      <c r="T25" s="15"/>
      <c r="U25" s="15"/>
      <c r="V25" s="15"/>
    </row>
    <row r="26" ht="15.0" customHeight="1">
      <c r="A26" s="13" t="s">
        <v>75</v>
      </c>
      <c r="B26" s="15"/>
      <c r="C26" s="15">
        <v>0.0</v>
      </c>
      <c r="D26" s="16">
        <v>16.0</v>
      </c>
      <c r="E26" s="15">
        <v>0.0</v>
      </c>
      <c r="F26" s="17">
        <v>-11.0</v>
      </c>
      <c r="G26" s="17">
        <v>-5.0</v>
      </c>
      <c r="H26" s="15">
        <v>0.0</v>
      </c>
      <c r="I26" s="17">
        <v>-1.0</v>
      </c>
      <c r="J26" s="16">
        <v>5.0</v>
      </c>
      <c r="K26" s="15"/>
      <c r="L26" s="14">
        <v>303.0</v>
      </c>
      <c r="M26" s="14">
        <v>113.0</v>
      </c>
      <c r="N26" s="15">
        <v>0.0</v>
      </c>
      <c r="O26" s="16">
        <v>88.0</v>
      </c>
      <c r="P26" s="15"/>
      <c r="Q26" s="15"/>
      <c r="R26" s="15"/>
      <c r="S26" s="15"/>
      <c r="T26" s="15"/>
      <c r="U26" s="15"/>
      <c r="V26" s="15"/>
    </row>
    <row r="27" ht="15.0" customHeight="1">
      <c r="A27" s="13" t="s">
        <v>76</v>
      </c>
      <c r="B27" s="15"/>
      <c r="C27" s="15"/>
      <c r="D27" s="15"/>
      <c r="E27" s="15"/>
      <c r="F27" s="15"/>
      <c r="G27" s="15"/>
      <c r="H27" s="15">
        <v>0.0</v>
      </c>
      <c r="I27" s="16">
        <v>28.0</v>
      </c>
      <c r="J27" s="16">
        <v>36.0</v>
      </c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</row>
    <row r="28" ht="15.0" customHeight="1">
      <c r="A28" s="13" t="s">
        <v>77</v>
      </c>
      <c r="B28" s="15"/>
      <c r="C28" s="15">
        <v>0.0</v>
      </c>
      <c r="D28" s="17">
        <v>-2.0</v>
      </c>
      <c r="E28" s="16">
        <v>2.0</v>
      </c>
      <c r="F28" s="16">
        <v>51.0</v>
      </c>
      <c r="G28" s="15">
        <v>0.0</v>
      </c>
      <c r="H28" s="16">
        <v>2.0</v>
      </c>
      <c r="I28" s="16">
        <v>56.0</v>
      </c>
      <c r="J28" s="16">
        <v>11.0</v>
      </c>
      <c r="K28" s="15"/>
      <c r="L28" s="16">
        <v>19.0</v>
      </c>
      <c r="M28" s="17">
        <v>-14.0</v>
      </c>
      <c r="N28" s="16">
        <v>25.0</v>
      </c>
      <c r="O28" s="15">
        <v>0.0</v>
      </c>
      <c r="P28" s="15"/>
      <c r="Q28" s="15"/>
      <c r="R28" s="15"/>
      <c r="S28" s="15"/>
      <c r="T28" s="15"/>
      <c r="U28" s="15"/>
      <c r="V28" s="15"/>
    </row>
    <row r="29" ht="15.0" customHeight="1">
      <c r="A29" s="13" t="s">
        <v>78</v>
      </c>
      <c r="B29" s="15"/>
      <c r="C29" s="15"/>
      <c r="D29" s="15"/>
      <c r="E29" s="15"/>
      <c r="F29" s="15"/>
      <c r="G29" s="15"/>
      <c r="H29" s="15"/>
      <c r="I29" s="15"/>
      <c r="J29" s="15"/>
      <c r="K29" s="14">
        <v>4975.0</v>
      </c>
      <c r="L29" s="14">
        <v>9580.0</v>
      </c>
      <c r="M29" s="15">
        <v>21155.0</v>
      </c>
      <c r="N29" s="15">
        <v>18388.0</v>
      </c>
      <c r="O29" s="15">
        <v>41123.0</v>
      </c>
      <c r="P29" s="15">
        <v>35667.0</v>
      </c>
      <c r="Q29" s="15">
        <v>33207.0</v>
      </c>
      <c r="R29" s="15">
        <v>49527.0</v>
      </c>
      <c r="S29" s="15">
        <v>58252.0</v>
      </c>
      <c r="T29" s="15">
        <v>57957.0</v>
      </c>
      <c r="U29" s="15">
        <v>50592.0</v>
      </c>
      <c r="V29" s="15">
        <v>36940.0</v>
      </c>
    </row>
    <row r="30" ht="15.0" customHeight="1">
      <c r="A30" s="13" t="s">
        <v>79</v>
      </c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4">
        <v>815.0</v>
      </c>
      <c r="Q30" s="14">
        <v>150.0</v>
      </c>
      <c r="R30" s="15"/>
      <c r="S30" s="15"/>
      <c r="T30" s="15"/>
      <c r="U30" s="15"/>
      <c r="V30" s="15"/>
    </row>
    <row r="31" ht="15.0" customHeight="1">
      <c r="A31" s="18" t="s">
        <v>80</v>
      </c>
      <c r="B31" s="19">
        <v>390.0</v>
      </c>
      <c r="C31" s="19">
        <v>922.0</v>
      </c>
      <c r="D31" s="19">
        <v>282.0</v>
      </c>
      <c r="E31" s="19">
        <v>269.0</v>
      </c>
      <c r="F31" s="19">
        <v>953.0</v>
      </c>
      <c r="G31" s="19">
        <v>819.0</v>
      </c>
      <c r="H31" s="19">
        <v>5361.0</v>
      </c>
      <c r="I31" s="19">
        <v>3800.0</v>
      </c>
      <c r="J31" s="19">
        <v>3606.0</v>
      </c>
      <c r="K31" s="19">
        <v>4975.0</v>
      </c>
      <c r="L31" s="19">
        <v>9983.0</v>
      </c>
      <c r="M31" s="20">
        <v>21432.0</v>
      </c>
      <c r="N31" s="20">
        <v>18448.0</v>
      </c>
      <c r="O31" s="20">
        <v>41632.0</v>
      </c>
      <c r="P31" s="20">
        <v>36474.0</v>
      </c>
      <c r="Q31" s="20">
        <v>33365.0</v>
      </c>
      <c r="R31" s="20">
        <v>49856.0</v>
      </c>
      <c r="S31" s="20">
        <v>58252.0</v>
      </c>
      <c r="T31" s="20">
        <v>57957.0</v>
      </c>
      <c r="U31" s="20">
        <v>50592.0</v>
      </c>
      <c r="V31" s="20">
        <v>36940.0</v>
      </c>
    </row>
    <row r="32" ht="15.0" customHeight="1">
      <c r="A32" s="13" t="s">
        <v>81</v>
      </c>
      <c r="B32" s="14">
        <v>349.0</v>
      </c>
      <c r="C32" s="14">
        <v>274.0</v>
      </c>
      <c r="D32" s="14">
        <v>284.0</v>
      </c>
      <c r="E32" s="14">
        <v>361.0</v>
      </c>
      <c r="F32" s="16">
        <v>78.0</v>
      </c>
      <c r="G32" s="14">
        <v>138.0</v>
      </c>
      <c r="H32" s="14">
        <v>564.0</v>
      </c>
      <c r="I32" s="14">
        <v>572.0</v>
      </c>
      <c r="J32" s="14">
        <v>468.0</v>
      </c>
      <c r="K32" s="14">
        <v>4884.0</v>
      </c>
      <c r="L32" s="14">
        <v>1303.0</v>
      </c>
      <c r="M32" s="14">
        <v>2206.0</v>
      </c>
      <c r="N32" s="14">
        <v>2044.0</v>
      </c>
      <c r="O32" s="14">
        <v>5540.0</v>
      </c>
      <c r="P32" s="14">
        <v>5443.0</v>
      </c>
      <c r="Q32" s="14">
        <v>4741.0</v>
      </c>
      <c r="R32" s="14">
        <v>5301.0</v>
      </c>
      <c r="S32" s="14">
        <v>6857.0</v>
      </c>
      <c r="T32" s="14">
        <v>5442.0</v>
      </c>
      <c r="U32" s="14">
        <v>5980.0</v>
      </c>
      <c r="V32" s="14">
        <v>4131.0</v>
      </c>
    </row>
    <row r="33" ht="15.0" customHeight="1">
      <c r="A33" s="13" t="s">
        <v>82</v>
      </c>
      <c r="B33" s="15"/>
      <c r="C33" s="14">
        <v>196.0</v>
      </c>
      <c r="D33" s="14">
        <v>163.0</v>
      </c>
      <c r="E33" s="16">
        <v>35.0</v>
      </c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</row>
    <row r="34" ht="15.0" customHeight="1">
      <c r="A34" s="13" t="s">
        <v>83</v>
      </c>
      <c r="B34" s="15"/>
      <c r="C34" s="16">
        <v>78.0</v>
      </c>
      <c r="D34" s="14">
        <v>121.0</v>
      </c>
      <c r="E34" s="14">
        <v>152.0</v>
      </c>
      <c r="F34" s="16">
        <v>9.0</v>
      </c>
      <c r="G34" s="16">
        <v>26.0</v>
      </c>
      <c r="H34" s="16">
        <v>62.0</v>
      </c>
      <c r="I34" s="16">
        <v>49.0</v>
      </c>
      <c r="J34" s="16">
        <v>44.0</v>
      </c>
      <c r="K34" s="15"/>
      <c r="L34" s="14">
        <v>858.0</v>
      </c>
      <c r="M34" s="15"/>
      <c r="N34" s="15"/>
      <c r="O34" s="15"/>
      <c r="P34" s="15"/>
      <c r="Q34" s="15"/>
      <c r="R34" s="15"/>
      <c r="S34" s="15"/>
      <c r="T34" s="15"/>
      <c r="U34" s="15"/>
      <c r="V34" s="15"/>
    </row>
    <row r="35" ht="15.0" customHeight="1">
      <c r="A35" s="13" t="s">
        <v>84</v>
      </c>
      <c r="B35" s="15"/>
      <c r="F35" s="14">
        <v>367.0</v>
      </c>
      <c r="G35" s="14">
        <v>302.0</v>
      </c>
      <c r="H35" s="14">
        <v>1719.0</v>
      </c>
      <c r="I35" s="14">
        <v>1424.0</v>
      </c>
      <c r="J35" s="14">
        <v>1561.0</v>
      </c>
      <c r="K35" s="15"/>
      <c r="L35" s="14">
        <v>3205.0</v>
      </c>
      <c r="M35" s="14">
        <v>5104.0</v>
      </c>
      <c r="N35" s="14">
        <v>4819.0</v>
      </c>
      <c r="O35" s="15">
        <v>12086.0</v>
      </c>
      <c r="P35" s="15">
        <v>11353.0</v>
      </c>
      <c r="Q35" s="15">
        <v>10727.0</v>
      </c>
      <c r="R35" s="15">
        <v>12511.0</v>
      </c>
      <c r="S35" s="15">
        <v>11140.0</v>
      </c>
      <c r="T35" s="14">
        <v>9741.0</v>
      </c>
      <c r="U35" s="14">
        <v>8365.0</v>
      </c>
      <c r="V35" s="14">
        <v>8009.0</v>
      </c>
    </row>
    <row r="36" ht="15.0" customHeight="1">
      <c r="A36" s="13" t="s">
        <v>85</v>
      </c>
      <c r="B36" s="15"/>
      <c r="C36" s="16">
        <v>21.0</v>
      </c>
      <c r="D36" s="16">
        <v>63.0</v>
      </c>
      <c r="E36" s="16">
        <v>78.0</v>
      </c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</row>
    <row r="37" ht="15.0" customHeight="1">
      <c r="A37" s="13" t="s">
        <v>86</v>
      </c>
      <c r="B37" s="15"/>
      <c r="C37" s="16">
        <v>57.0</v>
      </c>
      <c r="D37" s="16">
        <v>58.0</v>
      </c>
      <c r="E37" s="16">
        <v>74.0</v>
      </c>
      <c r="F37" s="16">
        <v>7.0</v>
      </c>
      <c r="G37" s="16">
        <v>12.0</v>
      </c>
      <c r="H37" s="14">
        <v>178.0</v>
      </c>
      <c r="I37" s="14">
        <v>217.0</v>
      </c>
      <c r="J37" s="14">
        <v>158.0</v>
      </c>
      <c r="K37" s="15"/>
      <c r="L37" s="14">
        <v>445.0</v>
      </c>
      <c r="M37" s="15"/>
      <c r="N37" s="15"/>
      <c r="O37" s="15"/>
      <c r="P37" s="15"/>
      <c r="Q37" s="15"/>
      <c r="R37" s="15"/>
      <c r="S37" s="15"/>
      <c r="T37" s="15"/>
      <c r="U37" s="15"/>
      <c r="V37" s="15"/>
    </row>
    <row r="38" ht="15.0" customHeight="1">
      <c r="A38" s="13" t="s">
        <v>87</v>
      </c>
      <c r="B38" s="15"/>
      <c r="C38" s="15"/>
      <c r="D38" s="15"/>
      <c r="E38" s="15"/>
      <c r="F38" s="16">
        <v>63.0</v>
      </c>
      <c r="G38" s="14">
        <v>101.0</v>
      </c>
      <c r="H38" s="14">
        <v>323.0</v>
      </c>
      <c r="I38" s="14">
        <v>306.0</v>
      </c>
      <c r="J38" s="14">
        <v>265.0</v>
      </c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</row>
    <row r="39" ht="15.0" customHeight="1">
      <c r="A39" s="13" t="s">
        <v>88</v>
      </c>
      <c r="B39" s="15"/>
      <c r="C39" s="15"/>
      <c r="D39" s="15"/>
      <c r="E39" s="15"/>
      <c r="F39" s="17">
        <v>-1.0</v>
      </c>
      <c r="G39" s="17">
        <v>-1.0</v>
      </c>
      <c r="H39" s="16">
        <v>1.0</v>
      </c>
      <c r="I39" s="15"/>
      <c r="J39" s="16">
        <v>1.0</v>
      </c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</row>
    <row r="40" ht="15.0" customHeight="1">
      <c r="A40" s="13" t="s">
        <v>89</v>
      </c>
      <c r="B40" s="15"/>
      <c r="C40" s="15"/>
      <c r="D40" s="15">
        <v>0.0</v>
      </c>
      <c r="E40" s="14">
        <v>174.0</v>
      </c>
      <c r="F40" s="14">
        <v>214.0</v>
      </c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</row>
    <row r="41" ht="15.0" customHeight="1">
      <c r="A41" s="13" t="s">
        <v>86</v>
      </c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21">
        <v>-1209.0</v>
      </c>
      <c r="Q41" s="21">
        <v>-1460.0</v>
      </c>
      <c r="R41" s="15"/>
      <c r="S41" s="15"/>
      <c r="T41" s="15"/>
      <c r="U41" s="15"/>
      <c r="V41" s="15"/>
    </row>
    <row r="42" ht="15.0" customHeight="1">
      <c r="A42" s="13" t="s">
        <v>90</v>
      </c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4">
        <v>6695.0</v>
      </c>
      <c r="Q42" s="14">
        <v>6251.0</v>
      </c>
      <c r="R42" s="14">
        <v>5249.0</v>
      </c>
      <c r="S42" s="14">
        <v>6817.0</v>
      </c>
      <c r="T42" s="14">
        <v>5410.0</v>
      </c>
      <c r="U42" s="15"/>
      <c r="V42" s="15"/>
    </row>
    <row r="43" ht="15.0" customHeight="1">
      <c r="A43" s="13" t="s">
        <v>91</v>
      </c>
      <c r="B43" s="15"/>
      <c r="C43" s="15"/>
      <c r="D43" s="15"/>
      <c r="E43" s="15"/>
      <c r="F43" s="14">
        <v>294.0</v>
      </c>
      <c r="G43" s="14">
        <v>450.0</v>
      </c>
      <c r="H43" s="14">
        <v>2586.0</v>
      </c>
      <c r="I43" s="14">
        <v>1513.0</v>
      </c>
      <c r="J43" s="14">
        <v>1461.0</v>
      </c>
      <c r="K43" s="15"/>
      <c r="L43" s="14">
        <v>4908.0</v>
      </c>
      <c r="M43" s="15">
        <v>12742.0</v>
      </c>
      <c r="N43" s="15">
        <v>10230.0</v>
      </c>
      <c r="O43" s="15">
        <v>19835.0</v>
      </c>
      <c r="P43" s="15">
        <v>16233.0</v>
      </c>
      <c r="Q43" s="15">
        <v>14589.0</v>
      </c>
      <c r="R43" s="15">
        <v>27949.0</v>
      </c>
      <c r="S43" s="15">
        <v>34891.0</v>
      </c>
      <c r="T43" s="15">
        <v>36405.0</v>
      </c>
      <c r="U43" s="15">
        <v>31299.0</v>
      </c>
      <c r="V43" s="15">
        <v>21294.0</v>
      </c>
    </row>
    <row r="44" ht="15.0" customHeight="1">
      <c r="A44" s="13" t="s">
        <v>92</v>
      </c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4">
        <v>1328.0</v>
      </c>
      <c r="T44" s="14">
        <v>1373.0</v>
      </c>
      <c r="U44" s="14">
        <v>1304.0</v>
      </c>
      <c r="V44" s="14">
        <v>1046.0</v>
      </c>
    </row>
    <row r="45" ht="15.0" customHeight="1">
      <c r="A45" s="13" t="s">
        <v>93</v>
      </c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4">
        <v>322.0</v>
      </c>
      <c r="T45" s="14">
        <v>543.0</v>
      </c>
      <c r="U45" s="14">
        <v>337.0</v>
      </c>
      <c r="V45" s="14">
        <v>302.0</v>
      </c>
    </row>
    <row r="46" ht="15.0" customHeight="1">
      <c r="A46" s="13" t="s">
        <v>94</v>
      </c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4">
        <v>332.0</v>
      </c>
      <c r="T46" s="14">
        <v>540.0</v>
      </c>
      <c r="U46" s="14">
        <v>435.0</v>
      </c>
      <c r="V46" s="14">
        <v>342.0</v>
      </c>
    </row>
    <row r="47" ht="15.0" customHeight="1">
      <c r="A47" s="13" t="s">
        <v>95</v>
      </c>
      <c r="B47" s="15"/>
      <c r="C47" s="17">
        <v>-1.0</v>
      </c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</row>
    <row r="48" ht="15.0" customHeight="1">
      <c r="A48" s="13" t="s">
        <v>96</v>
      </c>
      <c r="B48" s="16">
        <v>57.0</v>
      </c>
      <c r="C48" s="16">
        <v>27.0</v>
      </c>
      <c r="D48" s="16">
        <v>28.0</v>
      </c>
      <c r="E48" s="16">
        <v>51.0</v>
      </c>
      <c r="F48" s="16">
        <v>82.0</v>
      </c>
      <c r="G48" s="16">
        <v>61.0</v>
      </c>
      <c r="H48" s="14">
        <v>270.0</v>
      </c>
      <c r="I48" s="14">
        <v>181.0</v>
      </c>
      <c r="J48" s="14">
        <v>278.0</v>
      </c>
      <c r="K48" s="14">
        <v>688.0</v>
      </c>
      <c r="L48" s="14">
        <v>829.0</v>
      </c>
      <c r="M48" s="14">
        <v>922.0</v>
      </c>
      <c r="N48" s="14">
        <v>749.0</v>
      </c>
      <c r="O48" s="14">
        <v>895.0</v>
      </c>
      <c r="P48" s="14">
        <v>876.0</v>
      </c>
      <c r="Q48" s="14">
        <v>817.0</v>
      </c>
      <c r="R48" s="14">
        <v>897.0</v>
      </c>
      <c r="S48" s="14">
        <v>615.0</v>
      </c>
      <c r="T48" s="14">
        <v>430.0</v>
      </c>
      <c r="U48" s="14">
        <v>339.0</v>
      </c>
      <c r="V48" s="14">
        <v>306.0</v>
      </c>
    </row>
    <row r="49" ht="15.0" customHeight="1">
      <c r="A49" s="13" t="s">
        <v>97</v>
      </c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6">
        <v>17.0</v>
      </c>
      <c r="N49" s="16">
        <v>15.0</v>
      </c>
      <c r="O49" s="15"/>
      <c r="P49" s="15"/>
      <c r="Q49" s="15"/>
      <c r="R49" s="15"/>
      <c r="S49" s="15"/>
      <c r="T49" s="15"/>
      <c r="U49" s="15"/>
      <c r="V49" s="15"/>
    </row>
    <row r="50" ht="15.0" customHeight="1">
      <c r="A50" s="13" t="s">
        <v>98</v>
      </c>
      <c r="B50" s="15"/>
      <c r="C50" s="16">
        <v>43.0</v>
      </c>
      <c r="D50" s="16">
        <v>18.0</v>
      </c>
      <c r="E50" s="16">
        <v>16.0</v>
      </c>
      <c r="F50" s="16">
        <v>46.0</v>
      </c>
      <c r="G50" s="14">
        <v>101.0</v>
      </c>
      <c r="H50" s="14">
        <v>112.0</v>
      </c>
      <c r="I50" s="14">
        <v>278.0</v>
      </c>
      <c r="J50" s="14">
        <v>505.0</v>
      </c>
      <c r="K50" s="15"/>
      <c r="L50" s="14">
        <v>859.0</v>
      </c>
      <c r="M50" s="14">
        <v>670.0</v>
      </c>
      <c r="N50" s="14">
        <v>523.0</v>
      </c>
      <c r="O50" s="14">
        <v>819.0</v>
      </c>
      <c r="P50" s="15"/>
      <c r="Q50" s="15"/>
      <c r="R50" s="15"/>
      <c r="S50" s="15"/>
      <c r="T50" s="15"/>
      <c r="U50" s="15"/>
      <c r="V50" s="15"/>
    </row>
    <row r="51" ht="15.0" customHeight="1">
      <c r="A51" s="13" t="s">
        <v>99</v>
      </c>
      <c r="B51" s="15"/>
      <c r="C51" s="15"/>
      <c r="D51" s="15">
        <v>0.0</v>
      </c>
      <c r="E51" s="15">
        <v>0.0</v>
      </c>
      <c r="F51" s="16">
        <v>16.0</v>
      </c>
      <c r="G51" s="16">
        <v>60.0</v>
      </c>
      <c r="H51" s="16">
        <v>53.0</v>
      </c>
      <c r="I51" s="16">
        <v>64.0</v>
      </c>
      <c r="J51" s="14">
        <v>129.0</v>
      </c>
      <c r="K51" s="15"/>
      <c r="L51" s="14">
        <v>205.0</v>
      </c>
      <c r="M51" s="14">
        <v>235.0</v>
      </c>
      <c r="N51" s="14">
        <v>211.0</v>
      </c>
      <c r="O51" s="16">
        <v>76.0</v>
      </c>
      <c r="P51" s="15"/>
      <c r="Q51" s="15"/>
      <c r="R51" s="15"/>
      <c r="S51" s="15"/>
      <c r="T51" s="15"/>
      <c r="U51" s="15"/>
      <c r="V51" s="15"/>
    </row>
    <row r="52" ht="15.0" customHeight="1">
      <c r="A52" s="13" t="s">
        <v>100</v>
      </c>
      <c r="B52" s="15"/>
      <c r="C52" s="15"/>
      <c r="D52" s="16">
        <v>1.0</v>
      </c>
      <c r="E52" s="16">
        <v>4.0</v>
      </c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</row>
    <row r="53" ht="15.0" customHeight="1">
      <c r="A53" s="13" t="s">
        <v>98</v>
      </c>
      <c r="B53" s="15"/>
      <c r="C53" s="16">
        <v>5.0</v>
      </c>
      <c r="D53" s="16">
        <v>9.0</v>
      </c>
      <c r="E53" s="16">
        <v>10.0</v>
      </c>
      <c r="F53" s="16">
        <v>43.0</v>
      </c>
      <c r="G53" s="14">
        <v>113.0</v>
      </c>
      <c r="H53" s="16">
        <v>96.0</v>
      </c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</row>
    <row r="54" ht="15.0" customHeight="1">
      <c r="A54" s="13" t="s">
        <v>101</v>
      </c>
      <c r="B54" s="15"/>
      <c r="C54" s="15"/>
      <c r="D54" s="15"/>
      <c r="E54" s="15"/>
      <c r="F54" s="15"/>
      <c r="G54" s="16">
        <v>4.0</v>
      </c>
      <c r="H54" s="16">
        <v>9.0</v>
      </c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</row>
    <row r="55" ht="15.0" customHeight="1">
      <c r="A55" s="13" t="s">
        <v>102</v>
      </c>
      <c r="B55" s="15"/>
      <c r="C55" s="17">
        <v>-1.0</v>
      </c>
      <c r="D55" s="15"/>
      <c r="E55" s="15"/>
      <c r="F55" s="17">
        <v>-23.0</v>
      </c>
      <c r="G55" s="21">
        <v>-217.0</v>
      </c>
      <c r="H55" s="15"/>
      <c r="I55" s="21">
        <v>-161.0</v>
      </c>
      <c r="J55" s="21">
        <v>-356.0</v>
      </c>
      <c r="K55" s="15"/>
      <c r="L55" s="21">
        <v>-235.0</v>
      </c>
      <c r="M55" s="15"/>
      <c r="N55" s="15"/>
      <c r="O55" s="15"/>
      <c r="P55" s="15"/>
      <c r="Q55" s="15"/>
      <c r="R55" s="15"/>
      <c r="S55" s="15"/>
      <c r="T55" s="15"/>
      <c r="U55" s="15"/>
      <c r="V55" s="15"/>
    </row>
    <row r="56" ht="15.0" customHeight="1">
      <c r="A56" s="13" t="s">
        <v>103</v>
      </c>
      <c r="B56" s="15"/>
      <c r="C56" s="17">
        <v>-20.0</v>
      </c>
      <c r="D56" s="15"/>
      <c r="E56" s="16">
        <v>21.0</v>
      </c>
      <c r="F56" s="15"/>
      <c r="G56" s="15"/>
      <c r="H56" s="15"/>
      <c r="I56" s="15">
        <v>0.0</v>
      </c>
      <c r="J56" s="14">
        <v>118.0</v>
      </c>
      <c r="K56" s="14">
        <v>473.0</v>
      </c>
      <c r="L56" s="14">
        <v>1256.0</v>
      </c>
      <c r="M56" s="14">
        <v>1164.0</v>
      </c>
      <c r="N56" s="14">
        <v>370.0</v>
      </c>
      <c r="O56" s="15"/>
      <c r="P56" s="15"/>
      <c r="Q56" s="15"/>
      <c r="R56" s="15"/>
      <c r="S56" s="15"/>
      <c r="T56" s="15"/>
      <c r="U56" s="15"/>
      <c r="V56" s="15"/>
    </row>
    <row r="57" ht="15.0" customHeight="1">
      <c r="A57" s="13" t="s">
        <v>98</v>
      </c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4">
        <v>810.0</v>
      </c>
      <c r="Q57" s="14">
        <v>830.0</v>
      </c>
      <c r="R57" s="14">
        <v>803.0</v>
      </c>
      <c r="S57" s="14">
        <v>565.0</v>
      </c>
      <c r="T57" s="14">
        <v>430.0</v>
      </c>
      <c r="U57" s="14">
        <v>339.0</v>
      </c>
      <c r="V57" s="14">
        <v>306.0</v>
      </c>
    </row>
    <row r="58" ht="15.0" customHeight="1">
      <c r="A58" s="13" t="s">
        <v>104</v>
      </c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7">
        <v>-71.0</v>
      </c>
      <c r="Q58" s="17">
        <v>-57.0</v>
      </c>
      <c r="R58" s="15"/>
      <c r="S58" s="15"/>
      <c r="T58" s="15"/>
      <c r="U58" s="15"/>
      <c r="V58" s="15"/>
    </row>
    <row r="59" ht="15.0" customHeight="1">
      <c r="A59" s="13" t="s">
        <v>105</v>
      </c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4">
        <v>137.0</v>
      </c>
      <c r="Q59" s="16">
        <v>44.0</v>
      </c>
      <c r="R59" s="16">
        <v>94.0</v>
      </c>
      <c r="S59" s="16">
        <v>50.0</v>
      </c>
      <c r="T59" s="15"/>
      <c r="U59" s="15"/>
      <c r="V59" s="15"/>
    </row>
    <row r="60" ht="15.0" customHeight="1">
      <c r="A60" s="13" t="s">
        <v>106</v>
      </c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6">
        <v>1.0</v>
      </c>
      <c r="U60" s="15"/>
      <c r="V60" s="15"/>
    </row>
    <row r="61" ht="15.0" customHeight="1">
      <c r="A61" s="18" t="s">
        <v>107</v>
      </c>
      <c r="B61" s="19">
        <v>406.0</v>
      </c>
      <c r="C61" s="19">
        <v>300.0</v>
      </c>
      <c r="D61" s="19">
        <v>312.0</v>
      </c>
      <c r="E61" s="19">
        <v>412.0</v>
      </c>
      <c r="F61" s="19">
        <v>1035.0</v>
      </c>
      <c r="G61" s="19">
        <v>951.0</v>
      </c>
      <c r="H61" s="19">
        <v>5139.0</v>
      </c>
      <c r="I61" s="19">
        <v>3690.0</v>
      </c>
      <c r="J61" s="19">
        <v>3886.0</v>
      </c>
      <c r="K61" s="19">
        <v>6045.0</v>
      </c>
      <c r="L61" s="20">
        <v>11501.0</v>
      </c>
      <c r="M61" s="20">
        <v>22138.0</v>
      </c>
      <c r="N61" s="20">
        <v>18212.0</v>
      </c>
      <c r="O61" s="20">
        <v>38356.0</v>
      </c>
      <c r="P61" s="20">
        <v>33905.0</v>
      </c>
      <c r="Q61" s="20">
        <v>30874.0</v>
      </c>
      <c r="R61" s="20">
        <v>46658.0</v>
      </c>
      <c r="S61" s="20">
        <v>55485.0</v>
      </c>
      <c r="T61" s="20">
        <v>54475.0</v>
      </c>
      <c r="U61" s="20">
        <v>48059.0</v>
      </c>
      <c r="V61" s="20">
        <v>35430.0</v>
      </c>
    </row>
    <row r="62" ht="15.0" customHeight="1">
      <c r="A62" s="13" t="s">
        <v>108</v>
      </c>
      <c r="B62" s="15"/>
      <c r="C62" s="17">
        <v>-1.0</v>
      </c>
      <c r="D62" s="17">
        <v>-1.0</v>
      </c>
      <c r="E62" s="16">
        <v>1.0</v>
      </c>
      <c r="F62" s="15"/>
      <c r="G62" s="15"/>
      <c r="H62" s="15"/>
      <c r="I62" s="17">
        <v>-1.0</v>
      </c>
      <c r="J62" s="15"/>
      <c r="K62" s="17">
        <v>-1.0</v>
      </c>
      <c r="L62" s="15"/>
      <c r="M62" s="15"/>
      <c r="N62" s="17">
        <v>-1.0</v>
      </c>
      <c r="O62" s="15"/>
      <c r="P62" s="15"/>
      <c r="Q62" s="15"/>
      <c r="R62" s="15"/>
      <c r="S62" s="15"/>
      <c r="T62" s="15"/>
      <c r="U62" s="15"/>
      <c r="V62" s="15"/>
    </row>
    <row r="63" ht="15.0" customHeight="1">
      <c r="A63" s="18" t="s">
        <v>109</v>
      </c>
      <c r="B63" s="22">
        <v>-16.0</v>
      </c>
      <c r="C63" s="19">
        <v>621.0</v>
      </c>
      <c r="D63" s="22">
        <v>-31.0</v>
      </c>
      <c r="E63" s="23">
        <v>-142.0</v>
      </c>
      <c r="F63" s="22">
        <v>-82.0</v>
      </c>
      <c r="G63" s="23">
        <v>-132.0</v>
      </c>
      <c r="H63" s="19">
        <v>222.0</v>
      </c>
      <c r="I63" s="19">
        <v>109.0</v>
      </c>
      <c r="J63" s="23">
        <v>-280.0</v>
      </c>
      <c r="K63" s="23">
        <v>-1071.0</v>
      </c>
      <c r="L63" s="23">
        <v>-1518.0</v>
      </c>
      <c r="M63" s="23">
        <v>-706.0</v>
      </c>
      <c r="N63" s="19">
        <v>235.0</v>
      </c>
      <c r="O63" s="19">
        <v>3276.0</v>
      </c>
      <c r="P63" s="19">
        <v>2569.0</v>
      </c>
      <c r="Q63" s="19">
        <v>2491.0</v>
      </c>
      <c r="R63" s="19">
        <v>3198.0</v>
      </c>
      <c r="S63" s="19">
        <v>2767.0</v>
      </c>
      <c r="T63" s="19">
        <v>3482.0</v>
      </c>
      <c r="U63" s="19">
        <v>2533.0</v>
      </c>
      <c r="V63" s="19">
        <v>1510.0</v>
      </c>
    </row>
    <row r="64" ht="15.0" customHeight="1">
      <c r="A64" s="13" t="s">
        <v>110</v>
      </c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21">
        <v>-641.0</v>
      </c>
      <c r="Q64" s="21">
        <v>-509.0</v>
      </c>
      <c r="R64" s="21">
        <v>-565.0</v>
      </c>
      <c r="S64" s="21">
        <v>-379.0</v>
      </c>
      <c r="T64" s="21">
        <v>-209.0</v>
      </c>
      <c r="U64" s="21">
        <v>-1061.0</v>
      </c>
      <c r="V64" s="21">
        <v>-449.0</v>
      </c>
    </row>
    <row r="65" ht="15.0" customHeight="1">
      <c r="A65" s="13" t="s">
        <v>111</v>
      </c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7">
        <v>-47.0</v>
      </c>
      <c r="Q65" s="17">
        <v>-7.0</v>
      </c>
      <c r="R65" s="15"/>
      <c r="S65" s="15"/>
      <c r="T65" s="15"/>
      <c r="U65" s="15"/>
      <c r="V65" s="15"/>
    </row>
    <row r="66" ht="15.0" customHeight="1">
      <c r="A66" s="13" t="s">
        <v>112</v>
      </c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21">
        <v>-246.0</v>
      </c>
      <c r="Q66" s="15"/>
      <c r="R66" s="15"/>
      <c r="S66" s="15"/>
      <c r="T66" s="15"/>
      <c r="U66" s="15"/>
      <c r="V66" s="15"/>
    </row>
    <row r="67" ht="15.0" customHeight="1">
      <c r="A67" s="13" t="s">
        <v>113</v>
      </c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7">
        <v>-6.0</v>
      </c>
      <c r="Q67" s="17">
        <v>-8.0</v>
      </c>
      <c r="R67" s="16">
        <v>34.0</v>
      </c>
      <c r="S67" s="15"/>
      <c r="T67" s="15"/>
      <c r="U67" s="21">
        <v>-632.0</v>
      </c>
      <c r="V67" s="15"/>
    </row>
    <row r="68" ht="15.0" customHeight="1">
      <c r="A68" s="13" t="s">
        <v>114</v>
      </c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4">
        <v>183.0</v>
      </c>
      <c r="Q68" s="16">
        <v>86.0</v>
      </c>
      <c r="R68" s="17">
        <v>-63.0</v>
      </c>
      <c r="S68" s="21">
        <v>-175.0</v>
      </c>
      <c r="T68" s="21">
        <v>-105.0</v>
      </c>
      <c r="U68" s="21">
        <v>-174.0</v>
      </c>
      <c r="V68" s="17">
        <v>-50.0</v>
      </c>
    </row>
    <row r="69" ht="15.0" customHeight="1">
      <c r="A69" s="13" t="s">
        <v>115</v>
      </c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6">
        <v>4.0</v>
      </c>
      <c r="Q69" s="16">
        <v>1.0</v>
      </c>
      <c r="R69" s="16">
        <v>32.0</v>
      </c>
      <c r="S69" s="16">
        <v>34.0</v>
      </c>
      <c r="T69" s="16">
        <v>2.0</v>
      </c>
      <c r="U69" s="16">
        <v>2.0</v>
      </c>
      <c r="V69" s="16">
        <v>50.0</v>
      </c>
    </row>
    <row r="70" ht="15.0" customHeight="1">
      <c r="A70" s="13" t="s">
        <v>116</v>
      </c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6">
        <v>53.0</v>
      </c>
      <c r="Q70" s="16">
        <v>31.0</v>
      </c>
      <c r="R70" s="21">
        <v>-127.0</v>
      </c>
      <c r="S70" s="21">
        <v>-325.0</v>
      </c>
      <c r="T70" s="21">
        <v>-192.0</v>
      </c>
      <c r="U70" s="21">
        <v>-348.0</v>
      </c>
      <c r="V70" s="21">
        <v>-100.0</v>
      </c>
    </row>
    <row r="71" ht="15.0" customHeight="1">
      <c r="A71" s="13" t="s">
        <v>117</v>
      </c>
      <c r="B71" s="21">
        <v>-166.0</v>
      </c>
      <c r="C71" s="14">
        <v>1006.0</v>
      </c>
      <c r="D71" s="16">
        <v>10.0</v>
      </c>
      <c r="E71" s="16">
        <v>93.0</v>
      </c>
      <c r="F71" s="15"/>
      <c r="G71" s="15"/>
      <c r="H71" s="15"/>
      <c r="I71" s="15"/>
      <c r="J71" s="15"/>
      <c r="K71" s="21">
        <v>-1174.0</v>
      </c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</row>
    <row r="72" ht="15.0" customHeight="1">
      <c r="A72" s="13" t="s">
        <v>118</v>
      </c>
      <c r="B72" s="15"/>
      <c r="C72" s="14">
        <v>1200.0</v>
      </c>
      <c r="D72" s="14">
        <v>259.0</v>
      </c>
      <c r="E72" s="14">
        <v>483.0</v>
      </c>
      <c r="F72" s="14">
        <v>369.0</v>
      </c>
      <c r="G72" s="14">
        <v>201.0</v>
      </c>
      <c r="H72" s="14">
        <v>321.0</v>
      </c>
      <c r="I72" s="14">
        <v>185.0</v>
      </c>
      <c r="J72" s="14">
        <v>115.0</v>
      </c>
      <c r="K72" s="15"/>
      <c r="L72" s="16">
        <v>87.0</v>
      </c>
      <c r="M72" s="14">
        <v>119.0</v>
      </c>
      <c r="N72" s="16">
        <v>47.0</v>
      </c>
      <c r="O72" s="14">
        <v>110.0</v>
      </c>
      <c r="P72" s="15"/>
      <c r="Q72" s="15"/>
      <c r="R72" s="15"/>
      <c r="S72" s="15"/>
      <c r="T72" s="15"/>
      <c r="U72" s="15"/>
      <c r="V72" s="15"/>
    </row>
    <row r="73" ht="15.0" customHeight="1">
      <c r="A73" s="13" t="s">
        <v>119</v>
      </c>
      <c r="B73" s="15"/>
      <c r="C73" s="16">
        <v>9.0</v>
      </c>
      <c r="D73" s="16">
        <v>4.0</v>
      </c>
      <c r="E73" s="16">
        <v>79.0</v>
      </c>
      <c r="F73" s="16">
        <v>74.0</v>
      </c>
      <c r="G73" s="16">
        <v>77.0</v>
      </c>
      <c r="H73" s="16">
        <v>69.0</v>
      </c>
      <c r="I73" s="16">
        <v>71.0</v>
      </c>
      <c r="J73" s="16">
        <v>8.0</v>
      </c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</row>
    <row r="74" ht="15.0" customHeight="1">
      <c r="A74" s="13" t="s">
        <v>120</v>
      </c>
      <c r="B74" s="15"/>
      <c r="C74" s="14">
        <v>174.0</v>
      </c>
      <c r="D74" s="14">
        <v>168.0</v>
      </c>
      <c r="E74" s="14">
        <v>155.0</v>
      </c>
      <c r="F74" s="14">
        <v>118.0</v>
      </c>
      <c r="G74" s="14">
        <v>109.0</v>
      </c>
      <c r="H74" s="14">
        <v>114.0</v>
      </c>
      <c r="I74" s="16">
        <v>67.0</v>
      </c>
      <c r="J74" s="16">
        <v>63.0</v>
      </c>
      <c r="K74" s="15"/>
      <c r="L74" s="16">
        <v>12.0</v>
      </c>
      <c r="M74" s="16">
        <v>43.0</v>
      </c>
      <c r="N74" s="16">
        <v>37.0</v>
      </c>
      <c r="O74" s="16">
        <v>78.0</v>
      </c>
      <c r="P74" s="14">
        <v>126.0</v>
      </c>
      <c r="Q74" s="16">
        <v>54.0</v>
      </c>
      <c r="R74" s="16">
        <v>32.0</v>
      </c>
      <c r="S74" s="14">
        <v>116.0</v>
      </c>
      <c r="T74" s="16">
        <v>85.0</v>
      </c>
      <c r="U74" s="14">
        <v>172.0</v>
      </c>
      <c r="V74" s="15"/>
    </row>
    <row r="75" ht="15.0" customHeight="1">
      <c r="A75" s="13" t="s">
        <v>121</v>
      </c>
      <c r="B75" s="15"/>
      <c r="C75" s="14">
        <v>717.0</v>
      </c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</row>
    <row r="76" ht="15.0" customHeight="1">
      <c r="A76" s="13" t="s">
        <v>122</v>
      </c>
      <c r="B76" s="15"/>
      <c r="C76" s="14">
        <v>190.0</v>
      </c>
      <c r="D76" s="16">
        <v>48.0</v>
      </c>
      <c r="E76" s="14">
        <v>168.0</v>
      </c>
      <c r="F76" s="16">
        <v>55.0</v>
      </c>
      <c r="G76" s="16">
        <v>4.0</v>
      </c>
      <c r="H76" s="15"/>
      <c r="I76" s="15">
        <v>0.0</v>
      </c>
      <c r="J76" s="16">
        <v>23.0</v>
      </c>
      <c r="K76" s="15"/>
      <c r="L76" s="16">
        <v>49.0</v>
      </c>
      <c r="M76" s="16">
        <v>64.0</v>
      </c>
      <c r="N76" s="16">
        <v>5.0</v>
      </c>
      <c r="O76" s="16">
        <v>4.0</v>
      </c>
      <c r="P76" s="15"/>
      <c r="Q76" s="15"/>
      <c r="R76" s="15"/>
      <c r="S76" s="15"/>
      <c r="T76" s="15"/>
      <c r="U76" s="15"/>
      <c r="V76" s="15"/>
    </row>
    <row r="77" ht="15.0" customHeight="1">
      <c r="A77" s="13" t="s">
        <v>123</v>
      </c>
      <c r="B77" s="15"/>
      <c r="C77" s="14">
        <v>108.0</v>
      </c>
      <c r="D77" s="16">
        <v>30.0</v>
      </c>
      <c r="E77" s="16">
        <v>58.0</v>
      </c>
      <c r="F77" s="16">
        <v>11.0</v>
      </c>
      <c r="G77" s="15">
        <v>0.0</v>
      </c>
      <c r="H77" s="16">
        <v>37.0</v>
      </c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</row>
    <row r="78" ht="15.0" customHeight="1">
      <c r="A78" s="13" t="s">
        <v>124</v>
      </c>
      <c r="B78" s="15"/>
      <c r="C78" s="15"/>
      <c r="D78" s="15"/>
      <c r="E78" s="15"/>
      <c r="F78" s="14">
        <v>110.0</v>
      </c>
      <c r="G78" s="16">
        <v>7.0</v>
      </c>
      <c r="H78" s="16">
        <v>99.0</v>
      </c>
      <c r="I78" s="15">
        <v>0.0</v>
      </c>
      <c r="J78" s="16">
        <v>21.0</v>
      </c>
      <c r="K78" s="17">
        <v>-26.0</v>
      </c>
      <c r="L78" s="15">
        <v>0.0</v>
      </c>
      <c r="M78" s="15"/>
      <c r="N78" s="15"/>
      <c r="O78" s="15"/>
      <c r="P78" s="15"/>
      <c r="Q78" s="15"/>
      <c r="R78" s="15"/>
      <c r="S78" s="15"/>
      <c r="T78" s="15"/>
      <c r="U78" s="15"/>
      <c r="V78" s="15"/>
    </row>
    <row r="79" ht="15.0" customHeight="1">
      <c r="A79" s="13" t="s">
        <v>125</v>
      </c>
      <c r="B79" s="15"/>
      <c r="C79" s="16">
        <v>2.0</v>
      </c>
      <c r="D79" s="16">
        <v>9.0</v>
      </c>
      <c r="E79" s="16">
        <v>24.0</v>
      </c>
      <c r="F79" s="16">
        <v>1.0</v>
      </c>
      <c r="G79" s="16">
        <v>4.0</v>
      </c>
      <c r="H79" s="16">
        <v>2.0</v>
      </c>
      <c r="I79" s="16">
        <v>47.0</v>
      </c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</row>
    <row r="80" ht="15.0" customHeight="1">
      <c r="A80" s="13" t="s">
        <v>126</v>
      </c>
      <c r="B80" s="15"/>
      <c r="C80" s="15"/>
      <c r="D80" s="15"/>
      <c r="E80" s="17">
        <v>-1.0</v>
      </c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</row>
    <row r="81" ht="15.0" customHeight="1">
      <c r="A81" s="13" t="s">
        <v>127</v>
      </c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6">
        <v>26.0</v>
      </c>
      <c r="M81" s="16">
        <v>12.0</v>
      </c>
      <c r="N81" s="16">
        <v>5.0</v>
      </c>
      <c r="O81" s="16">
        <v>28.0</v>
      </c>
      <c r="P81" s="15"/>
      <c r="Q81" s="15"/>
      <c r="R81" s="15"/>
      <c r="S81" s="15"/>
      <c r="T81" s="15"/>
      <c r="U81" s="15"/>
      <c r="V81" s="15"/>
    </row>
    <row r="82" ht="15.0" customHeight="1">
      <c r="A82" s="13" t="s">
        <v>128</v>
      </c>
      <c r="B82" s="15"/>
      <c r="C82" s="21">
        <v>-114.0</v>
      </c>
      <c r="D82" s="21">
        <v>-209.0</v>
      </c>
      <c r="E82" s="21">
        <v>-224.0</v>
      </c>
      <c r="F82" s="21">
        <v>-175.0</v>
      </c>
      <c r="G82" s="21">
        <v>-226.0</v>
      </c>
      <c r="H82" s="21">
        <v>-192.0</v>
      </c>
      <c r="I82" s="21">
        <v>-202.0</v>
      </c>
      <c r="J82" s="21">
        <v>-179.0</v>
      </c>
      <c r="K82" s="15"/>
      <c r="L82" s="21">
        <v>-742.0</v>
      </c>
      <c r="M82" s="21">
        <v>-568.0</v>
      </c>
      <c r="N82" s="21">
        <v>-583.0</v>
      </c>
      <c r="O82" s="21">
        <v>-602.0</v>
      </c>
      <c r="P82" s="15"/>
      <c r="Q82" s="15"/>
      <c r="R82" s="15"/>
      <c r="S82" s="15"/>
      <c r="T82" s="15"/>
      <c r="U82" s="15"/>
      <c r="V82" s="15"/>
    </row>
    <row r="83" ht="15.0" customHeight="1">
      <c r="A83" s="13" t="s">
        <v>129</v>
      </c>
      <c r="B83" s="15"/>
      <c r="C83" s="15"/>
      <c r="D83" s="15"/>
      <c r="E83" s="15"/>
      <c r="F83" s="15"/>
      <c r="G83" s="17">
        <v>-20.0</v>
      </c>
      <c r="H83" s="17">
        <v>-10.0</v>
      </c>
      <c r="I83" s="17">
        <v>-9.0</v>
      </c>
      <c r="J83" s="17">
        <v>-22.0</v>
      </c>
      <c r="K83" s="15"/>
      <c r="L83" s="17">
        <v>-21.0</v>
      </c>
      <c r="M83" s="17">
        <v>-8.0</v>
      </c>
      <c r="N83" s="17">
        <v>-13.0</v>
      </c>
      <c r="O83" s="17">
        <v>-23.0</v>
      </c>
      <c r="P83" s="15"/>
      <c r="Q83" s="15"/>
      <c r="R83" s="15"/>
      <c r="S83" s="15"/>
      <c r="T83" s="15"/>
      <c r="U83" s="15"/>
      <c r="V83" s="15"/>
    </row>
    <row r="84" ht="15.0" customHeight="1">
      <c r="A84" s="13" t="s">
        <v>130</v>
      </c>
      <c r="B84" s="15"/>
      <c r="C84" s="21">
        <v>-103.0</v>
      </c>
      <c r="D84" s="21">
        <v>-160.0</v>
      </c>
      <c r="E84" s="21">
        <v>-124.0</v>
      </c>
      <c r="F84" s="21">
        <v>-112.0</v>
      </c>
      <c r="G84" s="17">
        <v>-93.0</v>
      </c>
      <c r="H84" s="21">
        <v>-101.0</v>
      </c>
      <c r="I84" s="17">
        <v>-81.0</v>
      </c>
      <c r="J84" s="21">
        <v>-122.0</v>
      </c>
      <c r="K84" s="21">
        <v>-236.0</v>
      </c>
      <c r="L84" s="21">
        <v>-205.0</v>
      </c>
      <c r="M84" s="21">
        <v>-341.0</v>
      </c>
      <c r="N84" s="21">
        <v>-526.0</v>
      </c>
      <c r="O84" s="21">
        <v>-539.0</v>
      </c>
      <c r="P84" s="21">
        <v>-342.0</v>
      </c>
      <c r="Q84" s="21">
        <v>-494.0</v>
      </c>
      <c r="R84" s="21">
        <v>-599.0</v>
      </c>
      <c r="S84" s="21">
        <v>-379.0</v>
      </c>
      <c r="T84" s="21">
        <v>-209.0</v>
      </c>
      <c r="U84" s="21">
        <v>-429.0</v>
      </c>
      <c r="V84" s="21">
        <v>-467.0</v>
      </c>
    </row>
    <row r="85" ht="15.0" customHeight="1">
      <c r="A85" s="13" t="s">
        <v>131</v>
      </c>
      <c r="B85" s="15"/>
      <c r="C85" s="15"/>
      <c r="D85" s="15"/>
      <c r="E85" s="17">
        <v>-58.0</v>
      </c>
      <c r="F85" s="17">
        <v>-17.0</v>
      </c>
      <c r="G85" s="15">
        <v>0.0</v>
      </c>
      <c r="H85" s="17">
        <v>-30.0</v>
      </c>
      <c r="I85" s="17">
        <v>-2.0</v>
      </c>
      <c r="J85" s="15">
        <v>0.0</v>
      </c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</row>
    <row r="86" ht="15.0" customHeight="1">
      <c r="A86" s="13" t="s">
        <v>132</v>
      </c>
      <c r="B86" s="15"/>
      <c r="C86" s="17">
        <v>-3.0</v>
      </c>
      <c r="D86" s="17">
        <v>-30.0</v>
      </c>
      <c r="E86" s="17">
        <v>-13.0</v>
      </c>
      <c r="F86" s="17">
        <v>-36.0</v>
      </c>
      <c r="G86" s="14">
        <v>100.0</v>
      </c>
      <c r="H86" s="17">
        <v>-14.0</v>
      </c>
      <c r="I86" s="17">
        <v>-39.0</v>
      </c>
      <c r="J86" s="17">
        <v>-35.0</v>
      </c>
      <c r="K86" s="17">
        <v>-50.0</v>
      </c>
      <c r="L86" s="17">
        <v>-35.0</v>
      </c>
      <c r="M86" s="21">
        <v>-210.0</v>
      </c>
      <c r="N86" s="17">
        <v>-18.0</v>
      </c>
      <c r="O86" s="17">
        <v>-40.0</v>
      </c>
      <c r="P86" s="15"/>
      <c r="Q86" s="15"/>
      <c r="R86" s="15"/>
      <c r="S86" s="15"/>
      <c r="T86" s="15"/>
      <c r="U86" s="15"/>
      <c r="V86" s="15"/>
    </row>
    <row r="87" ht="15.0" customHeight="1">
      <c r="A87" s="13" t="s">
        <v>123</v>
      </c>
      <c r="B87" s="15"/>
      <c r="C87" s="15"/>
      <c r="D87" s="15"/>
      <c r="E87" s="15"/>
      <c r="F87" s="15">
        <v>0.0</v>
      </c>
      <c r="G87" s="17">
        <v>-94.0</v>
      </c>
      <c r="H87" s="15">
        <v>0.0</v>
      </c>
      <c r="I87" s="17">
        <v>-71.0</v>
      </c>
      <c r="J87" s="15">
        <v>0.0</v>
      </c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</row>
    <row r="88" ht="15.0" customHeight="1">
      <c r="A88" s="13" t="s">
        <v>133</v>
      </c>
      <c r="B88" s="15"/>
      <c r="C88" s="15"/>
      <c r="D88" s="15"/>
      <c r="E88" s="15"/>
      <c r="F88" s="15"/>
      <c r="G88" s="15"/>
      <c r="H88" s="15">
        <v>0.0</v>
      </c>
      <c r="I88" s="17">
        <v>-2.0</v>
      </c>
      <c r="J88" s="21">
        <v>-121.0</v>
      </c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</row>
    <row r="89" ht="15.0" customHeight="1">
      <c r="A89" s="13" t="s">
        <v>134</v>
      </c>
      <c r="B89" s="15"/>
      <c r="C89" s="15"/>
      <c r="D89" s="15"/>
      <c r="E89" s="15"/>
      <c r="F89" s="15">
        <v>0.0</v>
      </c>
      <c r="G89" s="21">
        <v>-106.0</v>
      </c>
      <c r="H89" s="15">
        <v>0.0</v>
      </c>
      <c r="I89" s="17">
        <v>-24.0</v>
      </c>
      <c r="J89" s="17">
        <v>-9.0</v>
      </c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</row>
    <row r="90" ht="15.0" customHeight="1">
      <c r="A90" s="13" t="s">
        <v>135</v>
      </c>
      <c r="B90" s="15"/>
      <c r="C90" s="17">
        <v>-1.0</v>
      </c>
      <c r="D90" s="17">
        <v>-3.0</v>
      </c>
      <c r="E90" s="17">
        <v>-5.0</v>
      </c>
      <c r="F90" s="17">
        <v>-9.0</v>
      </c>
      <c r="G90" s="17">
        <v>-13.0</v>
      </c>
      <c r="H90" s="17">
        <v>-37.0</v>
      </c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</row>
    <row r="91" ht="15.0" customHeight="1">
      <c r="A91" s="13" t="s">
        <v>136</v>
      </c>
      <c r="B91" s="15"/>
      <c r="C91" s="15"/>
      <c r="D91" s="15"/>
      <c r="E91" s="15"/>
      <c r="F91" s="17">
        <v>-1.0</v>
      </c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</row>
    <row r="92" ht="15.0" customHeight="1">
      <c r="A92" s="13" t="s">
        <v>136</v>
      </c>
      <c r="B92" s="15"/>
      <c r="C92" s="17">
        <v>-7.0</v>
      </c>
      <c r="D92" s="17">
        <v>-16.0</v>
      </c>
      <c r="E92" s="17">
        <v>-24.0</v>
      </c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</row>
    <row r="93" ht="15.0" customHeight="1">
      <c r="A93" s="13" t="s">
        <v>137</v>
      </c>
      <c r="B93" s="15"/>
      <c r="C93" s="15"/>
      <c r="D93" s="15"/>
      <c r="E93" s="15"/>
      <c r="F93" s="15"/>
      <c r="G93" s="15"/>
      <c r="H93" s="15"/>
      <c r="I93" s="15"/>
      <c r="J93" s="15"/>
      <c r="K93" s="17">
        <v>-1.0</v>
      </c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</row>
    <row r="94" ht="15.0" customHeight="1">
      <c r="A94" s="13" t="s">
        <v>138</v>
      </c>
      <c r="B94" s="15"/>
      <c r="C94" s="15"/>
      <c r="D94" s="15"/>
      <c r="E94" s="15"/>
      <c r="F94" s="15"/>
      <c r="G94" s="15"/>
      <c r="H94" s="15"/>
      <c r="I94" s="15"/>
      <c r="J94" s="15"/>
      <c r="K94" s="21">
        <v>-292.0</v>
      </c>
      <c r="L94" s="21">
        <v>-279.0</v>
      </c>
      <c r="M94" s="15"/>
      <c r="N94" s="15"/>
      <c r="O94" s="15"/>
      <c r="P94" s="15"/>
      <c r="Q94" s="15"/>
      <c r="R94" s="15"/>
      <c r="S94" s="15"/>
      <c r="T94" s="15"/>
      <c r="U94" s="15"/>
      <c r="V94" s="15"/>
    </row>
    <row r="95" ht="15.0" customHeight="1">
      <c r="A95" s="13" t="s">
        <v>139</v>
      </c>
      <c r="B95" s="15"/>
      <c r="C95" s="15"/>
      <c r="D95" s="15"/>
      <c r="E95" s="15"/>
      <c r="F95" s="15"/>
      <c r="G95" s="15"/>
      <c r="H95" s="15"/>
      <c r="I95" s="15"/>
      <c r="J95" s="15"/>
      <c r="K95" s="17">
        <v>-94.0</v>
      </c>
      <c r="L95" s="21">
        <v>-202.0</v>
      </c>
      <c r="M95" s="15"/>
      <c r="N95" s="15"/>
      <c r="O95" s="15"/>
      <c r="P95" s="15"/>
      <c r="Q95" s="15"/>
      <c r="R95" s="15"/>
      <c r="S95" s="15"/>
      <c r="T95" s="15"/>
      <c r="U95" s="15"/>
      <c r="V95" s="15"/>
    </row>
    <row r="96" ht="15.0" customHeight="1">
      <c r="A96" s="13" t="s">
        <v>140</v>
      </c>
      <c r="B96" s="15"/>
      <c r="C96" s="17">
        <v>-80.0</v>
      </c>
      <c r="D96" s="17">
        <v>-40.0</v>
      </c>
      <c r="E96" s="21">
        <v>-166.0</v>
      </c>
      <c r="F96" s="15"/>
      <c r="G96" s="15"/>
      <c r="H96" s="15"/>
      <c r="I96" s="15"/>
      <c r="J96" s="15"/>
      <c r="K96" s="16">
        <v>28.0</v>
      </c>
      <c r="L96" s="15"/>
      <c r="M96" s="17">
        <v>-9.0</v>
      </c>
      <c r="N96" s="17">
        <v>-26.0</v>
      </c>
      <c r="O96" s="15">
        <v>0.0</v>
      </c>
      <c r="P96" s="15"/>
      <c r="Q96" s="16">
        <v>23.0</v>
      </c>
      <c r="R96" s="17">
        <v>-27.0</v>
      </c>
      <c r="S96" s="16">
        <v>31.0</v>
      </c>
      <c r="T96" s="16">
        <v>18.0</v>
      </c>
      <c r="U96" s="16">
        <v>20.0</v>
      </c>
      <c r="V96" s="16">
        <v>18.0</v>
      </c>
    </row>
    <row r="97" ht="15.0" customHeight="1">
      <c r="A97" s="13" t="s">
        <v>141</v>
      </c>
      <c r="B97" s="15"/>
      <c r="C97" s="15"/>
      <c r="D97" s="15"/>
      <c r="E97" s="15"/>
      <c r="F97" s="15"/>
      <c r="G97" s="15"/>
      <c r="H97" s="15"/>
      <c r="I97" s="15"/>
      <c r="J97" s="15"/>
      <c r="K97" s="21">
        <v>-289.0</v>
      </c>
      <c r="L97" s="16">
        <v>50.0</v>
      </c>
      <c r="M97" s="21">
        <v>-372.0</v>
      </c>
      <c r="N97" s="16">
        <v>84.0</v>
      </c>
      <c r="O97" s="21">
        <v>-124.0</v>
      </c>
      <c r="P97" s="16">
        <v>35.0</v>
      </c>
      <c r="Q97" s="17">
        <v>-78.0</v>
      </c>
      <c r="R97" s="14">
        <v>161.0</v>
      </c>
      <c r="S97" s="21">
        <v>-439.0</v>
      </c>
      <c r="T97" s="14">
        <v>155.0</v>
      </c>
      <c r="U97" s="14">
        <v>241.0</v>
      </c>
      <c r="V97" s="21">
        <v>-396.0</v>
      </c>
    </row>
    <row r="98" ht="15.0" customHeight="1">
      <c r="A98" s="13" t="s">
        <v>142</v>
      </c>
      <c r="B98" s="16">
        <v>25.0</v>
      </c>
      <c r="C98" s="17">
        <v>-1.0</v>
      </c>
      <c r="D98" s="21">
        <v>-363.0</v>
      </c>
      <c r="E98" s="21">
        <v>-263.0</v>
      </c>
      <c r="F98" s="21">
        <v>-346.0</v>
      </c>
      <c r="G98" s="21">
        <v>-256.0</v>
      </c>
      <c r="H98" s="21">
        <v>-160.0</v>
      </c>
      <c r="I98" s="21">
        <v>-157.0</v>
      </c>
      <c r="J98" s="21">
        <v>-212.0</v>
      </c>
      <c r="K98" s="21">
        <v>-214.0</v>
      </c>
      <c r="L98" s="17">
        <v>-73.0</v>
      </c>
      <c r="M98" s="21">
        <v>-126.0</v>
      </c>
      <c r="N98" s="17">
        <v>-25.0</v>
      </c>
      <c r="O98" s="16">
        <v>9.0</v>
      </c>
      <c r="P98" s="17">
        <v>-73.0</v>
      </c>
      <c r="Q98" s="17">
        <v>-22.0</v>
      </c>
      <c r="R98" s="14">
        <v>112.0</v>
      </c>
      <c r="S98" s="17">
        <v>-21.0</v>
      </c>
      <c r="T98" s="17">
        <v>-2.0</v>
      </c>
      <c r="U98" s="17">
        <v>-18.0</v>
      </c>
      <c r="V98" s="16">
        <v>25.0</v>
      </c>
    </row>
    <row r="99" ht="15.0" customHeight="1">
      <c r="A99" s="13" t="s">
        <v>143</v>
      </c>
      <c r="B99" s="15"/>
      <c r="C99" s="15"/>
      <c r="D99" s="15"/>
      <c r="E99" s="15"/>
      <c r="F99" s="15">
        <v>0.0</v>
      </c>
      <c r="G99" s="21">
        <v>-106.0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</row>
    <row r="100" ht="15.0" customHeight="1">
      <c r="A100" s="13" t="s">
        <v>144</v>
      </c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7">
        <v>-1.0</v>
      </c>
      <c r="S100" s="17">
        <v>-6.0</v>
      </c>
      <c r="T100" s="16">
        <v>7.0</v>
      </c>
      <c r="U100" s="15">
        <v>0.0</v>
      </c>
      <c r="V100" s="15"/>
    </row>
    <row r="101" ht="15.0" customHeight="1">
      <c r="A101" s="13" t="s">
        <v>145</v>
      </c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6">
        <v>61.0</v>
      </c>
      <c r="S101" s="15">
        <v>0.0</v>
      </c>
      <c r="T101" s="15"/>
      <c r="U101" s="15"/>
      <c r="V101" s="15"/>
    </row>
    <row r="102" ht="15.0" customHeight="1">
      <c r="A102" s="13" t="s">
        <v>146</v>
      </c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>
        <v>0.0</v>
      </c>
      <c r="T102" s="15">
        <v>0.0</v>
      </c>
      <c r="U102" s="21">
        <v>-652.0</v>
      </c>
      <c r="V102" s="15">
        <v>0.0</v>
      </c>
    </row>
    <row r="103" ht="15.0" customHeight="1">
      <c r="A103" s="13" t="s">
        <v>147</v>
      </c>
      <c r="B103" s="15"/>
      <c r="C103" s="15"/>
      <c r="D103" s="15"/>
      <c r="E103" s="15"/>
      <c r="F103" s="15"/>
      <c r="G103" s="15"/>
      <c r="H103" s="16">
        <v>1.0</v>
      </c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</row>
    <row r="104" ht="15.0" customHeight="1">
      <c r="A104" s="18" t="s">
        <v>117</v>
      </c>
      <c r="B104" s="23">
        <v>-141.0</v>
      </c>
      <c r="C104" s="19">
        <v>1005.0</v>
      </c>
      <c r="D104" s="23">
        <v>-353.0</v>
      </c>
      <c r="E104" s="23">
        <v>-170.0</v>
      </c>
      <c r="F104" s="23">
        <v>-152.0</v>
      </c>
      <c r="G104" s="23">
        <v>-387.0</v>
      </c>
      <c r="H104" s="22">
        <v>-30.0</v>
      </c>
      <c r="I104" s="23">
        <v>-200.0</v>
      </c>
      <c r="J104" s="23">
        <v>-406.0</v>
      </c>
      <c r="K104" s="23">
        <v>-1174.0</v>
      </c>
      <c r="L104" s="23">
        <v>-678.0</v>
      </c>
      <c r="M104" s="23">
        <v>-947.0</v>
      </c>
      <c r="N104" s="23">
        <v>-477.0</v>
      </c>
      <c r="O104" s="23">
        <v>-607.0</v>
      </c>
      <c r="P104" s="23">
        <v>-496.0</v>
      </c>
      <c r="Q104" s="23">
        <v>-500.0</v>
      </c>
      <c r="R104" s="23">
        <v>-322.0</v>
      </c>
      <c r="S104" s="23">
        <v>-989.0</v>
      </c>
      <c r="T104" s="23">
        <v>-136.0</v>
      </c>
      <c r="U104" s="23">
        <v>-1644.0</v>
      </c>
      <c r="V104" s="23">
        <v>-870.0</v>
      </c>
    </row>
    <row r="105" ht="15.0" customHeight="1">
      <c r="A105" s="13" t="s">
        <v>148</v>
      </c>
      <c r="B105" s="15"/>
      <c r="C105" s="15"/>
      <c r="D105" s="15"/>
      <c r="E105" s="15"/>
      <c r="F105" s="17">
        <v>-1.0</v>
      </c>
      <c r="G105" s="15"/>
      <c r="H105" s="17">
        <v>-1.0</v>
      </c>
      <c r="I105" s="15"/>
      <c r="J105" s="15"/>
      <c r="K105" s="15"/>
      <c r="L105" s="16">
        <v>1.0</v>
      </c>
      <c r="M105" s="15"/>
      <c r="N105" s="15"/>
      <c r="O105" s="15"/>
      <c r="P105" s="15"/>
      <c r="Q105" s="17">
        <v>-23.0</v>
      </c>
      <c r="R105" s="16">
        <v>93.0</v>
      </c>
      <c r="S105" s="14">
        <v>325.0</v>
      </c>
      <c r="T105" s="14">
        <v>192.0</v>
      </c>
      <c r="U105" s="14">
        <v>980.0</v>
      </c>
      <c r="V105" s="14">
        <v>100.0</v>
      </c>
    </row>
    <row r="106" ht="15.0" customHeight="1">
      <c r="A106" s="18" t="s">
        <v>149</v>
      </c>
      <c r="B106" s="23">
        <v>-157.0</v>
      </c>
      <c r="C106" s="19">
        <v>1626.0</v>
      </c>
      <c r="D106" s="23">
        <v>-384.0</v>
      </c>
      <c r="E106" s="23">
        <v>-312.0</v>
      </c>
      <c r="F106" s="23">
        <v>-235.0</v>
      </c>
      <c r="G106" s="23">
        <v>-519.0</v>
      </c>
      <c r="H106" s="19">
        <v>191.0</v>
      </c>
      <c r="I106" s="22">
        <v>-91.0</v>
      </c>
      <c r="J106" s="23">
        <v>-686.0</v>
      </c>
      <c r="K106" s="23">
        <v>-2245.0</v>
      </c>
      <c r="L106" s="23">
        <v>-2195.0</v>
      </c>
      <c r="M106" s="23">
        <v>-1653.0</v>
      </c>
      <c r="N106" s="23">
        <v>-242.0</v>
      </c>
      <c r="O106" s="19">
        <v>2669.0</v>
      </c>
      <c r="P106" s="19">
        <v>2073.0</v>
      </c>
      <c r="Q106" s="19">
        <v>1968.0</v>
      </c>
      <c r="R106" s="19">
        <v>2969.0</v>
      </c>
      <c r="S106" s="19">
        <v>2103.0</v>
      </c>
      <c r="T106" s="19">
        <v>3538.0</v>
      </c>
      <c r="U106" s="19">
        <v>1869.0</v>
      </c>
      <c r="V106" s="19">
        <v>740.0</v>
      </c>
    </row>
    <row r="107" ht="15.0" customHeight="1">
      <c r="A107" s="13" t="s">
        <v>150</v>
      </c>
      <c r="B107" s="15">
        <v>0.0</v>
      </c>
      <c r="C107" s="16">
        <v>3.0</v>
      </c>
      <c r="D107" s="15">
        <v>0.0</v>
      </c>
      <c r="E107" s="16">
        <v>1.0</v>
      </c>
      <c r="F107" s="17">
        <v>-20.0</v>
      </c>
      <c r="G107" s="16">
        <v>18.0</v>
      </c>
      <c r="H107" s="16">
        <v>44.0</v>
      </c>
      <c r="I107" s="14">
        <v>103.0</v>
      </c>
      <c r="J107" s="16">
        <v>20.0</v>
      </c>
      <c r="K107" s="21">
        <v>-293.0</v>
      </c>
      <c r="L107" s="21">
        <v>-351.0</v>
      </c>
      <c r="M107" s="21">
        <v>-266.0</v>
      </c>
      <c r="N107" s="17">
        <v>-4.0</v>
      </c>
      <c r="O107" s="14">
        <v>609.0</v>
      </c>
      <c r="P107" s="14">
        <v>482.0</v>
      </c>
      <c r="Q107" s="14">
        <v>634.0</v>
      </c>
      <c r="R107" s="14">
        <v>783.0</v>
      </c>
      <c r="S107" s="14">
        <v>590.0</v>
      </c>
      <c r="T107" s="14">
        <v>1074.0</v>
      </c>
      <c r="U107" s="14">
        <v>575.0</v>
      </c>
      <c r="V107" s="21">
        <v>-312.0</v>
      </c>
    </row>
    <row r="108" ht="15.0" customHeight="1">
      <c r="A108" s="13" t="s">
        <v>151</v>
      </c>
      <c r="B108" s="15"/>
      <c r="C108" s="15"/>
      <c r="D108" s="15"/>
      <c r="E108" s="15"/>
      <c r="F108" s="16">
        <v>1.0</v>
      </c>
      <c r="G108" s="16">
        <v>11.0</v>
      </c>
      <c r="H108" s="16">
        <v>44.0</v>
      </c>
      <c r="I108" s="16">
        <v>26.0</v>
      </c>
      <c r="J108" s="16">
        <v>43.0</v>
      </c>
      <c r="K108" s="15"/>
      <c r="L108" s="14">
        <v>122.0</v>
      </c>
      <c r="M108" s="14">
        <v>206.0</v>
      </c>
      <c r="N108" s="15"/>
      <c r="O108" s="14">
        <v>218.0</v>
      </c>
      <c r="P108" s="14">
        <v>467.0</v>
      </c>
      <c r="Q108" s="14">
        <v>948.0</v>
      </c>
      <c r="R108" s="21">
        <v>-887.0</v>
      </c>
      <c r="S108" s="14">
        <v>448.0</v>
      </c>
      <c r="T108" s="14">
        <v>557.0</v>
      </c>
      <c r="U108" s="14">
        <v>353.0</v>
      </c>
      <c r="V108" s="14">
        <v>149.0</v>
      </c>
    </row>
    <row r="109" ht="15.0" customHeight="1">
      <c r="A109" s="13" t="s">
        <v>152</v>
      </c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7">
        <v>-4.0</v>
      </c>
      <c r="S109" s="17">
        <v>-2.0</v>
      </c>
      <c r="T109" s="17">
        <v>-47.0</v>
      </c>
      <c r="U109" s="17">
        <v>-40.0</v>
      </c>
      <c r="V109" s="17">
        <v>-2.0</v>
      </c>
    </row>
    <row r="110" ht="15.0" customHeight="1">
      <c r="A110" s="13" t="s">
        <v>153</v>
      </c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21">
        <v>-410.0</v>
      </c>
      <c r="S110" s="21">
        <v>-234.0</v>
      </c>
      <c r="T110" s="17">
        <v>-74.0</v>
      </c>
      <c r="U110" s="17">
        <v>-61.0</v>
      </c>
      <c r="V110" s="17">
        <v>-9.0</v>
      </c>
    </row>
    <row r="111" ht="15.0" customHeight="1">
      <c r="A111" s="13" t="s">
        <v>154</v>
      </c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7">
        <v>-74.0</v>
      </c>
      <c r="S111" s="16">
        <v>41.0</v>
      </c>
      <c r="T111" s="16">
        <v>21.0</v>
      </c>
      <c r="U111" s="16">
        <v>19.0</v>
      </c>
      <c r="V111" s="16">
        <v>28.0</v>
      </c>
    </row>
    <row r="112" ht="15.0" customHeight="1">
      <c r="A112" s="13" t="s">
        <v>155</v>
      </c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21">
        <v>-123.0</v>
      </c>
      <c r="S112" s="16">
        <v>93.0</v>
      </c>
      <c r="T112" s="14">
        <v>346.0</v>
      </c>
      <c r="U112" s="14">
        <v>175.0</v>
      </c>
      <c r="V112" s="16">
        <v>99.0</v>
      </c>
    </row>
    <row r="113" ht="15.0" customHeight="1">
      <c r="A113" s="13" t="s">
        <v>156</v>
      </c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21">
        <v>-274.0</v>
      </c>
      <c r="S113" s="16">
        <v>65.0</v>
      </c>
      <c r="T113" s="16">
        <v>29.0</v>
      </c>
      <c r="U113" s="16">
        <v>30.0</v>
      </c>
      <c r="V113" s="16">
        <v>4.0</v>
      </c>
    </row>
    <row r="114" ht="15.0" customHeight="1">
      <c r="A114" s="13" t="s">
        <v>4</v>
      </c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7">
        <v>-2.0</v>
      </c>
      <c r="S114" s="16">
        <v>13.0</v>
      </c>
      <c r="T114" s="16">
        <v>40.0</v>
      </c>
      <c r="U114" s="16">
        <v>28.0</v>
      </c>
      <c r="V114" s="16">
        <v>7.0</v>
      </c>
    </row>
    <row r="115" ht="15.0" customHeight="1">
      <c r="A115" s="13" t="s">
        <v>157</v>
      </c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4">
        <v>472.0</v>
      </c>
      <c r="T115" s="14">
        <v>242.0</v>
      </c>
      <c r="U115" s="14">
        <v>202.0</v>
      </c>
      <c r="V115" s="16">
        <v>22.0</v>
      </c>
    </row>
    <row r="116" ht="15.0" customHeight="1">
      <c r="A116" s="13" t="s">
        <v>158</v>
      </c>
      <c r="B116" s="15"/>
      <c r="C116" s="15"/>
      <c r="D116" s="15"/>
      <c r="E116" s="15"/>
      <c r="F116" s="17">
        <v>-21.0</v>
      </c>
      <c r="G116" s="16">
        <v>7.0</v>
      </c>
      <c r="H116" s="15">
        <v>0.0</v>
      </c>
      <c r="I116" s="16">
        <v>77.0</v>
      </c>
      <c r="J116" s="17">
        <v>-23.0</v>
      </c>
      <c r="K116" s="15"/>
      <c r="L116" s="21">
        <v>-474.0</v>
      </c>
      <c r="M116" s="21">
        <v>-472.0</v>
      </c>
      <c r="N116" s="15"/>
      <c r="O116" s="14">
        <v>391.0</v>
      </c>
      <c r="P116" s="14">
        <v>336.0</v>
      </c>
      <c r="Q116" s="16">
        <v>92.0</v>
      </c>
      <c r="R116" s="16">
        <v>10.0</v>
      </c>
      <c r="S116" s="14">
        <v>142.0</v>
      </c>
      <c r="T116" s="14">
        <v>517.0</v>
      </c>
      <c r="U116" s="14">
        <v>222.0</v>
      </c>
      <c r="V116" s="21">
        <v>-461.0</v>
      </c>
    </row>
    <row r="117" ht="15.0" customHeight="1">
      <c r="A117" s="13" t="s">
        <v>152</v>
      </c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>
        <v>0.0</v>
      </c>
      <c r="S117" s="17">
        <v>-2.0</v>
      </c>
      <c r="T117" s="16">
        <v>13.0</v>
      </c>
      <c r="U117" s="16">
        <v>10.0</v>
      </c>
      <c r="V117" s="17">
        <v>-24.0</v>
      </c>
    </row>
    <row r="118" ht="15.0" customHeight="1">
      <c r="A118" s="13" t="s">
        <v>153</v>
      </c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6">
        <v>16.0</v>
      </c>
      <c r="S118" s="17">
        <v>-2.0</v>
      </c>
      <c r="T118" s="17">
        <v>-2.0</v>
      </c>
      <c r="U118" s="16">
        <v>7.0</v>
      </c>
      <c r="V118" s="16">
        <v>1.0</v>
      </c>
    </row>
    <row r="119" ht="15.0" customHeight="1">
      <c r="A119" s="13" t="s">
        <v>154</v>
      </c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7">
        <v>-11.0</v>
      </c>
      <c r="S119" s="17">
        <v>-3.0</v>
      </c>
      <c r="T119" s="16">
        <v>5.0</v>
      </c>
      <c r="U119" s="17">
        <v>-9.0</v>
      </c>
      <c r="V119" s="17">
        <v>-9.0</v>
      </c>
    </row>
    <row r="120" ht="15.0" customHeight="1">
      <c r="A120" s="13" t="s">
        <v>155</v>
      </c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6">
        <v>55.0</v>
      </c>
      <c r="S120" s="14">
        <v>114.0</v>
      </c>
      <c r="T120" s="17">
        <v>-93.0</v>
      </c>
      <c r="U120" s="17">
        <v>-38.0</v>
      </c>
      <c r="V120" s="17">
        <v>-26.0</v>
      </c>
    </row>
    <row r="121" ht="15.0" customHeight="1">
      <c r="A121" s="13" t="s">
        <v>156</v>
      </c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7">
        <v>-2.0</v>
      </c>
      <c r="S121" s="16">
        <v>47.0</v>
      </c>
      <c r="T121" s="16">
        <v>50.0</v>
      </c>
      <c r="U121" s="16">
        <v>34.0</v>
      </c>
      <c r="V121" s="16">
        <v>36.0</v>
      </c>
    </row>
    <row r="122" ht="15.0" customHeight="1">
      <c r="A122" s="13" t="s">
        <v>4</v>
      </c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7">
        <v>-48.0</v>
      </c>
      <c r="S122" s="17">
        <v>-20.0</v>
      </c>
      <c r="T122" s="14">
        <v>566.0</v>
      </c>
      <c r="U122" s="14">
        <v>252.0</v>
      </c>
      <c r="V122" s="21">
        <v>-485.0</v>
      </c>
    </row>
    <row r="123" ht="15.0" customHeight="1">
      <c r="A123" s="13" t="s">
        <v>159</v>
      </c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6">
        <v>8.0</v>
      </c>
      <c r="T123" s="17">
        <v>-22.0</v>
      </c>
      <c r="U123" s="17">
        <v>-34.0</v>
      </c>
      <c r="V123" s="16">
        <v>46.0</v>
      </c>
    </row>
    <row r="124" ht="15.0" customHeight="1">
      <c r="A124" s="13" t="s">
        <v>160</v>
      </c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6">
        <v>35.0</v>
      </c>
      <c r="Q124" s="14">
        <v>214.0</v>
      </c>
      <c r="R124" s="15"/>
      <c r="S124" s="15"/>
      <c r="T124" s="15"/>
      <c r="U124" s="15"/>
      <c r="V124" s="15"/>
    </row>
    <row r="125" ht="15.0" customHeight="1">
      <c r="A125" s="13" t="s">
        <v>161</v>
      </c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21">
        <v>-356.0</v>
      </c>
      <c r="Q125" s="21">
        <v>-192.0</v>
      </c>
      <c r="R125" s="16">
        <v>94.0</v>
      </c>
      <c r="S125" s="15"/>
      <c r="T125" s="15"/>
      <c r="U125" s="15"/>
      <c r="V125" s="15"/>
    </row>
    <row r="126" ht="15.0" customHeight="1">
      <c r="A126" s="13" t="s">
        <v>162</v>
      </c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6">
        <v>1.0</v>
      </c>
      <c r="M126" s="15"/>
      <c r="N126" s="15"/>
      <c r="O126" s="15"/>
      <c r="P126" s="15"/>
      <c r="Q126" s="21">
        <v>-428.0</v>
      </c>
      <c r="R126" s="14">
        <v>1566.0</v>
      </c>
      <c r="S126" s="15"/>
      <c r="T126" s="15"/>
      <c r="U126" s="15"/>
      <c r="V126" s="15"/>
    </row>
    <row r="127" ht="15.0" customHeight="1">
      <c r="A127" s="18" t="s">
        <v>163</v>
      </c>
      <c r="B127" s="20">
        <v>0.0</v>
      </c>
      <c r="C127" s="24">
        <v>3.0</v>
      </c>
      <c r="D127" s="20">
        <v>0.0</v>
      </c>
      <c r="E127" s="24">
        <v>1.0</v>
      </c>
      <c r="F127" s="22">
        <v>-20.0</v>
      </c>
      <c r="G127" s="24">
        <v>18.0</v>
      </c>
      <c r="H127" s="24">
        <v>44.0</v>
      </c>
      <c r="I127" s="19">
        <v>103.0</v>
      </c>
      <c r="J127" s="24">
        <v>20.0</v>
      </c>
      <c r="K127" s="23">
        <v>-293.0</v>
      </c>
      <c r="L127" s="23">
        <v>-351.0</v>
      </c>
      <c r="M127" s="23">
        <v>-266.0</v>
      </c>
      <c r="N127" s="22">
        <v>-4.0</v>
      </c>
      <c r="O127" s="19">
        <v>609.0</v>
      </c>
      <c r="P127" s="19">
        <v>482.0</v>
      </c>
      <c r="Q127" s="19">
        <v>634.0</v>
      </c>
      <c r="R127" s="19">
        <v>783.0</v>
      </c>
      <c r="S127" s="19">
        <v>590.0</v>
      </c>
      <c r="T127" s="19">
        <v>1074.0</v>
      </c>
      <c r="U127" s="19">
        <v>575.0</v>
      </c>
      <c r="V127" s="23">
        <v>-312.0</v>
      </c>
    </row>
    <row r="128" ht="15.0" customHeight="1">
      <c r="A128" s="18" t="s">
        <v>164</v>
      </c>
      <c r="B128" s="23">
        <v>-157.0</v>
      </c>
      <c r="C128" s="19">
        <v>1623.0</v>
      </c>
      <c r="D128" s="23">
        <v>-384.0</v>
      </c>
      <c r="E128" s="23">
        <v>-313.0</v>
      </c>
      <c r="F128" s="23">
        <v>-215.0</v>
      </c>
      <c r="G128" s="23">
        <v>-537.0</v>
      </c>
      <c r="H128" s="19">
        <v>147.0</v>
      </c>
      <c r="I128" s="23">
        <v>-194.0</v>
      </c>
      <c r="J128" s="23">
        <v>-706.0</v>
      </c>
      <c r="K128" s="23">
        <v>-1952.0</v>
      </c>
      <c r="L128" s="23">
        <v>-1844.0</v>
      </c>
      <c r="M128" s="23">
        <v>-1387.0</v>
      </c>
      <c r="N128" s="23">
        <v>-238.0</v>
      </c>
      <c r="O128" s="19">
        <v>2060.0</v>
      </c>
      <c r="P128" s="19">
        <v>1591.0</v>
      </c>
      <c r="Q128" s="19">
        <v>1334.0</v>
      </c>
      <c r="R128" s="19">
        <v>2186.0</v>
      </c>
      <c r="S128" s="19">
        <v>1513.0</v>
      </c>
      <c r="T128" s="19">
        <v>2464.0</v>
      </c>
      <c r="U128" s="19">
        <v>1294.0</v>
      </c>
      <c r="V128" s="19">
        <v>1052.0</v>
      </c>
    </row>
    <row r="129" ht="15.0" customHeight="1">
      <c r="A129" s="13" t="s">
        <v>165</v>
      </c>
      <c r="B129" s="15"/>
      <c r="C129" s="15"/>
      <c r="D129" s="15"/>
      <c r="E129" s="15"/>
      <c r="F129" s="15"/>
      <c r="G129" s="15"/>
      <c r="H129" s="15"/>
      <c r="I129" s="15"/>
      <c r="J129" s="15"/>
      <c r="K129" s="17">
        <v>-1.0</v>
      </c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</row>
    <row r="130" ht="15.0" customHeight="1">
      <c r="A130" s="18" t="s">
        <v>166</v>
      </c>
      <c r="B130" s="23">
        <v>-157.0</v>
      </c>
      <c r="C130" s="19">
        <v>1623.0</v>
      </c>
      <c r="D130" s="23">
        <v>-384.0</v>
      </c>
      <c r="E130" s="23">
        <v>-313.0</v>
      </c>
      <c r="F130" s="23">
        <v>-215.0</v>
      </c>
      <c r="G130" s="23">
        <v>-537.0</v>
      </c>
      <c r="H130" s="19">
        <v>147.0</v>
      </c>
      <c r="I130" s="23">
        <v>-194.0</v>
      </c>
      <c r="J130" s="23">
        <v>-706.0</v>
      </c>
      <c r="K130" s="23">
        <v>-1953.0</v>
      </c>
      <c r="L130" s="23">
        <v>-1844.0</v>
      </c>
      <c r="M130" s="23">
        <v>-1387.0</v>
      </c>
      <c r="N130" s="23">
        <v>-238.0</v>
      </c>
      <c r="O130" s="19">
        <v>2060.0</v>
      </c>
      <c r="P130" s="19">
        <v>1591.0</v>
      </c>
      <c r="Q130" s="19">
        <v>1334.0</v>
      </c>
      <c r="R130" s="19">
        <v>2186.0</v>
      </c>
      <c r="S130" s="19">
        <v>1513.0</v>
      </c>
      <c r="T130" s="19">
        <v>2464.0</v>
      </c>
      <c r="U130" s="19">
        <v>1294.0</v>
      </c>
      <c r="V130" s="19">
        <v>1052.0</v>
      </c>
    </row>
    <row r="131" ht="15.0" customHeight="1">
      <c r="A131" s="13" t="s">
        <v>167</v>
      </c>
      <c r="B131" s="16">
        <v>9.0</v>
      </c>
      <c r="C131" s="16">
        <v>30.0</v>
      </c>
      <c r="D131" s="14">
        <v>122.0</v>
      </c>
      <c r="E131" s="16">
        <v>55.0</v>
      </c>
      <c r="F131" s="14">
        <v>1140.0</v>
      </c>
      <c r="G131" s="17">
        <v>-47.0</v>
      </c>
      <c r="H131" s="17">
        <v>-54.0</v>
      </c>
      <c r="I131" s="21">
        <v>-128.0</v>
      </c>
      <c r="J131" s="14">
        <v>648.0</v>
      </c>
      <c r="K131" s="14">
        <v>670.0</v>
      </c>
      <c r="L131" s="21">
        <v>-743.0</v>
      </c>
      <c r="M131" s="14">
        <v>3880.0</v>
      </c>
      <c r="N131" s="14">
        <v>1362.0</v>
      </c>
      <c r="O131" s="14">
        <v>200.0</v>
      </c>
      <c r="P131" s="14">
        <v>3663.0</v>
      </c>
      <c r="Q131" s="14">
        <v>676.0</v>
      </c>
      <c r="R131" s="14">
        <v>145.0</v>
      </c>
      <c r="S131" s="15"/>
      <c r="T131" s="15">
        <v>0.0</v>
      </c>
      <c r="U131" s="14">
        <v>2495.0</v>
      </c>
      <c r="V131" s="14">
        <v>193.0</v>
      </c>
    </row>
    <row r="132" ht="15.0" customHeight="1">
      <c r="A132" s="18" t="s">
        <v>168</v>
      </c>
      <c r="B132" s="24">
        <v>9.0</v>
      </c>
      <c r="C132" s="24">
        <v>30.0</v>
      </c>
      <c r="D132" s="19">
        <v>122.0</v>
      </c>
      <c r="E132" s="24">
        <v>55.0</v>
      </c>
      <c r="F132" s="19">
        <v>1140.0</v>
      </c>
      <c r="G132" s="22">
        <v>-47.0</v>
      </c>
      <c r="H132" s="22">
        <v>-54.0</v>
      </c>
      <c r="I132" s="23">
        <v>-128.0</v>
      </c>
      <c r="J132" s="19">
        <v>648.0</v>
      </c>
      <c r="K132" s="19">
        <v>670.0</v>
      </c>
      <c r="L132" s="23">
        <v>-743.0</v>
      </c>
      <c r="M132" s="19">
        <v>3880.0</v>
      </c>
      <c r="N132" s="19">
        <v>1362.0</v>
      </c>
      <c r="O132" s="19">
        <v>200.0</v>
      </c>
      <c r="P132" s="19">
        <v>3663.0</v>
      </c>
      <c r="Q132" s="19">
        <v>676.0</v>
      </c>
      <c r="R132" s="19">
        <v>145.0</v>
      </c>
      <c r="S132" s="20"/>
      <c r="T132" s="20">
        <v>0.0</v>
      </c>
      <c r="U132" s="19">
        <v>2495.0</v>
      </c>
      <c r="V132" s="19">
        <v>193.0</v>
      </c>
    </row>
    <row r="133" ht="15.0" customHeight="1">
      <c r="A133" s="13" t="s">
        <v>169</v>
      </c>
      <c r="B133" s="15"/>
      <c r="C133" s="15"/>
      <c r="D133" s="15"/>
      <c r="E133" s="16">
        <v>1.0</v>
      </c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</row>
    <row r="134" ht="15.0" customHeight="1">
      <c r="A134" s="18" t="s">
        <v>170</v>
      </c>
      <c r="B134" s="23">
        <v>-148.0</v>
      </c>
      <c r="C134" s="19">
        <v>1653.0</v>
      </c>
      <c r="D134" s="23">
        <v>-262.0</v>
      </c>
      <c r="E134" s="23">
        <v>-257.0</v>
      </c>
      <c r="F134" s="19">
        <v>925.0</v>
      </c>
      <c r="G134" s="23">
        <v>-584.0</v>
      </c>
      <c r="H134" s="24">
        <v>93.0</v>
      </c>
      <c r="I134" s="23">
        <v>-322.0</v>
      </c>
      <c r="J134" s="22">
        <v>-58.0</v>
      </c>
      <c r="K134" s="23">
        <v>-1283.0</v>
      </c>
      <c r="L134" s="23">
        <v>-2587.0</v>
      </c>
      <c r="M134" s="19">
        <v>2493.0</v>
      </c>
      <c r="N134" s="19">
        <v>1124.0</v>
      </c>
      <c r="O134" s="19">
        <v>2260.0</v>
      </c>
      <c r="P134" s="19">
        <v>5254.0</v>
      </c>
      <c r="Q134" s="19">
        <v>2010.0</v>
      </c>
      <c r="R134" s="19">
        <v>2331.0</v>
      </c>
      <c r="S134" s="19">
        <v>1513.0</v>
      </c>
      <c r="T134" s="19">
        <v>2464.0</v>
      </c>
      <c r="U134" s="19">
        <v>3789.0</v>
      </c>
      <c r="V134" s="19">
        <v>1245.0</v>
      </c>
    </row>
    <row r="135" ht="15.0" customHeight="1">
      <c r="A135" s="13" t="s">
        <v>171</v>
      </c>
      <c r="B135" s="15"/>
      <c r="C135" s="15">
        <v>0.0</v>
      </c>
      <c r="D135" s="16">
        <v>3.0</v>
      </c>
      <c r="E135" s="16">
        <v>19.0</v>
      </c>
      <c r="F135" s="16">
        <v>6.0</v>
      </c>
      <c r="G135" s="17">
        <v>-3.0</v>
      </c>
      <c r="H135" s="17">
        <v>-7.0</v>
      </c>
      <c r="I135" s="15"/>
      <c r="J135" s="15"/>
      <c r="K135" s="15"/>
      <c r="L135" s="15"/>
      <c r="M135" s="16">
        <v>11.0</v>
      </c>
      <c r="N135" s="16">
        <v>10.0</v>
      </c>
      <c r="O135" s="16">
        <v>11.0</v>
      </c>
      <c r="P135" s="16">
        <v>36.0</v>
      </c>
      <c r="Q135" s="16">
        <v>53.0</v>
      </c>
      <c r="R135" s="16">
        <v>71.0</v>
      </c>
      <c r="S135" s="16">
        <v>75.0</v>
      </c>
      <c r="T135" s="16">
        <v>63.0</v>
      </c>
      <c r="U135" s="16">
        <v>51.0</v>
      </c>
      <c r="V135" s="16">
        <v>16.0</v>
      </c>
    </row>
    <row r="136" ht="15.0" customHeight="1">
      <c r="A136" s="18" t="s">
        <v>172</v>
      </c>
      <c r="B136" s="20"/>
      <c r="C136" s="20">
        <v>0.0</v>
      </c>
      <c r="D136" s="24">
        <v>3.0</v>
      </c>
      <c r="E136" s="24">
        <v>19.0</v>
      </c>
      <c r="F136" s="24">
        <v>6.0</v>
      </c>
      <c r="G136" s="22">
        <v>-3.0</v>
      </c>
      <c r="H136" s="22">
        <v>-7.0</v>
      </c>
      <c r="I136" s="20"/>
      <c r="J136" s="20"/>
      <c r="K136" s="20"/>
      <c r="L136" s="20"/>
      <c r="M136" s="24">
        <v>11.0</v>
      </c>
      <c r="N136" s="24">
        <v>10.0</v>
      </c>
      <c r="O136" s="24">
        <v>11.0</v>
      </c>
      <c r="P136" s="24">
        <v>36.0</v>
      </c>
      <c r="Q136" s="24">
        <v>53.0</v>
      </c>
      <c r="R136" s="24">
        <v>71.0</v>
      </c>
      <c r="S136" s="24">
        <v>75.0</v>
      </c>
      <c r="T136" s="24">
        <v>63.0</v>
      </c>
      <c r="U136" s="24">
        <v>51.0</v>
      </c>
      <c r="V136" s="24">
        <v>16.0</v>
      </c>
    </row>
    <row r="137" ht="15.0" customHeight="1">
      <c r="A137" s="18" t="s">
        <v>170</v>
      </c>
      <c r="B137" s="23">
        <v>-148.0</v>
      </c>
      <c r="C137" s="19">
        <v>1653.0</v>
      </c>
      <c r="D137" s="23">
        <v>-265.0</v>
      </c>
      <c r="E137" s="23">
        <v>-276.0</v>
      </c>
      <c r="F137" s="19">
        <v>919.0</v>
      </c>
      <c r="G137" s="23">
        <v>-581.0</v>
      </c>
      <c r="H137" s="19">
        <v>100.0</v>
      </c>
      <c r="I137" s="23">
        <v>-322.0</v>
      </c>
      <c r="J137" s="22">
        <v>-58.0</v>
      </c>
      <c r="K137" s="23">
        <v>-1283.0</v>
      </c>
      <c r="L137" s="23">
        <v>-2587.0</v>
      </c>
      <c r="M137" s="19">
        <v>2482.0</v>
      </c>
      <c r="N137" s="19">
        <v>1114.0</v>
      </c>
      <c r="O137" s="19">
        <v>2249.0</v>
      </c>
      <c r="P137" s="19">
        <v>5218.0</v>
      </c>
      <c r="Q137" s="19">
        <v>1957.0</v>
      </c>
      <c r="R137" s="19">
        <v>2260.0</v>
      </c>
      <c r="S137" s="19">
        <v>1438.0</v>
      </c>
      <c r="T137" s="19">
        <v>2401.0</v>
      </c>
      <c r="U137" s="19">
        <v>3738.0</v>
      </c>
      <c r="V137" s="19">
        <v>1229.0</v>
      </c>
    </row>
    <row r="138" ht="15.0" customHeight="1">
      <c r="A138" s="18" t="s">
        <v>173</v>
      </c>
      <c r="B138" s="23">
        <v>-157.0</v>
      </c>
      <c r="C138" s="19">
        <v>1623.0</v>
      </c>
      <c r="D138" s="23">
        <v>-387.0</v>
      </c>
      <c r="E138" s="23">
        <v>-332.0</v>
      </c>
      <c r="F138" s="23">
        <v>-221.0</v>
      </c>
      <c r="G138" s="23">
        <v>-534.0</v>
      </c>
      <c r="H138" s="19">
        <v>154.0</v>
      </c>
      <c r="I138" s="23">
        <v>-194.0</v>
      </c>
      <c r="J138" s="23">
        <v>-706.0</v>
      </c>
      <c r="K138" s="23">
        <v>-1953.0</v>
      </c>
      <c r="L138" s="23">
        <v>-1844.0</v>
      </c>
      <c r="M138" s="23">
        <v>-1398.0</v>
      </c>
      <c r="N138" s="23">
        <v>-248.0</v>
      </c>
      <c r="O138" s="19">
        <v>2049.0</v>
      </c>
      <c r="P138" s="19">
        <v>1555.0</v>
      </c>
      <c r="Q138" s="19">
        <v>1281.0</v>
      </c>
      <c r="R138" s="19">
        <v>2115.0</v>
      </c>
      <c r="S138" s="19">
        <v>1438.0</v>
      </c>
      <c r="T138" s="19">
        <v>2401.0</v>
      </c>
      <c r="U138" s="19">
        <v>1243.0</v>
      </c>
      <c r="V138" s="19">
        <v>1036.0</v>
      </c>
    </row>
    <row r="139" ht="15.0" customHeight="1">
      <c r="A139" s="13" t="s">
        <v>174</v>
      </c>
      <c r="B139" s="15"/>
      <c r="C139" s="15"/>
      <c r="D139" s="16">
        <v>1.0</v>
      </c>
      <c r="E139" s="15"/>
      <c r="F139" s="15"/>
      <c r="G139" s="15"/>
      <c r="H139" s="15"/>
      <c r="I139" s="15"/>
      <c r="J139" s="15"/>
      <c r="K139" s="16">
        <v>1.0</v>
      </c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</row>
    <row r="140" ht="15.0" customHeight="1">
      <c r="A140" s="18" t="s">
        <v>175</v>
      </c>
      <c r="B140" s="23">
        <v>-148.0</v>
      </c>
      <c r="C140" s="19">
        <v>1653.0</v>
      </c>
      <c r="D140" s="23">
        <v>-264.0</v>
      </c>
      <c r="E140" s="23">
        <v>-276.0</v>
      </c>
      <c r="F140" s="19">
        <v>919.0</v>
      </c>
      <c r="G140" s="23">
        <v>-581.0</v>
      </c>
      <c r="H140" s="19">
        <v>100.0</v>
      </c>
      <c r="I140" s="23">
        <v>-322.0</v>
      </c>
      <c r="J140" s="22">
        <v>-58.0</v>
      </c>
      <c r="K140" s="23">
        <v>-1282.0</v>
      </c>
      <c r="L140" s="23">
        <v>-2587.0</v>
      </c>
      <c r="M140" s="19">
        <v>2482.0</v>
      </c>
      <c r="N140" s="19">
        <v>1114.0</v>
      </c>
      <c r="O140" s="19">
        <v>2249.0</v>
      </c>
      <c r="P140" s="19">
        <v>5218.0</v>
      </c>
      <c r="Q140" s="19">
        <v>1957.0</v>
      </c>
      <c r="R140" s="19">
        <v>2260.0</v>
      </c>
      <c r="S140" s="19">
        <v>1438.0</v>
      </c>
      <c r="T140" s="19">
        <v>2401.0</v>
      </c>
      <c r="U140" s="19">
        <v>3738.0</v>
      </c>
      <c r="V140" s="19">
        <v>1229.0</v>
      </c>
    </row>
    <row r="141" ht="15.0" customHeight="1">
      <c r="A141" s="13" t="s">
        <v>170</v>
      </c>
      <c r="B141" s="15"/>
      <c r="C141" s="14">
        <v>1653.0</v>
      </c>
      <c r="D141" s="21">
        <v>-262.0</v>
      </c>
      <c r="E141" s="21">
        <v>-257.0</v>
      </c>
      <c r="F141" s="14">
        <v>925.0</v>
      </c>
      <c r="G141" s="21">
        <v>-584.0</v>
      </c>
      <c r="H141" s="16">
        <v>93.0</v>
      </c>
      <c r="I141" s="21">
        <v>-322.0</v>
      </c>
      <c r="J141" s="17">
        <v>-58.0</v>
      </c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</row>
    <row r="142" ht="15.0" customHeight="1">
      <c r="A142" s="13" t="s">
        <v>176</v>
      </c>
      <c r="B142" s="15"/>
      <c r="C142" s="15"/>
      <c r="D142" s="15"/>
      <c r="E142" s="15"/>
      <c r="F142" s="17">
        <v>-22.0</v>
      </c>
      <c r="G142" s="16">
        <v>48.0</v>
      </c>
      <c r="H142" s="16">
        <v>20.0</v>
      </c>
      <c r="I142" s="17">
        <v>-80.0</v>
      </c>
      <c r="J142" s="16">
        <v>71.0</v>
      </c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</row>
    <row r="143" ht="15.0" customHeight="1">
      <c r="A143" s="13" t="s">
        <v>177</v>
      </c>
      <c r="B143" s="15"/>
      <c r="C143" s="15"/>
      <c r="D143" s="15"/>
      <c r="E143" s="15"/>
      <c r="F143" s="15">
        <v>0.0</v>
      </c>
      <c r="G143" s="17">
        <v>-10.0</v>
      </c>
      <c r="H143" s="17">
        <v>-4.0</v>
      </c>
      <c r="I143" s="16">
        <v>15.0</v>
      </c>
      <c r="J143" s="17">
        <v>-17.0</v>
      </c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</row>
    <row r="144" ht="15.0" customHeight="1">
      <c r="A144" s="13" t="s">
        <v>178</v>
      </c>
      <c r="B144" s="15"/>
      <c r="C144" s="15"/>
      <c r="D144" s="15"/>
      <c r="E144" s="15"/>
      <c r="F144" s="16">
        <v>1.0</v>
      </c>
      <c r="G144" s="17">
        <v>-2.0</v>
      </c>
      <c r="H144" s="16">
        <v>41.0</v>
      </c>
      <c r="I144" s="17">
        <v>-43.0</v>
      </c>
      <c r="J144" s="16">
        <v>15.0</v>
      </c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</row>
    <row r="145" ht="15.0" customHeight="1">
      <c r="A145" s="13" t="s">
        <v>179</v>
      </c>
      <c r="B145" s="15"/>
      <c r="C145" s="15"/>
      <c r="D145" s="15"/>
      <c r="E145" s="15"/>
      <c r="F145" s="15">
        <v>0.0</v>
      </c>
      <c r="G145" s="16">
        <v>1.0</v>
      </c>
      <c r="H145" s="17">
        <v>-9.0</v>
      </c>
      <c r="I145" s="16">
        <v>7.0</v>
      </c>
      <c r="J145" s="17">
        <v>-5.0</v>
      </c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</row>
    <row r="146" ht="15.0" customHeight="1">
      <c r="A146" s="13" t="s">
        <v>180</v>
      </c>
      <c r="B146" s="15"/>
      <c r="C146" s="15"/>
      <c r="D146" s="15"/>
      <c r="E146" s="15"/>
      <c r="F146" s="17">
        <v>-20.0</v>
      </c>
      <c r="G146" s="17">
        <v>-42.0</v>
      </c>
      <c r="H146" s="16">
        <v>17.0</v>
      </c>
      <c r="I146" s="17">
        <v>-37.0</v>
      </c>
      <c r="J146" s="16">
        <v>9.0</v>
      </c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</row>
    <row r="147" ht="15.0" customHeight="1">
      <c r="A147" s="13" t="s">
        <v>181</v>
      </c>
      <c r="B147" s="15"/>
      <c r="C147" s="14">
        <v>315.0</v>
      </c>
      <c r="D147" s="16">
        <v>97.0</v>
      </c>
      <c r="E147" s="14">
        <v>325.0</v>
      </c>
      <c r="F147" s="16">
        <v>33.0</v>
      </c>
      <c r="G147" s="17">
        <v>-60.0</v>
      </c>
      <c r="H147" s="16">
        <v>34.0</v>
      </c>
      <c r="I147" s="16">
        <v>51.0</v>
      </c>
      <c r="J147" s="17">
        <v>-60.0</v>
      </c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</row>
    <row r="148" ht="15.0" customHeight="1">
      <c r="A148" s="13" t="s">
        <v>182</v>
      </c>
      <c r="B148" s="15"/>
      <c r="C148" s="15">
        <v>0.0</v>
      </c>
      <c r="D148" s="17">
        <v>-2.0</v>
      </c>
      <c r="E148" s="15">
        <v>0.0</v>
      </c>
      <c r="F148" s="21">
        <v>-472.0</v>
      </c>
      <c r="G148" s="17">
        <v>-7.0</v>
      </c>
      <c r="H148" s="17">
        <v>-99.0</v>
      </c>
      <c r="I148" s="21">
        <v>-442.0</v>
      </c>
      <c r="J148" s="21">
        <v>-227.0</v>
      </c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</row>
    <row r="149" ht="15.0" customHeight="1">
      <c r="A149" s="13" t="s">
        <v>183</v>
      </c>
      <c r="B149" s="15"/>
      <c r="C149" s="15"/>
      <c r="D149" s="15"/>
      <c r="E149" s="15"/>
      <c r="F149" s="15"/>
      <c r="G149" s="15"/>
      <c r="H149" s="17">
        <v>-2.0</v>
      </c>
      <c r="I149" s="16">
        <v>7.0</v>
      </c>
      <c r="J149" s="17">
        <v>-13.0</v>
      </c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</row>
    <row r="150" ht="15.0" customHeight="1">
      <c r="A150" s="13" t="s">
        <v>184</v>
      </c>
      <c r="B150" s="15"/>
      <c r="C150" s="21">
        <v>-160.0</v>
      </c>
      <c r="D150" s="16">
        <v>37.0</v>
      </c>
      <c r="E150" s="17">
        <v>-86.0</v>
      </c>
      <c r="F150" s="17">
        <v>-7.0</v>
      </c>
      <c r="G150" s="17">
        <v>-20.0</v>
      </c>
      <c r="H150" s="17">
        <v>-11.0</v>
      </c>
      <c r="I150" s="17">
        <v>-44.0</v>
      </c>
      <c r="J150" s="15">
        <v>0.0</v>
      </c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</row>
    <row r="151" ht="15.0" customHeight="1">
      <c r="A151" s="13" t="s">
        <v>185</v>
      </c>
      <c r="B151" s="15"/>
      <c r="C151" s="15"/>
      <c r="D151" s="15"/>
      <c r="E151" s="15"/>
      <c r="F151" s="17">
        <v>-6.0</v>
      </c>
      <c r="G151" s="16">
        <v>7.0</v>
      </c>
      <c r="H151" s="16">
        <v>9.0</v>
      </c>
      <c r="I151" s="15">
        <v>0.0</v>
      </c>
      <c r="J151" s="17">
        <v>-11.0</v>
      </c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</row>
    <row r="152" ht="15.0" customHeight="1">
      <c r="A152" s="13" t="s">
        <v>186</v>
      </c>
      <c r="B152" s="15"/>
      <c r="C152" s="16">
        <v>3.0</v>
      </c>
      <c r="D152" s="16">
        <v>1.0</v>
      </c>
      <c r="E152" s="16">
        <v>10.0</v>
      </c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</row>
    <row r="153" ht="15.0" customHeight="1">
      <c r="A153" s="13" t="s">
        <v>187</v>
      </c>
      <c r="B153" s="15"/>
      <c r="C153" s="17">
        <v>-3.0</v>
      </c>
      <c r="D153" s="17">
        <v>-8.0</v>
      </c>
      <c r="E153" s="17">
        <v>-11.0</v>
      </c>
      <c r="F153" s="16">
        <v>9.0</v>
      </c>
      <c r="G153" s="17">
        <v>-37.0</v>
      </c>
      <c r="H153" s="17">
        <v>-46.0</v>
      </c>
      <c r="I153" s="17">
        <v>-4.0</v>
      </c>
      <c r="J153" s="17">
        <v>-7.0</v>
      </c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</row>
    <row r="154" ht="15.0" customHeight="1">
      <c r="A154" s="13" t="s">
        <v>188</v>
      </c>
      <c r="B154" s="15"/>
      <c r="C154" s="17">
        <v>-1.0</v>
      </c>
      <c r="D154" s="17">
        <v>-1.0</v>
      </c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</row>
    <row r="155" ht="15.0" customHeight="1">
      <c r="A155" s="18" t="s">
        <v>189</v>
      </c>
      <c r="B155" s="20"/>
      <c r="C155" s="19">
        <v>154.0</v>
      </c>
      <c r="D155" s="19">
        <v>124.0</v>
      </c>
      <c r="E155" s="19">
        <v>238.0</v>
      </c>
      <c r="F155" s="23">
        <v>-484.0</v>
      </c>
      <c r="G155" s="23">
        <v>-122.0</v>
      </c>
      <c r="H155" s="22">
        <v>-50.0</v>
      </c>
      <c r="I155" s="23">
        <v>-570.0</v>
      </c>
      <c r="J155" s="23">
        <v>-245.0</v>
      </c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</row>
    <row r="156" ht="15.0" customHeight="1">
      <c r="A156" s="13" t="s">
        <v>190</v>
      </c>
      <c r="B156" s="15"/>
      <c r="C156" s="14">
        <v>1807.0</v>
      </c>
      <c r="D156" s="21">
        <v>-140.0</v>
      </c>
      <c r="E156" s="17">
        <v>-38.0</v>
      </c>
      <c r="F156" s="14">
        <v>435.0</v>
      </c>
      <c r="G156" s="21">
        <v>-701.0</v>
      </c>
      <c r="H156" s="16">
        <v>51.0</v>
      </c>
      <c r="I156" s="21">
        <v>-891.0</v>
      </c>
      <c r="J156" s="21">
        <v>-303.0</v>
      </c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</row>
    <row r="157" ht="15.0" customHeight="1">
      <c r="A157" s="13" t="s">
        <v>191</v>
      </c>
      <c r="B157" s="15"/>
      <c r="C157" s="15">
        <v>0.0</v>
      </c>
      <c r="D157" s="16">
        <v>3.0</v>
      </c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</row>
    <row r="158" ht="15.0" customHeight="1">
      <c r="A158" s="13" t="s">
        <v>192</v>
      </c>
      <c r="B158" s="15"/>
      <c r="C158" s="17">
        <v>-1.0</v>
      </c>
      <c r="D158" s="15"/>
      <c r="E158" s="15"/>
      <c r="F158" s="15"/>
      <c r="G158" s="16">
        <v>2.0</v>
      </c>
      <c r="H158" s="16">
        <v>1.0</v>
      </c>
      <c r="I158" s="16">
        <v>1.0</v>
      </c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</row>
    <row r="159" ht="15.0" customHeight="1">
      <c r="A159" s="18" t="s">
        <v>193</v>
      </c>
      <c r="B159" s="20"/>
      <c r="C159" s="19">
        <v>1807.0</v>
      </c>
      <c r="D159" s="23">
        <v>-137.0</v>
      </c>
      <c r="E159" s="22">
        <v>-19.0</v>
      </c>
      <c r="F159" s="19">
        <v>441.0</v>
      </c>
      <c r="G159" s="23">
        <v>-704.0</v>
      </c>
      <c r="H159" s="24">
        <v>44.0</v>
      </c>
      <c r="I159" s="23">
        <v>-891.0</v>
      </c>
      <c r="J159" s="23">
        <v>-303.0</v>
      </c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</row>
    <row r="160" ht="15.0" customHeight="1">
      <c r="A160" s="13" t="s">
        <v>194</v>
      </c>
      <c r="B160" s="14">
        <v>272.56</v>
      </c>
      <c r="C160" s="14">
        <v>272.19</v>
      </c>
      <c r="D160" s="14">
        <v>272.18</v>
      </c>
      <c r="E160" s="14">
        <v>272.0</v>
      </c>
      <c r="F160" s="14">
        <v>271.61</v>
      </c>
      <c r="G160" s="14">
        <v>271.61</v>
      </c>
      <c r="H160" s="14">
        <v>271.55</v>
      </c>
      <c r="I160" s="14">
        <v>271.22</v>
      </c>
      <c r="J160" s="14">
        <v>271.22</v>
      </c>
      <c r="K160" s="14">
        <v>271.22</v>
      </c>
      <c r="L160" s="14">
        <v>271.09</v>
      </c>
      <c r="M160" s="14">
        <v>271.83</v>
      </c>
      <c r="N160" s="14">
        <v>271.16</v>
      </c>
      <c r="O160" s="14">
        <v>270.05</v>
      </c>
      <c r="P160" s="14">
        <v>269.38</v>
      </c>
      <c r="Q160" s="14">
        <v>269.27</v>
      </c>
      <c r="R160" s="14">
        <v>269.31</v>
      </c>
      <c r="S160" s="14">
        <v>269.06</v>
      </c>
      <c r="T160" s="14">
        <v>271.74</v>
      </c>
      <c r="U160" s="14">
        <v>275.15</v>
      </c>
      <c r="V160" s="14">
        <v>275.15</v>
      </c>
    </row>
    <row r="161" ht="15.0" customHeight="1">
      <c r="A161" s="13" t="s">
        <v>195</v>
      </c>
      <c r="B161" s="14">
        <v>272.56</v>
      </c>
      <c r="C161" s="14">
        <v>272.19</v>
      </c>
      <c r="D161" s="14">
        <v>272.18</v>
      </c>
      <c r="E161" s="14">
        <v>272.0</v>
      </c>
      <c r="F161" s="14">
        <v>271.61</v>
      </c>
      <c r="G161" s="14">
        <v>271.61</v>
      </c>
      <c r="H161" s="14">
        <v>271.55</v>
      </c>
      <c r="I161" s="14">
        <v>271.22</v>
      </c>
      <c r="J161" s="14">
        <v>271.22</v>
      </c>
      <c r="K161" s="14">
        <v>271.22</v>
      </c>
      <c r="L161" s="14">
        <v>271.09</v>
      </c>
      <c r="M161" s="14">
        <v>271.83</v>
      </c>
      <c r="N161" s="14">
        <v>271.16</v>
      </c>
      <c r="O161" s="14">
        <v>271.03</v>
      </c>
      <c r="P161" s="14">
        <v>270.11</v>
      </c>
      <c r="Q161" s="14">
        <v>269.83</v>
      </c>
      <c r="R161" s="14">
        <v>269.31</v>
      </c>
      <c r="S161" s="14">
        <v>269.06</v>
      </c>
      <c r="T161" s="14">
        <v>271.74</v>
      </c>
      <c r="U161" s="14">
        <v>275.15</v>
      </c>
      <c r="V161" s="14">
        <v>275.15</v>
      </c>
    </row>
    <row r="162" ht="15.0" customHeight="1">
      <c r="A162" s="13" t="s">
        <v>196</v>
      </c>
      <c r="B162" s="17">
        <v>-0.58</v>
      </c>
      <c r="C162" s="16">
        <v>5.96</v>
      </c>
      <c r="D162" s="17">
        <v>-1.42</v>
      </c>
      <c r="E162" s="17">
        <v>-1.22</v>
      </c>
      <c r="F162" s="17">
        <v>-0.81</v>
      </c>
      <c r="G162" s="17">
        <v>-1.97</v>
      </c>
      <c r="H162" s="16">
        <v>0.57</v>
      </c>
      <c r="I162" s="17">
        <v>-0.71</v>
      </c>
      <c r="J162" s="17">
        <v>-2.6</v>
      </c>
      <c r="K162" s="17">
        <v>-7.2</v>
      </c>
      <c r="L162" s="17">
        <v>-6.8</v>
      </c>
      <c r="M162" s="17">
        <v>-5.09</v>
      </c>
      <c r="N162" s="17">
        <v>-0.87</v>
      </c>
      <c r="O162" s="16">
        <v>7.67</v>
      </c>
      <c r="P162" s="16">
        <v>5.77</v>
      </c>
      <c r="Q162" s="16">
        <v>4.76</v>
      </c>
      <c r="R162" s="16">
        <v>7.85</v>
      </c>
      <c r="S162" s="16">
        <v>5.34</v>
      </c>
      <c r="T162" s="16">
        <v>8.84</v>
      </c>
      <c r="U162" s="16">
        <v>4.52</v>
      </c>
      <c r="V162" s="16">
        <v>3.77</v>
      </c>
    </row>
    <row r="163" ht="15.0" customHeight="1">
      <c r="A163" s="13" t="s">
        <v>197</v>
      </c>
      <c r="B163" s="17">
        <v>-0.54</v>
      </c>
      <c r="C163" s="16">
        <v>6.08</v>
      </c>
      <c r="D163" s="17">
        <v>-0.97</v>
      </c>
      <c r="E163" s="17">
        <v>-1.01</v>
      </c>
      <c r="F163" s="16">
        <v>3.38</v>
      </c>
      <c r="G163" s="17">
        <v>-2.14</v>
      </c>
      <c r="H163" s="16">
        <v>0.37</v>
      </c>
      <c r="I163" s="17">
        <v>-1.19</v>
      </c>
      <c r="J163" s="17">
        <v>-0.21</v>
      </c>
      <c r="K163" s="17">
        <v>-4.73</v>
      </c>
      <c r="L163" s="17">
        <v>-9.54</v>
      </c>
      <c r="M163" s="16">
        <v>9.13</v>
      </c>
      <c r="N163" s="16">
        <v>4.11</v>
      </c>
      <c r="O163" s="16">
        <v>8.33</v>
      </c>
      <c r="P163" s="16">
        <v>19.37</v>
      </c>
      <c r="Q163" s="16">
        <v>7.27</v>
      </c>
      <c r="R163" s="16">
        <v>8.4</v>
      </c>
      <c r="S163" s="16">
        <v>5.34</v>
      </c>
      <c r="T163" s="16">
        <v>8.84</v>
      </c>
      <c r="U163" s="16">
        <v>13.59</v>
      </c>
      <c r="V163" s="16">
        <v>4.47</v>
      </c>
    </row>
    <row r="164" ht="15.0" customHeight="1">
      <c r="A164" s="13" t="s">
        <v>198</v>
      </c>
      <c r="B164" s="17">
        <v>-0.58</v>
      </c>
      <c r="C164" s="16">
        <v>5.96</v>
      </c>
      <c r="D164" s="17">
        <v>-1.42</v>
      </c>
      <c r="E164" s="17">
        <v>-1.22</v>
      </c>
      <c r="F164" s="17">
        <v>-0.81</v>
      </c>
      <c r="G164" s="17">
        <v>-1.97</v>
      </c>
      <c r="H164" s="16">
        <v>0.57</v>
      </c>
      <c r="I164" s="17">
        <v>-0.71</v>
      </c>
      <c r="J164" s="17">
        <v>-2.6</v>
      </c>
      <c r="K164" s="17">
        <v>-7.2</v>
      </c>
      <c r="L164" s="17">
        <v>-6.8</v>
      </c>
      <c r="M164" s="17">
        <v>-5.09</v>
      </c>
      <c r="N164" s="17">
        <v>-0.87</v>
      </c>
      <c r="O164" s="16">
        <v>7.64</v>
      </c>
      <c r="P164" s="16">
        <v>5.76</v>
      </c>
      <c r="Q164" s="16">
        <v>4.75</v>
      </c>
      <c r="R164" s="16">
        <v>7.85</v>
      </c>
      <c r="S164" s="16">
        <v>5.34</v>
      </c>
      <c r="T164" s="16">
        <v>8.84</v>
      </c>
      <c r="U164" s="16">
        <v>4.52</v>
      </c>
      <c r="V164" s="16">
        <v>3.77</v>
      </c>
    </row>
    <row r="165" ht="15.0" customHeight="1">
      <c r="A165" s="13" t="s">
        <v>199</v>
      </c>
      <c r="B165" s="17">
        <v>-0.54</v>
      </c>
      <c r="C165" s="16">
        <v>6.08</v>
      </c>
      <c r="D165" s="17">
        <v>-0.97</v>
      </c>
      <c r="E165" s="17">
        <v>-1.01</v>
      </c>
      <c r="F165" s="16">
        <v>3.38</v>
      </c>
      <c r="G165" s="17">
        <v>-2.14</v>
      </c>
      <c r="H165" s="16">
        <v>0.37</v>
      </c>
      <c r="I165" s="17">
        <v>-1.19</v>
      </c>
      <c r="J165" s="17">
        <v>-0.21</v>
      </c>
      <c r="K165" s="17">
        <v>-4.73</v>
      </c>
      <c r="L165" s="17">
        <v>-9.54</v>
      </c>
      <c r="M165" s="16">
        <v>9.13</v>
      </c>
      <c r="N165" s="16">
        <v>4.11</v>
      </c>
      <c r="O165" s="16">
        <v>8.3</v>
      </c>
      <c r="P165" s="16">
        <v>19.32</v>
      </c>
      <c r="Q165" s="16">
        <v>7.25</v>
      </c>
      <c r="R165" s="16">
        <v>8.39</v>
      </c>
      <c r="S165" s="16">
        <v>5.34</v>
      </c>
      <c r="T165" s="16">
        <v>8.84</v>
      </c>
      <c r="U165" s="16">
        <v>13.59</v>
      </c>
      <c r="V165" s="16">
        <v>4.47</v>
      </c>
    </row>
    <row r="166" ht="15.0" customHeight="1">
      <c r="A166" s="13" t="s">
        <v>200</v>
      </c>
      <c r="B166" s="21">
        <v>-148.0</v>
      </c>
      <c r="C166" s="14">
        <v>1653.0</v>
      </c>
      <c r="D166" s="21">
        <v>-264.0</v>
      </c>
      <c r="E166" s="21">
        <v>-276.0</v>
      </c>
      <c r="F166" s="14">
        <v>919.0</v>
      </c>
      <c r="G166" s="21">
        <v>-581.0</v>
      </c>
      <c r="H166" s="14">
        <v>100.0</v>
      </c>
      <c r="I166" s="21">
        <v>-322.0</v>
      </c>
      <c r="J166" s="17">
        <v>-58.0</v>
      </c>
      <c r="K166" s="21">
        <v>-1282.0</v>
      </c>
      <c r="L166" s="21">
        <v>-2587.0</v>
      </c>
      <c r="M166" s="14">
        <v>2482.0</v>
      </c>
      <c r="N166" s="14">
        <v>1114.0</v>
      </c>
      <c r="O166" s="14">
        <v>2249.0</v>
      </c>
      <c r="P166" s="14">
        <v>5218.0</v>
      </c>
      <c r="Q166" s="14">
        <v>1957.0</v>
      </c>
      <c r="R166" s="14">
        <v>2260.0</v>
      </c>
      <c r="S166" s="14">
        <v>1438.0</v>
      </c>
      <c r="T166" s="14">
        <v>2401.0</v>
      </c>
      <c r="U166" s="14">
        <v>3738.0</v>
      </c>
      <c r="V166" s="14">
        <v>1229.0</v>
      </c>
    </row>
    <row r="167" ht="15.0" customHeight="1">
      <c r="A167" s="13" t="s">
        <v>166</v>
      </c>
      <c r="B167" s="21">
        <v>-157.0</v>
      </c>
      <c r="C167" s="14">
        <v>1623.0</v>
      </c>
      <c r="D167" s="21">
        <v>-387.0</v>
      </c>
      <c r="E167" s="21">
        <v>-332.0</v>
      </c>
      <c r="F167" s="21">
        <v>-221.0</v>
      </c>
      <c r="G167" s="21">
        <v>-534.0</v>
      </c>
      <c r="H167" s="14">
        <v>154.0</v>
      </c>
      <c r="I167" s="21">
        <v>-194.0</v>
      </c>
      <c r="J167" s="21">
        <v>-706.0</v>
      </c>
      <c r="K167" s="21">
        <v>-1953.0</v>
      </c>
      <c r="L167" s="21">
        <v>-1844.0</v>
      </c>
      <c r="M167" s="21">
        <v>-1398.0</v>
      </c>
      <c r="N167" s="21">
        <v>-248.0</v>
      </c>
      <c r="O167" s="14">
        <v>2249.0</v>
      </c>
      <c r="P167" s="14">
        <v>1555.0</v>
      </c>
      <c r="Q167" s="14">
        <v>1281.0</v>
      </c>
      <c r="R167" s="14">
        <v>2115.0</v>
      </c>
      <c r="S167" s="14">
        <v>1438.0</v>
      </c>
      <c r="T167" s="14">
        <v>2401.0</v>
      </c>
      <c r="U167" s="14">
        <v>1243.0</v>
      </c>
      <c r="V167" s="14">
        <v>1036.0</v>
      </c>
    </row>
    <row r="168" ht="15.0" customHeight="1">
      <c r="A168" s="13" t="s">
        <v>201</v>
      </c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4">
        <v>2327.0</v>
      </c>
      <c r="V168" s="15"/>
    </row>
    <row r="169" ht="15.0" customHeight="1">
      <c r="A169" s="13" t="s">
        <v>202</v>
      </c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4">
        <v>342.0</v>
      </c>
      <c r="Q169" s="14">
        <v>494.0</v>
      </c>
      <c r="R169" s="14">
        <v>538.0</v>
      </c>
      <c r="S169" s="14">
        <v>379.0</v>
      </c>
      <c r="T169" s="14">
        <v>209.0</v>
      </c>
      <c r="U169" s="14">
        <v>429.0</v>
      </c>
      <c r="V169" s="14">
        <v>467.0</v>
      </c>
    </row>
    <row r="170" ht="15.0" customHeight="1">
      <c r="A170" s="13" t="s">
        <v>203</v>
      </c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4">
        <v>498.0</v>
      </c>
      <c r="Q170" s="14">
        <v>361.0</v>
      </c>
      <c r="R170" s="14">
        <v>164.0</v>
      </c>
      <c r="S170" s="14">
        <v>188.0</v>
      </c>
      <c r="T170" s="14">
        <v>166.0</v>
      </c>
      <c r="U170" s="14">
        <v>105.0</v>
      </c>
      <c r="V170" s="16">
        <v>91.0</v>
      </c>
    </row>
    <row r="171" ht="15.0" customHeight="1">
      <c r="A171" s="13" t="s">
        <v>204</v>
      </c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4">
        <v>5301.0</v>
      </c>
      <c r="S171" s="14">
        <v>6857.0</v>
      </c>
      <c r="T171" s="14">
        <v>5442.0</v>
      </c>
      <c r="U171" s="14">
        <v>5980.0</v>
      </c>
      <c r="V171" s="14">
        <v>4131.0</v>
      </c>
    </row>
    <row r="172" ht="15.0" customHeight="1">
      <c r="A172" s="13" t="s">
        <v>205</v>
      </c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6">
        <v>1.4</v>
      </c>
      <c r="S172" s="16">
        <v>12.0</v>
      </c>
      <c r="T172" s="14">
        <v>115.0</v>
      </c>
      <c r="U172" s="16">
        <v>35.0</v>
      </c>
      <c r="V172" s="15"/>
    </row>
    <row r="173" ht="15.0" customHeight="1">
      <c r="A173" s="13" t="s">
        <v>104</v>
      </c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6">
        <v>38.0</v>
      </c>
      <c r="S173" s="16">
        <v>7.0</v>
      </c>
      <c r="T173" s="15"/>
      <c r="U173" s="15"/>
      <c r="V173" s="15"/>
    </row>
    <row r="174" ht="15.0" customHeight="1">
      <c r="A174" s="13" t="s">
        <v>145</v>
      </c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7">
        <v>-61.0</v>
      </c>
      <c r="S174" s="15">
        <v>0.0</v>
      </c>
      <c r="T174" s="15"/>
      <c r="U174" s="15"/>
      <c r="V174" s="15"/>
    </row>
    <row r="175" ht="15.0" customHeight="1">
      <c r="A175" s="13" t="s">
        <v>206</v>
      </c>
      <c r="B175" s="15"/>
      <c r="C175" s="16">
        <v>1.9</v>
      </c>
      <c r="D175" s="16">
        <v>2.1</v>
      </c>
      <c r="E175" s="16">
        <v>2.6</v>
      </c>
      <c r="F175" s="16">
        <v>5.0</v>
      </c>
      <c r="G175" s="16">
        <v>11.0</v>
      </c>
      <c r="H175" s="16">
        <v>11.0</v>
      </c>
      <c r="I175" s="16">
        <v>12.0</v>
      </c>
      <c r="J175" s="16">
        <v>14.0</v>
      </c>
      <c r="K175" s="15"/>
      <c r="L175" s="16">
        <v>15.0</v>
      </c>
      <c r="M175" s="16">
        <v>38.0</v>
      </c>
      <c r="N175" s="16">
        <v>19.0</v>
      </c>
      <c r="O175" s="16">
        <v>28.0</v>
      </c>
      <c r="P175" s="15"/>
      <c r="Q175" s="15"/>
      <c r="R175" s="15"/>
      <c r="S175" s="15"/>
      <c r="T175" s="15"/>
      <c r="U175" s="15"/>
      <c r="V175" s="15"/>
    </row>
    <row r="176" ht="15.0" customHeight="1">
      <c r="A176" s="13" t="s">
        <v>207</v>
      </c>
      <c r="B176" s="15"/>
      <c r="C176" s="16">
        <v>1.7</v>
      </c>
      <c r="D176" s="16">
        <v>1.6</v>
      </c>
      <c r="E176" s="16">
        <v>2.5</v>
      </c>
      <c r="F176" s="16">
        <v>4.0</v>
      </c>
      <c r="G176" s="16">
        <v>10.0</v>
      </c>
      <c r="H176" s="16">
        <v>10.0</v>
      </c>
      <c r="I176" s="16">
        <v>10.0</v>
      </c>
      <c r="J176" s="16">
        <v>10.0</v>
      </c>
      <c r="K176" s="15"/>
      <c r="L176" s="16">
        <v>12.0</v>
      </c>
      <c r="M176" s="16">
        <v>16.0</v>
      </c>
      <c r="N176" s="16">
        <v>13.0</v>
      </c>
      <c r="O176" s="16">
        <v>23.0</v>
      </c>
      <c r="P176" s="17">
        <v>-35.0</v>
      </c>
      <c r="Q176" s="17">
        <v>-30.0</v>
      </c>
      <c r="R176" s="16">
        <v>37.0</v>
      </c>
      <c r="S176" s="16">
        <v>30.0</v>
      </c>
      <c r="T176" s="16">
        <v>26.0</v>
      </c>
      <c r="U176" s="15"/>
      <c r="V176" s="15"/>
    </row>
    <row r="177" ht="15.0" customHeight="1">
      <c r="A177" s="13" t="s">
        <v>208</v>
      </c>
      <c r="B177" s="15"/>
      <c r="C177" s="16">
        <v>0.2</v>
      </c>
      <c r="D177" s="16">
        <v>0.5</v>
      </c>
      <c r="E177" s="16">
        <v>0.1</v>
      </c>
      <c r="F177" s="16">
        <v>1.0</v>
      </c>
      <c r="G177" s="16">
        <v>1.0</v>
      </c>
      <c r="H177" s="16">
        <v>1.0</v>
      </c>
      <c r="I177" s="16">
        <v>2.0</v>
      </c>
      <c r="J177" s="16">
        <v>4.0</v>
      </c>
      <c r="K177" s="15"/>
      <c r="L177" s="16">
        <v>2.0</v>
      </c>
      <c r="M177" s="16">
        <v>19.0</v>
      </c>
      <c r="N177" s="16">
        <v>3.0</v>
      </c>
      <c r="O177" s="16">
        <v>2.0</v>
      </c>
      <c r="P177" s="17">
        <v>-2.0</v>
      </c>
      <c r="Q177" s="17">
        <v>-7.0</v>
      </c>
      <c r="R177" s="16">
        <v>3.0</v>
      </c>
      <c r="S177" s="16">
        <v>2.0</v>
      </c>
      <c r="T177" s="15"/>
      <c r="U177" s="15"/>
      <c r="V177" s="15"/>
    </row>
    <row r="178" ht="15.0" customHeight="1">
      <c r="A178" s="13" t="s">
        <v>209</v>
      </c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>
        <v>0.0</v>
      </c>
      <c r="M178" s="16">
        <v>1.0</v>
      </c>
      <c r="N178" s="16">
        <v>1.0</v>
      </c>
      <c r="O178" s="16">
        <v>2.0</v>
      </c>
      <c r="P178" s="17">
        <v>-4.0</v>
      </c>
      <c r="Q178" s="17">
        <v>-9.0</v>
      </c>
      <c r="R178" s="16">
        <v>9.0</v>
      </c>
      <c r="S178" s="16">
        <v>4.0</v>
      </c>
      <c r="T178" s="16">
        <v>4.0</v>
      </c>
      <c r="U178" s="15"/>
      <c r="V178" s="15"/>
    </row>
    <row r="179" ht="15.0" customHeight="1">
      <c r="A179" s="13" t="s">
        <v>210</v>
      </c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6">
        <v>1.0</v>
      </c>
      <c r="M179" s="16">
        <v>2.0</v>
      </c>
      <c r="N179" s="16">
        <v>2.0</v>
      </c>
      <c r="O179" s="16">
        <v>1.0</v>
      </c>
      <c r="P179" s="17">
        <v>-2.0</v>
      </c>
      <c r="Q179" s="17">
        <v>-4.0</v>
      </c>
      <c r="R179" s="16">
        <v>3.0</v>
      </c>
      <c r="S179" s="16">
        <v>4.0</v>
      </c>
      <c r="T179" s="16">
        <v>2.0</v>
      </c>
      <c r="U179" s="15"/>
      <c r="V179" s="15"/>
    </row>
    <row r="180" ht="15.0" customHeight="1">
      <c r="A180" s="13" t="s">
        <v>211</v>
      </c>
      <c r="B180" s="15"/>
      <c r="C180" s="15"/>
      <c r="D180" s="16">
        <v>3.0</v>
      </c>
      <c r="E180" s="16">
        <v>3.0</v>
      </c>
      <c r="F180" s="16">
        <v>2.0</v>
      </c>
      <c r="G180" s="16">
        <v>1.0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</row>
    <row r="181" ht="15.0" customHeight="1">
      <c r="A181" s="13" t="s">
        <v>86</v>
      </c>
      <c r="B181" s="15"/>
      <c r="C181" s="15"/>
      <c r="D181" s="15"/>
      <c r="E181" s="15"/>
      <c r="F181" s="15"/>
      <c r="G181" s="16">
        <v>12.0</v>
      </c>
      <c r="H181" s="14">
        <v>184.0</v>
      </c>
      <c r="I181" s="14">
        <v>248.0</v>
      </c>
      <c r="J181" s="14">
        <v>236.0</v>
      </c>
      <c r="K181" s="15"/>
      <c r="L181" s="15"/>
      <c r="M181" s="14">
        <v>1138.0</v>
      </c>
      <c r="N181" s="14">
        <v>1311.0</v>
      </c>
      <c r="O181" s="14">
        <v>1406.0</v>
      </c>
      <c r="P181" s="15"/>
      <c r="Q181" s="15"/>
      <c r="R181" s="14">
        <v>1198.0</v>
      </c>
      <c r="S181" s="14">
        <v>1257.0</v>
      </c>
      <c r="T181" s="14">
        <v>736.0</v>
      </c>
      <c r="U181" s="14">
        <v>456.0</v>
      </c>
      <c r="V181" s="14">
        <v>444.0</v>
      </c>
    </row>
    <row r="182" ht="15.0" customHeight="1">
      <c r="A182" s="13" t="s">
        <v>212</v>
      </c>
      <c r="B182" s="16">
        <v>57.0</v>
      </c>
      <c r="C182" s="16">
        <v>48.0</v>
      </c>
      <c r="D182" s="16">
        <v>27.0</v>
      </c>
      <c r="E182" s="16">
        <v>26.0</v>
      </c>
      <c r="F182" s="14">
        <v>105.0</v>
      </c>
      <c r="G182" s="14">
        <v>274.0</v>
      </c>
      <c r="H182" s="14">
        <v>270.0</v>
      </c>
      <c r="I182" s="14">
        <v>342.0</v>
      </c>
      <c r="J182" s="14">
        <v>634.0</v>
      </c>
      <c r="K182" s="14">
        <v>668.0</v>
      </c>
      <c r="L182" s="14">
        <v>1064.0</v>
      </c>
      <c r="M182" s="14">
        <v>2392.0</v>
      </c>
      <c r="N182" s="14">
        <v>734.0</v>
      </c>
      <c r="O182" s="14">
        <v>895.0</v>
      </c>
      <c r="P182" s="14">
        <v>896.0</v>
      </c>
      <c r="Q182" s="14">
        <v>889.0</v>
      </c>
      <c r="R182" s="14">
        <v>910.0</v>
      </c>
      <c r="S182" s="14">
        <v>615.0</v>
      </c>
      <c r="T182" s="14">
        <v>431.0</v>
      </c>
      <c r="U182" s="14">
        <v>393.0</v>
      </c>
      <c r="V182" s="14">
        <v>356.0</v>
      </c>
    </row>
    <row r="183" ht="15.0" customHeight="1">
      <c r="A183" s="13" t="s">
        <v>213</v>
      </c>
      <c r="B183" s="15"/>
      <c r="C183" s="16">
        <v>48.0</v>
      </c>
      <c r="D183" s="16">
        <v>27.0</v>
      </c>
      <c r="E183" s="16">
        <v>26.0</v>
      </c>
      <c r="F183" s="16">
        <v>89.0</v>
      </c>
      <c r="G183" s="14">
        <v>214.0</v>
      </c>
      <c r="H183" s="14">
        <v>216.0</v>
      </c>
      <c r="I183" s="14">
        <v>278.0</v>
      </c>
      <c r="J183" s="14">
        <v>505.0</v>
      </c>
      <c r="K183" s="15"/>
      <c r="L183" s="14">
        <v>859.0</v>
      </c>
      <c r="M183" s="14">
        <v>670.0</v>
      </c>
      <c r="N183" s="14">
        <v>523.0</v>
      </c>
      <c r="O183" s="14">
        <v>819.0</v>
      </c>
      <c r="P183" s="14">
        <v>810.0</v>
      </c>
      <c r="Q183" s="14">
        <v>830.0</v>
      </c>
      <c r="R183" s="14">
        <v>803.0</v>
      </c>
      <c r="S183" s="14">
        <v>565.0</v>
      </c>
      <c r="T183" s="14">
        <v>430.0</v>
      </c>
      <c r="U183" s="14">
        <v>339.0</v>
      </c>
      <c r="V183" s="14">
        <v>306.0</v>
      </c>
    </row>
    <row r="184" ht="15.0" customHeight="1">
      <c r="A184" s="13" t="s">
        <v>214</v>
      </c>
      <c r="B184" s="15"/>
      <c r="C184" s="15"/>
      <c r="D184" s="15">
        <v>0.0</v>
      </c>
      <c r="E184" s="15">
        <v>0.0</v>
      </c>
      <c r="F184" s="16">
        <v>16.0</v>
      </c>
      <c r="G184" s="16">
        <v>60.0</v>
      </c>
      <c r="H184" s="16">
        <v>53.0</v>
      </c>
      <c r="I184" s="16">
        <v>64.0</v>
      </c>
      <c r="J184" s="14">
        <v>129.0</v>
      </c>
      <c r="K184" s="15"/>
      <c r="L184" s="14">
        <v>205.0</v>
      </c>
      <c r="M184" s="14">
        <v>235.0</v>
      </c>
      <c r="N184" s="14">
        <v>211.0</v>
      </c>
      <c r="O184" s="16">
        <v>76.0</v>
      </c>
      <c r="P184" s="15"/>
      <c r="Q184" s="15"/>
      <c r="R184" s="15"/>
      <c r="S184" s="15"/>
      <c r="T184" s="15"/>
      <c r="U184" s="15"/>
      <c r="V184" s="15"/>
    </row>
    <row r="185" ht="15.0" customHeight="1">
      <c r="A185" s="13" t="s">
        <v>215</v>
      </c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7">
        <v>-71.0</v>
      </c>
      <c r="Q185" s="17">
        <v>-57.0</v>
      </c>
      <c r="R185" s="16">
        <v>38.0</v>
      </c>
      <c r="S185" s="16">
        <v>7.0</v>
      </c>
      <c r="T185" s="15"/>
      <c r="U185" s="15"/>
      <c r="V185" s="15"/>
    </row>
    <row r="186" ht="15.0" customHeight="1">
      <c r="A186" s="13" t="s">
        <v>216</v>
      </c>
      <c r="B186" s="15"/>
      <c r="C186" s="16">
        <v>1.0</v>
      </c>
      <c r="D186" s="16">
        <v>3.0</v>
      </c>
      <c r="E186" s="16">
        <v>5.0</v>
      </c>
      <c r="F186" s="16">
        <v>9.0</v>
      </c>
      <c r="G186" s="16">
        <v>13.0</v>
      </c>
      <c r="H186" s="16">
        <v>37.0</v>
      </c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</row>
    <row r="187" ht="15.0" customHeight="1">
      <c r="A187" s="13" t="s">
        <v>217</v>
      </c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7">
        <v>-43.0</v>
      </c>
      <c r="T187" s="15"/>
      <c r="U187" s="15"/>
      <c r="V187" s="15"/>
    </row>
    <row r="188" ht="15.0" customHeight="1">
      <c r="A188" s="13" t="s">
        <v>218</v>
      </c>
      <c r="B188" s="21">
        <v>-148.0</v>
      </c>
      <c r="C188" s="14">
        <v>1653.0</v>
      </c>
      <c r="D188" s="21">
        <v>-264.0</v>
      </c>
      <c r="E188" s="21">
        <v>-276.0</v>
      </c>
      <c r="F188" s="14">
        <v>919.0</v>
      </c>
      <c r="G188" s="21">
        <v>-581.0</v>
      </c>
      <c r="H188" s="14">
        <v>100.0</v>
      </c>
      <c r="I188" s="21">
        <v>-322.0</v>
      </c>
      <c r="J188" s="17">
        <v>-58.0</v>
      </c>
      <c r="K188" s="21">
        <v>-1282.0</v>
      </c>
      <c r="L188" s="21">
        <v>-2587.0</v>
      </c>
      <c r="M188" s="14">
        <v>2482.0</v>
      </c>
      <c r="N188" s="14">
        <v>1114.0</v>
      </c>
      <c r="O188" s="14">
        <v>2249.0</v>
      </c>
      <c r="P188" s="15"/>
      <c r="Q188" s="15"/>
      <c r="R188" s="15"/>
      <c r="S188" s="15"/>
      <c r="T188" s="15"/>
      <c r="U188" s="15"/>
      <c r="V188" s="15"/>
    </row>
    <row r="189" ht="15.0" customHeight="1">
      <c r="A189" s="13" t="s">
        <v>219</v>
      </c>
      <c r="B189" s="21">
        <v>-148.0</v>
      </c>
      <c r="C189" s="14">
        <v>1653.0</v>
      </c>
      <c r="D189" s="21">
        <v>-264.0</v>
      </c>
      <c r="E189" s="21">
        <v>-276.0</v>
      </c>
      <c r="F189" s="14">
        <v>919.0</v>
      </c>
      <c r="G189" s="21">
        <v>-581.0</v>
      </c>
      <c r="H189" s="14">
        <v>100.0</v>
      </c>
      <c r="I189" s="21">
        <v>-322.0</v>
      </c>
      <c r="J189" s="17">
        <v>-58.0</v>
      </c>
      <c r="K189" s="21">
        <v>-1282.0</v>
      </c>
      <c r="L189" s="21">
        <v>-2587.0</v>
      </c>
      <c r="M189" s="14">
        <v>2482.0</v>
      </c>
      <c r="N189" s="14">
        <v>1114.0</v>
      </c>
      <c r="O189" s="14">
        <v>2249.0</v>
      </c>
      <c r="P189" s="15"/>
      <c r="Q189" s="15"/>
      <c r="R189" s="15"/>
      <c r="S189" s="15"/>
      <c r="T189" s="15"/>
      <c r="U189" s="15"/>
      <c r="V189" s="15"/>
    </row>
    <row r="190" ht="15.0" customHeight="1">
      <c r="A190" s="13" t="s">
        <v>220</v>
      </c>
      <c r="B190" s="14">
        <v>272.56</v>
      </c>
      <c r="C190" s="14">
        <v>272.19</v>
      </c>
      <c r="D190" s="14">
        <v>272.18</v>
      </c>
      <c r="E190" s="14">
        <v>272.0</v>
      </c>
      <c r="F190" s="14">
        <v>271.61</v>
      </c>
      <c r="G190" s="14">
        <v>271.61</v>
      </c>
      <c r="H190" s="14">
        <v>271.55</v>
      </c>
      <c r="I190" s="14">
        <v>271.22</v>
      </c>
      <c r="J190" s="14">
        <v>271.22</v>
      </c>
      <c r="K190" s="14">
        <v>271.22</v>
      </c>
      <c r="L190" s="14">
        <v>271.09</v>
      </c>
      <c r="M190" s="14">
        <v>271.83</v>
      </c>
      <c r="N190" s="14">
        <v>271.16</v>
      </c>
      <c r="O190" s="14">
        <v>270.05</v>
      </c>
      <c r="P190" s="15"/>
      <c r="Q190" s="15"/>
      <c r="R190" s="15"/>
      <c r="S190" s="15"/>
      <c r="T190" s="15"/>
      <c r="U190" s="15"/>
      <c r="V190" s="15"/>
    </row>
    <row r="191" ht="15.0" customHeight="1">
      <c r="A191" s="13" t="s">
        <v>221</v>
      </c>
      <c r="B191" s="14">
        <v>272.56</v>
      </c>
      <c r="C191" s="14">
        <v>272.19</v>
      </c>
      <c r="D191" s="14">
        <v>272.18</v>
      </c>
      <c r="E191" s="14">
        <v>272.0</v>
      </c>
      <c r="F191" s="14">
        <v>271.61</v>
      </c>
      <c r="G191" s="14">
        <v>271.61</v>
      </c>
      <c r="H191" s="14">
        <v>271.55</v>
      </c>
      <c r="I191" s="14">
        <v>271.22</v>
      </c>
      <c r="J191" s="14">
        <v>271.22</v>
      </c>
      <c r="K191" s="14">
        <v>271.22</v>
      </c>
      <c r="L191" s="14">
        <v>271.09</v>
      </c>
      <c r="M191" s="14">
        <v>271.83</v>
      </c>
      <c r="N191" s="14">
        <v>271.16</v>
      </c>
      <c r="O191" s="14">
        <v>271.03</v>
      </c>
      <c r="P191" s="15"/>
      <c r="Q191" s="15"/>
      <c r="R191" s="15"/>
      <c r="S191" s="15"/>
      <c r="T191" s="15"/>
      <c r="U191" s="15"/>
      <c r="V191" s="15"/>
    </row>
    <row r="192" ht="15.0" customHeight="1">
      <c r="A192" s="13" t="s">
        <v>222</v>
      </c>
      <c r="B192" s="17">
        <v>-0.54</v>
      </c>
      <c r="C192" s="16">
        <v>6.08</v>
      </c>
      <c r="D192" s="17">
        <v>-0.97</v>
      </c>
      <c r="E192" s="17">
        <v>-1.01</v>
      </c>
      <c r="F192" s="16">
        <v>3.38</v>
      </c>
      <c r="G192" s="17">
        <v>-2.14</v>
      </c>
      <c r="H192" s="16">
        <v>0.37</v>
      </c>
      <c r="I192" s="17">
        <v>-1.19</v>
      </c>
      <c r="J192" s="17">
        <v>-0.21</v>
      </c>
      <c r="K192" s="17">
        <v>-4.73</v>
      </c>
      <c r="L192" s="17">
        <v>-9.54</v>
      </c>
      <c r="M192" s="16">
        <v>9.13</v>
      </c>
      <c r="N192" s="16">
        <v>4.11</v>
      </c>
      <c r="O192" s="16">
        <v>8.33</v>
      </c>
      <c r="P192" s="15"/>
      <c r="Q192" s="15"/>
      <c r="R192" s="15"/>
      <c r="S192" s="15"/>
      <c r="T192" s="15"/>
      <c r="U192" s="15"/>
      <c r="V192" s="15"/>
    </row>
    <row r="193" ht="15.0" customHeight="1">
      <c r="A193" s="13" t="s">
        <v>223</v>
      </c>
      <c r="B193" s="17">
        <v>-0.54</v>
      </c>
      <c r="C193" s="16">
        <v>6.08</v>
      </c>
      <c r="D193" s="17">
        <v>-0.97</v>
      </c>
      <c r="E193" s="17">
        <v>-1.01</v>
      </c>
      <c r="F193" s="16">
        <v>3.38</v>
      </c>
      <c r="G193" s="17">
        <v>-2.14</v>
      </c>
      <c r="H193" s="16">
        <v>0.37</v>
      </c>
      <c r="I193" s="17">
        <v>-1.19</v>
      </c>
      <c r="J193" s="17">
        <v>-0.21</v>
      </c>
      <c r="K193" s="17">
        <v>-4.73</v>
      </c>
      <c r="L193" s="17">
        <v>-9.54</v>
      </c>
      <c r="M193" s="16">
        <v>9.13</v>
      </c>
      <c r="N193" s="16">
        <v>4.11</v>
      </c>
      <c r="O193" s="16">
        <v>8.3</v>
      </c>
      <c r="P193" s="15"/>
      <c r="Q193" s="15"/>
      <c r="R193" s="15"/>
      <c r="S193" s="15"/>
      <c r="T193" s="15"/>
      <c r="U193" s="15"/>
      <c r="V193" s="15"/>
    </row>
    <row r="194" ht="15.0" customHeight="1">
      <c r="A194" s="13" t="s">
        <v>224</v>
      </c>
      <c r="B194" s="17">
        <v>-0.58</v>
      </c>
      <c r="C194" s="16">
        <v>5.96</v>
      </c>
      <c r="D194" s="17">
        <v>-1.42</v>
      </c>
      <c r="E194" s="17">
        <v>-1.22</v>
      </c>
      <c r="F194" s="17">
        <v>-0.81</v>
      </c>
      <c r="G194" s="17">
        <v>-1.97</v>
      </c>
      <c r="H194" s="16">
        <v>0.57</v>
      </c>
      <c r="I194" s="17">
        <v>-0.71</v>
      </c>
      <c r="J194" s="17">
        <v>-2.6</v>
      </c>
      <c r="K194" s="17">
        <v>-7.2</v>
      </c>
      <c r="L194" s="17">
        <v>-6.8</v>
      </c>
      <c r="M194" s="17">
        <v>-5.09</v>
      </c>
      <c r="N194" s="17">
        <v>-0.87</v>
      </c>
      <c r="O194" s="16">
        <v>7.67</v>
      </c>
      <c r="P194" s="15"/>
      <c r="Q194" s="15"/>
      <c r="R194" s="15"/>
      <c r="S194" s="15"/>
      <c r="T194" s="15"/>
      <c r="U194" s="15"/>
      <c r="V194" s="15"/>
    </row>
    <row r="195" ht="15.0" customHeight="1">
      <c r="A195" s="13" t="s">
        <v>225</v>
      </c>
      <c r="B195" s="17">
        <v>-0.58</v>
      </c>
      <c r="C195" s="16">
        <v>5.96</v>
      </c>
      <c r="D195" s="17">
        <v>-1.42</v>
      </c>
      <c r="E195" s="17">
        <v>-1.22</v>
      </c>
      <c r="F195" s="17">
        <v>-0.81</v>
      </c>
      <c r="G195" s="17">
        <v>-1.97</v>
      </c>
      <c r="H195" s="16">
        <v>0.57</v>
      </c>
      <c r="I195" s="17">
        <v>-0.71</v>
      </c>
      <c r="J195" s="17">
        <v>-2.6</v>
      </c>
      <c r="K195" s="17">
        <v>-7.2</v>
      </c>
      <c r="L195" s="17">
        <v>-6.8</v>
      </c>
      <c r="M195" s="17">
        <v>-5.09</v>
      </c>
      <c r="N195" s="17">
        <v>-0.87</v>
      </c>
      <c r="O195" s="16">
        <v>7.64</v>
      </c>
      <c r="P195" s="15"/>
      <c r="Q195" s="15"/>
      <c r="R195" s="15"/>
      <c r="S195" s="15"/>
      <c r="T195" s="15"/>
      <c r="U195" s="15"/>
      <c r="V195" s="15"/>
    </row>
    <row r="196" ht="15.0" customHeight="1">
      <c r="A196" s="13" t="s">
        <v>226</v>
      </c>
      <c r="B196" s="21">
        <v>-157.0</v>
      </c>
      <c r="C196" s="14">
        <v>1623.0</v>
      </c>
      <c r="D196" s="21">
        <v>-387.0</v>
      </c>
      <c r="E196" s="21">
        <v>-332.0</v>
      </c>
      <c r="F196" s="21">
        <v>-221.0</v>
      </c>
      <c r="G196" s="21">
        <v>-534.0</v>
      </c>
      <c r="H196" s="14">
        <v>154.0</v>
      </c>
      <c r="I196" s="21">
        <v>-194.0</v>
      </c>
      <c r="J196" s="21">
        <v>-706.0</v>
      </c>
      <c r="K196" s="21">
        <v>-1953.0</v>
      </c>
      <c r="L196" s="21">
        <v>-1844.0</v>
      </c>
      <c r="M196" s="21">
        <v>-1398.0</v>
      </c>
      <c r="N196" s="21">
        <v>-248.0</v>
      </c>
      <c r="O196" s="14">
        <v>2049.0</v>
      </c>
      <c r="P196" s="15"/>
      <c r="Q196" s="15"/>
      <c r="R196" s="15"/>
      <c r="S196" s="15"/>
      <c r="T196" s="15"/>
      <c r="U196" s="15"/>
      <c r="V196" s="15"/>
    </row>
    <row r="197" ht="15.0" customHeight="1">
      <c r="A197" s="13" t="s">
        <v>227</v>
      </c>
      <c r="B197" s="21">
        <v>-157.0</v>
      </c>
      <c r="C197" s="14">
        <v>1623.0</v>
      </c>
      <c r="D197" s="21">
        <v>-387.0</v>
      </c>
      <c r="E197" s="21">
        <v>-332.0</v>
      </c>
      <c r="F197" s="21">
        <v>-221.0</v>
      </c>
      <c r="G197" s="21">
        <v>-534.0</v>
      </c>
      <c r="H197" s="14">
        <v>154.0</v>
      </c>
      <c r="I197" s="21">
        <v>-194.0</v>
      </c>
      <c r="J197" s="21">
        <v>-706.0</v>
      </c>
      <c r="K197" s="21">
        <v>-1953.0</v>
      </c>
      <c r="L197" s="21">
        <v>-1844.0</v>
      </c>
      <c r="M197" s="21">
        <v>-1398.0</v>
      </c>
      <c r="N197" s="21">
        <v>-248.0</v>
      </c>
      <c r="O197" s="14">
        <v>2049.0</v>
      </c>
      <c r="P197" s="15"/>
      <c r="Q197" s="15"/>
      <c r="R197" s="15"/>
      <c r="S197" s="15"/>
      <c r="T197" s="15"/>
      <c r="U197" s="15"/>
      <c r="V197" s="15"/>
    </row>
    <row r="198" ht="15.0" customHeight="1">
      <c r="A198" s="13" t="s">
        <v>228</v>
      </c>
      <c r="B198" s="16">
        <v>1.0</v>
      </c>
      <c r="C198" s="16">
        <v>1.0</v>
      </c>
      <c r="D198" s="16">
        <v>1.0</v>
      </c>
      <c r="E198" s="16">
        <v>1.0</v>
      </c>
      <c r="F198" s="16">
        <v>1.0</v>
      </c>
      <c r="G198" s="16">
        <v>1.0</v>
      </c>
      <c r="H198" s="16">
        <v>1.0</v>
      </c>
      <c r="I198" s="16">
        <v>1.0</v>
      </c>
      <c r="J198" s="16">
        <v>1.0</v>
      </c>
      <c r="K198" s="16">
        <v>1.0</v>
      </c>
      <c r="L198" s="16">
        <v>1.0</v>
      </c>
      <c r="M198" s="16">
        <v>1.0</v>
      </c>
      <c r="N198" s="16">
        <v>1.0</v>
      </c>
      <c r="O198" s="16">
        <v>1.0</v>
      </c>
      <c r="P198" s="15"/>
      <c r="Q198" s="15"/>
      <c r="R198" s="15"/>
      <c r="S198" s="15"/>
      <c r="T198" s="15"/>
      <c r="U198" s="15"/>
      <c r="V198" s="15"/>
    </row>
    <row r="199" ht="15.0" customHeight="1">
      <c r="A199" s="13" t="s">
        <v>229</v>
      </c>
      <c r="B199" s="16">
        <v>1.0</v>
      </c>
      <c r="C199" s="16">
        <v>1.0</v>
      </c>
      <c r="D199" s="16">
        <v>1.0</v>
      </c>
      <c r="E199" s="16">
        <v>1.0</v>
      </c>
      <c r="F199" s="16">
        <v>1.0</v>
      </c>
      <c r="G199" s="16">
        <v>1.0</v>
      </c>
      <c r="H199" s="16">
        <v>1.0</v>
      </c>
      <c r="I199" s="16">
        <v>1.0</v>
      </c>
      <c r="J199" s="16">
        <v>1.0</v>
      </c>
      <c r="K199" s="16">
        <v>1.0</v>
      </c>
      <c r="L199" s="16">
        <v>1.0</v>
      </c>
      <c r="M199" s="16">
        <v>1.0</v>
      </c>
      <c r="N199" s="16">
        <v>1.0</v>
      </c>
      <c r="O199" s="16">
        <v>1.0</v>
      </c>
      <c r="P199" s="15"/>
      <c r="Q199" s="15"/>
      <c r="R199" s="15"/>
      <c r="S199" s="15"/>
      <c r="T199" s="15"/>
      <c r="U199" s="15"/>
      <c r="V199" s="15"/>
    </row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3" width="15.71"/>
    <col customWidth="1" min="24" max="26" width="8.71"/>
  </cols>
  <sheetData>
    <row r="1" ht="15.0" customHeight="1">
      <c r="A1" s="1" t="s">
        <v>230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46090.4373723032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</row>
    <row r="12" ht="15.0" customHeight="1" outlineLevel="1">
      <c r="A12" s="8" t="s">
        <v>39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</row>
    <row r="13" ht="15.0" customHeight="1" outlineLevel="1">
      <c r="A13" s="8" t="s">
        <v>40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42004.0</v>
      </c>
      <c r="O13" s="9">
        <v>41274.0</v>
      </c>
      <c r="P13" s="9">
        <v>41274.0</v>
      </c>
      <c r="Q13" s="9">
        <v>41274.0</v>
      </c>
      <c r="R13" s="9">
        <v>40178.0</v>
      </c>
      <c r="S13" s="9">
        <v>39813.0</v>
      </c>
      <c r="T13" s="9">
        <v>39813.0</v>
      </c>
      <c r="U13" s="9">
        <v>39082.0</v>
      </c>
      <c r="V13" s="9">
        <v>38717.0</v>
      </c>
    </row>
    <row r="14" ht="15.0" customHeight="1" outlineLevel="1">
      <c r="A14" s="8" t="s">
        <v>41</v>
      </c>
      <c r="B14" s="10" t="s">
        <v>42</v>
      </c>
      <c r="C14" s="10" t="s">
        <v>42</v>
      </c>
      <c r="D14" s="10" t="s">
        <v>42</v>
      </c>
      <c r="E14" s="10" t="s">
        <v>42</v>
      </c>
      <c r="F14" s="10" t="s">
        <v>42</v>
      </c>
      <c r="G14" s="10" t="s">
        <v>42</v>
      </c>
      <c r="H14" s="10" t="s">
        <v>42</v>
      </c>
      <c r="I14" s="10" t="s">
        <v>42</v>
      </c>
      <c r="J14" s="10" t="s">
        <v>42</v>
      </c>
      <c r="K14" s="10" t="s">
        <v>42</v>
      </c>
      <c r="L14" s="10" t="s">
        <v>42</v>
      </c>
      <c r="M14" s="10" t="s">
        <v>42</v>
      </c>
      <c r="N14" s="10" t="s">
        <v>42</v>
      </c>
      <c r="O14" s="10" t="s">
        <v>42</v>
      </c>
      <c r="P14" s="10" t="s">
        <v>42</v>
      </c>
      <c r="Q14" s="10" t="s">
        <v>42</v>
      </c>
      <c r="R14" s="10" t="s">
        <v>42</v>
      </c>
      <c r="S14" s="10" t="s">
        <v>42</v>
      </c>
      <c r="T14" s="10" t="s">
        <v>42</v>
      </c>
      <c r="U14" s="10" t="s">
        <v>42</v>
      </c>
      <c r="V14" s="10" t="s">
        <v>42</v>
      </c>
    </row>
    <row r="15" ht="15.0" customHeight="1" outlineLevel="1">
      <c r="A15" s="8" t="s">
        <v>43</v>
      </c>
      <c r="B15" s="10" t="s">
        <v>231</v>
      </c>
      <c r="C15" s="10" t="s">
        <v>231</v>
      </c>
      <c r="D15" s="10" t="s">
        <v>231</v>
      </c>
      <c r="E15" s="10" t="s">
        <v>231</v>
      </c>
      <c r="F15" s="10" t="s">
        <v>231</v>
      </c>
      <c r="G15" s="10" t="s">
        <v>231</v>
      </c>
      <c r="H15" s="10" t="s">
        <v>231</v>
      </c>
      <c r="I15" s="10" t="s">
        <v>231</v>
      </c>
      <c r="J15" s="10" t="s">
        <v>231</v>
      </c>
      <c r="K15" s="10" t="s">
        <v>231</v>
      </c>
      <c r="L15" s="10" t="s">
        <v>231</v>
      </c>
      <c r="M15" s="10" t="s">
        <v>231</v>
      </c>
      <c r="N15" s="10" t="s">
        <v>231</v>
      </c>
      <c r="O15" s="10" t="s">
        <v>231</v>
      </c>
      <c r="P15" s="10" t="s">
        <v>231</v>
      </c>
      <c r="Q15" s="10" t="s">
        <v>231</v>
      </c>
      <c r="R15" s="10" t="s">
        <v>231</v>
      </c>
      <c r="S15" s="10" t="s">
        <v>231</v>
      </c>
      <c r="T15" s="10" t="s">
        <v>231</v>
      </c>
      <c r="U15" s="10" t="s">
        <v>231</v>
      </c>
      <c r="V15" s="10" t="s">
        <v>231</v>
      </c>
    </row>
    <row r="17">
      <c r="A17" s="11" t="s">
        <v>232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</row>
    <row r="18">
      <c r="A18" s="11" t="s">
        <v>46</v>
      </c>
      <c r="B18" s="12" t="s">
        <v>47</v>
      </c>
      <c r="C18" s="12" t="s">
        <v>48</v>
      </c>
      <c r="D18" s="12" t="s">
        <v>49</v>
      </c>
      <c r="E18" s="12" t="s">
        <v>50</v>
      </c>
      <c r="F18" s="12" t="s">
        <v>51</v>
      </c>
      <c r="G18" s="12" t="s">
        <v>52</v>
      </c>
      <c r="H18" s="12" t="s">
        <v>53</v>
      </c>
      <c r="I18" s="12" t="s">
        <v>54</v>
      </c>
      <c r="J18" s="12" t="s">
        <v>55</v>
      </c>
      <c r="K18" s="12" t="s">
        <v>56</v>
      </c>
      <c r="L18" s="12" t="s">
        <v>57</v>
      </c>
      <c r="M18" s="12" t="s">
        <v>58</v>
      </c>
      <c r="N18" s="12" t="s">
        <v>59</v>
      </c>
      <c r="O18" s="12" t="s">
        <v>60</v>
      </c>
      <c r="P18" s="12" t="s">
        <v>61</v>
      </c>
      <c r="Q18" s="12" t="s">
        <v>62</v>
      </c>
      <c r="R18" s="12" t="s">
        <v>63</v>
      </c>
      <c r="S18" s="12" t="s">
        <v>64</v>
      </c>
      <c r="T18" s="12" t="s">
        <v>65</v>
      </c>
      <c r="U18" s="12" t="s">
        <v>66</v>
      </c>
      <c r="V18" s="12" t="s">
        <v>67</v>
      </c>
    </row>
    <row r="19" ht="15.0" customHeight="1">
      <c r="A19" s="13" t="s">
        <v>233</v>
      </c>
      <c r="B19" s="14">
        <v>140.0</v>
      </c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</row>
    <row r="20" ht="15.0" customHeight="1">
      <c r="A20" s="13" t="s">
        <v>234</v>
      </c>
      <c r="B20" s="16">
        <v>13.0</v>
      </c>
      <c r="C20" s="14">
        <v>304.0</v>
      </c>
      <c r="D20" s="15"/>
      <c r="E20" s="15"/>
      <c r="F20" s="15"/>
      <c r="G20" s="15"/>
      <c r="H20" s="15">
        <v>0.0</v>
      </c>
      <c r="I20" s="14">
        <v>257.0</v>
      </c>
      <c r="J20" s="15">
        <v>0.0</v>
      </c>
      <c r="K20" s="16">
        <v>15.0</v>
      </c>
      <c r="L20" s="16">
        <v>72.0</v>
      </c>
      <c r="M20" s="14">
        <v>205.0</v>
      </c>
      <c r="N20" s="14">
        <v>511.0</v>
      </c>
      <c r="O20" s="14">
        <v>421.0</v>
      </c>
      <c r="P20" s="14">
        <v>534.0</v>
      </c>
      <c r="Q20" s="14">
        <v>621.0</v>
      </c>
      <c r="R20" s="14">
        <v>440.0</v>
      </c>
      <c r="S20" s="14">
        <v>480.0</v>
      </c>
      <c r="T20" s="14">
        <v>540.0</v>
      </c>
      <c r="U20" s="14">
        <v>546.0</v>
      </c>
      <c r="V20" s="14">
        <v>388.0</v>
      </c>
    </row>
    <row r="21" ht="15.0" customHeight="1">
      <c r="A21" s="13" t="s">
        <v>235</v>
      </c>
      <c r="B21" s="14">
        <v>276.0</v>
      </c>
      <c r="C21" s="14">
        <v>376.0</v>
      </c>
      <c r="D21" s="15">
        <v>0.0</v>
      </c>
      <c r="E21" s="14">
        <v>162.0</v>
      </c>
      <c r="F21" s="14">
        <v>147.0</v>
      </c>
      <c r="G21" s="15"/>
      <c r="H21" s="15"/>
      <c r="I21" s="15">
        <v>0.0</v>
      </c>
      <c r="J21" s="16">
        <v>51.0</v>
      </c>
      <c r="K21" s="15"/>
      <c r="L21" s="15"/>
      <c r="M21" s="15"/>
      <c r="N21" s="15"/>
      <c r="O21" s="15"/>
      <c r="P21" s="15"/>
      <c r="Q21" s="15"/>
      <c r="R21" s="15"/>
      <c r="S21" s="15"/>
      <c r="T21" s="15">
        <v>0.0</v>
      </c>
      <c r="U21" s="14">
        <v>2411.0</v>
      </c>
      <c r="V21" s="15">
        <v>0.0</v>
      </c>
    </row>
    <row r="22" ht="15.0" customHeight="1">
      <c r="A22" s="13" t="s">
        <v>236</v>
      </c>
      <c r="B22" s="16">
        <v>43.0</v>
      </c>
      <c r="C22" s="16">
        <v>47.0</v>
      </c>
      <c r="D22" s="14">
        <v>144.0</v>
      </c>
      <c r="E22" s="14">
        <v>119.0</v>
      </c>
      <c r="F22" s="16">
        <v>89.0</v>
      </c>
      <c r="G22" s="14">
        <v>275.0</v>
      </c>
      <c r="H22" s="14">
        <v>555.0</v>
      </c>
      <c r="I22" s="14">
        <v>198.0</v>
      </c>
      <c r="J22" s="14">
        <v>168.0</v>
      </c>
      <c r="K22" s="14">
        <v>487.0</v>
      </c>
      <c r="L22" s="14">
        <v>563.0</v>
      </c>
      <c r="M22" s="14">
        <v>1075.0</v>
      </c>
      <c r="N22" s="14">
        <v>2345.0</v>
      </c>
      <c r="O22" s="14">
        <v>1214.0</v>
      </c>
      <c r="P22" s="14">
        <v>1308.0</v>
      </c>
      <c r="Q22" s="14">
        <v>3198.0</v>
      </c>
      <c r="R22" s="14">
        <v>3186.0</v>
      </c>
      <c r="S22" s="14">
        <v>3828.0</v>
      </c>
      <c r="T22" s="14">
        <v>3524.0</v>
      </c>
      <c r="U22" s="14">
        <v>5666.0</v>
      </c>
      <c r="V22" s="14">
        <v>6746.0</v>
      </c>
    </row>
    <row r="23" ht="15.0" customHeight="1">
      <c r="A23" s="13" t="s">
        <v>237</v>
      </c>
      <c r="B23" s="15"/>
      <c r="C23" s="15">
        <v>0.0</v>
      </c>
      <c r="D23" s="15">
        <v>0.0</v>
      </c>
      <c r="E23" s="16">
        <v>2.0</v>
      </c>
      <c r="F23" s="15">
        <v>0.0</v>
      </c>
      <c r="G23" s="16">
        <v>6.0</v>
      </c>
      <c r="H23" s="16">
        <v>11.0</v>
      </c>
      <c r="I23" s="15">
        <v>0.0</v>
      </c>
      <c r="J23" s="16">
        <v>8.0</v>
      </c>
      <c r="K23" s="16">
        <v>9.0</v>
      </c>
      <c r="L23" s="16">
        <v>58.0</v>
      </c>
      <c r="M23" s="15"/>
      <c r="N23" s="15"/>
      <c r="O23" s="15"/>
      <c r="P23" s="15"/>
      <c r="Q23" s="15"/>
      <c r="R23" s="15"/>
      <c r="S23" s="15"/>
      <c r="T23" s="15"/>
      <c r="U23" s="15"/>
      <c r="V23" s="15"/>
    </row>
    <row r="24" ht="15.0" customHeight="1">
      <c r="A24" s="13" t="s">
        <v>238</v>
      </c>
      <c r="B24" s="15"/>
      <c r="C24" s="16">
        <v>47.0</v>
      </c>
      <c r="D24" s="14">
        <v>144.0</v>
      </c>
      <c r="E24" s="14">
        <v>117.0</v>
      </c>
      <c r="F24" s="16">
        <v>89.0</v>
      </c>
      <c r="G24" s="14">
        <v>269.0</v>
      </c>
      <c r="H24" s="14">
        <v>544.0</v>
      </c>
      <c r="I24" s="14">
        <v>198.0</v>
      </c>
      <c r="J24" s="14">
        <v>160.0</v>
      </c>
      <c r="K24" s="14">
        <v>478.0</v>
      </c>
      <c r="L24" s="14">
        <v>505.0</v>
      </c>
      <c r="M24" s="15"/>
      <c r="N24" s="15"/>
      <c r="O24" s="15"/>
      <c r="P24" s="15"/>
      <c r="Q24" s="15"/>
      <c r="R24" s="15"/>
      <c r="S24" s="15"/>
      <c r="T24" s="15"/>
      <c r="U24" s="15"/>
      <c r="V24" s="15"/>
    </row>
    <row r="25" ht="15.0" customHeight="1">
      <c r="A25" s="13" t="s">
        <v>239</v>
      </c>
      <c r="B25" s="15"/>
      <c r="C25" s="15"/>
      <c r="D25" s="15"/>
      <c r="E25" s="15"/>
      <c r="F25" s="15"/>
      <c r="G25" s="15"/>
      <c r="H25" s="15"/>
      <c r="I25" s="15"/>
      <c r="J25" s="15">
        <v>0.0</v>
      </c>
      <c r="K25" s="14">
        <v>212.0</v>
      </c>
      <c r="L25" s="15"/>
      <c r="M25" s="15">
        <v>0.0</v>
      </c>
      <c r="N25" s="14">
        <v>3367.0</v>
      </c>
      <c r="O25" s="15">
        <v>0.0</v>
      </c>
      <c r="P25" s="14">
        <v>1831.0</v>
      </c>
      <c r="Q25" s="14">
        <v>3136.0</v>
      </c>
      <c r="R25" s="15"/>
      <c r="S25" s="15"/>
      <c r="T25" s="15"/>
      <c r="U25" s="15"/>
      <c r="V25" s="15"/>
    </row>
    <row r="26" ht="15.0" customHeight="1">
      <c r="A26" s="13" t="s">
        <v>240</v>
      </c>
      <c r="B26" s="15"/>
      <c r="C26" s="16">
        <v>95.0</v>
      </c>
      <c r="D26" s="14">
        <v>601.0</v>
      </c>
      <c r="E26" s="14">
        <v>769.0</v>
      </c>
      <c r="F26" s="14">
        <v>872.0</v>
      </c>
      <c r="G26" s="14">
        <v>2191.0</v>
      </c>
      <c r="H26" s="14">
        <v>3177.0</v>
      </c>
      <c r="I26" s="14">
        <v>2801.0</v>
      </c>
      <c r="J26" s="14">
        <v>2263.0</v>
      </c>
      <c r="K26" s="14">
        <v>2829.0</v>
      </c>
      <c r="L26" s="14">
        <v>5959.0</v>
      </c>
      <c r="M26" s="14">
        <v>7178.0</v>
      </c>
      <c r="N26" s="15">
        <v>17586.0</v>
      </c>
      <c r="O26" s="15">
        <v>16524.0</v>
      </c>
      <c r="P26" s="15">
        <v>12117.0</v>
      </c>
      <c r="Q26" s="15">
        <v>14870.0</v>
      </c>
      <c r="R26" s="15"/>
      <c r="S26" s="15"/>
      <c r="T26" s="15"/>
      <c r="U26" s="15"/>
      <c r="V26" s="15"/>
    </row>
    <row r="27" ht="15.0" customHeight="1">
      <c r="A27" s="13" t="s">
        <v>241</v>
      </c>
      <c r="B27" s="15"/>
      <c r="C27" s="16">
        <v>57.0</v>
      </c>
      <c r="D27" s="16">
        <v>76.0</v>
      </c>
      <c r="E27" s="14">
        <v>204.0</v>
      </c>
      <c r="F27" s="14">
        <v>191.0</v>
      </c>
      <c r="G27" s="14">
        <v>1226.0</v>
      </c>
      <c r="H27" s="14">
        <v>1231.0</v>
      </c>
      <c r="I27" s="14">
        <v>1459.0</v>
      </c>
      <c r="J27" s="14">
        <v>1319.0</v>
      </c>
      <c r="K27" s="14">
        <v>1652.0</v>
      </c>
      <c r="L27" s="14">
        <v>3169.0</v>
      </c>
      <c r="M27" s="14">
        <v>3079.0</v>
      </c>
      <c r="N27" s="14">
        <v>6464.0</v>
      </c>
      <c r="O27" s="14">
        <v>6715.0</v>
      </c>
      <c r="P27" s="14">
        <v>6406.0</v>
      </c>
      <c r="Q27" s="15"/>
      <c r="R27" s="14">
        <v>6791.0</v>
      </c>
      <c r="S27" s="14">
        <v>9039.0</v>
      </c>
      <c r="T27" s="14">
        <v>5898.0</v>
      </c>
      <c r="U27" s="14">
        <v>5797.0</v>
      </c>
      <c r="V27" s="14">
        <v>5319.0</v>
      </c>
    </row>
    <row r="28" ht="15.0" customHeight="1">
      <c r="A28" s="13" t="s">
        <v>242</v>
      </c>
      <c r="B28" s="15"/>
      <c r="C28" s="17">
        <v>-1.0</v>
      </c>
      <c r="D28" s="17">
        <v>-1.0</v>
      </c>
      <c r="E28" s="17">
        <v>-64.0</v>
      </c>
      <c r="F28" s="17">
        <v>-57.0</v>
      </c>
      <c r="G28" s="21">
        <v>-131.0</v>
      </c>
      <c r="H28" s="17">
        <v>-49.0</v>
      </c>
      <c r="I28" s="17">
        <v>-49.0</v>
      </c>
      <c r="J28" s="17">
        <v>-71.0</v>
      </c>
      <c r="K28" s="21">
        <v>-107.0</v>
      </c>
      <c r="L28" s="21">
        <v>-120.0</v>
      </c>
      <c r="M28" s="17">
        <v>-81.0</v>
      </c>
      <c r="N28" s="21">
        <v>-100.0</v>
      </c>
      <c r="O28" s="21">
        <v>-124.0</v>
      </c>
      <c r="P28" s="17">
        <v>-59.0</v>
      </c>
      <c r="Q28" s="15"/>
      <c r="R28" s="21">
        <v>-201.0</v>
      </c>
      <c r="S28" s="21">
        <v>-116.0</v>
      </c>
      <c r="T28" s="17">
        <v>-83.0</v>
      </c>
      <c r="U28" s="17">
        <v>-41.0</v>
      </c>
      <c r="V28" s="17">
        <v>-53.0</v>
      </c>
    </row>
    <row r="29" ht="15.0" customHeight="1">
      <c r="A29" s="13" t="s">
        <v>243</v>
      </c>
      <c r="B29" s="15"/>
      <c r="C29" s="15"/>
      <c r="D29" s="15"/>
      <c r="E29" s="15"/>
      <c r="F29" s="16">
        <v>1.0</v>
      </c>
      <c r="G29" s="17">
        <v>-1.0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</row>
    <row r="30" ht="15.0" customHeight="1">
      <c r="A30" s="13" t="s">
        <v>244</v>
      </c>
      <c r="B30" s="15"/>
      <c r="C30" s="16">
        <v>22.0</v>
      </c>
      <c r="D30" s="16">
        <v>4.0</v>
      </c>
      <c r="E30" s="16">
        <v>13.0</v>
      </c>
      <c r="F30" s="16">
        <v>18.0</v>
      </c>
      <c r="G30" s="14">
        <v>307.0</v>
      </c>
      <c r="H30" s="14">
        <v>478.0</v>
      </c>
      <c r="I30" s="14">
        <v>497.0</v>
      </c>
      <c r="J30" s="14">
        <v>327.0</v>
      </c>
      <c r="K30" s="14">
        <v>425.0</v>
      </c>
      <c r="L30" s="14">
        <v>381.0</v>
      </c>
      <c r="M30" s="14">
        <v>597.0</v>
      </c>
      <c r="N30" s="14">
        <v>1134.0</v>
      </c>
      <c r="O30" s="14">
        <v>499.0</v>
      </c>
      <c r="P30" s="14">
        <v>518.0</v>
      </c>
      <c r="Q30" s="15"/>
      <c r="R30" s="14">
        <v>732.0</v>
      </c>
      <c r="S30" s="14">
        <v>717.0</v>
      </c>
      <c r="T30" s="14">
        <v>434.0</v>
      </c>
      <c r="U30" s="14">
        <v>947.0</v>
      </c>
      <c r="V30" s="14">
        <v>536.0</v>
      </c>
    </row>
    <row r="31" ht="15.0" customHeight="1">
      <c r="A31" s="13" t="s">
        <v>245</v>
      </c>
      <c r="B31" s="15"/>
      <c r="C31" s="15"/>
      <c r="D31" s="15"/>
      <c r="E31" s="15"/>
      <c r="F31" s="15"/>
      <c r="G31" s="15"/>
      <c r="H31" s="15"/>
      <c r="I31" s="15">
        <v>0.0</v>
      </c>
      <c r="J31" s="14">
        <v>365.0</v>
      </c>
      <c r="K31" s="14">
        <v>290.0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</row>
    <row r="32" ht="15.0" customHeight="1">
      <c r="A32" s="13" t="s">
        <v>246</v>
      </c>
      <c r="B32" s="15"/>
      <c r="C32" s="16">
        <v>2.0</v>
      </c>
      <c r="D32" s="14">
        <v>512.0</v>
      </c>
      <c r="E32" s="14">
        <v>556.0</v>
      </c>
      <c r="F32" s="14">
        <v>673.0</v>
      </c>
      <c r="G32" s="16">
        <v>25.0</v>
      </c>
      <c r="H32" s="16">
        <v>42.0</v>
      </c>
      <c r="I32" s="16">
        <v>64.0</v>
      </c>
      <c r="J32" s="14">
        <v>210.0</v>
      </c>
      <c r="K32" s="14">
        <v>568.0</v>
      </c>
      <c r="L32" s="14">
        <v>2530.0</v>
      </c>
      <c r="M32" s="14">
        <v>3583.0</v>
      </c>
      <c r="N32" s="15">
        <v>10088.0</v>
      </c>
      <c r="O32" s="14">
        <v>9434.0</v>
      </c>
      <c r="P32" s="14">
        <v>5252.0</v>
      </c>
      <c r="Q32" s="15"/>
      <c r="R32" s="15"/>
      <c r="S32" s="15"/>
      <c r="T32" s="15"/>
      <c r="U32" s="15"/>
      <c r="V32" s="15"/>
    </row>
    <row r="33" ht="15.0" customHeight="1">
      <c r="A33" s="13" t="s">
        <v>247</v>
      </c>
      <c r="B33" s="15"/>
      <c r="C33" s="16">
        <v>11.0</v>
      </c>
      <c r="D33" s="16">
        <v>11.0</v>
      </c>
      <c r="E33" s="16">
        <v>61.0</v>
      </c>
      <c r="F33" s="16">
        <v>47.0</v>
      </c>
      <c r="G33" s="14">
        <v>764.0</v>
      </c>
      <c r="H33" s="14">
        <v>1468.0</v>
      </c>
      <c r="I33" s="14">
        <v>824.0</v>
      </c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</row>
    <row r="34" ht="15.0" customHeight="1">
      <c r="A34" s="13" t="s">
        <v>248</v>
      </c>
      <c r="B34" s="15"/>
      <c r="C34" s="16">
        <v>4.0</v>
      </c>
      <c r="D34" s="17">
        <v>-1.0</v>
      </c>
      <c r="E34" s="17">
        <v>-1.0</v>
      </c>
      <c r="F34" s="17">
        <v>-1.0</v>
      </c>
      <c r="G34" s="16">
        <v>1.0</v>
      </c>
      <c r="H34" s="16">
        <v>7.0</v>
      </c>
      <c r="I34" s="16">
        <v>6.0</v>
      </c>
      <c r="J34" s="14">
        <v>113.0</v>
      </c>
      <c r="K34" s="16">
        <v>1.0</v>
      </c>
      <c r="L34" s="17">
        <v>-1.0</v>
      </c>
      <c r="M34" s="15"/>
      <c r="N34" s="15"/>
      <c r="O34" s="15"/>
      <c r="P34" s="15"/>
      <c r="Q34" s="15"/>
      <c r="R34" s="15"/>
      <c r="S34" s="15"/>
      <c r="T34" s="15"/>
      <c r="U34" s="15"/>
      <c r="V34" s="15"/>
    </row>
    <row r="35" ht="15.0" customHeight="1">
      <c r="A35" s="13" t="s">
        <v>249</v>
      </c>
      <c r="B35" s="15"/>
      <c r="C35" s="15">
        <v>0.0</v>
      </c>
      <c r="D35" s="16">
        <v>19.0</v>
      </c>
      <c r="E35" s="14">
        <v>208.0</v>
      </c>
      <c r="F35" s="16">
        <v>64.0</v>
      </c>
      <c r="G35" s="16">
        <v>7.0</v>
      </c>
      <c r="H35" s="16">
        <v>9.0</v>
      </c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</row>
    <row r="36" ht="15.0" customHeight="1">
      <c r="A36" s="13" t="s">
        <v>250</v>
      </c>
      <c r="B36" s="15"/>
      <c r="C36" s="16">
        <v>12.0</v>
      </c>
      <c r="D36" s="16">
        <v>5.0</v>
      </c>
      <c r="E36" s="16">
        <v>5.0</v>
      </c>
      <c r="F36" s="16">
        <v>5.0</v>
      </c>
      <c r="G36" s="14">
        <v>485.0</v>
      </c>
      <c r="H36" s="14">
        <v>528.0</v>
      </c>
      <c r="I36" s="14">
        <v>548.0</v>
      </c>
      <c r="J36" s="14">
        <v>569.0</v>
      </c>
      <c r="K36" s="14">
        <v>1086.0</v>
      </c>
      <c r="L36" s="14">
        <v>1464.0</v>
      </c>
      <c r="M36" s="14">
        <v>1785.0</v>
      </c>
      <c r="N36" s="14">
        <v>2419.0</v>
      </c>
      <c r="O36" s="14">
        <v>2360.0</v>
      </c>
      <c r="P36" s="14">
        <v>1765.0</v>
      </c>
      <c r="Q36" s="14">
        <v>1686.0</v>
      </c>
      <c r="R36" s="15"/>
      <c r="S36" s="15"/>
      <c r="T36" s="15"/>
      <c r="U36" s="15"/>
      <c r="V36" s="15"/>
    </row>
    <row r="37" ht="15.0" customHeight="1">
      <c r="A37" s="13" t="s">
        <v>251</v>
      </c>
      <c r="B37" s="15"/>
      <c r="C37" s="15"/>
      <c r="D37" s="15"/>
      <c r="E37" s="15"/>
      <c r="F37" s="15"/>
      <c r="G37" s="14">
        <v>141.0</v>
      </c>
      <c r="H37" s="14">
        <v>140.0</v>
      </c>
      <c r="I37" s="14">
        <v>103.0</v>
      </c>
      <c r="J37" s="14">
        <v>178.0</v>
      </c>
      <c r="K37" s="14">
        <v>507.0</v>
      </c>
      <c r="L37" s="14">
        <v>594.0</v>
      </c>
      <c r="M37" s="14">
        <v>977.0</v>
      </c>
      <c r="N37" s="14">
        <v>1300.0</v>
      </c>
      <c r="O37" s="14">
        <v>1225.0</v>
      </c>
      <c r="P37" s="14">
        <v>1003.0</v>
      </c>
      <c r="Q37" s="15"/>
      <c r="R37" s="14">
        <v>1007.0</v>
      </c>
      <c r="S37" s="14">
        <v>1006.0</v>
      </c>
      <c r="T37" s="15"/>
      <c r="U37" s="15"/>
      <c r="V37" s="14">
        <v>471.0</v>
      </c>
    </row>
    <row r="38" ht="15.0" customHeight="1">
      <c r="A38" s="13" t="s">
        <v>252</v>
      </c>
      <c r="B38" s="15"/>
      <c r="C38" s="15"/>
      <c r="D38" s="15"/>
      <c r="E38" s="15"/>
      <c r="F38" s="15"/>
      <c r="G38" s="16">
        <v>53.0</v>
      </c>
      <c r="H38" s="16">
        <v>91.0</v>
      </c>
      <c r="I38" s="14">
        <v>104.0</v>
      </c>
      <c r="J38" s="16">
        <v>95.0</v>
      </c>
      <c r="K38" s="16">
        <v>74.0</v>
      </c>
      <c r="L38" s="14">
        <v>178.0</v>
      </c>
      <c r="M38" s="14">
        <v>234.0</v>
      </c>
      <c r="N38" s="14">
        <v>414.0</v>
      </c>
      <c r="O38" s="14">
        <v>371.0</v>
      </c>
      <c r="P38" s="14">
        <v>251.0</v>
      </c>
      <c r="Q38" s="15"/>
      <c r="R38" s="15">
        <v>0.0</v>
      </c>
      <c r="S38" s="15"/>
      <c r="T38" s="15"/>
      <c r="U38" s="15"/>
      <c r="V38" s="15"/>
    </row>
    <row r="39" ht="15.0" customHeight="1">
      <c r="A39" s="13" t="s">
        <v>253</v>
      </c>
      <c r="B39" s="15"/>
      <c r="C39" s="15"/>
      <c r="D39" s="15"/>
      <c r="E39" s="15"/>
      <c r="F39" s="15"/>
      <c r="G39" s="14">
        <v>291.0</v>
      </c>
      <c r="H39" s="14">
        <v>297.0</v>
      </c>
      <c r="I39" s="14">
        <v>342.0</v>
      </c>
      <c r="J39" s="14">
        <v>296.0</v>
      </c>
      <c r="K39" s="14">
        <v>506.0</v>
      </c>
      <c r="L39" s="14">
        <v>691.0</v>
      </c>
      <c r="M39" s="14">
        <v>574.0</v>
      </c>
      <c r="N39" s="14">
        <v>705.0</v>
      </c>
      <c r="O39" s="14">
        <v>764.0</v>
      </c>
      <c r="P39" s="14">
        <v>511.0</v>
      </c>
      <c r="Q39" s="15"/>
      <c r="R39" s="14">
        <v>410.0</v>
      </c>
      <c r="S39" s="14">
        <v>315.0</v>
      </c>
      <c r="T39" s="15"/>
      <c r="U39" s="15"/>
      <c r="V39" s="14">
        <v>135.0</v>
      </c>
    </row>
    <row r="40" ht="15.0" customHeight="1">
      <c r="A40" s="13" t="s">
        <v>254</v>
      </c>
      <c r="B40" s="15"/>
      <c r="C40" s="15"/>
      <c r="D40" s="15"/>
      <c r="E40" s="15"/>
      <c r="F40" s="15"/>
      <c r="G40" s="15"/>
      <c r="H40" s="15"/>
      <c r="I40" s="17">
        <v>-1.0</v>
      </c>
      <c r="J40" s="15"/>
      <c r="K40" s="17">
        <v>-1.0</v>
      </c>
      <c r="L40" s="16">
        <v>1.0</v>
      </c>
      <c r="M40" s="15"/>
      <c r="N40" s="15"/>
      <c r="O40" s="15"/>
      <c r="P40" s="15"/>
      <c r="Q40" s="15"/>
      <c r="R40" s="15"/>
      <c r="S40" s="15"/>
      <c r="T40" s="15"/>
      <c r="U40" s="15"/>
      <c r="V40" s="15"/>
    </row>
    <row r="41" ht="15.0" customHeight="1">
      <c r="A41" s="13" t="s">
        <v>255</v>
      </c>
      <c r="B41" s="15"/>
      <c r="C41" s="15"/>
      <c r="D41" s="15"/>
      <c r="E41" s="15"/>
      <c r="F41" s="15">
        <v>0.0</v>
      </c>
      <c r="G41" s="16">
        <v>28.0</v>
      </c>
      <c r="H41" s="16">
        <v>10.0</v>
      </c>
      <c r="I41" s="16">
        <v>4.0</v>
      </c>
      <c r="J41" s="16">
        <v>21.0</v>
      </c>
      <c r="K41" s="16">
        <v>65.0</v>
      </c>
      <c r="L41" s="16">
        <v>2.0</v>
      </c>
      <c r="M41" s="16">
        <v>43.0</v>
      </c>
      <c r="N41" s="14">
        <v>106.0</v>
      </c>
      <c r="O41" s="16">
        <v>68.0</v>
      </c>
      <c r="P41" s="14">
        <v>103.0</v>
      </c>
      <c r="Q41" s="14">
        <v>238.0</v>
      </c>
      <c r="R41" s="16">
        <v>97.0</v>
      </c>
      <c r="S41" s="16">
        <v>49.0</v>
      </c>
      <c r="T41" s="16">
        <v>89.0</v>
      </c>
      <c r="U41" s="16">
        <v>86.0</v>
      </c>
      <c r="V41" s="16">
        <v>34.0</v>
      </c>
    </row>
    <row r="42" ht="15.0" customHeight="1">
      <c r="A42" s="13" t="s">
        <v>256</v>
      </c>
      <c r="B42" s="15"/>
      <c r="C42" s="15"/>
      <c r="D42" s="15"/>
      <c r="E42" s="15">
        <v>0.0</v>
      </c>
      <c r="F42" s="16">
        <v>10.0</v>
      </c>
      <c r="G42" s="16">
        <v>61.0</v>
      </c>
      <c r="H42" s="16">
        <v>43.0</v>
      </c>
      <c r="I42" s="14">
        <v>117.0</v>
      </c>
      <c r="J42" s="16">
        <v>94.0</v>
      </c>
      <c r="K42" s="14">
        <v>269.0</v>
      </c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</row>
    <row r="43" ht="15.0" customHeight="1">
      <c r="A43" s="13" t="s">
        <v>257</v>
      </c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4">
        <v>4554.0</v>
      </c>
      <c r="S43" s="14">
        <v>4288.0</v>
      </c>
      <c r="T43" s="14">
        <v>2338.0</v>
      </c>
      <c r="U43" s="14">
        <v>3085.0</v>
      </c>
      <c r="V43" s="14">
        <v>2208.0</v>
      </c>
    </row>
    <row r="44" ht="15.0" customHeight="1">
      <c r="A44" s="13" t="s">
        <v>258</v>
      </c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4">
        <v>1746.0</v>
      </c>
      <c r="M44" s="14">
        <v>2199.0</v>
      </c>
      <c r="N44" s="14">
        <v>1544.0</v>
      </c>
      <c r="O44" s="14">
        <v>441.0</v>
      </c>
      <c r="P44" s="14">
        <v>540.0</v>
      </c>
      <c r="Q44" s="14">
        <v>386.0</v>
      </c>
      <c r="R44" s="14">
        <v>372.0</v>
      </c>
      <c r="S44" s="14">
        <v>3100.0</v>
      </c>
      <c r="T44" s="14">
        <v>1468.0</v>
      </c>
      <c r="U44" s="14">
        <v>813.0</v>
      </c>
      <c r="V44" s="14">
        <v>142.0</v>
      </c>
    </row>
    <row r="45" ht="15.0" customHeight="1">
      <c r="A45" s="13" t="s">
        <v>259</v>
      </c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4">
        <v>6456.0</v>
      </c>
      <c r="S45" s="14">
        <v>6868.0</v>
      </c>
      <c r="T45" s="14">
        <v>4774.0</v>
      </c>
      <c r="U45" s="14">
        <v>3924.0</v>
      </c>
      <c r="V45" s="14">
        <v>3105.0</v>
      </c>
    </row>
    <row r="46" ht="15.0" customHeight="1">
      <c r="A46" s="13" t="s">
        <v>250</v>
      </c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4">
        <v>884.0</v>
      </c>
      <c r="U46" s="14">
        <v>593.0</v>
      </c>
      <c r="V46" s="15"/>
    </row>
    <row r="47" ht="15.0" customHeight="1">
      <c r="A47" s="13" t="s">
        <v>239</v>
      </c>
      <c r="B47" s="15"/>
      <c r="C47" s="15"/>
      <c r="D47" s="15">
        <v>0.0</v>
      </c>
      <c r="E47" s="16">
        <v>43.0</v>
      </c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</row>
    <row r="48" ht="15.0" customHeight="1">
      <c r="A48" s="13" t="s">
        <v>260</v>
      </c>
      <c r="B48" s="17">
        <v>-1.0</v>
      </c>
      <c r="C48" s="16">
        <v>1.0</v>
      </c>
      <c r="D48" s="15"/>
      <c r="E48" s="16">
        <v>1.0</v>
      </c>
      <c r="F48" s="15"/>
      <c r="G48" s="15"/>
      <c r="H48" s="15"/>
      <c r="I48" s="16">
        <v>2.0</v>
      </c>
      <c r="J48" s="17">
        <v>-1.0</v>
      </c>
      <c r="K48" s="16">
        <v>1.0</v>
      </c>
      <c r="L48" s="17">
        <v>-1.0</v>
      </c>
      <c r="M48" s="15"/>
      <c r="N48" s="15"/>
      <c r="O48" s="15"/>
      <c r="P48" s="15"/>
      <c r="Q48" s="15"/>
      <c r="R48" s="15"/>
      <c r="S48" s="15"/>
      <c r="T48" s="15"/>
      <c r="U48" s="15"/>
      <c r="V48" s="15"/>
    </row>
    <row r="49" ht="15.0" customHeight="1">
      <c r="A49" s="18" t="s">
        <v>261</v>
      </c>
      <c r="B49" s="19">
        <v>471.0</v>
      </c>
      <c r="C49" s="19">
        <v>835.0</v>
      </c>
      <c r="D49" s="19">
        <v>769.0</v>
      </c>
      <c r="E49" s="19">
        <v>1307.0</v>
      </c>
      <c r="F49" s="19">
        <v>1187.0</v>
      </c>
      <c r="G49" s="19">
        <v>3047.0</v>
      </c>
      <c r="H49" s="19">
        <v>4322.0</v>
      </c>
      <c r="I49" s="19">
        <v>3927.0</v>
      </c>
      <c r="J49" s="19">
        <v>3165.0</v>
      </c>
      <c r="K49" s="19">
        <v>4964.0</v>
      </c>
      <c r="L49" s="19">
        <v>9805.0</v>
      </c>
      <c r="M49" s="20">
        <v>12485.0</v>
      </c>
      <c r="N49" s="20">
        <v>27878.0</v>
      </c>
      <c r="O49" s="20">
        <v>21028.0</v>
      </c>
      <c r="P49" s="20">
        <v>18198.0</v>
      </c>
      <c r="Q49" s="20">
        <v>24135.0</v>
      </c>
      <c r="R49" s="20">
        <v>23844.0</v>
      </c>
      <c r="S49" s="20">
        <v>29574.0</v>
      </c>
      <c r="T49" s="20">
        <v>19866.0</v>
      </c>
      <c r="U49" s="20">
        <v>23827.0</v>
      </c>
      <c r="V49" s="20">
        <v>19031.0</v>
      </c>
    </row>
    <row r="50" ht="15.0" customHeight="1">
      <c r="A50" s="13" t="s">
        <v>262</v>
      </c>
      <c r="B50" s="15"/>
      <c r="C50" s="15"/>
      <c r="D50" s="15">
        <v>0.0</v>
      </c>
      <c r="E50" s="16">
        <v>37.0</v>
      </c>
      <c r="F50" s="16">
        <v>42.0</v>
      </c>
      <c r="G50" s="14">
        <v>329.0</v>
      </c>
      <c r="H50" s="14">
        <v>388.0</v>
      </c>
      <c r="I50" s="14">
        <v>374.0</v>
      </c>
      <c r="J50" s="14">
        <v>661.0</v>
      </c>
      <c r="K50" s="14">
        <v>600.0</v>
      </c>
      <c r="L50" s="14">
        <v>468.0</v>
      </c>
      <c r="M50" s="14">
        <v>214.0</v>
      </c>
      <c r="N50" s="14">
        <v>600.0</v>
      </c>
      <c r="O50" s="14">
        <v>570.0</v>
      </c>
      <c r="P50" s="14">
        <v>533.0</v>
      </c>
      <c r="Q50" s="14">
        <v>487.0</v>
      </c>
      <c r="R50" s="14">
        <v>389.0</v>
      </c>
      <c r="S50" s="14">
        <v>519.0</v>
      </c>
      <c r="T50" s="14">
        <v>548.0</v>
      </c>
      <c r="U50" s="14">
        <v>552.0</v>
      </c>
      <c r="V50" s="14">
        <v>851.0</v>
      </c>
    </row>
    <row r="51" ht="15.0" customHeight="1">
      <c r="A51" s="13" t="s">
        <v>263</v>
      </c>
      <c r="B51" s="15"/>
      <c r="C51" s="15"/>
      <c r="D51" s="15">
        <v>0.0</v>
      </c>
      <c r="E51" s="14">
        <v>146.0</v>
      </c>
      <c r="F51" s="14">
        <v>145.0</v>
      </c>
      <c r="G51" s="14">
        <v>1595.0</v>
      </c>
      <c r="H51" s="14">
        <v>1593.0</v>
      </c>
      <c r="I51" s="14">
        <v>1260.0</v>
      </c>
      <c r="J51" s="14">
        <v>1435.0</v>
      </c>
      <c r="K51" s="14">
        <v>1731.0</v>
      </c>
      <c r="L51" s="14">
        <v>2785.0</v>
      </c>
      <c r="M51" s="14">
        <v>3122.0</v>
      </c>
      <c r="N51" s="14">
        <v>8242.0</v>
      </c>
      <c r="O51" s="14">
        <v>6884.0</v>
      </c>
      <c r="P51" s="14">
        <v>6310.0</v>
      </c>
      <c r="Q51" s="14">
        <v>6783.0</v>
      </c>
      <c r="R51" s="14">
        <v>7420.0</v>
      </c>
      <c r="S51" s="14">
        <v>6959.0</v>
      </c>
      <c r="T51" s="14">
        <v>4938.0</v>
      </c>
      <c r="U51" s="14">
        <v>5051.0</v>
      </c>
      <c r="V51" s="14">
        <v>4559.0</v>
      </c>
    </row>
    <row r="52" ht="15.0" customHeight="1">
      <c r="A52" s="13" t="s">
        <v>264</v>
      </c>
      <c r="B52" s="15"/>
      <c r="C52" s="15"/>
      <c r="D52" s="15">
        <v>0.0</v>
      </c>
      <c r="E52" s="16">
        <v>25.0</v>
      </c>
      <c r="F52" s="16">
        <v>22.0</v>
      </c>
      <c r="G52" s="14">
        <v>172.0</v>
      </c>
      <c r="H52" s="14">
        <v>169.0</v>
      </c>
      <c r="I52" s="14">
        <v>112.0</v>
      </c>
      <c r="J52" s="14">
        <v>125.0</v>
      </c>
      <c r="K52" s="14">
        <v>314.0</v>
      </c>
      <c r="L52" s="14">
        <v>642.0</v>
      </c>
      <c r="M52" s="14">
        <v>690.0</v>
      </c>
      <c r="N52" s="14">
        <v>1724.0</v>
      </c>
      <c r="O52" s="15"/>
      <c r="P52" s="15"/>
      <c r="Q52" s="15"/>
      <c r="R52" s="15"/>
      <c r="S52" s="15"/>
      <c r="T52" s="15"/>
      <c r="U52" s="15"/>
      <c r="V52" s="15"/>
    </row>
    <row r="53" ht="15.0" customHeight="1">
      <c r="A53" s="13" t="s">
        <v>265</v>
      </c>
      <c r="B53" s="15"/>
      <c r="C53" s="15"/>
      <c r="D53" s="15">
        <v>0.0</v>
      </c>
      <c r="E53" s="16">
        <v>47.0</v>
      </c>
      <c r="F53" s="16">
        <v>50.0</v>
      </c>
      <c r="G53" s="14">
        <v>583.0</v>
      </c>
      <c r="H53" s="14">
        <v>539.0</v>
      </c>
      <c r="I53" s="14">
        <v>437.0</v>
      </c>
      <c r="J53" s="14">
        <v>456.0</v>
      </c>
      <c r="K53" s="14">
        <v>618.0</v>
      </c>
      <c r="L53" s="14">
        <v>923.0</v>
      </c>
      <c r="M53" s="15"/>
      <c r="N53" s="15"/>
      <c r="O53" s="15"/>
      <c r="P53" s="15"/>
      <c r="Q53" s="15"/>
      <c r="R53" s="15"/>
      <c r="S53" s="15"/>
      <c r="T53" s="15"/>
      <c r="U53" s="15"/>
      <c r="V53" s="15"/>
    </row>
    <row r="54" ht="15.0" customHeight="1">
      <c r="A54" s="13" t="s">
        <v>266</v>
      </c>
      <c r="B54" s="15"/>
      <c r="C54" s="15"/>
      <c r="D54" s="15">
        <v>0.0</v>
      </c>
      <c r="E54" s="17">
        <v>-22.0</v>
      </c>
      <c r="F54" s="17">
        <v>-28.0</v>
      </c>
      <c r="G54" s="21">
        <v>-411.0</v>
      </c>
      <c r="H54" s="21">
        <v>-370.0</v>
      </c>
      <c r="I54" s="21">
        <v>-325.0</v>
      </c>
      <c r="J54" s="21">
        <v>-331.0</v>
      </c>
      <c r="K54" s="21">
        <v>-304.0</v>
      </c>
      <c r="L54" s="21">
        <v>-281.0</v>
      </c>
      <c r="M54" s="15"/>
      <c r="N54" s="15"/>
      <c r="O54" s="15"/>
      <c r="P54" s="15"/>
      <c r="Q54" s="15"/>
      <c r="R54" s="15"/>
      <c r="S54" s="15"/>
      <c r="T54" s="15"/>
      <c r="U54" s="15"/>
      <c r="V54" s="15"/>
    </row>
    <row r="55" ht="15.0" customHeight="1">
      <c r="A55" s="13" t="s">
        <v>267</v>
      </c>
      <c r="B55" s="15"/>
      <c r="C55" s="15"/>
      <c r="D55" s="15">
        <v>0.0</v>
      </c>
      <c r="E55" s="14">
        <v>109.0</v>
      </c>
      <c r="F55" s="14">
        <v>109.0</v>
      </c>
      <c r="G55" s="14">
        <v>1307.0</v>
      </c>
      <c r="H55" s="14">
        <v>1284.0</v>
      </c>
      <c r="I55" s="14">
        <v>1125.0</v>
      </c>
      <c r="J55" s="14">
        <v>1252.0</v>
      </c>
      <c r="K55" s="14">
        <v>1330.0</v>
      </c>
      <c r="L55" s="14">
        <v>1889.0</v>
      </c>
      <c r="M55" s="14">
        <v>2022.0</v>
      </c>
      <c r="N55" s="14">
        <v>5945.0</v>
      </c>
      <c r="O55" s="15"/>
      <c r="P55" s="15"/>
      <c r="Q55" s="15"/>
      <c r="R55" s="15"/>
      <c r="S55" s="15"/>
      <c r="T55" s="15"/>
      <c r="U55" s="15"/>
      <c r="V55" s="15"/>
    </row>
    <row r="56" ht="15.0" customHeight="1">
      <c r="A56" s="13" t="s">
        <v>268</v>
      </c>
      <c r="B56" s="15"/>
      <c r="C56" s="15"/>
      <c r="D56" s="15">
        <v>0.0</v>
      </c>
      <c r="E56" s="14">
        <v>119.0</v>
      </c>
      <c r="F56" s="14">
        <v>118.0</v>
      </c>
      <c r="G56" s="14">
        <v>1392.0</v>
      </c>
      <c r="H56" s="14">
        <v>1372.0</v>
      </c>
      <c r="I56" s="14">
        <v>1211.0</v>
      </c>
      <c r="J56" s="14">
        <v>1646.0</v>
      </c>
      <c r="K56" s="14">
        <v>1718.0</v>
      </c>
      <c r="L56" s="14">
        <v>2542.0</v>
      </c>
      <c r="M56" s="15"/>
      <c r="N56" s="15"/>
      <c r="O56" s="15"/>
      <c r="P56" s="15"/>
      <c r="Q56" s="15"/>
      <c r="R56" s="15"/>
      <c r="S56" s="15"/>
      <c r="T56" s="15"/>
      <c r="U56" s="15"/>
      <c r="V56" s="15"/>
    </row>
    <row r="57" ht="15.0" customHeight="1">
      <c r="A57" s="13" t="s">
        <v>269</v>
      </c>
      <c r="B57" s="15"/>
      <c r="C57" s="15"/>
      <c r="D57" s="15">
        <v>0.0</v>
      </c>
      <c r="E57" s="17">
        <v>-10.0</v>
      </c>
      <c r="F57" s="17">
        <v>-10.0</v>
      </c>
      <c r="G57" s="17">
        <v>-86.0</v>
      </c>
      <c r="H57" s="17">
        <v>-88.0</v>
      </c>
      <c r="I57" s="17">
        <v>-87.0</v>
      </c>
      <c r="J57" s="21">
        <v>-394.0</v>
      </c>
      <c r="K57" s="21">
        <v>-388.0</v>
      </c>
      <c r="L57" s="21">
        <v>-653.0</v>
      </c>
      <c r="M57" s="15"/>
      <c r="N57" s="15"/>
      <c r="O57" s="15"/>
      <c r="P57" s="15"/>
      <c r="Q57" s="15"/>
      <c r="R57" s="15"/>
      <c r="S57" s="15"/>
      <c r="T57" s="15"/>
      <c r="U57" s="15"/>
      <c r="V57" s="15"/>
    </row>
    <row r="58" ht="15.0" customHeight="1">
      <c r="A58" s="13" t="s">
        <v>270</v>
      </c>
      <c r="B58" s="15"/>
      <c r="C58" s="15"/>
      <c r="D58" s="15"/>
      <c r="E58" s="15"/>
      <c r="F58" s="16">
        <v>1.0</v>
      </c>
      <c r="G58" s="16">
        <v>1.0</v>
      </c>
      <c r="H58" s="15"/>
      <c r="I58" s="16">
        <v>1.0</v>
      </c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</row>
    <row r="59" ht="15.0" customHeight="1">
      <c r="A59" s="13" t="s">
        <v>271</v>
      </c>
      <c r="B59" s="15"/>
      <c r="C59" s="15"/>
      <c r="D59" s="15">
        <v>0.0</v>
      </c>
      <c r="E59" s="16">
        <v>11.0</v>
      </c>
      <c r="F59" s="16">
        <v>15.0</v>
      </c>
      <c r="G59" s="14">
        <v>116.0</v>
      </c>
      <c r="H59" s="14">
        <v>140.0</v>
      </c>
      <c r="I59" s="16">
        <v>22.0</v>
      </c>
      <c r="J59" s="16">
        <v>58.0</v>
      </c>
      <c r="K59" s="16">
        <v>88.0</v>
      </c>
      <c r="L59" s="14">
        <v>254.0</v>
      </c>
      <c r="M59" s="14">
        <v>410.0</v>
      </c>
      <c r="N59" s="14">
        <v>573.0</v>
      </c>
      <c r="O59" s="15"/>
      <c r="P59" s="15"/>
      <c r="Q59" s="15"/>
      <c r="R59" s="14">
        <v>495.0</v>
      </c>
      <c r="S59" s="14">
        <v>160.0</v>
      </c>
      <c r="T59" s="16">
        <v>57.0</v>
      </c>
      <c r="U59" s="16">
        <v>3.0</v>
      </c>
      <c r="V59" s="16">
        <v>22.0</v>
      </c>
    </row>
    <row r="60" ht="15.0" customHeight="1">
      <c r="A60" s="13" t="s">
        <v>272</v>
      </c>
      <c r="B60" s="15"/>
      <c r="C60" s="15"/>
      <c r="D60" s="15">
        <v>0.0</v>
      </c>
      <c r="E60" s="16">
        <v>24.0</v>
      </c>
      <c r="F60" s="16">
        <v>24.0</v>
      </c>
      <c r="G60" s="14">
        <v>270.0</v>
      </c>
      <c r="H60" s="14">
        <v>263.0</v>
      </c>
      <c r="I60" s="14">
        <v>127.0</v>
      </c>
      <c r="J60" s="14">
        <v>248.0</v>
      </c>
      <c r="K60" s="14">
        <v>235.0</v>
      </c>
      <c r="L60" s="14">
        <v>652.0</v>
      </c>
      <c r="M60" s="15"/>
      <c r="N60" s="15"/>
      <c r="O60" s="15"/>
      <c r="P60" s="15"/>
      <c r="Q60" s="15"/>
      <c r="R60" s="15"/>
      <c r="S60" s="15"/>
      <c r="T60" s="15"/>
      <c r="U60" s="15"/>
      <c r="V60" s="15"/>
    </row>
    <row r="61" ht="15.0" customHeight="1">
      <c r="A61" s="13" t="s">
        <v>273</v>
      </c>
      <c r="B61" s="15"/>
      <c r="C61" s="15"/>
      <c r="D61" s="15">
        <v>0.0</v>
      </c>
      <c r="E61" s="17">
        <v>-13.0</v>
      </c>
      <c r="F61" s="17">
        <v>-9.0</v>
      </c>
      <c r="G61" s="21">
        <v>-154.0</v>
      </c>
      <c r="H61" s="21">
        <v>-123.0</v>
      </c>
      <c r="I61" s="21">
        <v>-104.0</v>
      </c>
      <c r="J61" s="21">
        <v>-190.0</v>
      </c>
      <c r="K61" s="21">
        <v>-147.0</v>
      </c>
      <c r="L61" s="21">
        <v>-397.0</v>
      </c>
      <c r="M61" s="15"/>
      <c r="N61" s="15"/>
      <c r="O61" s="15"/>
      <c r="P61" s="15"/>
      <c r="Q61" s="15"/>
      <c r="R61" s="15"/>
      <c r="S61" s="15"/>
      <c r="T61" s="15"/>
      <c r="U61" s="15"/>
      <c r="V61" s="15"/>
    </row>
    <row r="62" ht="15.0" customHeight="1">
      <c r="A62" s="13" t="s">
        <v>274</v>
      </c>
      <c r="B62" s="15"/>
      <c r="C62" s="15"/>
      <c r="D62" s="15"/>
      <c r="E62" s="15"/>
      <c r="F62" s="15"/>
      <c r="G62" s="15"/>
      <c r="H62" s="15"/>
      <c r="I62" s="17">
        <v>-1.0</v>
      </c>
      <c r="J62" s="15"/>
      <c r="K62" s="15"/>
      <c r="L62" s="17">
        <v>-1.0</v>
      </c>
      <c r="M62" s="15"/>
      <c r="N62" s="15"/>
      <c r="O62" s="15"/>
      <c r="P62" s="15"/>
      <c r="Q62" s="15"/>
      <c r="R62" s="15"/>
      <c r="S62" s="15"/>
      <c r="T62" s="15"/>
      <c r="U62" s="15"/>
      <c r="V62" s="15"/>
    </row>
    <row r="63" ht="15.0" customHeight="1">
      <c r="A63" s="13" t="s">
        <v>275</v>
      </c>
      <c r="B63" s="15"/>
      <c r="C63" s="15"/>
      <c r="D63" s="15"/>
      <c r="E63" s="16">
        <v>1.0</v>
      </c>
      <c r="F63" s="17">
        <v>-1.0</v>
      </c>
      <c r="G63" s="15"/>
      <c r="H63" s="15"/>
      <c r="I63" s="16">
        <v>1.0</v>
      </c>
      <c r="J63" s="15"/>
      <c r="K63" s="17">
        <v>-1.0</v>
      </c>
      <c r="L63" s="15"/>
      <c r="M63" s="15"/>
      <c r="N63" s="15"/>
      <c r="O63" s="15"/>
      <c r="P63" s="15"/>
      <c r="Q63" s="15"/>
      <c r="R63" s="14">
        <v>6925.0</v>
      </c>
      <c r="S63" s="14">
        <v>6799.0</v>
      </c>
      <c r="T63" s="14">
        <v>4881.0</v>
      </c>
      <c r="U63" s="14">
        <v>5048.0</v>
      </c>
      <c r="V63" s="14">
        <v>4537.0</v>
      </c>
    </row>
    <row r="64" ht="15.0" customHeight="1">
      <c r="A64" s="13" t="s">
        <v>276</v>
      </c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21">
        <v>-1331.0</v>
      </c>
      <c r="M64" s="15"/>
      <c r="N64" s="15"/>
      <c r="O64" s="15"/>
      <c r="P64" s="15"/>
      <c r="Q64" s="15"/>
      <c r="R64" s="15"/>
      <c r="S64" s="15"/>
      <c r="T64" s="15"/>
      <c r="U64" s="15"/>
      <c r="V64" s="15"/>
    </row>
    <row r="65" ht="15.0" customHeight="1">
      <c r="A65" s="13" t="s">
        <v>277</v>
      </c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4">
        <v>4117.0</v>
      </c>
      <c r="M65" s="15"/>
      <c r="N65" s="15"/>
      <c r="O65" s="15"/>
      <c r="P65" s="15"/>
      <c r="Q65" s="15"/>
      <c r="R65" s="15"/>
      <c r="S65" s="15"/>
      <c r="T65" s="15"/>
      <c r="U65" s="15"/>
      <c r="V65" s="15"/>
    </row>
    <row r="66" ht="15.0" customHeight="1">
      <c r="A66" s="13" t="s">
        <v>278</v>
      </c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4">
        <v>167.0</v>
      </c>
      <c r="S66" s="14">
        <v>234.0</v>
      </c>
      <c r="T66" s="16">
        <v>15.0</v>
      </c>
      <c r="U66" s="16">
        <v>4.0</v>
      </c>
      <c r="V66" s="15"/>
    </row>
    <row r="67" ht="15.0" customHeight="1">
      <c r="A67" s="13" t="s">
        <v>279</v>
      </c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21">
        <v>-5896.0</v>
      </c>
      <c r="M67" s="15"/>
      <c r="N67" s="15"/>
      <c r="O67" s="15"/>
      <c r="P67" s="15"/>
      <c r="Q67" s="15"/>
      <c r="R67" s="21">
        <v>-3793.0</v>
      </c>
      <c r="S67" s="21">
        <v>-3297.0</v>
      </c>
      <c r="T67" s="21">
        <v>-2628.0</v>
      </c>
      <c r="U67" s="21">
        <v>-2553.0</v>
      </c>
      <c r="V67" s="21">
        <v>-2996.0</v>
      </c>
    </row>
    <row r="68" ht="15.0" customHeight="1">
      <c r="A68" s="13" t="s">
        <v>280</v>
      </c>
      <c r="B68" s="14">
        <v>299.0</v>
      </c>
      <c r="C68" s="14">
        <v>390.0</v>
      </c>
      <c r="D68" s="14">
        <v>231.0</v>
      </c>
      <c r="E68" s="14">
        <v>237.0</v>
      </c>
      <c r="F68" s="14">
        <v>251.0</v>
      </c>
      <c r="G68" s="14">
        <v>1017.0</v>
      </c>
      <c r="H68" s="14">
        <v>760.0</v>
      </c>
      <c r="I68" s="14">
        <v>825.0</v>
      </c>
      <c r="J68" s="14">
        <v>4419.0</v>
      </c>
      <c r="K68" s="14">
        <v>5198.0</v>
      </c>
      <c r="L68" s="14">
        <v>6480.0</v>
      </c>
      <c r="M68" s="14">
        <v>6469.0</v>
      </c>
      <c r="N68" s="14">
        <v>9457.0</v>
      </c>
      <c r="O68" s="15">
        <v>10041.0</v>
      </c>
      <c r="P68" s="14">
        <v>7409.0</v>
      </c>
      <c r="Q68" s="14">
        <v>7494.0</v>
      </c>
      <c r="R68" s="15">
        <f t="shared" ref="R68:V68" si="1">SUM(R70,R73,R80)</f>
        <v>6531</v>
      </c>
      <c r="S68" s="15">
        <f t="shared" si="1"/>
        <v>4610</v>
      </c>
      <c r="T68" s="15">
        <f t="shared" si="1"/>
        <v>2816</v>
      </c>
      <c r="U68" s="15">
        <f t="shared" si="1"/>
        <v>1762</v>
      </c>
      <c r="V68" s="15">
        <f t="shared" si="1"/>
        <v>1551</v>
      </c>
    </row>
    <row r="69" ht="15.0" customHeight="1">
      <c r="A69" s="13" t="s">
        <v>281</v>
      </c>
      <c r="B69" s="15"/>
      <c r="C69" s="15"/>
      <c r="D69" s="15"/>
      <c r="E69" s="15"/>
      <c r="F69" s="15">
        <v>0.0</v>
      </c>
      <c r="G69" s="16">
        <v>4.0</v>
      </c>
      <c r="H69" s="16">
        <v>17.0</v>
      </c>
      <c r="I69" s="16">
        <v>22.0</v>
      </c>
      <c r="J69" s="16">
        <v>59.0</v>
      </c>
      <c r="K69" s="16">
        <v>89.0</v>
      </c>
      <c r="L69" s="14">
        <v>856.0</v>
      </c>
      <c r="M69" s="14">
        <v>492.0</v>
      </c>
      <c r="N69" s="14">
        <v>960.0</v>
      </c>
      <c r="O69" s="15"/>
      <c r="P69" s="15"/>
      <c r="Q69" s="15"/>
      <c r="R69" s="14">
        <v>2337.0</v>
      </c>
      <c r="S69" s="14">
        <v>671.0</v>
      </c>
      <c r="T69" s="14">
        <v>301.0</v>
      </c>
      <c r="U69" s="16">
        <v>44.0</v>
      </c>
      <c r="V69" s="16">
        <v>27.0</v>
      </c>
    </row>
    <row r="70" ht="15.0" customHeight="1">
      <c r="A70" s="13" t="s">
        <v>282</v>
      </c>
      <c r="B70" s="15"/>
      <c r="C70" s="15"/>
      <c r="D70" s="15"/>
      <c r="E70" s="15"/>
      <c r="F70" s="15">
        <v>0.0</v>
      </c>
      <c r="G70" s="16">
        <v>4.0</v>
      </c>
      <c r="H70" s="16">
        <v>28.0</v>
      </c>
      <c r="I70" s="16">
        <v>33.0</v>
      </c>
      <c r="J70" s="16">
        <v>70.0</v>
      </c>
      <c r="K70" s="14">
        <v>105.0</v>
      </c>
      <c r="L70" s="14">
        <v>872.0</v>
      </c>
      <c r="M70" s="14">
        <v>954.0</v>
      </c>
      <c r="N70" s="14">
        <v>1340.0</v>
      </c>
      <c r="O70" s="14">
        <v>1674.0</v>
      </c>
      <c r="P70" s="14">
        <v>2991.0</v>
      </c>
      <c r="Q70" s="15"/>
      <c r="R70" s="14">
        <v>2337.0</v>
      </c>
      <c r="S70" s="14">
        <v>671.0</v>
      </c>
      <c r="T70" s="14">
        <v>302.0</v>
      </c>
      <c r="U70" s="16">
        <v>45.0</v>
      </c>
      <c r="V70" s="16">
        <v>29.0</v>
      </c>
    </row>
    <row r="71" ht="15.0" customHeight="1">
      <c r="A71" s="13" t="s">
        <v>283</v>
      </c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7">
        <v>-1.0</v>
      </c>
      <c r="U71" s="17">
        <v>-1.0</v>
      </c>
      <c r="V71" s="17">
        <v>-2.0</v>
      </c>
    </row>
    <row r="72" ht="15.0" customHeight="1">
      <c r="A72" s="13" t="s">
        <v>284</v>
      </c>
      <c r="B72" s="15"/>
      <c r="C72" s="15"/>
      <c r="D72" s="15"/>
      <c r="E72" s="15"/>
      <c r="F72" s="15">
        <v>0.0</v>
      </c>
      <c r="G72" s="15">
        <v>0.0</v>
      </c>
      <c r="H72" s="17">
        <v>-11.0</v>
      </c>
      <c r="I72" s="17">
        <v>-11.0</v>
      </c>
      <c r="J72" s="17">
        <v>-11.0</v>
      </c>
      <c r="K72" s="17">
        <v>-16.0</v>
      </c>
      <c r="L72" s="17">
        <v>-16.0</v>
      </c>
      <c r="M72" s="21">
        <v>-462.0</v>
      </c>
      <c r="N72" s="21">
        <v>-380.0</v>
      </c>
      <c r="O72" s="15"/>
      <c r="P72" s="15"/>
      <c r="Q72" s="15"/>
      <c r="R72" s="15"/>
      <c r="S72" s="15"/>
      <c r="T72" s="15"/>
      <c r="U72" s="15"/>
      <c r="V72" s="15"/>
    </row>
    <row r="73" ht="15.0" customHeight="1">
      <c r="A73" s="13" t="s">
        <v>285</v>
      </c>
      <c r="B73" s="15"/>
      <c r="C73" s="15">
        <v>0.0</v>
      </c>
      <c r="D73" s="15">
        <v>0.0</v>
      </c>
      <c r="E73" s="16">
        <v>5.0</v>
      </c>
      <c r="F73" s="16">
        <v>7.0</v>
      </c>
      <c r="G73" s="14">
        <v>292.0</v>
      </c>
      <c r="H73" s="14">
        <v>340.0</v>
      </c>
      <c r="I73" s="14">
        <v>387.0</v>
      </c>
      <c r="J73" s="14">
        <v>495.0</v>
      </c>
      <c r="K73" s="14">
        <v>739.0</v>
      </c>
      <c r="L73" s="14">
        <v>5162.0</v>
      </c>
      <c r="M73" s="14">
        <v>5211.0</v>
      </c>
      <c r="N73" s="14">
        <v>6557.0</v>
      </c>
      <c r="O73" s="14">
        <v>6516.0</v>
      </c>
      <c r="P73" s="14">
        <v>3485.0</v>
      </c>
      <c r="Q73" s="15"/>
      <c r="R73" s="14">
        <v>2739.0</v>
      </c>
      <c r="S73" s="14">
        <v>2794.0</v>
      </c>
      <c r="T73" s="14">
        <v>1695.0</v>
      </c>
      <c r="U73" s="14">
        <v>1123.0</v>
      </c>
      <c r="V73" s="14">
        <v>985.0</v>
      </c>
    </row>
    <row r="74" ht="15.0" customHeight="1">
      <c r="A74" s="13" t="s">
        <v>286</v>
      </c>
      <c r="B74" s="15"/>
      <c r="C74" s="15">
        <v>0.0</v>
      </c>
      <c r="D74" s="15">
        <v>0.0</v>
      </c>
      <c r="E74" s="16">
        <v>93.0</v>
      </c>
      <c r="F74" s="14">
        <v>101.0</v>
      </c>
      <c r="G74" s="14">
        <v>1343.0</v>
      </c>
      <c r="H74" s="14">
        <v>1407.0</v>
      </c>
      <c r="I74" s="14">
        <v>1377.0</v>
      </c>
      <c r="J74" s="14">
        <v>1861.0</v>
      </c>
      <c r="K74" s="14">
        <v>2202.0</v>
      </c>
      <c r="L74" s="15">
        <v>10843.0</v>
      </c>
      <c r="M74" s="14">
        <v>8850.0</v>
      </c>
      <c r="N74" s="15">
        <v>10148.0</v>
      </c>
      <c r="O74" s="15">
        <v>10380.0</v>
      </c>
      <c r="P74" s="14">
        <v>6873.0</v>
      </c>
      <c r="Q74" s="15"/>
      <c r="R74" s="14">
        <v>5752.0</v>
      </c>
      <c r="S74" s="14">
        <v>5285.0</v>
      </c>
      <c r="T74" s="14">
        <v>3706.0</v>
      </c>
      <c r="U74" s="14">
        <v>3107.0</v>
      </c>
      <c r="V74" s="14">
        <v>3415.0</v>
      </c>
    </row>
    <row r="75" ht="15.0" customHeight="1">
      <c r="A75" s="13" t="s">
        <v>287</v>
      </c>
      <c r="B75" s="15"/>
      <c r="C75" s="15">
        <v>0.0</v>
      </c>
      <c r="D75" s="15">
        <v>0.0</v>
      </c>
      <c r="E75" s="17">
        <v>-88.0</v>
      </c>
      <c r="F75" s="17">
        <v>-94.0</v>
      </c>
      <c r="G75" s="21">
        <v>-1051.0</v>
      </c>
      <c r="H75" s="21">
        <v>-1067.0</v>
      </c>
      <c r="I75" s="21">
        <v>-990.0</v>
      </c>
      <c r="J75" s="21">
        <v>-1366.0</v>
      </c>
      <c r="K75" s="21">
        <v>-1463.0</v>
      </c>
      <c r="L75" s="21">
        <v>-5680.0</v>
      </c>
      <c r="M75" s="21">
        <v>-3639.0</v>
      </c>
      <c r="N75" s="21">
        <v>-3591.0</v>
      </c>
      <c r="O75" s="21">
        <v>-3864.0</v>
      </c>
      <c r="P75" s="21">
        <v>-3388.0</v>
      </c>
      <c r="Q75" s="15"/>
      <c r="R75" s="21">
        <v>-3013.0</v>
      </c>
      <c r="S75" s="21">
        <v>-2491.0</v>
      </c>
      <c r="T75" s="21">
        <v>-2011.0</v>
      </c>
      <c r="U75" s="21">
        <v>-1984.0</v>
      </c>
      <c r="V75" s="21">
        <v>-2430.0</v>
      </c>
    </row>
    <row r="76" ht="15.0" customHeight="1">
      <c r="A76" s="13" t="s">
        <v>288</v>
      </c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7">
        <v>-1.0</v>
      </c>
      <c r="M76" s="15"/>
      <c r="N76" s="15"/>
      <c r="O76" s="15"/>
      <c r="P76" s="15"/>
      <c r="Q76" s="15"/>
      <c r="R76" s="15"/>
      <c r="S76" s="15"/>
      <c r="T76" s="15"/>
      <c r="U76" s="15"/>
      <c r="V76" s="15"/>
    </row>
    <row r="77" ht="15.0" customHeight="1">
      <c r="A77" s="13" t="s">
        <v>289</v>
      </c>
      <c r="B77" s="15"/>
      <c r="C77" s="14">
        <v>527.0</v>
      </c>
      <c r="D77" s="14">
        <v>334.0</v>
      </c>
      <c r="E77" s="14">
        <v>315.0</v>
      </c>
      <c r="F77" s="14">
        <v>282.0</v>
      </c>
      <c r="G77" s="14">
        <v>366.0</v>
      </c>
      <c r="H77" s="15">
        <v>0.0</v>
      </c>
      <c r="I77" s="15">
        <v>0.0</v>
      </c>
      <c r="J77" s="14">
        <v>7040.0</v>
      </c>
      <c r="K77" s="14">
        <v>7384.0</v>
      </c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</row>
    <row r="78" ht="15.0" customHeight="1">
      <c r="A78" s="13" t="s">
        <v>290</v>
      </c>
      <c r="B78" s="15"/>
      <c r="C78" s="21">
        <v>-231.0</v>
      </c>
      <c r="D78" s="21">
        <v>-103.0</v>
      </c>
      <c r="E78" s="17">
        <v>-83.0</v>
      </c>
      <c r="F78" s="17">
        <v>-38.0</v>
      </c>
      <c r="G78" s="17">
        <v>-7.0</v>
      </c>
      <c r="H78" s="15">
        <v>0.0</v>
      </c>
      <c r="I78" s="15">
        <v>0.0</v>
      </c>
      <c r="J78" s="21">
        <v>-3668.0</v>
      </c>
      <c r="K78" s="21">
        <v>-3562.0</v>
      </c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</row>
    <row r="79" ht="15.0" customHeight="1">
      <c r="A79" s="13" t="s">
        <v>291</v>
      </c>
      <c r="B79" s="15"/>
      <c r="C79" s="16">
        <v>94.0</v>
      </c>
      <c r="D79" s="15"/>
      <c r="E79" s="15"/>
      <c r="F79" s="15"/>
      <c r="G79" s="15"/>
      <c r="H79" s="15"/>
      <c r="I79" s="15"/>
      <c r="J79" s="16">
        <v>1.0</v>
      </c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</row>
    <row r="80" ht="15.0" customHeight="1">
      <c r="A80" s="13" t="s">
        <v>292</v>
      </c>
      <c r="B80" s="15"/>
      <c r="C80" s="15"/>
      <c r="D80" s="15"/>
      <c r="E80" s="15">
        <v>0.0</v>
      </c>
      <c r="F80" s="15">
        <v>0.0</v>
      </c>
      <c r="G80" s="14">
        <v>361.0</v>
      </c>
      <c r="H80" s="14">
        <v>403.0</v>
      </c>
      <c r="I80" s="14">
        <v>416.0</v>
      </c>
      <c r="J80" s="14">
        <v>493.0</v>
      </c>
      <c r="K80" s="14">
        <v>548.0</v>
      </c>
      <c r="L80" s="14">
        <v>461.0</v>
      </c>
      <c r="M80" s="14">
        <v>766.0</v>
      </c>
      <c r="N80" s="14">
        <v>1940.0</v>
      </c>
      <c r="O80" s="14">
        <v>1851.0</v>
      </c>
      <c r="P80" s="14">
        <v>933.0</v>
      </c>
      <c r="Q80" s="15"/>
      <c r="R80" s="14">
        <v>1455.0</v>
      </c>
      <c r="S80" s="14">
        <v>1145.0</v>
      </c>
      <c r="T80" s="14">
        <v>819.0</v>
      </c>
      <c r="U80" s="14">
        <v>594.0</v>
      </c>
      <c r="V80" s="14">
        <v>537.0</v>
      </c>
    </row>
    <row r="81" ht="15.0" customHeight="1">
      <c r="A81" s="13" t="s">
        <v>293</v>
      </c>
      <c r="B81" s="15"/>
      <c r="C81" s="15"/>
      <c r="D81" s="15"/>
      <c r="E81" s="15">
        <v>0.0</v>
      </c>
      <c r="F81" s="15">
        <v>0.0</v>
      </c>
      <c r="G81" s="14">
        <v>671.0</v>
      </c>
      <c r="H81" s="14">
        <v>741.0</v>
      </c>
      <c r="I81" s="14">
        <v>743.0</v>
      </c>
      <c r="J81" s="14">
        <v>951.0</v>
      </c>
      <c r="K81" s="14">
        <v>1042.0</v>
      </c>
      <c r="L81" s="14">
        <v>661.0</v>
      </c>
      <c r="M81" s="14">
        <v>974.0</v>
      </c>
      <c r="N81" s="14">
        <v>2454.0</v>
      </c>
      <c r="O81" s="14">
        <v>2332.0</v>
      </c>
      <c r="P81" s="14">
        <v>1363.0</v>
      </c>
      <c r="Q81" s="15"/>
      <c r="R81" s="14">
        <v>2235.0</v>
      </c>
      <c r="S81" s="14">
        <v>1951.0</v>
      </c>
      <c r="T81" s="14">
        <v>1435.0</v>
      </c>
      <c r="U81" s="14">
        <v>1162.0</v>
      </c>
      <c r="V81" s="14">
        <v>1101.0</v>
      </c>
    </row>
    <row r="82" ht="15.0" customHeight="1">
      <c r="A82" s="13" t="s">
        <v>294</v>
      </c>
      <c r="B82" s="15"/>
      <c r="C82" s="15"/>
      <c r="D82" s="15"/>
      <c r="E82" s="15">
        <v>0.0</v>
      </c>
      <c r="F82" s="15">
        <v>0.0</v>
      </c>
      <c r="G82" s="21">
        <v>-310.0</v>
      </c>
      <c r="H82" s="21">
        <v>-338.0</v>
      </c>
      <c r="I82" s="21">
        <v>-328.0</v>
      </c>
      <c r="J82" s="21">
        <v>-458.0</v>
      </c>
      <c r="K82" s="21">
        <v>-494.0</v>
      </c>
      <c r="L82" s="21">
        <v>-200.0</v>
      </c>
      <c r="M82" s="21">
        <v>-208.0</v>
      </c>
      <c r="N82" s="21">
        <v>-514.0</v>
      </c>
      <c r="O82" s="21">
        <v>-481.0</v>
      </c>
      <c r="P82" s="21">
        <v>-430.0</v>
      </c>
      <c r="Q82" s="15"/>
      <c r="R82" s="21">
        <v>-780.0</v>
      </c>
      <c r="S82" s="21">
        <v>-806.0</v>
      </c>
      <c r="T82" s="21">
        <v>-616.0</v>
      </c>
      <c r="U82" s="21">
        <v>-568.0</v>
      </c>
      <c r="V82" s="21">
        <v>-564.0</v>
      </c>
    </row>
    <row r="83" ht="15.0" customHeight="1">
      <c r="A83" s="13" t="s">
        <v>295</v>
      </c>
      <c r="B83" s="15"/>
      <c r="C83" s="15"/>
      <c r="D83" s="15"/>
      <c r="E83" s="15"/>
      <c r="F83" s="15"/>
      <c r="G83" s="15"/>
      <c r="H83" s="15"/>
      <c r="I83" s="16">
        <v>1.0</v>
      </c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</row>
    <row r="84" ht="15.0" customHeight="1">
      <c r="A84" s="13" t="s">
        <v>296</v>
      </c>
      <c r="B84" s="15"/>
      <c r="C84" s="15"/>
      <c r="D84" s="15"/>
      <c r="E84" s="15"/>
      <c r="F84" s="15"/>
      <c r="G84" s="16">
        <v>1.0</v>
      </c>
      <c r="H84" s="15"/>
      <c r="I84" s="15"/>
      <c r="J84" s="17">
        <v>-1.0</v>
      </c>
      <c r="K84" s="15"/>
      <c r="L84" s="16">
        <v>1.0</v>
      </c>
      <c r="M84" s="15"/>
      <c r="N84" s="15"/>
      <c r="O84" s="15"/>
      <c r="P84" s="15"/>
      <c r="Q84" s="15"/>
      <c r="R84" s="15"/>
      <c r="S84" s="15"/>
      <c r="T84" s="15"/>
      <c r="U84" s="15"/>
      <c r="V84" s="15"/>
    </row>
    <row r="85" ht="15.0" customHeight="1">
      <c r="A85" s="13" t="s">
        <v>297</v>
      </c>
      <c r="B85" s="16">
        <v>5.0</v>
      </c>
      <c r="C85" s="16">
        <v>9.0</v>
      </c>
      <c r="D85" s="16">
        <v>7.0</v>
      </c>
      <c r="E85" s="16">
        <v>27.0</v>
      </c>
      <c r="F85" s="16">
        <v>41.0</v>
      </c>
      <c r="G85" s="14">
        <v>468.0</v>
      </c>
      <c r="H85" s="14">
        <v>537.0</v>
      </c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</row>
    <row r="86" ht="15.0" customHeight="1">
      <c r="A86" s="13" t="s">
        <v>298</v>
      </c>
      <c r="B86" s="14">
        <v>788.0</v>
      </c>
      <c r="C86" s="14">
        <v>485.0</v>
      </c>
      <c r="D86" s="14">
        <v>550.0</v>
      </c>
      <c r="E86" s="14">
        <v>668.0</v>
      </c>
      <c r="F86" s="14">
        <v>315.0</v>
      </c>
      <c r="G86" s="14">
        <v>115.0</v>
      </c>
      <c r="H86" s="14">
        <v>201.0</v>
      </c>
      <c r="I86" s="15">
        <v>0.0</v>
      </c>
      <c r="J86" s="16">
        <v>1.0</v>
      </c>
      <c r="K86" s="16">
        <v>51.0</v>
      </c>
      <c r="L86" s="16">
        <v>84.0</v>
      </c>
      <c r="M86" s="14">
        <v>131.0</v>
      </c>
      <c r="N86" s="14">
        <v>159.0</v>
      </c>
      <c r="O86" s="14">
        <v>672.0</v>
      </c>
      <c r="P86" s="14">
        <v>704.0</v>
      </c>
      <c r="Q86" s="14">
        <v>225.0</v>
      </c>
      <c r="R86" s="14">
        <v>184.0</v>
      </c>
      <c r="S86" s="16">
        <v>97.0</v>
      </c>
      <c r="T86" s="16">
        <v>14.0</v>
      </c>
      <c r="U86" s="16">
        <v>54.0</v>
      </c>
      <c r="V86" s="14">
        <v>125.0</v>
      </c>
    </row>
    <row r="87" ht="15.0" customHeight="1">
      <c r="A87" s="13" t="s">
        <v>299</v>
      </c>
      <c r="B87" s="14">
        <v>3533.0</v>
      </c>
      <c r="C87" s="14">
        <v>3733.0</v>
      </c>
      <c r="D87" s="14">
        <v>3439.0</v>
      </c>
      <c r="E87" s="14">
        <v>3502.0</v>
      </c>
      <c r="F87" s="14">
        <v>3408.0</v>
      </c>
      <c r="G87" s="14">
        <v>1064.0</v>
      </c>
      <c r="H87" s="14">
        <v>1051.0</v>
      </c>
      <c r="I87" s="14">
        <v>1088.0</v>
      </c>
      <c r="J87" s="16">
        <v>10.0</v>
      </c>
      <c r="K87" s="16">
        <v>93.0</v>
      </c>
      <c r="L87" s="14">
        <v>177.0</v>
      </c>
      <c r="M87" s="14">
        <v>264.0</v>
      </c>
      <c r="N87" s="14">
        <v>440.0</v>
      </c>
      <c r="O87" s="14">
        <v>283.0</v>
      </c>
      <c r="P87" s="14">
        <v>246.0</v>
      </c>
      <c r="Q87" s="14">
        <v>424.0</v>
      </c>
      <c r="R87" s="14">
        <v>423.0</v>
      </c>
      <c r="S87" s="14">
        <v>444.0</v>
      </c>
      <c r="T87" s="14">
        <v>121.0</v>
      </c>
      <c r="U87" s="14">
        <v>122.0</v>
      </c>
      <c r="V87" s="14">
        <v>113.0</v>
      </c>
    </row>
    <row r="88" ht="15.0" customHeight="1">
      <c r="A88" s="13" t="s">
        <v>300</v>
      </c>
      <c r="B88" s="14">
        <v>919.0</v>
      </c>
      <c r="C88" s="14">
        <v>1251.0</v>
      </c>
      <c r="D88" s="14">
        <v>1051.0</v>
      </c>
      <c r="E88" s="14">
        <v>869.0</v>
      </c>
      <c r="F88" s="14">
        <v>1625.0</v>
      </c>
      <c r="G88" s="14">
        <v>1469.0</v>
      </c>
      <c r="H88" s="14">
        <v>1643.0</v>
      </c>
      <c r="I88" s="14">
        <v>1469.0</v>
      </c>
      <c r="J88" s="14">
        <v>536.0</v>
      </c>
      <c r="K88" s="14">
        <v>121.0</v>
      </c>
      <c r="L88" s="14">
        <v>261.0</v>
      </c>
      <c r="M88" s="14">
        <v>347.0</v>
      </c>
      <c r="N88" s="14">
        <v>645.0</v>
      </c>
      <c r="O88" s="14">
        <v>569.0</v>
      </c>
      <c r="P88" s="14">
        <v>418.0</v>
      </c>
      <c r="Q88" s="14">
        <v>157.0</v>
      </c>
      <c r="R88" s="14">
        <v>135.0</v>
      </c>
      <c r="S88" s="14">
        <v>123.0</v>
      </c>
      <c r="T88" s="14">
        <v>133.0</v>
      </c>
      <c r="U88" s="16">
        <v>16.0</v>
      </c>
      <c r="V88" s="16">
        <v>22.0</v>
      </c>
    </row>
    <row r="89" ht="15.0" customHeight="1">
      <c r="A89" s="13" t="s">
        <v>301</v>
      </c>
      <c r="B89" s="16">
        <v>1.0</v>
      </c>
      <c r="C89" s="16">
        <v>1.0</v>
      </c>
      <c r="D89" s="16">
        <v>1.0</v>
      </c>
      <c r="E89" s="16">
        <v>2.0</v>
      </c>
      <c r="F89" s="16">
        <v>21.0</v>
      </c>
      <c r="G89" s="16">
        <v>29.0</v>
      </c>
      <c r="H89" s="16">
        <v>65.0</v>
      </c>
      <c r="I89" s="16">
        <v>62.0</v>
      </c>
      <c r="J89" s="14">
        <v>100.0</v>
      </c>
      <c r="K89" s="14">
        <v>104.0</v>
      </c>
      <c r="L89" s="14">
        <v>478.0</v>
      </c>
      <c r="M89" s="14">
        <v>691.0</v>
      </c>
      <c r="N89" s="14">
        <v>162.0</v>
      </c>
      <c r="O89" s="14">
        <v>168.0</v>
      </c>
      <c r="P89" s="14">
        <v>192.0</v>
      </c>
      <c r="Q89" s="14">
        <v>221.0</v>
      </c>
      <c r="R89" s="14">
        <v>338.0</v>
      </c>
      <c r="S89" s="16">
        <v>4.0</v>
      </c>
      <c r="T89" s="15"/>
      <c r="U89" s="15"/>
      <c r="V89" s="16">
        <v>7.0</v>
      </c>
    </row>
    <row r="90" ht="15.0" customHeight="1">
      <c r="A90" s="13" t="s">
        <v>302</v>
      </c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>
        <v>12376.0</v>
      </c>
      <c r="M90" s="15"/>
      <c r="N90" s="15"/>
      <c r="O90" s="15"/>
      <c r="P90" s="15"/>
      <c r="Q90" s="15"/>
      <c r="R90" s="15"/>
      <c r="S90" s="15"/>
      <c r="T90" s="15"/>
      <c r="U90" s="15"/>
      <c r="V90" s="15"/>
    </row>
    <row r="91" ht="15.0" customHeight="1">
      <c r="A91" s="13" t="s">
        <v>303</v>
      </c>
      <c r="B91" s="15"/>
      <c r="C91" s="15"/>
      <c r="D91" s="15">
        <v>0.0</v>
      </c>
      <c r="E91" s="16">
        <v>10.0</v>
      </c>
      <c r="F91" s="14">
        <v>176.0</v>
      </c>
      <c r="G91" s="16">
        <v>15.0</v>
      </c>
      <c r="H91" s="16">
        <v>16.0</v>
      </c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</row>
    <row r="92" ht="15.0" customHeight="1">
      <c r="A92" s="13" t="s">
        <v>304</v>
      </c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6">
        <v>9.0</v>
      </c>
      <c r="U92" s="16">
        <v>6.0</v>
      </c>
      <c r="V92" s="15"/>
    </row>
    <row r="93" ht="15.0" customHeight="1">
      <c r="A93" s="13" t="s">
        <v>305</v>
      </c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6">
        <v>15.0</v>
      </c>
    </row>
    <row r="94" ht="15.0" customHeight="1">
      <c r="A94" s="13" t="s">
        <v>306</v>
      </c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6">
        <v>1.0</v>
      </c>
    </row>
    <row r="95" ht="15.0" customHeight="1">
      <c r="A95" s="13" t="s">
        <v>307</v>
      </c>
      <c r="B95" s="16">
        <v>1.0</v>
      </c>
      <c r="C95" s="17">
        <v>-1.0</v>
      </c>
      <c r="D95" s="15"/>
      <c r="E95" s="17">
        <v>-1.0</v>
      </c>
      <c r="F95" s="16">
        <v>1.0</v>
      </c>
      <c r="G95" s="17">
        <v>-1.0</v>
      </c>
      <c r="H95" s="16">
        <v>2.0</v>
      </c>
      <c r="I95" s="17">
        <v>-1.0</v>
      </c>
      <c r="J95" s="16">
        <v>1.0</v>
      </c>
      <c r="K95" s="17">
        <v>-1.0</v>
      </c>
      <c r="L95" s="14">
        <v>5679.0</v>
      </c>
      <c r="M95" s="15"/>
      <c r="N95" s="15"/>
      <c r="O95" s="15"/>
      <c r="P95" s="15"/>
      <c r="Q95" s="15"/>
      <c r="R95" s="15"/>
      <c r="S95" s="15"/>
      <c r="T95" s="15"/>
      <c r="U95" s="15"/>
      <c r="V95" s="15"/>
    </row>
    <row r="96" ht="15.0" customHeight="1">
      <c r="A96" s="13" t="s">
        <v>308</v>
      </c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>
        <v>0.0</v>
      </c>
      <c r="M96" s="14">
        <v>707.0</v>
      </c>
      <c r="N96" s="14">
        <v>358.0</v>
      </c>
      <c r="O96" s="15"/>
      <c r="P96" s="15"/>
      <c r="Q96" s="15"/>
      <c r="R96" s="15"/>
      <c r="S96" s="15"/>
      <c r="T96" s="15"/>
      <c r="U96" s="15"/>
      <c r="V96" s="15"/>
    </row>
    <row r="97" ht="15.0" customHeight="1">
      <c r="A97" s="18" t="s">
        <v>309</v>
      </c>
      <c r="B97" s="19">
        <v>5546.0</v>
      </c>
      <c r="C97" s="19">
        <v>5868.0</v>
      </c>
      <c r="D97" s="19">
        <v>5279.0</v>
      </c>
      <c r="E97" s="19">
        <v>5497.0</v>
      </c>
      <c r="F97" s="19">
        <v>6025.0</v>
      </c>
      <c r="G97" s="19">
        <v>6100.0</v>
      </c>
      <c r="H97" s="19">
        <v>6256.0</v>
      </c>
      <c r="I97" s="19">
        <v>5077.0</v>
      </c>
      <c r="J97" s="19">
        <v>7163.0</v>
      </c>
      <c r="K97" s="19">
        <v>7897.0</v>
      </c>
      <c r="L97" s="20">
        <v>10732.0</v>
      </c>
      <c r="M97" s="20">
        <v>11945.0</v>
      </c>
      <c r="N97" s="20">
        <v>20063.0</v>
      </c>
      <c r="O97" s="20">
        <v>19187.0</v>
      </c>
      <c r="P97" s="20">
        <v>15812.0</v>
      </c>
      <c r="Q97" s="20">
        <v>15791.0</v>
      </c>
      <c r="R97" s="19">
        <v>9056.0</v>
      </c>
      <c r="S97" s="19">
        <v>8380.0</v>
      </c>
      <c r="T97" s="19">
        <v>5778.0</v>
      </c>
      <c r="U97" s="19">
        <v>5805.0</v>
      </c>
      <c r="V97" s="19">
        <v>7242.0</v>
      </c>
    </row>
    <row r="98" ht="15.0" customHeight="1">
      <c r="A98" s="13" t="s">
        <v>310</v>
      </c>
      <c r="B98" s="15"/>
      <c r="C98" s="16">
        <v>1.0</v>
      </c>
      <c r="D98" s="15"/>
      <c r="E98" s="15"/>
      <c r="F98" s="15"/>
      <c r="G98" s="15"/>
      <c r="H98" s="15"/>
      <c r="I98" s="16">
        <v>1.0</v>
      </c>
      <c r="J98" s="15"/>
      <c r="K98" s="15"/>
      <c r="L98" s="15"/>
      <c r="M98" s="15"/>
      <c r="N98" s="15"/>
      <c r="O98" s="15"/>
      <c r="P98" s="15"/>
      <c r="Q98" s="15"/>
      <c r="R98" s="14">
        <v>7026.0</v>
      </c>
      <c r="S98" s="14">
        <v>4770.0</v>
      </c>
      <c r="T98" s="14">
        <v>2872.0</v>
      </c>
      <c r="U98" s="14">
        <v>1764.0</v>
      </c>
      <c r="V98" s="16">
        <v>22.0</v>
      </c>
    </row>
    <row r="99" ht="15.0" customHeight="1">
      <c r="A99" s="18" t="s">
        <v>311</v>
      </c>
      <c r="B99" s="19">
        <v>6017.0</v>
      </c>
      <c r="C99" s="19">
        <v>6704.0</v>
      </c>
      <c r="D99" s="19">
        <v>6048.0</v>
      </c>
      <c r="E99" s="19">
        <v>6804.0</v>
      </c>
      <c r="F99" s="19">
        <v>7212.0</v>
      </c>
      <c r="G99" s="19">
        <v>9147.0</v>
      </c>
      <c r="H99" s="20">
        <v>10578.0</v>
      </c>
      <c r="I99" s="19">
        <v>9005.0</v>
      </c>
      <c r="J99" s="20">
        <v>10328.0</v>
      </c>
      <c r="K99" s="20">
        <v>12861.0</v>
      </c>
      <c r="L99" s="20">
        <v>20537.0</v>
      </c>
      <c r="M99" s="20">
        <v>24430.0</v>
      </c>
      <c r="N99" s="20">
        <v>47941.0</v>
      </c>
      <c r="O99" s="20">
        <v>40215.0</v>
      </c>
      <c r="P99" s="20">
        <v>34010.0</v>
      </c>
      <c r="Q99" s="20">
        <v>39926.0</v>
      </c>
      <c r="R99" s="20">
        <v>39926.0</v>
      </c>
      <c r="S99" s="20">
        <v>42724.0</v>
      </c>
      <c r="T99" s="20">
        <v>28516.0</v>
      </c>
      <c r="U99" s="20">
        <v>31396.0</v>
      </c>
      <c r="V99" s="20">
        <v>26295.0</v>
      </c>
    </row>
    <row r="100" ht="15.0" customHeight="1">
      <c r="A100" s="13" t="s">
        <v>312</v>
      </c>
      <c r="B100" s="15"/>
      <c r="C100" s="15"/>
      <c r="D100" s="15"/>
      <c r="E100" s="15"/>
      <c r="F100" s="15"/>
      <c r="G100" s="15"/>
      <c r="H100" s="15"/>
      <c r="I100" s="16">
        <v>14.0</v>
      </c>
      <c r="J100" s="14">
        <f>399-J101</f>
        <v>103</v>
      </c>
      <c r="K100" s="14">
        <f>1560-K101</f>
        <v>1238</v>
      </c>
      <c r="L100" s="14">
        <f>4054-L101</f>
        <v>3785</v>
      </c>
      <c r="M100" s="14">
        <v>308.0</v>
      </c>
      <c r="N100" s="14">
        <v>3896.0</v>
      </c>
      <c r="O100" s="14">
        <v>1008.0</v>
      </c>
      <c r="P100" s="14">
        <v>629.0</v>
      </c>
      <c r="Q100" s="14">
        <v>716.0</v>
      </c>
      <c r="R100" s="14">
        <v>180.0</v>
      </c>
      <c r="S100" s="14">
        <v>553.0</v>
      </c>
      <c r="T100" s="16">
        <v>24.0</v>
      </c>
      <c r="U100" s="15"/>
      <c r="V100" s="15"/>
    </row>
    <row r="101" ht="15.0" customHeight="1">
      <c r="A101" s="13" t="s">
        <v>313</v>
      </c>
      <c r="B101" s="15"/>
      <c r="C101" s="15"/>
      <c r="D101" s="15"/>
      <c r="E101" s="15"/>
      <c r="F101" s="15"/>
      <c r="G101" s="15"/>
      <c r="H101" s="15"/>
      <c r="I101" s="15"/>
      <c r="J101" s="14">
        <v>296.0</v>
      </c>
      <c r="K101" s="14">
        <v>322.0</v>
      </c>
      <c r="L101" s="14">
        <v>269.0</v>
      </c>
      <c r="M101" s="15"/>
      <c r="N101" s="15"/>
      <c r="O101" s="15"/>
      <c r="P101" s="15"/>
      <c r="Q101" s="15"/>
      <c r="R101" s="15"/>
      <c r="S101" s="15"/>
      <c r="T101" s="15"/>
      <c r="U101" s="15"/>
      <c r="V101" s="15"/>
    </row>
    <row r="102" ht="15.0" customHeight="1">
      <c r="A102" s="13" t="s">
        <v>314</v>
      </c>
      <c r="B102" s="15"/>
      <c r="C102" s="15"/>
      <c r="D102" s="15"/>
      <c r="E102" s="15"/>
      <c r="F102" s="15"/>
      <c r="G102" s="15"/>
      <c r="H102" s="15"/>
      <c r="I102" s="15"/>
      <c r="J102" s="14">
        <v>103.0</v>
      </c>
      <c r="K102" s="14">
        <v>1238.0</v>
      </c>
      <c r="L102" s="14">
        <v>3785.0</v>
      </c>
      <c r="M102" s="15"/>
      <c r="N102" s="15"/>
      <c r="O102" s="15"/>
      <c r="P102" s="15"/>
      <c r="Q102" s="15"/>
      <c r="R102" s="15"/>
      <c r="S102" s="15"/>
      <c r="T102" s="15"/>
      <c r="U102" s="15"/>
      <c r="V102" s="15"/>
    </row>
    <row r="103" ht="15.0" customHeight="1">
      <c r="A103" s="13" t="s">
        <v>315</v>
      </c>
      <c r="B103" s="14">
        <v>141.0</v>
      </c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4">
        <v>2114.0</v>
      </c>
      <c r="S103" s="14">
        <v>1738.0</v>
      </c>
      <c r="T103" s="14">
        <v>452.0</v>
      </c>
      <c r="U103" s="14">
        <v>1326.0</v>
      </c>
      <c r="V103" s="14">
        <v>1600.0</v>
      </c>
    </row>
    <row r="104" ht="15.0" customHeight="1">
      <c r="A104" s="13" t="s">
        <v>312</v>
      </c>
      <c r="B104" s="16">
        <v>63.0</v>
      </c>
      <c r="C104" s="16">
        <v>82.0</v>
      </c>
      <c r="D104" s="14">
        <v>1133.0</v>
      </c>
      <c r="E104" s="14">
        <v>1142.0</v>
      </c>
      <c r="F104" s="16">
        <v>16.0</v>
      </c>
      <c r="G104" s="14">
        <v>1119.0</v>
      </c>
      <c r="H104" s="16">
        <v>3.0</v>
      </c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</row>
    <row r="105" ht="15.0" customHeight="1">
      <c r="A105" s="13" t="s">
        <v>316</v>
      </c>
      <c r="B105" s="16">
        <v>4.0</v>
      </c>
      <c r="C105" s="16">
        <v>4.0</v>
      </c>
      <c r="D105" s="16">
        <v>32.0</v>
      </c>
      <c r="E105" s="16">
        <v>48.0</v>
      </c>
      <c r="F105" s="16">
        <v>82.0</v>
      </c>
      <c r="G105" s="14">
        <v>159.0</v>
      </c>
      <c r="H105" s="14">
        <v>160.0</v>
      </c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</row>
    <row r="106" ht="15.0" customHeight="1">
      <c r="A106" s="13" t="s">
        <v>317</v>
      </c>
      <c r="B106" s="15"/>
      <c r="C106" s="15"/>
      <c r="D106" s="15">
        <v>0.0</v>
      </c>
      <c r="E106" s="16">
        <v>32.0</v>
      </c>
      <c r="F106" s="15"/>
      <c r="G106" s="15"/>
      <c r="H106" s="15"/>
      <c r="I106" s="15"/>
      <c r="J106" s="15">
        <v>0.0</v>
      </c>
      <c r="K106" s="14">
        <v>177.0</v>
      </c>
      <c r="L106" s="15"/>
      <c r="M106" s="15">
        <v>0.0</v>
      </c>
      <c r="N106" s="14">
        <v>936.0</v>
      </c>
      <c r="O106" s="15">
        <v>0.0</v>
      </c>
      <c r="P106" s="16">
        <v>45.0</v>
      </c>
      <c r="Q106" s="14">
        <v>1539.0</v>
      </c>
      <c r="R106" s="15"/>
      <c r="S106" s="15"/>
      <c r="T106" s="15"/>
      <c r="U106" s="15"/>
      <c r="V106" s="15"/>
    </row>
    <row r="107" ht="15.0" customHeight="1">
      <c r="A107" s="13" t="s">
        <v>318</v>
      </c>
      <c r="B107" s="15"/>
      <c r="C107" s="15"/>
      <c r="D107" s="15"/>
      <c r="E107" s="15"/>
      <c r="F107" s="15"/>
      <c r="G107" s="14">
        <v>2060.0</v>
      </c>
      <c r="H107" s="14">
        <v>2974.0</v>
      </c>
      <c r="I107" s="14">
        <v>2734.0</v>
      </c>
      <c r="J107" s="14">
        <v>1493.0</v>
      </c>
      <c r="K107" s="14">
        <v>2492.0</v>
      </c>
      <c r="L107" s="14">
        <v>4443.0</v>
      </c>
      <c r="M107" s="14">
        <v>6429.0</v>
      </c>
      <c r="N107" s="15">
        <v>17409.0</v>
      </c>
      <c r="O107" s="15">
        <v>16012.0</v>
      </c>
      <c r="P107" s="15">
        <v>12934.0</v>
      </c>
      <c r="Q107" s="15">
        <v>16278.0</v>
      </c>
      <c r="R107" s="15"/>
      <c r="S107" s="15"/>
      <c r="T107" s="15"/>
      <c r="U107" s="15"/>
      <c r="V107" s="15"/>
    </row>
    <row r="108" ht="15.0" customHeight="1">
      <c r="A108" s="13" t="s">
        <v>319</v>
      </c>
      <c r="B108" s="15"/>
      <c r="C108" s="15"/>
      <c r="D108" s="15"/>
      <c r="E108" s="15"/>
      <c r="F108" s="15"/>
      <c r="G108" s="15"/>
      <c r="H108" s="15"/>
      <c r="I108" s="15">
        <v>0.0</v>
      </c>
      <c r="J108" s="14">
        <v>411.0</v>
      </c>
      <c r="K108" s="14">
        <v>816.0</v>
      </c>
      <c r="L108" s="14">
        <v>1795.0</v>
      </c>
      <c r="M108" s="14">
        <v>2170.0</v>
      </c>
      <c r="N108" s="14">
        <v>4835.0</v>
      </c>
      <c r="O108" s="14">
        <v>4202.0</v>
      </c>
      <c r="P108" s="14">
        <v>2623.0</v>
      </c>
      <c r="Q108" s="15"/>
      <c r="R108" s="14">
        <v>5575.0</v>
      </c>
      <c r="S108" s="14">
        <v>6860.0</v>
      </c>
      <c r="T108" s="14">
        <v>2852.0</v>
      </c>
      <c r="U108" s="14">
        <v>5261.0</v>
      </c>
      <c r="V108" s="14">
        <v>5241.0</v>
      </c>
    </row>
    <row r="109" ht="15.0" customHeight="1">
      <c r="A109" s="13" t="s">
        <v>320</v>
      </c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4">
        <v>1027.0</v>
      </c>
      <c r="M109" s="14">
        <v>1951.0</v>
      </c>
      <c r="N109" s="14">
        <v>6712.0</v>
      </c>
      <c r="O109" s="14">
        <v>6017.0</v>
      </c>
      <c r="P109" s="14">
        <v>5225.0</v>
      </c>
      <c r="Q109" s="15"/>
      <c r="R109" s="14">
        <v>7790.0</v>
      </c>
      <c r="S109" s="14">
        <v>7972.0</v>
      </c>
      <c r="T109" s="14">
        <v>8644.0</v>
      </c>
      <c r="U109" s="14">
        <v>5393.0</v>
      </c>
      <c r="V109" s="14">
        <v>4045.0</v>
      </c>
    </row>
    <row r="110" ht="15.0" customHeight="1">
      <c r="A110" s="13" t="s">
        <v>321</v>
      </c>
      <c r="B110" s="15"/>
      <c r="C110" s="15"/>
      <c r="D110" s="15"/>
      <c r="E110" s="15"/>
      <c r="F110" s="15"/>
      <c r="G110" s="16">
        <v>1.0</v>
      </c>
      <c r="H110" s="15"/>
      <c r="I110" s="17">
        <v>-1.0</v>
      </c>
      <c r="J110" s="15"/>
      <c r="K110" s="15"/>
      <c r="L110" s="14">
        <v>671.0</v>
      </c>
      <c r="M110" s="14">
        <v>802.0</v>
      </c>
      <c r="N110" s="14">
        <v>2989.0</v>
      </c>
      <c r="O110" s="14">
        <v>2360.0</v>
      </c>
      <c r="P110" s="14">
        <v>2382.0</v>
      </c>
      <c r="Q110" s="15"/>
      <c r="R110" s="15"/>
      <c r="S110" s="15"/>
      <c r="T110" s="15"/>
      <c r="U110" s="15"/>
      <c r="V110" s="15"/>
    </row>
    <row r="111" ht="15.0" customHeight="1">
      <c r="A111" s="13" t="s">
        <v>318</v>
      </c>
      <c r="B111" s="15"/>
      <c r="C111" s="14">
        <v>191.0</v>
      </c>
      <c r="D111" s="14">
        <v>305.0</v>
      </c>
      <c r="E111" s="14">
        <v>498.0</v>
      </c>
      <c r="F111" s="14">
        <v>625.0</v>
      </c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</row>
    <row r="112" ht="15.0" customHeight="1">
      <c r="A112" s="13" t="s">
        <v>322</v>
      </c>
      <c r="B112" s="15"/>
      <c r="C112" s="16">
        <v>54.0</v>
      </c>
      <c r="D112" s="16">
        <v>17.0</v>
      </c>
      <c r="E112" s="16">
        <v>67.0</v>
      </c>
      <c r="F112" s="16">
        <v>99.0</v>
      </c>
      <c r="G112" s="14">
        <v>305.0</v>
      </c>
      <c r="H112" s="14">
        <v>451.0</v>
      </c>
      <c r="I112" s="14">
        <v>236.0</v>
      </c>
      <c r="J112" s="14">
        <v>239.0</v>
      </c>
      <c r="K112" s="14">
        <v>315.0</v>
      </c>
      <c r="L112" s="14">
        <v>950.0</v>
      </c>
      <c r="M112" s="14">
        <v>1506.0</v>
      </c>
      <c r="N112" s="14">
        <v>2873.0</v>
      </c>
      <c r="O112" s="14">
        <v>3433.0</v>
      </c>
      <c r="P112" s="14">
        <v>2704.0</v>
      </c>
      <c r="Q112" s="15"/>
      <c r="R112" s="14">
        <v>3891.0</v>
      </c>
      <c r="S112" s="14">
        <v>4482.0</v>
      </c>
      <c r="T112" s="14">
        <v>3217.0</v>
      </c>
      <c r="U112" s="14">
        <v>4237.0</v>
      </c>
      <c r="V112" s="14">
        <v>3181.0</v>
      </c>
    </row>
    <row r="113" ht="15.0" customHeight="1">
      <c r="A113" s="13" t="s">
        <v>323</v>
      </c>
      <c r="B113" s="15"/>
      <c r="C113" s="15">
        <v>0.0</v>
      </c>
      <c r="D113" s="16">
        <v>7.0</v>
      </c>
      <c r="E113" s="16">
        <v>25.0</v>
      </c>
      <c r="F113" s="16">
        <v>21.0</v>
      </c>
      <c r="G113" s="14">
        <v>344.0</v>
      </c>
      <c r="H113" s="14">
        <v>609.0</v>
      </c>
      <c r="I113" s="14">
        <v>632.0</v>
      </c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</row>
    <row r="114" ht="15.0" customHeight="1">
      <c r="A114" s="13" t="s">
        <v>324</v>
      </c>
      <c r="B114" s="15"/>
      <c r="C114" s="16">
        <v>44.0</v>
      </c>
      <c r="D114" s="16">
        <v>96.0</v>
      </c>
      <c r="E114" s="14">
        <v>179.0</v>
      </c>
      <c r="F114" s="14">
        <v>377.0</v>
      </c>
      <c r="G114" s="14">
        <v>1232.0</v>
      </c>
      <c r="H114" s="14">
        <v>1725.0</v>
      </c>
      <c r="I114" s="14">
        <v>1867.0</v>
      </c>
      <c r="J114" s="14">
        <v>813.0</v>
      </c>
      <c r="K114" s="14">
        <v>1333.0</v>
      </c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</row>
    <row r="115" ht="15.0" customHeight="1">
      <c r="A115" s="13" t="s">
        <v>325</v>
      </c>
      <c r="B115" s="15"/>
      <c r="C115" s="16">
        <v>5.0</v>
      </c>
      <c r="D115" s="16">
        <v>8.0</v>
      </c>
      <c r="E115" s="16">
        <v>46.0</v>
      </c>
      <c r="F115" s="16">
        <v>46.0</v>
      </c>
      <c r="G115" s="14">
        <v>101.0</v>
      </c>
      <c r="H115" s="14">
        <v>112.0</v>
      </c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</row>
    <row r="116" ht="15.0" customHeight="1">
      <c r="A116" s="13" t="s">
        <v>326</v>
      </c>
      <c r="B116" s="15"/>
      <c r="C116" s="16">
        <v>80.0</v>
      </c>
      <c r="D116" s="14">
        <v>176.0</v>
      </c>
      <c r="E116" s="14">
        <v>180.0</v>
      </c>
      <c r="F116" s="16">
        <v>82.0</v>
      </c>
      <c r="G116" s="16">
        <v>77.0</v>
      </c>
      <c r="H116" s="16">
        <v>77.0</v>
      </c>
      <c r="I116" s="15">
        <v>0.0</v>
      </c>
      <c r="J116" s="16">
        <v>30.0</v>
      </c>
      <c r="K116" s="16">
        <v>28.0</v>
      </c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</row>
    <row r="117" ht="15.0" customHeight="1">
      <c r="A117" s="13" t="s">
        <v>327</v>
      </c>
      <c r="B117" s="15"/>
      <c r="C117" s="17">
        <v>-1.0</v>
      </c>
      <c r="D117" s="16">
        <v>1.0</v>
      </c>
      <c r="E117" s="16">
        <v>1.0</v>
      </c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</row>
    <row r="118" ht="15.0" customHeight="1">
      <c r="A118" s="13" t="s">
        <v>328</v>
      </c>
      <c r="B118" s="15"/>
      <c r="C118" s="16">
        <v>9.0</v>
      </c>
      <c r="D118" s="16">
        <v>34.0</v>
      </c>
      <c r="E118" s="16">
        <v>31.0</v>
      </c>
      <c r="F118" s="16">
        <v>20.0</v>
      </c>
      <c r="G118" s="14">
        <v>109.0</v>
      </c>
      <c r="H118" s="14">
        <v>119.0</v>
      </c>
      <c r="I118" s="14">
        <v>236.0</v>
      </c>
      <c r="J118" s="14">
        <v>293.0</v>
      </c>
      <c r="K118" s="14">
        <v>354.0</v>
      </c>
      <c r="L118" s="14">
        <v>553.0</v>
      </c>
      <c r="M118" s="14">
        <v>395.0</v>
      </c>
      <c r="N118" s="14">
        <v>872.0</v>
      </c>
      <c r="O118" s="14">
        <v>1173.0</v>
      </c>
      <c r="P118" s="14">
        <v>935.0</v>
      </c>
      <c r="Q118" s="14">
        <v>1039.0</v>
      </c>
      <c r="R118" s="14">
        <v>869.0</v>
      </c>
      <c r="S118" s="14">
        <v>912.0</v>
      </c>
      <c r="T118" s="14">
        <v>655.0</v>
      </c>
      <c r="U118" s="14">
        <v>602.0</v>
      </c>
      <c r="V118" s="14">
        <v>769.0</v>
      </c>
    </row>
    <row r="119" ht="15.0" customHeight="1">
      <c r="A119" s="13" t="s">
        <v>329</v>
      </c>
      <c r="B119" s="15"/>
      <c r="C119" s="15"/>
      <c r="D119" s="15">
        <v>0.0</v>
      </c>
      <c r="E119" s="16">
        <v>2.0</v>
      </c>
      <c r="F119" s="16">
        <v>1.0</v>
      </c>
      <c r="G119" s="16">
        <v>8.0</v>
      </c>
      <c r="H119" s="16">
        <v>11.0</v>
      </c>
      <c r="I119" s="16">
        <v>8.0</v>
      </c>
      <c r="J119" s="16">
        <v>23.0</v>
      </c>
      <c r="K119" s="16">
        <v>63.0</v>
      </c>
      <c r="L119" s="16">
        <v>89.0</v>
      </c>
      <c r="M119" s="16">
        <v>97.0</v>
      </c>
      <c r="N119" s="16">
        <v>38.0</v>
      </c>
      <c r="O119" s="16">
        <v>37.0</v>
      </c>
      <c r="P119" s="16">
        <v>86.0</v>
      </c>
      <c r="Q119" s="14">
        <v>115.0</v>
      </c>
      <c r="R119" s="14">
        <v>211.0</v>
      </c>
      <c r="S119" s="14">
        <v>252.0</v>
      </c>
      <c r="T119" s="14">
        <v>329.0</v>
      </c>
      <c r="U119" s="14">
        <v>230.0</v>
      </c>
      <c r="V119" s="16">
        <v>52.0</v>
      </c>
    </row>
    <row r="120" ht="15.0" customHeight="1">
      <c r="A120" s="13" t="s">
        <v>330</v>
      </c>
      <c r="B120" s="15"/>
      <c r="C120" s="15"/>
      <c r="D120" s="15"/>
      <c r="E120" s="15"/>
      <c r="F120" s="15">
        <v>0.0</v>
      </c>
      <c r="G120" s="16">
        <v>37.0</v>
      </c>
      <c r="H120" s="16">
        <v>65.0</v>
      </c>
      <c r="I120" s="14">
        <v>210.0</v>
      </c>
      <c r="J120" s="16">
        <v>20.0</v>
      </c>
      <c r="K120" s="14">
        <v>301.0</v>
      </c>
      <c r="L120" s="14">
        <v>1528.0</v>
      </c>
      <c r="M120" s="14">
        <v>1861.0</v>
      </c>
      <c r="N120" s="14">
        <v>834.0</v>
      </c>
      <c r="O120" s="14">
        <v>274.0</v>
      </c>
      <c r="P120" s="14">
        <v>247.0</v>
      </c>
      <c r="Q120" s="14">
        <v>243.0</v>
      </c>
      <c r="R120" s="14">
        <v>345.0</v>
      </c>
      <c r="S120" s="14">
        <v>2403.0</v>
      </c>
      <c r="T120" s="14">
        <v>954.0</v>
      </c>
      <c r="U120" s="14">
        <v>471.0</v>
      </c>
      <c r="V120" s="14">
        <v>354.0</v>
      </c>
    </row>
    <row r="121" ht="15.0" customHeight="1">
      <c r="A121" s="13" t="s">
        <v>331</v>
      </c>
      <c r="B121" s="15"/>
      <c r="C121" s="15"/>
      <c r="D121" s="15">
        <v>0.0</v>
      </c>
      <c r="E121" s="14">
        <v>162.0</v>
      </c>
      <c r="F121" s="14">
        <v>148.0</v>
      </c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</row>
    <row r="122" ht="15.0" customHeight="1">
      <c r="A122" s="13" t="s">
        <v>332</v>
      </c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>
        <v>0.0</v>
      </c>
      <c r="U122" s="14">
        <v>2329.0</v>
      </c>
      <c r="V122" s="15">
        <v>0.0</v>
      </c>
    </row>
    <row r="123" ht="15.0" customHeight="1">
      <c r="A123" s="13" t="s">
        <v>333</v>
      </c>
      <c r="B123" s="17">
        <v>-1.0</v>
      </c>
      <c r="C123" s="15"/>
      <c r="D123" s="15"/>
      <c r="E123" s="16">
        <v>1.0</v>
      </c>
      <c r="F123" s="15"/>
      <c r="G123" s="15"/>
      <c r="H123" s="16">
        <v>1.0</v>
      </c>
      <c r="I123" s="16">
        <v>1.0</v>
      </c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</row>
    <row r="124" ht="15.0" customHeight="1">
      <c r="A124" s="18" t="s">
        <v>334</v>
      </c>
      <c r="B124" s="19">
        <v>207.0</v>
      </c>
      <c r="C124" s="19">
        <v>277.0</v>
      </c>
      <c r="D124" s="19">
        <v>1504.0</v>
      </c>
      <c r="E124" s="19">
        <v>1916.0</v>
      </c>
      <c r="F124" s="19">
        <v>892.0</v>
      </c>
      <c r="G124" s="19">
        <v>3492.0</v>
      </c>
      <c r="H124" s="19">
        <v>3333.0</v>
      </c>
      <c r="I124" s="19">
        <v>3203.0</v>
      </c>
      <c r="J124" s="19">
        <v>2228.0</v>
      </c>
      <c r="K124" s="19">
        <v>4947.0</v>
      </c>
      <c r="L124" s="20">
        <v>10667.0</v>
      </c>
      <c r="M124" s="19">
        <v>9090.0</v>
      </c>
      <c r="N124" s="20">
        <v>23985.0</v>
      </c>
      <c r="O124" s="20">
        <v>18504.0</v>
      </c>
      <c r="P124" s="20">
        <v>14876.0</v>
      </c>
      <c r="Q124" s="20">
        <v>19930.0</v>
      </c>
      <c r="R124" s="20">
        <v>20975.0</v>
      </c>
      <c r="S124" s="20">
        <v>25172.0</v>
      </c>
      <c r="T124" s="20">
        <v>17127.0</v>
      </c>
      <c r="U124" s="20">
        <v>19849.0</v>
      </c>
      <c r="V124" s="20">
        <v>15242.0</v>
      </c>
    </row>
    <row r="125" ht="15.0" customHeight="1">
      <c r="A125" s="13" t="s">
        <v>335</v>
      </c>
      <c r="B125" s="15"/>
      <c r="C125" s="15"/>
      <c r="D125" s="15"/>
      <c r="E125" s="15"/>
      <c r="F125" s="15"/>
      <c r="G125" s="15"/>
      <c r="H125" s="15"/>
      <c r="I125" s="14">
        <v>588.0</v>
      </c>
      <c r="J125" s="14">
        <v>2133.0</v>
      </c>
      <c r="K125" s="14">
        <v>1494.0</v>
      </c>
      <c r="L125" s="14">
        <v>1583.0</v>
      </c>
      <c r="M125" s="14">
        <v>4720.0</v>
      </c>
      <c r="N125" s="14">
        <v>7420.0</v>
      </c>
      <c r="O125" s="14">
        <v>6683.0</v>
      </c>
      <c r="P125" s="14">
        <v>5371.0</v>
      </c>
      <c r="Q125" s="14">
        <v>7508.0</v>
      </c>
      <c r="R125" s="14">
        <v>7335.0</v>
      </c>
      <c r="S125" s="14">
        <v>6163.0</v>
      </c>
      <c r="T125" s="14">
        <v>1591.0</v>
      </c>
      <c r="U125" s="14">
        <v>2126.0</v>
      </c>
      <c r="V125" s="14">
        <v>2112.0</v>
      </c>
    </row>
    <row r="126" ht="15.0" customHeight="1">
      <c r="A126" s="13" t="s">
        <v>336</v>
      </c>
      <c r="B126" s="16">
        <v>73.0</v>
      </c>
      <c r="C126" s="16">
        <v>76.0</v>
      </c>
      <c r="D126" s="16">
        <v>82.0</v>
      </c>
      <c r="E126" s="16">
        <v>96.0</v>
      </c>
      <c r="F126" s="14">
        <v>108.0</v>
      </c>
      <c r="G126" s="14">
        <v>388.0</v>
      </c>
      <c r="H126" s="14">
        <v>359.0</v>
      </c>
      <c r="I126" s="14">
        <v>332.0</v>
      </c>
      <c r="J126" s="14">
        <v>349.0</v>
      </c>
      <c r="K126" s="14">
        <v>380.0</v>
      </c>
      <c r="L126" s="14">
        <v>434.0</v>
      </c>
      <c r="M126" s="14">
        <v>473.0</v>
      </c>
      <c r="N126" s="14">
        <v>748.0</v>
      </c>
      <c r="O126" s="14">
        <v>805.0</v>
      </c>
      <c r="P126" s="14">
        <v>963.0</v>
      </c>
      <c r="Q126" s="14">
        <v>850.0</v>
      </c>
      <c r="R126" s="14">
        <v>910.0</v>
      </c>
      <c r="S126" s="14">
        <v>758.0</v>
      </c>
      <c r="T126" s="14">
        <v>937.0</v>
      </c>
      <c r="U126" s="14">
        <v>931.0</v>
      </c>
      <c r="V126" s="14">
        <v>1095.0</v>
      </c>
    </row>
    <row r="127" ht="15.0" customHeight="1">
      <c r="A127" s="13" t="s">
        <v>337</v>
      </c>
      <c r="B127" s="14">
        <v>185.0</v>
      </c>
      <c r="C127" s="14">
        <v>195.0</v>
      </c>
      <c r="D127" s="14">
        <v>255.0</v>
      </c>
      <c r="E127" s="14">
        <v>459.0</v>
      </c>
      <c r="F127" s="14">
        <v>628.0</v>
      </c>
      <c r="G127" s="14">
        <v>478.0</v>
      </c>
      <c r="H127" s="14">
        <v>491.0</v>
      </c>
      <c r="I127" s="14">
        <v>390.0</v>
      </c>
      <c r="J127" s="14">
        <v>110.0</v>
      </c>
      <c r="K127" s="14">
        <v>112.0</v>
      </c>
      <c r="L127" s="16">
        <v>74.0</v>
      </c>
      <c r="M127" s="14">
        <v>285.0</v>
      </c>
      <c r="N127" s="14">
        <v>356.0</v>
      </c>
      <c r="O127" s="14">
        <v>415.0</v>
      </c>
      <c r="P127" s="14">
        <v>661.0</v>
      </c>
      <c r="Q127" s="14">
        <v>753.0</v>
      </c>
      <c r="R127" s="14">
        <v>891.0</v>
      </c>
      <c r="S127" s="14">
        <v>1194.0</v>
      </c>
      <c r="T127" s="14">
        <v>914.0</v>
      </c>
      <c r="U127" s="14">
        <v>316.0</v>
      </c>
      <c r="V127" s="14">
        <v>306.0</v>
      </c>
    </row>
    <row r="128" ht="15.0" customHeight="1">
      <c r="A128" s="13" t="s">
        <v>338</v>
      </c>
      <c r="B128" s="15"/>
      <c r="C128" s="15">
        <v>0.0</v>
      </c>
      <c r="D128" s="16">
        <v>9.0</v>
      </c>
      <c r="E128" s="16">
        <v>30.0</v>
      </c>
      <c r="F128" s="16">
        <v>51.0</v>
      </c>
      <c r="G128" s="16">
        <v>72.0</v>
      </c>
      <c r="H128" s="16">
        <v>93.0</v>
      </c>
      <c r="I128" s="14">
        <v>112.0</v>
      </c>
      <c r="J128" s="15"/>
      <c r="K128" s="15"/>
      <c r="L128" s="15"/>
      <c r="M128" s="15">
        <v>0.0</v>
      </c>
      <c r="N128" s="16">
        <v>56.0</v>
      </c>
      <c r="O128" s="15"/>
      <c r="P128" s="15"/>
      <c r="Q128" s="15"/>
      <c r="R128" s="15"/>
      <c r="S128" s="15"/>
      <c r="T128" s="15"/>
      <c r="U128" s="15"/>
      <c r="V128" s="15"/>
    </row>
    <row r="129" ht="15.0" customHeight="1">
      <c r="A129" s="13" t="s">
        <v>339</v>
      </c>
      <c r="B129" s="15"/>
      <c r="C129" s="14">
        <v>195.0</v>
      </c>
      <c r="D129" s="14">
        <v>246.0</v>
      </c>
      <c r="E129" s="14">
        <v>326.0</v>
      </c>
      <c r="F129" s="14">
        <v>377.0</v>
      </c>
      <c r="G129" s="14">
        <v>197.0</v>
      </c>
      <c r="H129" s="14">
        <v>195.0</v>
      </c>
      <c r="I129" s="14">
        <v>129.0</v>
      </c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</row>
    <row r="130" ht="15.0" customHeight="1">
      <c r="A130" s="13" t="s">
        <v>340</v>
      </c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4">
        <v>215.0</v>
      </c>
      <c r="S130" s="14">
        <v>429.0</v>
      </c>
      <c r="T130" s="15"/>
      <c r="U130" s="16">
        <v>23.0</v>
      </c>
      <c r="V130" s="16">
        <v>18.0</v>
      </c>
    </row>
    <row r="131" ht="15.0" customHeight="1">
      <c r="A131" s="13" t="s">
        <v>341</v>
      </c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4">
        <v>676.0</v>
      </c>
      <c r="S131" s="14">
        <v>765.0</v>
      </c>
      <c r="T131" s="15"/>
      <c r="U131" s="14">
        <v>293.0</v>
      </c>
      <c r="V131" s="14">
        <v>288.0</v>
      </c>
    </row>
    <row r="132" ht="15.0" customHeight="1">
      <c r="A132" s="13" t="s">
        <v>342</v>
      </c>
      <c r="B132" s="15"/>
      <c r="C132" s="15"/>
      <c r="D132" s="15"/>
      <c r="E132" s="14">
        <v>103.0</v>
      </c>
      <c r="F132" s="14">
        <v>200.0</v>
      </c>
      <c r="G132" s="14">
        <v>209.0</v>
      </c>
      <c r="H132" s="14">
        <v>203.0</v>
      </c>
      <c r="I132" s="14">
        <v>149.0</v>
      </c>
      <c r="J132" s="15"/>
      <c r="K132" s="15"/>
      <c r="L132" s="15"/>
      <c r="M132" s="14">
        <v>285.0</v>
      </c>
      <c r="N132" s="14">
        <v>300.0</v>
      </c>
      <c r="O132" s="15"/>
      <c r="P132" s="15"/>
      <c r="Q132" s="15"/>
      <c r="R132" s="15"/>
      <c r="S132" s="15"/>
      <c r="T132" s="15"/>
      <c r="U132" s="15"/>
      <c r="V132" s="15"/>
    </row>
    <row r="133" ht="15.0" customHeight="1">
      <c r="A133" s="13" t="s">
        <v>335</v>
      </c>
      <c r="B133" s="14">
        <v>215.0</v>
      </c>
      <c r="C133" s="14">
        <v>292.0</v>
      </c>
      <c r="D133" s="14">
        <v>236.0</v>
      </c>
      <c r="E133" s="14">
        <v>198.0</v>
      </c>
      <c r="F133" s="14">
        <v>1372.0</v>
      </c>
      <c r="G133" s="14">
        <v>628.0</v>
      </c>
      <c r="H133" s="14">
        <v>1444.0</v>
      </c>
      <c r="I133" s="15"/>
      <c r="J133" s="14">
        <v>936.0</v>
      </c>
      <c r="K133" s="14">
        <v>194.0</v>
      </c>
      <c r="L133" s="14">
        <v>207.0</v>
      </c>
      <c r="M133" s="15"/>
      <c r="N133" s="15"/>
      <c r="O133" s="15"/>
      <c r="P133" s="15"/>
      <c r="Q133" s="15"/>
      <c r="R133" s="15"/>
      <c r="S133" s="15"/>
      <c r="T133" s="15"/>
      <c r="U133" s="15"/>
      <c r="V133" s="15"/>
    </row>
    <row r="134" ht="15.0" customHeight="1">
      <c r="A134" s="13" t="s">
        <v>343</v>
      </c>
      <c r="B134" s="16">
        <v>2.0</v>
      </c>
      <c r="C134" s="16">
        <v>5.0</v>
      </c>
      <c r="D134" s="16">
        <v>2.0</v>
      </c>
      <c r="E134" s="16">
        <v>37.0</v>
      </c>
      <c r="F134" s="16">
        <v>72.0</v>
      </c>
      <c r="G134" s="14">
        <v>433.0</v>
      </c>
      <c r="H134" s="14">
        <v>516.0</v>
      </c>
      <c r="I134" s="15"/>
      <c r="J134" s="14">
        <v>1197.0</v>
      </c>
      <c r="K134" s="14">
        <v>1300.0</v>
      </c>
      <c r="L134" s="14">
        <v>1376.0</v>
      </c>
      <c r="M134" s="15"/>
      <c r="N134" s="15"/>
      <c r="O134" s="15"/>
      <c r="P134" s="15"/>
      <c r="Q134" s="15"/>
      <c r="R134" s="15"/>
      <c r="S134" s="15"/>
      <c r="T134" s="15"/>
      <c r="U134" s="15"/>
      <c r="V134" s="15"/>
    </row>
    <row r="135" ht="15.0" customHeight="1">
      <c r="A135" s="13" t="s">
        <v>344</v>
      </c>
      <c r="B135" s="15"/>
      <c r="C135" s="15"/>
      <c r="D135" s="15">
        <v>0.0</v>
      </c>
      <c r="E135" s="16">
        <v>4.0</v>
      </c>
      <c r="F135" s="16">
        <v>4.0</v>
      </c>
      <c r="G135" s="16">
        <v>10.0</v>
      </c>
      <c r="H135" s="16">
        <v>11.0</v>
      </c>
      <c r="I135" s="16">
        <v>9.0</v>
      </c>
      <c r="J135" s="16">
        <v>10.0</v>
      </c>
      <c r="K135" s="16">
        <v>15.0</v>
      </c>
      <c r="L135" s="16">
        <v>51.0</v>
      </c>
      <c r="M135" s="14">
        <v>483.0</v>
      </c>
      <c r="N135" s="14">
        <v>2057.0</v>
      </c>
      <c r="O135" s="14">
        <v>1828.0</v>
      </c>
      <c r="P135" s="14">
        <v>1173.0</v>
      </c>
      <c r="Q135" s="14">
        <v>746.0</v>
      </c>
      <c r="R135" s="14">
        <v>692.0</v>
      </c>
      <c r="S135" s="14">
        <v>831.0</v>
      </c>
      <c r="T135" s="14">
        <v>680.0</v>
      </c>
      <c r="U135" s="16">
        <v>60.0</v>
      </c>
      <c r="V135" s="16">
        <v>46.0</v>
      </c>
    </row>
    <row r="136" ht="15.0" customHeight="1">
      <c r="A136" s="13" t="s">
        <v>345</v>
      </c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4">
        <v>3167.0</v>
      </c>
    </row>
    <row r="137" ht="15.0" customHeight="1">
      <c r="A137" s="13" t="s">
        <v>346</v>
      </c>
      <c r="B137" s="15"/>
      <c r="C137" s="15"/>
      <c r="D137" s="15"/>
      <c r="E137" s="17">
        <v>-1.0</v>
      </c>
      <c r="F137" s="16">
        <v>1.0</v>
      </c>
      <c r="G137" s="17">
        <v>-1.0</v>
      </c>
      <c r="H137" s="16">
        <v>1.0</v>
      </c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</row>
    <row r="138" ht="15.0" customHeight="1">
      <c r="A138" s="13" t="s">
        <v>347</v>
      </c>
      <c r="B138" s="15"/>
      <c r="C138" s="15"/>
      <c r="D138" s="15">
        <v>0.0</v>
      </c>
      <c r="E138" s="16">
        <v>3.0</v>
      </c>
      <c r="F138" s="16">
        <v>26.0</v>
      </c>
      <c r="G138" s="16">
        <v>50.0</v>
      </c>
      <c r="H138" s="16">
        <v>51.0</v>
      </c>
      <c r="I138" s="14">
        <v>166.0</v>
      </c>
      <c r="J138" s="14">
        <v>221.0</v>
      </c>
      <c r="K138" s="14">
        <v>333.0</v>
      </c>
      <c r="L138" s="14">
        <v>341.0</v>
      </c>
      <c r="M138" s="15"/>
      <c r="N138" s="15"/>
      <c r="O138" s="15"/>
      <c r="P138" s="15"/>
      <c r="Q138" s="15"/>
      <c r="R138" s="15"/>
      <c r="S138" s="15"/>
      <c r="T138" s="15"/>
      <c r="U138" s="15"/>
      <c r="V138" s="15"/>
    </row>
    <row r="139" ht="15.0" customHeight="1">
      <c r="A139" s="13" t="s">
        <v>348</v>
      </c>
      <c r="B139" s="15"/>
      <c r="C139" s="15"/>
      <c r="D139" s="15"/>
      <c r="E139" s="15"/>
      <c r="F139" s="15"/>
      <c r="G139" s="15"/>
      <c r="H139" s="15"/>
      <c r="I139" s="16">
        <v>22.0</v>
      </c>
      <c r="J139" s="16">
        <v>29.0</v>
      </c>
      <c r="K139" s="16">
        <v>35.0</v>
      </c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</row>
    <row r="140" ht="15.0" customHeight="1">
      <c r="A140" s="13" t="s">
        <v>349</v>
      </c>
      <c r="B140" s="15"/>
      <c r="C140" s="15"/>
      <c r="D140" s="15"/>
      <c r="E140" s="15"/>
      <c r="F140" s="15"/>
      <c r="G140" s="15"/>
      <c r="H140" s="15"/>
      <c r="I140" s="14">
        <v>144.0</v>
      </c>
      <c r="J140" s="14">
        <v>192.0</v>
      </c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</row>
    <row r="141" ht="15.0" customHeight="1">
      <c r="A141" s="13" t="s">
        <v>350</v>
      </c>
      <c r="B141" s="15"/>
      <c r="C141" s="15"/>
      <c r="D141" s="15"/>
      <c r="E141" s="15"/>
      <c r="F141" s="15"/>
      <c r="G141" s="15"/>
      <c r="H141" s="15"/>
      <c r="I141" s="15"/>
      <c r="J141" s="15"/>
      <c r="K141" s="14">
        <v>298.0</v>
      </c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</row>
    <row r="142" ht="15.0" customHeight="1">
      <c r="A142" s="18" t="s">
        <v>351</v>
      </c>
      <c r="B142" s="19">
        <v>475.0</v>
      </c>
      <c r="C142" s="19">
        <v>568.0</v>
      </c>
      <c r="D142" s="19">
        <v>575.0</v>
      </c>
      <c r="E142" s="19">
        <v>796.0</v>
      </c>
      <c r="F142" s="19">
        <v>2211.0</v>
      </c>
      <c r="G142" s="19">
        <v>1986.0</v>
      </c>
      <c r="H142" s="19">
        <v>2873.0</v>
      </c>
      <c r="I142" s="19">
        <v>1485.0</v>
      </c>
      <c r="J142" s="19">
        <v>2823.0</v>
      </c>
      <c r="K142" s="19">
        <v>2334.0</v>
      </c>
      <c r="L142" s="19">
        <v>2483.0</v>
      </c>
      <c r="M142" s="19">
        <v>5961.0</v>
      </c>
      <c r="N142" s="20">
        <v>10581.0</v>
      </c>
      <c r="O142" s="19">
        <v>9731.0</v>
      </c>
      <c r="P142" s="19">
        <v>8168.0</v>
      </c>
      <c r="Q142" s="19">
        <v>9857.0</v>
      </c>
      <c r="R142" s="19">
        <v>9828.0</v>
      </c>
      <c r="S142" s="19">
        <v>8946.0</v>
      </c>
      <c r="T142" s="19">
        <v>4122.0</v>
      </c>
      <c r="U142" s="19">
        <v>3433.0</v>
      </c>
      <c r="V142" s="19">
        <v>6726.0</v>
      </c>
    </row>
    <row r="143" ht="15.0" customHeight="1">
      <c r="A143" s="13" t="s">
        <v>352</v>
      </c>
      <c r="B143" s="15"/>
      <c r="C143" s="15"/>
      <c r="D143" s="17">
        <v>-1.0</v>
      </c>
      <c r="E143" s="15"/>
      <c r="F143" s="15"/>
      <c r="G143" s="16">
        <v>1.0</v>
      </c>
      <c r="H143" s="15"/>
      <c r="I143" s="17">
        <v>-1.0</v>
      </c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</row>
    <row r="144" ht="15.0" customHeight="1">
      <c r="A144" s="18" t="s">
        <v>353</v>
      </c>
      <c r="B144" s="19">
        <v>682.0</v>
      </c>
      <c r="C144" s="19">
        <v>845.0</v>
      </c>
      <c r="D144" s="19">
        <v>2078.0</v>
      </c>
      <c r="E144" s="19">
        <v>2712.0</v>
      </c>
      <c r="F144" s="19">
        <v>3103.0</v>
      </c>
      <c r="G144" s="19">
        <v>5479.0</v>
      </c>
      <c r="H144" s="19">
        <v>6206.0</v>
      </c>
      <c r="I144" s="19">
        <v>4687.0</v>
      </c>
      <c r="J144" s="19">
        <v>5051.0</v>
      </c>
      <c r="K144" s="19">
        <v>7281.0</v>
      </c>
      <c r="L144" s="20">
        <v>13150.0</v>
      </c>
      <c r="M144" s="20">
        <v>15051.0</v>
      </c>
      <c r="N144" s="20">
        <v>34566.0</v>
      </c>
      <c r="O144" s="20">
        <v>28235.0</v>
      </c>
      <c r="P144" s="20">
        <v>23044.0</v>
      </c>
      <c r="Q144" s="20">
        <v>29787.0</v>
      </c>
      <c r="R144" s="20">
        <v>30803.0</v>
      </c>
      <c r="S144" s="20">
        <v>34118.0</v>
      </c>
      <c r="T144" s="20">
        <v>21249.0</v>
      </c>
      <c r="U144" s="20">
        <v>23282.0</v>
      </c>
      <c r="V144" s="20">
        <v>21968.0</v>
      </c>
    </row>
    <row r="145" ht="15.0" customHeight="1">
      <c r="A145" s="13" t="s">
        <v>354</v>
      </c>
      <c r="B145" s="14">
        <v>5335.0</v>
      </c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</row>
    <row r="146" ht="15.0" customHeight="1">
      <c r="A146" s="13" t="s">
        <v>355</v>
      </c>
      <c r="B146" s="15"/>
      <c r="C146" s="14">
        <v>161.0</v>
      </c>
      <c r="D146" s="14">
        <v>161.0</v>
      </c>
      <c r="E146" s="14">
        <v>161.0</v>
      </c>
      <c r="F146" s="14">
        <v>161.0</v>
      </c>
      <c r="G146" s="14">
        <v>161.0</v>
      </c>
      <c r="H146" s="14">
        <v>161.0</v>
      </c>
      <c r="I146" s="14">
        <v>162.0</v>
      </c>
      <c r="J146" s="14">
        <v>162.0</v>
      </c>
      <c r="K146" s="14">
        <v>162.0</v>
      </c>
      <c r="L146" s="14">
        <v>162.0</v>
      </c>
      <c r="M146" s="14">
        <v>162.0</v>
      </c>
      <c r="N146" s="14">
        <v>455.0</v>
      </c>
      <c r="O146" s="14">
        <v>455.0</v>
      </c>
      <c r="P146" s="14">
        <v>455.0</v>
      </c>
      <c r="Q146" s="14">
        <v>548.0</v>
      </c>
      <c r="R146" s="14">
        <v>548.0</v>
      </c>
      <c r="S146" s="14">
        <v>548.0</v>
      </c>
      <c r="T146" s="15"/>
      <c r="U146" s="15"/>
      <c r="V146" s="15"/>
    </row>
    <row r="147" ht="15.0" customHeight="1">
      <c r="A147" s="13" t="s">
        <v>356</v>
      </c>
      <c r="B147" s="15"/>
      <c r="C147" s="17">
        <v>-1.0</v>
      </c>
      <c r="D147" s="17">
        <v>-1.0</v>
      </c>
      <c r="E147" s="15"/>
      <c r="F147" s="15"/>
      <c r="G147" s="15"/>
      <c r="H147" s="15"/>
      <c r="I147" s="17">
        <v>-2.0</v>
      </c>
      <c r="J147" s="17">
        <v>-2.0</v>
      </c>
      <c r="K147" s="17">
        <v>-2.0</v>
      </c>
      <c r="L147" s="17">
        <v>-2.0</v>
      </c>
      <c r="M147" s="17">
        <v>-2.0</v>
      </c>
      <c r="N147" s="17">
        <v>-3.0</v>
      </c>
      <c r="O147" s="17">
        <v>-6.0</v>
      </c>
      <c r="P147" s="17">
        <v>-7.0</v>
      </c>
      <c r="Q147" s="17">
        <v>-9.0</v>
      </c>
      <c r="R147" s="17">
        <v>-9.0</v>
      </c>
      <c r="S147" s="17">
        <v>-10.0</v>
      </c>
      <c r="T147" s="15"/>
      <c r="U147" s="15"/>
      <c r="V147" s="15"/>
    </row>
    <row r="148" ht="15.0" customHeight="1">
      <c r="A148" s="13" t="s">
        <v>357</v>
      </c>
      <c r="B148" s="15"/>
      <c r="C148" s="14">
        <v>1541.0</v>
      </c>
      <c r="D148" s="14">
        <v>1541.0</v>
      </c>
      <c r="E148" s="14">
        <v>1540.0</v>
      </c>
      <c r="F148" s="14">
        <v>1538.0</v>
      </c>
      <c r="G148" s="14">
        <v>1538.0</v>
      </c>
      <c r="H148" s="14">
        <v>1538.0</v>
      </c>
      <c r="I148" s="14">
        <v>1534.0</v>
      </c>
      <c r="J148" s="14">
        <v>1534.0</v>
      </c>
      <c r="K148" s="14">
        <v>1534.0</v>
      </c>
      <c r="L148" s="14">
        <v>1534.0</v>
      </c>
      <c r="M148" s="14">
        <v>1534.0</v>
      </c>
      <c r="N148" s="14">
        <v>1534.0</v>
      </c>
      <c r="O148" s="14">
        <v>1534.0</v>
      </c>
      <c r="P148" s="14">
        <v>1534.0</v>
      </c>
      <c r="Q148" s="14">
        <v>1534.0</v>
      </c>
      <c r="R148" s="14">
        <v>1534.0</v>
      </c>
      <c r="S148" s="14">
        <v>1534.0</v>
      </c>
      <c r="T148" s="15"/>
      <c r="U148" s="15"/>
      <c r="V148" s="15"/>
    </row>
    <row r="149" ht="15.0" customHeight="1">
      <c r="A149" s="13" t="s">
        <v>358</v>
      </c>
      <c r="B149" s="15"/>
      <c r="C149" s="15"/>
      <c r="D149" s="15"/>
      <c r="E149" s="15"/>
      <c r="F149" s="15"/>
      <c r="G149" s="14">
        <v>151.0</v>
      </c>
      <c r="H149" s="14">
        <v>240.0</v>
      </c>
      <c r="I149" s="14">
        <v>253.0</v>
      </c>
      <c r="J149" s="14">
        <v>566.0</v>
      </c>
      <c r="K149" s="14">
        <v>811.0</v>
      </c>
      <c r="L149" s="14">
        <v>1335.0</v>
      </c>
      <c r="M149" s="14">
        <v>742.0</v>
      </c>
      <c r="N149" s="14">
        <v>192.0</v>
      </c>
      <c r="O149" s="21">
        <v>-1121.0</v>
      </c>
      <c r="P149" s="21">
        <v>-916.0</v>
      </c>
      <c r="Q149" s="21">
        <v>-978.0</v>
      </c>
      <c r="R149" s="14">
        <v>162.0</v>
      </c>
      <c r="S149" s="14">
        <v>410.0</v>
      </c>
      <c r="T149" s="15"/>
      <c r="U149" s="15"/>
      <c r="V149" s="15"/>
    </row>
    <row r="150" ht="15.0" customHeight="1">
      <c r="A150" s="13" t="s">
        <v>359</v>
      </c>
      <c r="B150" s="15"/>
      <c r="C150" s="15"/>
      <c r="D150" s="15"/>
      <c r="E150" s="15"/>
      <c r="F150" s="15"/>
      <c r="G150" s="15"/>
      <c r="H150" s="17">
        <v>-1.0</v>
      </c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</row>
    <row r="151" ht="15.0" customHeight="1">
      <c r="A151" s="13" t="s">
        <v>360</v>
      </c>
      <c r="B151" s="15"/>
      <c r="C151" s="15"/>
      <c r="D151" s="15"/>
      <c r="E151" s="15"/>
      <c r="F151" s="15"/>
      <c r="G151" s="15"/>
      <c r="H151" s="15"/>
      <c r="I151" s="15"/>
      <c r="J151" s="21">
        <v>-296.0</v>
      </c>
      <c r="K151" s="21">
        <v>-278.0</v>
      </c>
      <c r="L151" s="21">
        <v>-243.0</v>
      </c>
      <c r="M151" s="21">
        <v>-261.0</v>
      </c>
      <c r="N151" s="21">
        <v>-209.0</v>
      </c>
      <c r="O151" s="15"/>
      <c r="P151" s="15"/>
      <c r="Q151" s="15"/>
      <c r="R151" s="15"/>
      <c r="S151" s="15"/>
      <c r="T151" s="15"/>
      <c r="U151" s="15"/>
      <c r="V151" s="15"/>
    </row>
    <row r="152" ht="15.0" customHeight="1">
      <c r="A152" s="13" t="s">
        <v>359</v>
      </c>
      <c r="B152" s="15"/>
      <c r="C152" s="15"/>
      <c r="D152" s="15"/>
      <c r="E152" s="15"/>
      <c r="F152" s="15"/>
      <c r="G152" s="15"/>
      <c r="H152" s="15"/>
      <c r="I152" s="15"/>
      <c r="J152" s="16">
        <v>8.0</v>
      </c>
      <c r="K152" s="17">
        <v>-1.0</v>
      </c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</row>
    <row r="153" ht="15.0" customHeight="1">
      <c r="A153" s="13" t="s">
        <v>361</v>
      </c>
      <c r="B153" s="15"/>
      <c r="C153" s="14">
        <v>4156.0</v>
      </c>
      <c r="D153" s="14">
        <v>2267.0</v>
      </c>
      <c r="E153" s="14">
        <v>2355.0</v>
      </c>
      <c r="F153" s="14">
        <v>2393.0</v>
      </c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</row>
    <row r="154" ht="15.0" customHeight="1">
      <c r="A154" s="13" t="s">
        <v>362</v>
      </c>
      <c r="B154" s="15"/>
      <c r="C154" s="14">
        <v>3969.0</v>
      </c>
      <c r="D154" s="14">
        <v>2234.0</v>
      </c>
      <c r="E154" s="14">
        <v>2453.0</v>
      </c>
      <c r="F154" s="14">
        <v>2730.0</v>
      </c>
      <c r="G154" s="14">
        <v>1808.0</v>
      </c>
      <c r="H154" s="14">
        <v>2415.0</v>
      </c>
      <c r="I154" s="14">
        <v>2369.0</v>
      </c>
      <c r="J154" s="14">
        <v>3017.0</v>
      </c>
      <c r="K154" s="14">
        <v>3075.0</v>
      </c>
      <c r="L154" s="14">
        <v>4357.0</v>
      </c>
      <c r="M154" s="14">
        <v>6942.0</v>
      </c>
      <c r="N154" s="15">
        <v>11036.0</v>
      </c>
      <c r="O154" s="15">
        <v>10961.0</v>
      </c>
      <c r="P154" s="14">
        <v>9731.0</v>
      </c>
      <c r="Q154" s="14">
        <v>8855.0</v>
      </c>
      <c r="R154" s="14">
        <v>7612.0</v>
      </c>
      <c r="S154" s="14">
        <v>5868.0</v>
      </c>
      <c r="T154" s="15"/>
      <c r="U154" s="15"/>
      <c r="V154" s="15"/>
    </row>
    <row r="155" ht="15.0" customHeight="1">
      <c r="A155" s="13" t="s">
        <v>363</v>
      </c>
      <c r="B155" s="15"/>
      <c r="C155" s="17">
        <v>-11.0</v>
      </c>
      <c r="D155" s="16">
        <v>7.0</v>
      </c>
      <c r="E155" s="17">
        <v>-8.0</v>
      </c>
      <c r="F155" s="15">
        <v>0.0</v>
      </c>
      <c r="G155" s="16">
        <v>21.0</v>
      </c>
      <c r="H155" s="17">
        <v>-17.0</v>
      </c>
      <c r="I155" s="17">
        <v>-65.0</v>
      </c>
      <c r="J155" s="16">
        <v>79.0</v>
      </c>
      <c r="K155" s="16">
        <v>15.0</v>
      </c>
      <c r="L155" s="14">
        <v>282.0</v>
      </c>
      <c r="M155" s="14">
        <v>357.0</v>
      </c>
      <c r="N155" s="14">
        <v>411.0</v>
      </c>
      <c r="O155" s="15"/>
      <c r="P155" s="15"/>
      <c r="Q155" s="15"/>
      <c r="R155" s="15"/>
      <c r="S155" s="15"/>
      <c r="T155" s="15"/>
      <c r="U155" s="15"/>
      <c r="V155" s="15"/>
    </row>
    <row r="156" ht="15.0" customHeight="1">
      <c r="A156" s="13" t="s">
        <v>364</v>
      </c>
      <c r="B156" s="15"/>
      <c r="C156" s="14">
        <v>272.0</v>
      </c>
      <c r="D156" s="14">
        <v>100.0</v>
      </c>
      <c r="E156" s="17">
        <v>-16.0</v>
      </c>
      <c r="F156" s="21">
        <v>-264.0</v>
      </c>
      <c r="G156" s="14">
        <v>182.0</v>
      </c>
      <c r="H156" s="14">
        <v>268.0</v>
      </c>
      <c r="I156" s="14">
        <v>346.0</v>
      </c>
      <c r="J156" s="14">
        <v>775.0</v>
      </c>
      <c r="K156" s="14">
        <v>1075.0</v>
      </c>
      <c r="L156" s="14">
        <v>1296.0</v>
      </c>
      <c r="M156" s="14">
        <v>646.0</v>
      </c>
      <c r="N156" s="21">
        <v>-178.0</v>
      </c>
      <c r="O156" s="15"/>
      <c r="P156" s="15"/>
      <c r="Q156" s="15"/>
      <c r="R156" s="15"/>
      <c r="S156" s="15"/>
      <c r="T156" s="15"/>
      <c r="U156" s="15"/>
      <c r="V156" s="15"/>
    </row>
    <row r="157" ht="15.0" customHeight="1">
      <c r="A157" s="13" t="s">
        <v>365</v>
      </c>
      <c r="B157" s="15"/>
      <c r="C157" s="17">
        <v>-72.0</v>
      </c>
      <c r="D157" s="17">
        <v>-72.0</v>
      </c>
      <c r="E157" s="17">
        <v>-72.0</v>
      </c>
      <c r="F157" s="17">
        <v>-72.0</v>
      </c>
      <c r="G157" s="17">
        <v>-52.0</v>
      </c>
      <c r="H157" s="17">
        <v>-10.0</v>
      </c>
      <c r="I157" s="17">
        <v>-28.0</v>
      </c>
      <c r="J157" s="15"/>
      <c r="K157" s="15"/>
      <c r="L157" s="15">
        <v>0.0</v>
      </c>
      <c r="M157" s="15">
        <v>0.0</v>
      </c>
      <c r="N157" s="14">
        <v>168.0</v>
      </c>
      <c r="O157" s="15"/>
      <c r="P157" s="15"/>
      <c r="Q157" s="15"/>
      <c r="R157" s="15"/>
      <c r="S157" s="15"/>
      <c r="T157" s="15"/>
      <c r="U157" s="15"/>
      <c r="V157" s="15"/>
    </row>
    <row r="158" ht="15.0" customHeight="1">
      <c r="A158" s="13" t="s">
        <v>366</v>
      </c>
      <c r="B158" s="15"/>
      <c r="C158" s="17">
        <v>-2.0</v>
      </c>
      <c r="D158" s="17">
        <v>-2.0</v>
      </c>
      <c r="E158" s="17">
        <v>-2.0</v>
      </c>
      <c r="F158" s="17">
        <v>-1.0</v>
      </c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</row>
    <row r="159" ht="15.0" customHeight="1">
      <c r="A159" s="13" t="s">
        <v>367</v>
      </c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21">
        <v>-871.0</v>
      </c>
      <c r="S159" s="14">
        <v>100.0</v>
      </c>
      <c r="T159" s="15"/>
      <c r="U159" s="15"/>
      <c r="V159" s="15"/>
    </row>
    <row r="160" ht="15.0" customHeight="1">
      <c r="A160" s="13" t="s">
        <v>368</v>
      </c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4">
        <v>1534.0</v>
      </c>
      <c r="U160" s="14">
        <v>1534.0</v>
      </c>
      <c r="V160" s="14">
        <v>1534.0</v>
      </c>
    </row>
    <row r="161" ht="15.0" customHeight="1">
      <c r="A161" s="13" t="s">
        <v>369</v>
      </c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4">
        <v>548.0</v>
      </c>
      <c r="U161" s="14">
        <v>550.0</v>
      </c>
      <c r="V161" s="14">
        <v>550.0</v>
      </c>
    </row>
    <row r="162" ht="15.0" customHeight="1">
      <c r="A162" s="13" t="s">
        <v>370</v>
      </c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7">
        <v>-9.0</v>
      </c>
      <c r="U162" s="15"/>
      <c r="V162" s="15"/>
    </row>
    <row r="163" ht="15.0" customHeight="1">
      <c r="A163" s="13" t="s">
        <v>371</v>
      </c>
      <c r="B163" s="15"/>
      <c r="C163" s="16">
        <v>1.0</v>
      </c>
      <c r="D163" s="16">
        <v>1.0</v>
      </c>
      <c r="E163" s="15"/>
      <c r="F163" s="17">
        <v>-1.0</v>
      </c>
      <c r="G163" s="17">
        <v>-1.0</v>
      </c>
      <c r="H163" s="17">
        <v>-1.0</v>
      </c>
      <c r="I163" s="16">
        <v>1.0</v>
      </c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</row>
    <row r="164" ht="15.0" customHeight="1">
      <c r="A164" s="18" t="s">
        <v>372</v>
      </c>
      <c r="B164" s="19">
        <v>5335.0</v>
      </c>
      <c r="C164" s="19">
        <v>5859.0</v>
      </c>
      <c r="D164" s="19">
        <v>3970.0</v>
      </c>
      <c r="E164" s="19">
        <v>4056.0</v>
      </c>
      <c r="F164" s="19">
        <v>4091.0</v>
      </c>
      <c r="G164" s="19">
        <v>3657.0</v>
      </c>
      <c r="H164" s="19">
        <v>4353.0</v>
      </c>
      <c r="I164" s="19">
        <v>4317.0</v>
      </c>
      <c r="J164" s="19">
        <v>5277.0</v>
      </c>
      <c r="K164" s="19">
        <v>5580.0</v>
      </c>
      <c r="L164" s="19">
        <v>7386.0</v>
      </c>
      <c r="M164" s="19">
        <v>9378.0</v>
      </c>
      <c r="N164" s="20">
        <v>13214.0</v>
      </c>
      <c r="O164" s="20">
        <v>11823.0</v>
      </c>
      <c r="P164" s="20">
        <v>10797.0</v>
      </c>
      <c r="Q164" s="19">
        <v>9950.0</v>
      </c>
      <c r="R164" s="19">
        <v>8976.0</v>
      </c>
      <c r="S164" s="19">
        <v>8450.0</v>
      </c>
      <c r="T164" s="19">
        <v>7099.0</v>
      </c>
      <c r="U164" s="19">
        <v>7983.0</v>
      </c>
      <c r="V164" s="19">
        <v>4262.0</v>
      </c>
    </row>
    <row r="165" ht="15.0" customHeight="1">
      <c r="A165" s="13" t="s">
        <v>171</v>
      </c>
      <c r="B165" s="15"/>
      <c r="C165" s="15">
        <v>0.0</v>
      </c>
      <c r="D165" s="15">
        <v>0.0</v>
      </c>
      <c r="E165" s="16">
        <v>36.0</v>
      </c>
      <c r="F165" s="16">
        <v>18.0</v>
      </c>
      <c r="G165" s="16">
        <v>11.0</v>
      </c>
      <c r="H165" s="16">
        <v>18.0</v>
      </c>
      <c r="I165" s="15"/>
      <c r="J165" s="15"/>
      <c r="K165" s="15"/>
      <c r="L165" s="15">
        <v>0.0</v>
      </c>
      <c r="M165" s="15">
        <v>0.0</v>
      </c>
      <c r="N165" s="14">
        <v>161.0</v>
      </c>
      <c r="O165" s="14">
        <v>157.0</v>
      </c>
      <c r="P165" s="14">
        <v>169.0</v>
      </c>
      <c r="Q165" s="14">
        <v>189.0</v>
      </c>
      <c r="R165" s="14">
        <v>147.0</v>
      </c>
      <c r="S165" s="14">
        <v>156.0</v>
      </c>
      <c r="T165" s="14">
        <v>168.0</v>
      </c>
      <c r="U165" s="14">
        <v>131.0</v>
      </c>
      <c r="V165" s="16">
        <v>65.0</v>
      </c>
    </row>
    <row r="166" ht="15.0" customHeight="1">
      <c r="A166" s="18" t="s">
        <v>373</v>
      </c>
      <c r="B166" s="20"/>
      <c r="C166" s="20">
        <v>0.0</v>
      </c>
      <c r="D166" s="20">
        <v>0.0</v>
      </c>
      <c r="E166" s="24">
        <v>36.0</v>
      </c>
      <c r="F166" s="24">
        <v>18.0</v>
      </c>
      <c r="G166" s="24">
        <v>11.0</v>
      </c>
      <c r="H166" s="24">
        <v>18.0</v>
      </c>
      <c r="I166" s="20"/>
      <c r="J166" s="20"/>
      <c r="K166" s="20"/>
      <c r="L166" s="20">
        <v>0.0</v>
      </c>
      <c r="M166" s="20">
        <v>0.0</v>
      </c>
      <c r="N166" s="19">
        <v>161.0</v>
      </c>
      <c r="O166" s="19">
        <v>157.0</v>
      </c>
      <c r="P166" s="19">
        <v>169.0</v>
      </c>
      <c r="Q166" s="19">
        <v>189.0</v>
      </c>
      <c r="R166" s="19">
        <v>147.0</v>
      </c>
      <c r="S166" s="19">
        <v>156.0</v>
      </c>
      <c r="T166" s="19">
        <v>168.0</v>
      </c>
      <c r="U166" s="19">
        <v>131.0</v>
      </c>
      <c r="V166" s="24">
        <v>65.0</v>
      </c>
    </row>
    <row r="167" ht="15.0" customHeight="1">
      <c r="A167" s="13" t="s">
        <v>374</v>
      </c>
      <c r="B167" s="15"/>
      <c r="C167" s="15"/>
      <c r="D167" s="15"/>
      <c r="E167" s="15"/>
      <c r="F167" s="15"/>
      <c r="G167" s="16">
        <v>1.0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</row>
    <row r="168" ht="15.0" customHeight="1">
      <c r="A168" s="18" t="s">
        <v>354</v>
      </c>
      <c r="B168" s="19">
        <v>5335.0</v>
      </c>
      <c r="C168" s="19">
        <v>5859.0</v>
      </c>
      <c r="D168" s="19">
        <v>3970.0</v>
      </c>
      <c r="E168" s="19">
        <v>4092.0</v>
      </c>
      <c r="F168" s="19">
        <v>4109.0</v>
      </c>
      <c r="G168" s="19">
        <v>3669.0</v>
      </c>
      <c r="H168" s="19">
        <v>4371.0</v>
      </c>
      <c r="I168" s="19">
        <v>4317.0</v>
      </c>
      <c r="J168" s="19">
        <v>5277.0</v>
      </c>
      <c r="K168" s="19">
        <v>5580.0</v>
      </c>
      <c r="L168" s="19">
        <v>7386.0</v>
      </c>
      <c r="M168" s="19">
        <v>9378.0</v>
      </c>
      <c r="N168" s="20">
        <v>13375.0</v>
      </c>
      <c r="O168" s="20">
        <v>11980.0</v>
      </c>
      <c r="P168" s="20">
        <v>10966.0</v>
      </c>
      <c r="Q168" s="20">
        <v>10139.0</v>
      </c>
      <c r="R168" s="19">
        <v>9123.0</v>
      </c>
      <c r="S168" s="19">
        <v>8606.0</v>
      </c>
      <c r="T168" s="19">
        <v>7267.0</v>
      </c>
      <c r="U168" s="19">
        <v>8114.0</v>
      </c>
      <c r="V168" s="19">
        <v>4327.0</v>
      </c>
    </row>
    <row r="169" ht="15.0" customHeight="1">
      <c r="A169" s="13" t="s">
        <v>375</v>
      </c>
      <c r="B169" s="15"/>
      <c r="C169" s="15"/>
      <c r="D169" s="15"/>
      <c r="E169" s="15"/>
      <c r="F169" s="15"/>
      <c r="G169" s="17">
        <v>-1.0</v>
      </c>
      <c r="H169" s="16">
        <v>1.0</v>
      </c>
      <c r="I169" s="16">
        <v>1.0</v>
      </c>
      <c r="J169" s="15"/>
      <c r="K169" s="15"/>
      <c r="L169" s="16">
        <v>1.0</v>
      </c>
      <c r="M169" s="16">
        <v>1.0</v>
      </c>
      <c r="N169" s="15"/>
      <c r="O169" s="15"/>
      <c r="P169" s="15"/>
      <c r="Q169" s="15"/>
      <c r="R169" s="15"/>
      <c r="S169" s="15"/>
      <c r="T169" s="15"/>
      <c r="U169" s="15"/>
      <c r="V169" s="15"/>
    </row>
    <row r="170" ht="15.0" customHeight="1">
      <c r="A170" s="18" t="s">
        <v>376</v>
      </c>
      <c r="B170" s="19">
        <v>6017.0</v>
      </c>
      <c r="C170" s="19">
        <v>6704.0</v>
      </c>
      <c r="D170" s="19">
        <v>6048.0</v>
      </c>
      <c r="E170" s="19">
        <v>6804.0</v>
      </c>
      <c r="F170" s="19">
        <v>7212.0</v>
      </c>
      <c r="G170" s="19">
        <v>9147.0</v>
      </c>
      <c r="H170" s="20">
        <v>10578.0</v>
      </c>
      <c r="I170" s="19">
        <v>9005.0</v>
      </c>
      <c r="J170" s="20">
        <v>10328.0</v>
      </c>
      <c r="K170" s="20">
        <v>12861.0</v>
      </c>
      <c r="L170" s="20">
        <v>20537.0</v>
      </c>
      <c r="M170" s="20">
        <v>24430.0</v>
      </c>
      <c r="N170" s="20">
        <v>47941.0</v>
      </c>
      <c r="O170" s="20">
        <v>40215.0</v>
      </c>
      <c r="P170" s="20">
        <v>34010.0</v>
      </c>
      <c r="Q170" s="20">
        <v>39926.0</v>
      </c>
      <c r="R170" s="20">
        <v>39926.0</v>
      </c>
      <c r="S170" s="20">
        <v>42724.0</v>
      </c>
      <c r="T170" s="20">
        <v>28516.0</v>
      </c>
      <c r="U170" s="20">
        <v>31396.0</v>
      </c>
      <c r="V170" s="20">
        <v>26295.0</v>
      </c>
    </row>
    <row r="171" ht="15.0" customHeight="1">
      <c r="A171" s="13" t="s">
        <v>377</v>
      </c>
      <c r="B171" s="14">
        <v>272.56</v>
      </c>
      <c r="C171" s="14">
        <v>272.19</v>
      </c>
      <c r="D171" s="14">
        <v>272.19</v>
      </c>
      <c r="E171" s="14">
        <v>272.01</v>
      </c>
      <c r="F171" s="14">
        <v>271.61</v>
      </c>
      <c r="G171" s="14">
        <v>271.61</v>
      </c>
      <c r="H171" s="14">
        <v>271.61</v>
      </c>
      <c r="I171" s="14">
        <v>271.22</v>
      </c>
      <c r="J171" s="14">
        <v>271.22</v>
      </c>
      <c r="K171" s="14">
        <v>271.22</v>
      </c>
      <c r="L171" s="14">
        <v>271.22</v>
      </c>
      <c r="M171" s="14">
        <v>271.02</v>
      </c>
      <c r="N171" s="14">
        <v>272.04</v>
      </c>
      <c r="O171" s="14">
        <v>270.51</v>
      </c>
      <c r="P171" s="14">
        <v>269.79</v>
      </c>
      <c r="Q171" s="14">
        <v>269.41</v>
      </c>
      <c r="R171" s="14">
        <v>269.43</v>
      </c>
      <c r="S171" s="14">
        <v>269.03</v>
      </c>
      <c r="T171" s="14">
        <v>269.63</v>
      </c>
      <c r="U171" s="14">
        <v>275.15</v>
      </c>
      <c r="V171" s="14">
        <v>275.15</v>
      </c>
    </row>
    <row r="172" ht="15.0" customHeight="1">
      <c r="A172" s="13" t="s">
        <v>378</v>
      </c>
      <c r="B172" s="14">
        <v>274.0</v>
      </c>
      <c r="C172" s="14">
        <v>274.0</v>
      </c>
      <c r="D172" s="14">
        <v>274.0</v>
      </c>
      <c r="E172" s="14">
        <v>274.0</v>
      </c>
      <c r="F172" s="14">
        <v>274.0</v>
      </c>
      <c r="G172" s="14">
        <v>274.0</v>
      </c>
      <c r="H172" s="14">
        <v>274.0</v>
      </c>
      <c r="I172" s="14">
        <v>274.0</v>
      </c>
      <c r="J172" s="14">
        <v>274.0</v>
      </c>
      <c r="K172" s="14">
        <v>274.0</v>
      </c>
      <c r="L172" s="14">
        <v>274.0</v>
      </c>
      <c r="M172" s="14">
        <v>274.0</v>
      </c>
      <c r="N172" s="14">
        <v>274.0</v>
      </c>
      <c r="O172" s="14">
        <v>274.0</v>
      </c>
      <c r="P172" s="14">
        <v>274.0</v>
      </c>
      <c r="Q172" s="14">
        <v>274.0</v>
      </c>
      <c r="R172" s="14">
        <v>274.0</v>
      </c>
      <c r="S172" s="14">
        <v>274.0</v>
      </c>
      <c r="T172" s="14">
        <v>274.0</v>
      </c>
      <c r="U172" s="14">
        <v>275.15</v>
      </c>
      <c r="V172" s="14">
        <v>275.15</v>
      </c>
    </row>
    <row r="173" ht="15.0" customHeight="1">
      <c r="A173" s="13" t="s">
        <v>379</v>
      </c>
      <c r="B173" s="16">
        <v>1.44</v>
      </c>
      <c r="C173" s="16">
        <v>1.81</v>
      </c>
      <c r="D173" s="16">
        <v>1.81</v>
      </c>
      <c r="E173" s="16">
        <v>1.99</v>
      </c>
      <c r="F173" s="16">
        <v>2.39</v>
      </c>
      <c r="G173" s="16">
        <v>2.39</v>
      </c>
      <c r="H173" s="16">
        <v>2.39</v>
      </c>
      <c r="I173" s="16">
        <v>2.78</v>
      </c>
      <c r="J173" s="16">
        <v>2.78</v>
      </c>
      <c r="K173" s="16">
        <v>2.78</v>
      </c>
      <c r="L173" s="16">
        <v>2.78</v>
      </c>
      <c r="M173" s="16">
        <v>2.98</v>
      </c>
      <c r="N173" s="16">
        <v>1.96</v>
      </c>
      <c r="O173" s="16">
        <v>3.49</v>
      </c>
      <c r="P173" s="16">
        <v>4.21</v>
      </c>
      <c r="Q173" s="16">
        <v>4.59</v>
      </c>
      <c r="R173" s="16">
        <v>4.57</v>
      </c>
      <c r="S173" s="16">
        <v>4.97</v>
      </c>
      <c r="T173" s="16">
        <v>4.37</v>
      </c>
      <c r="U173" s="15">
        <v>0.0</v>
      </c>
      <c r="V173" s="15">
        <v>0.0</v>
      </c>
    </row>
    <row r="174" ht="15.0" customHeight="1">
      <c r="A174" s="13" t="s">
        <v>380</v>
      </c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7">
        <v>-1.0</v>
      </c>
      <c r="V174" s="17">
        <v>-2.0</v>
      </c>
    </row>
    <row r="175" ht="15.0" customHeight="1">
      <c r="A175" s="13" t="s">
        <v>381</v>
      </c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4">
        <v>7515.0</v>
      </c>
      <c r="S175" s="14">
        <v>6760.0</v>
      </c>
      <c r="T175" s="15"/>
      <c r="U175" s="14">
        <v>2287.0</v>
      </c>
      <c r="V175" s="14">
        <v>5963.0</v>
      </c>
    </row>
    <row r="176" ht="15.0" customHeight="1">
      <c r="A176" s="13" t="s">
        <v>382</v>
      </c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4">
        <v>180.0</v>
      </c>
      <c r="S176" s="14">
        <v>649.0</v>
      </c>
      <c r="T176" s="15"/>
      <c r="U176" s="14">
        <v>133.0</v>
      </c>
      <c r="V176" s="16">
        <v>3.0</v>
      </c>
    </row>
    <row r="177" ht="15.0" customHeight="1">
      <c r="A177" s="13" t="s">
        <v>383</v>
      </c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4">
        <v>7335.0</v>
      </c>
      <c r="S177" s="15"/>
      <c r="T177" s="15"/>
      <c r="U177" s="15"/>
      <c r="V177" s="14">
        <v>5954.0</v>
      </c>
    </row>
    <row r="178" ht="15.0" customHeight="1">
      <c r="A178" s="13" t="s">
        <v>384</v>
      </c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4">
        <v>711.0</v>
      </c>
      <c r="T178" s="15"/>
      <c r="U178" s="14">
        <v>759.0</v>
      </c>
      <c r="V178" s="15"/>
    </row>
    <row r="179" ht="15.0" customHeight="1">
      <c r="A179" s="13" t="s">
        <v>385</v>
      </c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4">
        <v>4750.0</v>
      </c>
      <c r="T179" s="15"/>
      <c r="U179" s="14">
        <v>109.0</v>
      </c>
      <c r="V179" s="16">
        <v>1.0</v>
      </c>
    </row>
    <row r="180" ht="15.0" customHeight="1">
      <c r="A180" s="13" t="s">
        <v>386</v>
      </c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4">
        <v>650.0</v>
      </c>
      <c r="T180" s="15"/>
      <c r="U180" s="14">
        <v>613.0</v>
      </c>
      <c r="V180" s="16">
        <v>2.0</v>
      </c>
    </row>
    <row r="181" ht="15.0" customHeight="1">
      <c r="A181" s="13" t="s">
        <v>387</v>
      </c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>
        <v>0.0</v>
      </c>
      <c r="T181" s="15"/>
      <c r="U181" s="14">
        <v>114.0</v>
      </c>
      <c r="V181" s="16">
        <v>3.0</v>
      </c>
    </row>
    <row r="182" ht="15.0" customHeight="1">
      <c r="A182" s="13" t="s">
        <v>388</v>
      </c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4">
        <v>109.0</v>
      </c>
      <c r="V182" s="15"/>
    </row>
    <row r="183" ht="15.0" customHeight="1">
      <c r="A183" s="13" t="s">
        <v>389</v>
      </c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4">
        <v>450.0</v>
      </c>
      <c r="V183" s="15"/>
    </row>
    <row r="184" ht="15.0" customHeight="1">
      <c r="A184" s="13" t="s">
        <v>390</v>
      </c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6">
        <v>3.0</v>
      </c>
    </row>
    <row r="185" ht="15.0" customHeight="1">
      <c r="A185" s="13" t="s">
        <v>391</v>
      </c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4">
        <v>4581.0</v>
      </c>
    </row>
    <row r="186" ht="15.0" customHeight="1">
      <c r="A186" s="13" t="s">
        <v>392</v>
      </c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6">
        <v>9.0</v>
      </c>
      <c r="U186" s="15"/>
      <c r="V186" s="15"/>
    </row>
    <row r="187" ht="15.0" customHeight="1">
      <c r="A187" s="13" t="s">
        <v>393</v>
      </c>
      <c r="B187" s="15"/>
      <c r="C187" s="15"/>
      <c r="D187" s="15"/>
      <c r="E187" s="15"/>
      <c r="F187" s="15"/>
      <c r="G187" s="15"/>
      <c r="H187" s="15"/>
      <c r="I187" s="15"/>
      <c r="J187" s="14">
        <v>1494.0</v>
      </c>
      <c r="K187" s="14">
        <v>1622.0</v>
      </c>
      <c r="L187" s="14">
        <v>1645.0</v>
      </c>
      <c r="M187" s="15"/>
      <c r="N187" s="15"/>
      <c r="O187" s="15"/>
      <c r="P187" s="15"/>
      <c r="Q187" s="15"/>
      <c r="R187" s="15"/>
      <c r="S187" s="15"/>
      <c r="T187" s="15"/>
      <c r="U187" s="15"/>
      <c r="V187" s="15"/>
    </row>
    <row r="188" ht="15.0" customHeight="1">
      <c r="A188" s="13" t="s">
        <v>394</v>
      </c>
      <c r="B188" s="15"/>
      <c r="C188" s="15"/>
      <c r="D188" s="15"/>
      <c r="E188" s="15"/>
      <c r="F188" s="15"/>
      <c r="G188" s="15"/>
      <c r="H188" s="15"/>
      <c r="I188" s="15"/>
      <c r="J188" s="14">
        <v>296.0</v>
      </c>
      <c r="K188" s="14">
        <v>322.0</v>
      </c>
      <c r="L188" s="14">
        <v>269.0</v>
      </c>
      <c r="M188" s="15"/>
      <c r="N188" s="15"/>
      <c r="O188" s="15"/>
      <c r="P188" s="15"/>
      <c r="Q188" s="15"/>
      <c r="R188" s="15"/>
      <c r="S188" s="15"/>
      <c r="T188" s="15"/>
      <c r="U188" s="15"/>
      <c r="V188" s="15"/>
    </row>
    <row r="189" ht="15.0" customHeight="1">
      <c r="A189" s="13" t="s">
        <v>395</v>
      </c>
      <c r="B189" s="15"/>
      <c r="C189" s="15"/>
      <c r="D189" s="15"/>
      <c r="E189" s="15"/>
      <c r="F189" s="15"/>
      <c r="G189" s="15"/>
      <c r="H189" s="15"/>
      <c r="I189" s="15"/>
      <c r="J189" s="14">
        <v>721.0</v>
      </c>
      <c r="K189" s="14">
        <v>439.0</v>
      </c>
      <c r="L189" s="14">
        <v>957.0</v>
      </c>
      <c r="M189" s="15"/>
      <c r="N189" s="15"/>
      <c r="O189" s="15"/>
      <c r="P189" s="15"/>
      <c r="Q189" s="15"/>
      <c r="R189" s="15"/>
      <c r="S189" s="15"/>
      <c r="T189" s="15"/>
      <c r="U189" s="15"/>
      <c r="V189" s="15"/>
    </row>
    <row r="190" ht="15.0" customHeight="1">
      <c r="A190" s="13" t="s">
        <v>396</v>
      </c>
      <c r="B190" s="15"/>
      <c r="C190" s="15"/>
      <c r="D190" s="15"/>
      <c r="E190" s="15"/>
      <c r="F190" s="15"/>
      <c r="G190" s="15"/>
      <c r="H190" s="15"/>
      <c r="I190" s="15"/>
      <c r="J190" s="14">
        <v>476.0</v>
      </c>
      <c r="K190" s="14">
        <v>861.0</v>
      </c>
      <c r="L190" s="14">
        <v>419.0</v>
      </c>
      <c r="M190" s="15"/>
      <c r="N190" s="15"/>
      <c r="O190" s="15"/>
      <c r="P190" s="15"/>
      <c r="Q190" s="15"/>
      <c r="R190" s="15"/>
      <c r="S190" s="15"/>
      <c r="T190" s="15"/>
      <c r="U190" s="15"/>
      <c r="V190" s="15"/>
    </row>
    <row r="191" ht="15.0" customHeight="1">
      <c r="A191" s="13" t="s">
        <v>397</v>
      </c>
      <c r="B191" s="15"/>
      <c r="C191" s="15"/>
      <c r="D191" s="15"/>
      <c r="E191" s="15"/>
      <c r="F191" s="15"/>
      <c r="G191" s="15"/>
      <c r="H191" s="15"/>
      <c r="I191" s="15"/>
      <c r="J191" s="16">
        <v>1.0</v>
      </c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</row>
    <row r="192" ht="15.0" customHeight="1">
      <c r="A192" s="13" t="s">
        <v>398</v>
      </c>
      <c r="B192" s="14">
        <v>274.0</v>
      </c>
      <c r="C192" s="14">
        <v>274.0</v>
      </c>
      <c r="D192" s="14">
        <v>274.0</v>
      </c>
      <c r="E192" s="14">
        <v>274.0</v>
      </c>
      <c r="F192" s="14">
        <v>274.0</v>
      </c>
      <c r="G192" s="14">
        <v>274.0</v>
      </c>
      <c r="H192" s="14">
        <v>274.0</v>
      </c>
      <c r="I192" s="14">
        <v>274.0</v>
      </c>
      <c r="J192" s="14">
        <v>274.0</v>
      </c>
      <c r="K192" s="14">
        <v>274.0</v>
      </c>
      <c r="L192" s="14">
        <v>274.0</v>
      </c>
      <c r="M192" s="14">
        <v>274.0</v>
      </c>
      <c r="N192" s="14">
        <v>274.0</v>
      </c>
      <c r="O192" s="14">
        <v>274.0</v>
      </c>
      <c r="P192" s="14">
        <v>274.0</v>
      </c>
      <c r="Q192" s="14">
        <v>274.0</v>
      </c>
      <c r="R192" s="14">
        <v>274.0</v>
      </c>
      <c r="S192" s="14">
        <v>274.0</v>
      </c>
      <c r="T192" s="14">
        <v>274.0</v>
      </c>
      <c r="U192" s="14">
        <v>275.15</v>
      </c>
      <c r="V192" s="14">
        <v>275.15</v>
      </c>
    </row>
    <row r="193" ht="15.0" customHeight="1">
      <c r="A193" s="13" t="s">
        <v>399</v>
      </c>
      <c r="B193" s="16">
        <v>1.0</v>
      </c>
      <c r="C193" s="16">
        <v>1.0</v>
      </c>
      <c r="D193" s="16">
        <v>1.0</v>
      </c>
      <c r="E193" s="16">
        <v>1.0</v>
      </c>
      <c r="F193" s="16">
        <v>1.0</v>
      </c>
      <c r="G193" s="16">
        <v>1.0</v>
      </c>
      <c r="H193" s="16">
        <v>1.0</v>
      </c>
      <c r="I193" s="16">
        <v>1.0</v>
      </c>
      <c r="J193" s="16">
        <v>1.0</v>
      </c>
      <c r="K193" s="16">
        <v>1.0</v>
      </c>
      <c r="L193" s="16">
        <v>1.0</v>
      </c>
      <c r="M193" s="16">
        <v>1.0</v>
      </c>
      <c r="N193" s="16">
        <v>1.0</v>
      </c>
      <c r="O193" s="16">
        <v>1.0</v>
      </c>
      <c r="P193" s="16">
        <v>1.0</v>
      </c>
      <c r="Q193" s="16">
        <v>1.0</v>
      </c>
      <c r="R193" s="16">
        <v>1.0</v>
      </c>
      <c r="S193" s="16">
        <v>1.0</v>
      </c>
      <c r="T193" s="16">
        <v>1.0</v>
      </c>
      <c r="U193" s="16">
        <v>1.0</v>
      </c>
      <c r="V193" s="16">
        <v>1.0</v>
      </c>
    </row>
    <row r="194" ht="15.0" customHeight="1">
      <c r="A194" s="13" t="s">
        <v>400</v>
      </c>
      <c r="B194" s="16">
        <v>1.44</v>
      </c>
      <c r="C194" s="16">
        <v>1.81</v>
      </c>
      <c r="D194" s="16">
        <v>1.81</v>
      </c>
      <c r="E194" s="16">
        <v>1.99</v>
      </c>
      <c r="F194" s="16">
        <v>2.39</v>
      </c>
      <c r="G194" s="16">
        <v>2.39</v>
      </c>
      <c r="H194" s="16">
        <v>2.39</v>
      </c>
      <c r="I194" s="16">
        <v>2.78</v>
      </c>
      <c r="J194" s="16">
        <v>2.78</v>
      </c>
      <c r="K194" s="16">
        <v>2.78</v>
      </c>
      <c r="L194" s="16">
        <v>2.78</v>
      </c>
      <c r="M194" s="16">
        <v>2.98</v>
      </c>
      <c r="N194" s="16">
        <v>1.96</v>
      </c>
      <c r="O194" s="16">
        <v>3.49</v>
      </c>
      <c r="P194" s="16">
        <v>4.21</v>
      </c>
      <c r="Q194" s="16">
        <v>4.59</v>
      </c>
      <c r="R194" s="16">
        <v>4.57</v>
      </c>
      <c r="S194" s="16">
        <v>4.97</v>
      </c>
      <c r="T194" s="16">
        <v>4.37</v>
      </c>
      <c r="U194" s="15">
        <v>0.0</v>
      </c>
      <c r="V194" s="15">
        <v>0.0</v>
      </c>
    </row>
    <row r="195" ht="15.0" customHeight="1">
      <c r="A195" s="13" t="s">
        <v>401</v>
      </c>
      <c r="B195" s="14">
        <v>272.56</v>
      </c>
      <c r="C195" s="14">
        <v>272.19</v>
      </c>
      <c r="D195" s="14">
        <v>272.19</v>
      </c>
      <c r="E195" s="14">
        <v>272.01</v>
      </c>
      <c r="F195" s="14">
        <v>271.61</v>
      </c>
      <c r="G195" s="14">
        <v>271.61</v>
      </c>
      <c r="H195" s="14">
        <v>271.61</v>
      </c>
      <c r="I195" s="14">
        <v>271.22</v>
      </c>
      <c r="J195" s="14">
        <v>271.22</v>
      </c>
      <c r="K195" s="14">
        <v>271.22</v>
      </c>
      <c r="L195" s="14">
        <v>271.22</v>
      </c>
      <c r="M195" s="14">
        <v>271.02</v>
      </c>
      <c r="N195" s="14">
        <v>272.04</v>
      </c>
      <c r="O195" s="14">
        <v>270.51</v>
      </c>
      <c r="P195" s="14">
        <v>269.79</v>
      </c>
      <c r="Q195" s="14">
        <v>269.41</v>
      </c>
      <c r="R195" s="14">
        <v>269.43</v>
      </c>
      <c r="S195" s="14">
        <v>269.03</v>
      </c>
      <c r="T195" s="14">
        <v>269.63</v>
      </c>
      <c r="U195" s="14">
        <v>275.15</v>
      </c>
      <c r="V195" s="14">
        <v>275.15</v>
      </c>
    </row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3" width="15.71"/>
    <col customWidth="1" min="24" max="26" width="8.71"/>
  </cols>
  <sheetData>
    <row r="1" ht="15.0" customHeight="1">
      <c r="A1" s="1" t="s">
        <v>402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46090.4373730208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</row>
    <row r="12" ht="15.0" customHeight="1" outlineLevel="1">
      <c r="A12" s="8" t="s">
        <v>39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</row>
    <row r="13" ht="15.0" customHeight="1" outlineLevel="1">
      <c r="A13" s="8" t="s">
        <v>40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43465.0</v>
      </c>
      <c r="K13" s="9">
        <v>42916.0</v>
      </c>
      <c r="L13" s="9">
        <v>42735.0</v>
      </c>
      <c r="M13" s="9">
        <v>42004.0</v>
      </c>
      <c r="N13" s="9">
        <v>42004.0</v>
      </c>
      <c r="O13" s="9">
        <v>41639.0</v>
      </c>
      <c r="P13" s="9">
        <v>41274.0</v>
      </c>
      <c r="Q13" s="9">
        <v>40543.0</v>
      </c>
      <c r="R13" s="9">
        <v>40178.0</v>
      </c>
      <c r="S13" s="9">
        <v>39813.0</v>
      </c>
      <c r="T13" s="9">
        <v>39447.0</v>
      </c>
      <c r="U13" s="9">
        <v>39082.0</v>
      </c>
      <c r="V13" s="9">
        <v>38717.0</v>
      </c>
    </row>
    <row r="14" ht="15.0" customHeight="1" outlineLevel="1">
      <c r="A14" s="8" t="s">
        <v>41</v>
      </c>
      <c r="B14" s="10" t="s">
        <v>42</v>
      </c>
      <c r="C14" s="10" t="s">
        <v>42</v>
      </c>
      <c r="D14" s="10" t="s">
        <v>42</v>
      </c>
      <c r="E14" s="10" t="s">
        <v>42</v>
      </c>
      <c r="F14" s="10" t="s">
        <v>42</v>
      </c>
      <c r="G14" s="10" t="s">
        <v>42</v>
      </c>
      <c r="H14" s="10" t="s">
        <v>42</v>
      </c>
      <c r="I14" s="10" t="s">
        <v>42</v>
      </c>
      <c r="J14" s="10" t="s">
        <v>42</v>
      </c>
      <c r="K14" s="10" t="s">
        <v>42</v>
      </c>
      <c r="L14" s="10" t="s">
        <v>42</v>
      </c>
      <c r="M14" s="10" t="s">
        <v>42</v>
      </c>
      <c r="N14" s="10" t="s">
        <v>42</v>
      </c>
      <c r="O14" s="10" t="s">
        <v>42</v>
      </c>
      <c r="P14" s="10" t="s">
        <v>42</v>
      </c>
      <c r="Q14" s="10" t="s">
        <v>42</v>
      </c>
      <c r="R14" s="10" t="s">
        <v>42</v>
      </c>
      <c r="S14" s="10" t="s">
        <v>42</v>
      </c>
      <c r="T14" s="10" t="s">
        <v>42</v>
      </c>
      <c r="U14" s="10" t="s">
        <v>42</v>
      </c>
      <c r="V14" s="10" t="s">
        <v>42</v>
      </c>
    </row>
    <row r="15" ht="15.0" customHeight="1" outlineLevel="1">
      <c r="A15" s="8" t="s">
        <v>43</v>
      </c>
      <c r="B15" s="10" t="s">
        <v>403</v>
      </c>
      <c r="C15" s="10" t="s">
        <v>403</v>
      </c>
      <c r="D15" s="10" t="s">
        <v>403</v>
      </c>
      <c r="E15" s="10" t="s">
        <v>403</v>
      </c>
      <c r="F15" s="10" t="s">
        <v>403</v>
      </c>
      <c r="G15" s="10" t="s">
        <v>403</v>
      </c>
      <c r="H15" s="10" t="s">
        <v>403</v>
      </c>
      <c r="I15" s="10" t="s">
        <v>403</v>
      </c>
      <c r="J15" s="10" t="s">
        <v>403</v>
      </c>
      <c r="K15" s="10" t="s">
        <v>403</v>
      </c>
      <c r="L15" s="10" t="s">
        <v>403</v>
      </c>
      <c r="M15" s="10" t="s">
        <v>403</v>
      </c>
      <c r="N15" s="10" t="s">
        <v>403</v>
      </c>
      <c r="O15" s="10" t="s">
        <v>403</v>
      </c>
      <c r="P15" s="10" t="s">
        <v>403</v>
      </c>
      <c r="Q15" s="10" t="s">
        <v>403</v>
      </c>
      <c r="R15" s="10" t="s">
        <v>403</v>
      </c>
      <c r="S15" s="10" t="s">
        <v>403</v>
      </c>
      <c r="T15" s="10" t="s">
        <v>403</v>
      </c>
      <c r="U15" s="10" t="s">
        <v>403</v>
      </c>
      <c r="V15" s="10" t="s">
        <v>403</v>
      </c>
    </row>
    <row r="17">
      <c r="A17" s="11" t="s">
        <v>404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</row>
    <row r="18">
      <c r="A18" s="11" t="s">
        <v>46</v>
      </c>
      <c r="B18" s="12" t="s">
        <v>47</v>
      </c>
      <c r="C18" s="12" t="s">
        <v>48</v>
      </c>
      <c r="D18" s="12" t="s">
        <v>49</v>
      </c>
      <c r="E18" s="12" t="s">
        <v>50</v>
      </c>
      <c r="F18" s="12" t="s">
        <v>51</v>
      </c>
      <c r="G18" s="12" t="s">
        <v>52</v>
      </c>
      <c r="H18" s="12" t="s">
        <v>53</v>
      </c>
      <c r="I18" s="12" t="s">
        <v>54</v>
      </c>
      <c r="J18" s="12" t="s">
        <v>55</v>
      </c>
      <c r="K18" s="12" t="s">
        <v>56</v>
      </c>
      <c r="L18" s="12" t="s">
        <v>57</v>
      </c>
      <c r="M18" s="12" t="s">
        <v>58</v>
      </c>
      <c r="N18" s="12" t="s">
        <v>59</v>
      </c>
      <c r="O18" s="12" t="s">
        <v>60</v>
      </c>
      <c r="P18" s="12" t="s">
        <v>61</v>
      </c>
      <c r="Q18" s="12" t="s">
        <v>62</v>
      </c>
      <c r="R18" s="12" t="s">
        <v>63</v>
      </c>
      <c r="S18" s="12" t="s">
        <v>64</v>
      </c>
      <c r="T18" s="12" t="s">
        <v>65</v>
      </c>
      <c r="U18" s="12" t="s">
        <v>66</v>
      </c>
      <c r="V18" s="12" t="s">
        <v>67</v>
      </c>
    </row>
    <row r="19" ht="15.0" customHeight="1">
      <c r="A19" s="13" t="s">
        <v>405</v>
      </c>
      <c r="B19" s="16">
        <v>57.0</v>
      </c>
      <c r="C19" s="15"/>
      <c r="D19" s="16">
        <v>33.0</v>
      </c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</row>
    <row r="20" ht="15.0" customHeight="1">
      <c r="A20" s="13" t="s">
        <v>406</v>
      </c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4">
        <v>200.0</v>
      </c>
      <c r="P20" s="15"/>
      <c r="Q20" s="15"/>
      <c r="R20" s="15"/>
      <c r="S20" s="15"/>
      <c r="T20" s="15"/>
      <c r="U20" s="15"/>
      <c r="V20" s="15"/>
    </row>
    <row r="21" ht="15.0" customHeight="1">
      <c r="A21" s="13" t="s">
        <v>98</v>
      </c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4">
        <v>1166.0</v>
      </c>
      <c r="P21" s="15"/>
      <c r="Q21" s="14">
        <v>889.0</v>
      </c>
      <c r="R21" s="14">
        <v>910.0</v>
      </c>
      <c r="S21" s="14">
        <v>615.0</v>
      </c>
      <c r="T21" s="14">
        <v>431.0</v>
      </c>
      <c r="U21" s="14">
        <v>393.0</v>
      </c>
      <c r="V21" s="14">
        <v>356.0</v>
      </c>
    </row>
    <row r="22" ht="15.0" customHeight="1">
      <c r="A22" s="13" t="s">
        <v>104</v>
      </c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6">
        <v>71.0</v>
      </c>
      <c r="Q22" s="15"/>
      <c r="R22" s="15"/>
      <c r="S22" s="15"/>
      <c r="T22" s="15"/>
      <c r="U22" s="15"/>
      <c r="V22" s="15"/>
    </row>
    <row r="23" ht="15.0" customHeight="1">
      <c r="A23" s="13" t="s">
        <v>407</v>
      </c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4">
        <v>810.0</v>
      </c>
      <c r="Q23" s="15"/>
      <c r="R23" s="15"/>
      <c r="S23" s="15"/>
      <c r="T23" s="15"/>
      <c r="U23" s="15"/>
      <c r="V23" s="15"/>
    </row>
    <row r="24" ht="15.0" customHeight="1">
      <c r="A24" s="13" t="s">
        <v>408</v>
      </c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6">
        <v>15.0</v>
      </c>
      <c r="Q24" s="15"/>
      <c r="R24" s="15"/>
      <c r="S24" s="15"/>
      <c r="T24" s="15"/>
      <c r="U24" s="15"/>
      <c r="V24" s="15"/>
    </row>
    <row r="25" ht="15.0" customHeight="1">
      <c r="A25" s="13" t="s">
        <v>409</v>
      </c>
      <c r="B25" s="15"/>
      <c r="C25" s="21">
        <v>-279.0</v>
      </c>
      <c r="D25" s="21">
        <v>-191.0</v>
      </c>
      <c r="E25" s="21">
        <v>-187.0</v>
      </c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</row>
    <row r="26" ht="15.0" customHeight="1">
      <c r="A26" s="13" t="s">
        <v>410</v>
      </c>
      <c r="B26" s="15"/>
      <c r="C26" s="14">
        <v>1132.0</v>
      </c>
      <c r="D26" s="21">
        <v>-188.0</v>
      </c>
      <c r="E26" s="21">
        <v>-176.0</v>
      </c>
      <c r="F26" s="17">
        <v>-8.0</v>
      </c>
      <c r="G26" s="14">
        <v>369.0</v>
      </c>
      <c r="H26" s="14">
        <v>541.0</v>
      </c>
      <c r="I26" s="14">
        <v>625.0</v>
      </c>
      <c r="J26" s="21">
        <v>-242.0</v>
      </c>
      <c r="K26" s="15"/>
      <c r="L26" s="15">
        <v>0.0</v>
      </c>
      <c r="M26" s="14">
        <v>1353.0</v>
      </c>
      <c r="N26" s="14">
        <v>4058.0</v>
      </c>
      <c r="O26" s="15"/>
      <c r="P26" s="15"/>
      <c r="Q26" s="15"/>
      <c r="R26" s="15"/>
      <c r="S26" s="15"/>
      <c r="T26" s="15"/>
      <c r="U26" s="15"/>
      <c r="V26" s="15"/>
    </row>
    <row r="27" ht="15.0" customHeight="1">
      <c r="A27" s="13" t="s">
        <v>170</v>
      </c>
      <c r="B27" s="21">
        <v>-148.0</v>
      </c>
      <c r="C27" s="14">
        <v>1623.0</v>
      </c>
      <c r="D27" s="21">
        <v>-384.0</v>
      </c>
      <c r="E27" s="21">
        <v>-261.0</v>
      </c>
      <c r="F27" s="21">
        <v>-215.0</v>
      </c>
      <c r="G27" s="21">
        <v>-469.0</v>
      </c>
      <c r="H27" s="14">
        <v>147.0</v>
      </c>
      <c r="I27" s="21">
        <v>-194.0</v>
      </c>
      <c r="J27" s="21">
        <v>-706.0</v>
      </c>
      <c r="K27" s="21">
        <v>-1282.0</v>
      </c>
      <c r="L27" s="21">
        <v>-1844.0</v>
      </c>
      <c r="M27" s="21">
        <v>-1387.0</v>
      </c>
      <c r="N27" s="21">
        <v>-237.0</v>
      </c>
      <c r="O27" s="14">
        <v>2060.0</v>
      </c>
      <c r="P27" s="14">
        <v>5254.0</v>
      </c>
      <c r="Q27" s="14">
        <v>2010.0</v>
      </c>
      <c r="R27" s="14">
        <v>2331.0</v>
      </c>
      <c r="S27" s="14">
        <v>1513.0</v>
      </c>
      <c r="T27" s="14">
        <v>2464.0</v>
      </c>
      <c r="U27" s="14">
        <v>3789.0</v>
      </c>
      <c r="V27" s="14">
        <v>1245.0</v>
      </c>
    </row>
    <row r="28" ht="15.0" customHeight="1">
      <c r="A28" s="13" t="s">
        <v>411</v>
      </c>
      <c r="B28" s="17">
        <v>-9.0</v>
      </c>
      <c r="C28" s="16">
        <v>30.0</v>
      </c>
      <c r="D28" s="14">
        <v>122.0</v>
      </c>
      <c r="E28" s="16">
        <v>4.0</v>
      </c>
      <c r="F28" s="14">
        <v>1140.0</v>
      </c>
      <c r="G28" s="21">
        <v>-115.0</v>
      </c>
      <c r="H28" s="17">
        <v>-54.0</v>
      </c>
      <c r="I28" s="21">
        <v>-128.0</v>
      </c>
      <c r="J28" s="14">
        <v>648.0</v>
      </c>
      <c r="K28" s="21">
        <v>-670.0</v>
      </c>
      <c r="L28" s="21">
        <v>-743.0</v>
      </c>
      <c r="M28" s="14">
        <v>3880.0</v>
      </c>
      <c r="N28" s="14">
        <v>1362.0</v>
      </c>
      <c r="O28" s="15"/>
      <c r="P28" s="15"/>
      <c r="Q28" s="15"/>
      <c r="R28" s="15"/>
      <c r="S28" s="15"/>
      <c r="T28" s="15"/>
      <c r="U28" s="15"/>
      <c r="V28" s="15"/>
    </row>
    <row r="29" ht="15.0" customHeight="1">
      <c r="A29" s="13" t="s">
        <v>412</v>
      </c>
      <c r="B29" s="15"/>
      <c r="C29" s="16">
        <v>3.0</v>
      </c>
      <c r="D29" s="15">
        <v>0.0</v>
      </c>
      <c r="E29" s="16">
        <v>2.0</v>
      </c>
      <c r="F29" s="17">
        <v>-20.0</v>
      </c>
      <c r="G29" s="16">
        <v>86.0</v>
      </c>
      <c r="H29" s="16">
        <v>44.0</v>
      </c>
      <c r="I29" s="14">
        <v>136.0</v>
      </c>
      <c r="J29" s="17">
        <v>-74.0</v>
      </c>
      <c r="K29" s="15"/>
      <c r="L29" s="21">
        <v>-286.0</v>
      </c>
      <c r="M29" s="14">
        <v>167.0</v>
      </c>
      <c r="N29" s="14">
        <v>502.0</v>
      </c>
      <c r="O29" s="14">
        <v>697.0</v>
      </c>
      <c r="P29" s="14">
        <v>838.0</v>
      </c>
      <c r="Q29" s="14">
        <v>826.0</v>
      </c>
      <c r="R29" s="14">
        <v>877.0</v>
      </c>
      <c r="S29" s="14">
        <v>590.0</v>
      </c>
      <c r="T29" s="14">
        <v>1074.0</v>
      </c>
      <c r="U29" s="14">
        <v>640.0</v>
      </c>
      <c r="V29" s="21">
        <v>-227.0</v>
      </c>
    </row>
    <row r="30" ht="15.0" customHeight="1">
      <c r="A30" s="13" t="s">
        <v>413</v>
      </c>
      <c r="B30" s="15"/>
      <c r="C30" s="17">
        <v>-26.0</v>
      </c>
      <c r="D30" s="16">
        <v>99.0</v>
      </c>
      <c r="E30" s="14">
        <v>193.0</v>
      </c>
      <c r="F30" s="14">
        <v>142.0</v>
      </c>
      <c r="G30" s="16">
        <v>45.0</v>
      </c>
      <c r="H30" s="14">
        <v>141.0</v>
      </c>
      <c r="I30" s="14">
        <v>295.0</v>
      </c>
      <c r="J30" s="14">
        <v>394.0</v>
      </c>
      <c r="K30" s="15"/>
      <c r="L30" s="14">
        <v>582.0</v>
      </c>
      <c r="M30" s="14">
        <v>347.0</v>
      </c>
      <c r="N30" s="14">
        <v>1054.0</v>
      </c>
      <c r="O30" s="14">
        <v>503.0</v>
      </c>
      <c r="P30" s="14">
        <v>457.0</v>
      </c>
      <c r="Q30" s="14">
        <v>460.0</v>
      </c>
      <c r="R30" s="14">
        <v>411.0</v>
      </c>
      <c r="S30" s="14">
        <v>225.0</v>
      </c>
      <c r="T30" s="14">
        <v>104.0</v>
      </c>
      <c r="U30" s="14">
        <v>887.0</v>
      </c>
      <c r="V30" s="14">
        <v>415.0</v>
      </c>
    </row>
    <row r="31" ht="15.0" customHeight="1">
      <c r="A31" s="13" t="s">
        <v>414</v>
      </c>
      <c r="B31" s="15"/>
      <c r="C31" s="16">
        <v>27.0</v>
      </c>
      <c r="D31" s="15"/>
      <c r="E31" s="16">
        <v>66.0</v>
      </c>
      <c r="F31" s="14">
        <v>260.0</v>
      </c>
      <c r="G31" s="14">
        <v>278.0</v>
      </c>
      <c r="H31" s="14">
        <v>270.0</v>
      </c>
      <c r="I31" s="14">
        <v>665.0</v>
      </c>
      <c r="J31" s="14">
        <v>752.0</v>
      </c>
      <c r="K31" s="14">
        <v>1162.0</v>
      </c>
      <c r="L31" s="14">
        <v>2861.0</v>
      </c>
      <c r="M31" s="14">
        <v>2392.0</v>
      </c>
      <c r="N31" s="14">
        <v>1872.0</v>
      </c>
      <c r="O31" s="15"/>
      <c r="P31" s="15"/>
      <c r="Q31" s="14">
        <v>889.0</v>
      </c>
      <c r="R31" s="14">
        <v>910.0</v>
      </c>
      <c r="S31" s="14">
        <v>615.0</v>
      </c>
      <c r="T31" s="15"/>
      <c r="U31" s="15"/>
      <c r="V31" s="15"/>
    </row>
    <row r="32" ht="15.0" customHeight="1">
      <c r="A32" s="13" t="s">
        <v>415</v>
      </c>
      <c r="B32" s="15"/>
      <c r="C32" s="17">
        <v>-30.0</v>
      </c>
      <c r="D32" s="21">
        <v>-126.0</v>
      </c>
      <c r="E32" s="17">
        <v>-25.0</v>
      </c>
      <c r="F32" s="21">
        <v>-1225.0</v>
      </c>
      <c r="G32" s="14">
        <v>120.0</v>
      </c>
      <c r="H32" s="16">
        <v>54.0</v>
      </c>
      <c r="I32" s="21">
        <v>-280.0</v>
      </c>
      <c r="J32" s="21">
        <v>-1088.0</v>
      </c>
      <c r="K32" s="15"/>
      <c r="L32" s="21">
        <v>-303.0</v>
      </c>
      <c r="M32" s="15"/>
      <c r="N32" s="15"/>
      <c r="O32" s="15"/>
      <c r="P32" s="15"/>
      <c r="Q32" s="15"/>
      <c r="R32" s="15"/>
      <c r="S32" s="15"/>
      <c r="T32" s="15"/>
      <c r="U32" s="15"/>
      <c r="V32" s="15"/>
    </row>
    <row r="33" ht="15.0" customHeight="1">
      <c r="A33" s="13" t="s">
        <v>416</v>
      </c>
      <c r="B33" s="15"/>
      <c r="C33" s="15">
        <v>0.0</v>
      </c>
      <c r="D33" s="16">
        <v>2.0</v>
      </c>
      <c r="E33" s="17">
        <v>-2.0</v>
      </c>
      <c r="F33" s="17">
        <v>-51.0</v>
      </c>
      <c r="G33" s="17">
        <v>-2.0</v>
      </c>
      <c r="H33" s="17">
        <v>-2.0</v>
      </c>
      <c r="I33" s="17">
        <v>-60.0</v>
      </c>
      <c r="J33" s="17">
        <v>-11.0</v>
      </c>
      <c r="K33" s="15"/>
      <c r="L33" s="17">
        <v>-19.0</v>
      </c>
      <c r="M33" s="21">
        <v>-2956.0</v>
      </c>
      <c r="N33" s="17">
        <v>-66.0</v>
      </c>
      <c r="O33" s="21">
        <v>-465.0</v>
      </c>
      <c r="P33" s="21">
        <v>-4248.0</v>
      </c>
      <c r="Q33" s="21">
        <v>-156.0</v>
      </c>
      <c r="R33" s="21">
        <v>-332.0</v>
      </c>
      <c r="S33" s="17">
        <v>-23.0</v>
      </c>
      <c r="T33" s="17">
        <v>-64.0</v>
      </c>
      <c r="U33" s="21">
        <v>-2483.0</v>
      </c>
      <c r="V33" s="21">
        <v>-113.0</v>
      </c>
    </row>
    <row r="34" ht="15.0" customHeight="1">
      <c r="A34" s="13" t="s">
        <v>417</v>
      </c>
      <c r="B34" s="15"/>
      <c r="C34" s="16">
        <v>1.0</v>
      </c>
      <c r="D34" s="14">
        <v>363.0</v>
      </c>
      <c r="E34" s="14">
        <v>263.0</v>
      </c>
      <c r="F34" s="14">
        <v>346.0</v>
      </c>
      <c r="G34" s="14">
        <v>256.0</v>
      </c>
      <c r="H34" s="14">
        <v>160.0</v>
      </c>
      <c r="I34" s="14">
        <v>130.0</v>
      </c>
      <c r="J34" s="14">
        <v>176.0</v>
      </c>
      <c r="K34" s="15"/>
      <c r="L34" s="16">
        <v>31.0</v>
      </c>
      <c r="M34" s="16">
        <v>51.0</v>
      </c>
      <c r="N34" s="16">
        <v>24.0</v>
      </c>
      <c r="O34" s="17">
        <v>-22.0</v>
      </c>
      <c r="P34" s="16">
        <v>73.0</v>
      </c>
      <c r="Q34" s="16">
        <v>31.0</v>
      </c>
      <c r="R34" s="21">
        <v>-114.0</v>
      </c>
      <c r="S34" s="16">
        <v>21.0</v>
      </c>
      <c r="T34" s="16">
        <v>2.0</v>
      </c>
      <c r="U34" s="16">
        <v>18.0</v>
      </c>
      <c r="V34" s="17">
        <v>-25.0</v>
      </c>
    </row>
    <row r="35" ht="15.0" customHeight="1">
      <c r="A35" s="13" t="s">
        <v>418</v>
      </c>
      <c r="B35" s="15"/>
      <c r="C35" s="15"/>
      <c r="D35" s="15"/>
      <c r="E35" s="15"/>
      <c r="F35" s="15"/>
      <c r="G35" s="15"/>
      <c r="H35" s="15"/>
      <c r="I35" s="16">
        <v>2.0</v>
      </c>
      <c r="J35" s="14">
        <v>111.0</v>
      </c>
      <c r="K35" s="15"/>
      <c r="L35" s="17">
        <v>-44.0</v>
      </c>
      <c r="M35" s="14">
        <v>436.0</v>
      </c>
      <c r="N35" s="21">
        <v>-262.0</v>
      </c>
      <c r="O35" s="14">
        <v>125.0</v>
      </c>
      <c r="P35" s="17">
        <v>-38.0</v>
      </c>
      <c r="Q35" s="16">
        <v>84.0</v>
      </c>
      <c r="R35" s="21">
        <v>-161.0</v>
      </c>
      <c r="S35" s="14">
        <v>439.0</v>
      </c>
      <c r="T35" s="21">
        <v>-162.0</v>
      </c>
      <c r="U35" s="21">
        <v>-241.0</v>
      </c>
      <c r="V35" s="14">
        <v>396.0</v>
      </c>
    </row>
    <row r="36" ht="15.0" customHeight="1">
      <c r="A36" s="13" t="s">
        <v>419</v>
      </c>
      <c r="B36" s="15"/>
      <c r="C36" s="21">
        <v>-218.0</v>
      </c>
      <c r="D36" s="21">
        <v>-106.0</v>
      </c>
      <c r="E36" s="21">
        <v>-229.0</v>
      </c>
      <c r="F36" s="21">
        <v>-272.0</v>
      </c>
      <c r="G36" s="14">
        <v>106.0</v>
      </c>
      <c r="H36" s="21">
        <v>-244.0</v>
      </c>
      <c r="I36" s="17">
        <v>-86.0</v>
      </c>
      <c r="J36" s="17">
        <v>-69.0</v>
      </c>
      <c r="K36" s="15"/>
      <c r="L36" s="14">
        <v>176.0</v>
      </c>
      <c r="M36" s="15"/>
      <c r="N36" s="15"/>
      <c r="O36" s="15"/>
      <c r="P36" s="15"/>
      <c r="Q36" s="15"/>
      <c r="R36" s="15"/>
      <c r="S36" s="15"/>
      <c r="T36" s="15"/>
      <c r="U36" s="15"/>
      <c r="V36" s="15"/>
    </row>
    <row r="37" ht="15.0" customHeight="1">
      <c r="A37" s="13" t="s">
        <v>420</v>
      </c>
      <c r="B37" s="15"/>
      <c r="C37" s="15"/>
      <c r="D37" s="15"/>
      <c r="E37" s="15"/>
      <c r="F37" s="15"/>
      <c r="G37" s="15"/>
      <c r="H37" s="16">
        <v>1.0</v>
      </c>
      <c r="I37" s="17">
        <v>-1.0</v>
      </c>
      <c r="J37" s="16">
        <v>1.0</v>
      </c>
      <c r="K37" s="15"/>
      <c r="L37" s="15"/>
      <c r="M37" s="16">
        <v>1.0</v>
      </c>
      <c r="N37" s="15"/>
      <c r="O37" s="15"/>
      <c r="P37" s="15"/>
      <c r="Q37" s="15"/>
      <c r="R37" s="15"/>
      <c r="S37" s="15"/>
      <c r="T37" s="15"/>
      <c r="U37" s="15"/>
      <c r="V37" s="15"/>
    </row>
    <row r="38" ht="15.0" customHeight="1">
      <c r="A38" s="13" t="s">
        <v>421</v>
      </c>
      <c r="B38" s="14">
        <v>143.0</v>
      </c>
      <c r="C38" s="15"/>
      <c r="D38" s="15"/>
      <c r="E38" s="15"/>
      <c r="F38" s="21">
        <v>-113.0</v>
      </c>
      <c r="G38" s="16">
        <v>63.0</v>
      </c>
      <c r="H38" s="16">
        <v>24.0</v>
      </c>
      <c r="I38" s="14">
        <v>146.0</v>
      </c>
      <c r="J38" s="21">
        <v>-376.0</v>
      </c>
      <c r="K38" s="14">
        <v>662.0</v>
      </c>
      <c r="L38" s="21">
        <v>-411.0</v>
      </c>
      <c r="M38" s="21">
        <v>-1578.0</v>
      </c>
      <c r="N38" s="21">
        <v>-191.0</v>
      </c>
      <c r="O38" s="21">
        <v>-1843.0</v>
      </c>
      <c r="P38" s="14">
        <v>1203.0</v>
      </c>
      <c r="Q38" s="21">
        <v>-632.0</v>
      </c>
      <c r="R38" s="14">
        <v>1612.0</v>
      </c>
      <c r="S38" s="21">
        <v>-3613.0</v>
      </c>
      <c r="T38" s="21">
        <v>-565.0</v>
      </c>
      <c r="U38" s="14">
        <v>180.0</v>
      </c>
      <c r="V38" s="14">
        <v>2081.0</v>
      </c>
    </row>
    <row r="39" ht="15.0" customHeight="1">
      <c r="A39" s="13" t="s">
        <v>422</v>
      </c>
      <c r="B39" s="15"/>
      <c r="C39" s="16">
        <v>9.0</v>
      </c>
      <c r="D39" s="16">
        <v>4.0</v>
      </c>
      <c r="E39" s="16">
        <v>22.0</v>
      </c>
      <c r="F39" s="15"/>
      <c r="G39" s="15"/>
      <c r="H39" s="15"/>
      <c r="I39" s="15"/>
      <c r="J39" s="15"/>
      <c r="K39" s="15"/>
      <c r="L39" s="15"/>
      <c r="M39" s="16">
        <v>7.0</v>
      </c>
      <c r="N39" s="15">
        <v>0.0</v>
      </c>
      <c r="O39" s="15"/>
      <c r="P39" s="15"/>
      <c r="Q39" s="15"/>
      <c r="R39" s="15"/>
      <c r="S39" s="15"/>
      <c r="T39" s="15"/>
      <c r="U39" s="15"/>
      <c r="V39" s="15"/>
    </row>
    <row r="40" ht="15.0" customHeight="1">
      <c r="A40" s="13" t="s">
        <v>423</v>
      </c>
      <c r="B40" s="15"/>
      <c r="C40" s="21">
        <v>-176.0</v>
      </c>
      <c r="D40" s="21">
        <v>-237.0</v>
      </c>
      <c r="E40" s="21">
        <v>-168.0</v>
      </c>
      <c r="F40" s="21">
        <v>-120.0</v>
      </c>
      <c r="G40" s="21">
        <v>-122.0</v>
      </c>
      <c r="H40" s="21">
        <v>-131.0</v>
      </c>
      <c r="I40" s="21">
        <v>-299.0</v>
      </c>
      <c r="J40" s="21">
        <v>-410.0</v>
      </c>
      <c r="K40" s="15"/>
      <c r="L40" s="21">
        <v>-477.0</v>
      </c>
      <c r="M40" s="21">
        <v>-696.0</v>
      </c>
      <c r="N40" s="21">
        <v>-796.0</v>
      </c>
      <c r="O40" s="21">
        <v>-460.0</v>
      </c>
      <c r="P40" s="21">
        <v>-209.0</v>
      </c>
      <c r="Q40" s="21">
        <v>-454.0</v>
      </c>
      <c r="R40" s="21">
        <v>-308.0</v>
      </c>
      <c r="S40" s="21">
        <v>-295.0</v>
      </c>
      <c r="T40" s="21">
        <v>-172.0</v>
      </c>
      <c r="U40" s="21">
        <v>-450.0</v>
      </c>
      <c r="V40" s="21">
        <v>-272.0</v>
      </c>
    </row>
    <row r="41" ht="15.0" customHeight="1">
      <c r="A41" s="13" t="s">
        <v>424</v>
      </c>
      <c r="B41" s="15"/>
      <c r="C41" s="17">
        <v>-1.0</v>
      </c>
      <c r="D41" s="17">
        <v>-3.0</v>
      </c>
      <c r="E41" s="17">
        <v>-6.0</v>
      </c>
      <c r="F41" s="17">
        <v>-14.0</v>
      </c>
      <c r="G41" s="17">
        <v>-34.0</v>
      </c>
      <c r="H41" s="17">
        <v>-34.0</v>
      </c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</row>
    <row r="42" ht="15.0" customHeight="1">
      <c r="A42" s="13" t="s">
        <v>425</v>
      </c>
      <c r="B42" s="15"/>
      <c r="C42" s="14">
        <v>817.0</v>
      </c>
      <c r="D42" s="14">
        <v>118.0</v>
      </c>
      <c r="E42" s="16">
        <v>66.0</v>
      </c>
      <c r="F42" s="16">
        <v>38.0</v>
      </c>
      <c r="G42" s="16">
        <v>45.0</v>
      </c>
      <c r="H42" s="16">
        <v>76.0</v>
      </c>
      <c r="I42" s="16">
        <v>34.0</v>
      </c>
      <c r="J42" s="16">
        <v>38.0</v>
      </c>
      <c r="K42" s="15"/>
      <c r="L42" s="16">
        <v>36.0</v>
      </c>
      <c r="M42" s="14">
        <v>136.0</v>
      </c>
      <c r="N42" s="14">
        <v>149.0</v>
      </c>
      <c r="O42" s="16">
        <v>64.0</v>
      </c>
      <c r="P42" s="14">
        <v>123.0</v>
      </c>
      <c r="Q42" s="16">
        <v>70.0</v>
      </c>
      <c r="R42" s="16">
        <v>27.0</v>
      </c>
      <c r="S42" s="14">
        <v>132.0</v>
      </c>
      <c r="T42" s="16">
        <v>43.0</v>
      </c>
      <c r="U42" s="14">
        <v>214.0</v>
      </c>
      <c r="V42" s="16">
        <v>23.0</v>
      </c>
    </row>
    <row r="43" ht="15.0" customHeight="1">
      <c r="A43" s="13" t="s">
        <v>426</v>
      </c>
      <c r="B43" s="15"/>
      <c r="C43" s="16">
        <v>1.0</v>
      </c>
      <c r="D43" s="16">
        <v>12.0</v>
      </c>
      <c r="E43" s="16">
        <v>21.0</v>
      </c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</row>
    <row r="44" ht="15.0" customHeight="1">
      <c r="A44" s="13" t="s">
        <v>427</v>
      </c>
      <c r="B44" s="15"/>
      <c r="C44" s="17">
        <v>-3.0</v>
      </c>
      <c r="D44" s="17">
        <v>-2.0</v>
      </c>
      <c r="E44" s="17">
        <v>-3.0</v>
      </c>
      <c r="F44" s="16">
        <v>8.0</v>
      </c>
      <c r="G44" s="17">
        <v>-47.0</v>
      </c>
      <c r="H44" s="17">
        <v>-47.0</v>
      </c>
      <c r="I44" s="17">
        <v>-45.0</v>
      </c>
      <c r="J44" s="17">
        <v>-59.0</v>
      </c>
      <c r="K44" s="15"/>
      <c r="L44" s="21">
        <v>-163.0</v>
      </c>
      <c r="M44" s="21">
        <v>-312.0</v>
      </c>
      <c r="N44" s="21">
        <v>-333.0</v>
      </c>
      <c r="O44" s="21">
        <v>-242.0</v>
      </c>
      <c r="P44" s="21">
        <v>-522.0</v>
      </c>
      <c r="Q44" s="21">
        <v>-997.0</v>
      </c>
      <c r="R44" s="21">
        <v>-1008.0</v>
      </c>
      <c r="S44" s="21">
        <v>-472.0</v>
      </c>
      <c r="T44" s="21">
        <v>-480.0</v>
      </c>
      <c r="U44" s="21">
        <v>-311.0</v>
      </c>
      <c r="V44" s="21">
        <v>-205.0</v>
      </c>
    </row>
    <row r="45" ht="15.0" customHeight="1">
      <c r="A45" s="13" t="s">
        <v>428</v>
      </c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21">
        <v>-632.0</v>
      </c>
      <c r="R45" s="14">
        <v>1612.0</v>
      </c>
      <c r="S45" s="21">
        <v>-3613.0</v>
      </c>
      <c r="T45" s="21">
        <v>-565.0</v>
      </c>
      <c r="U45" s="14">
        <v>180.0</v>
      </c>
      <c r="V45" s="14">
        <v>2081.0</v>
      </c>
    </row>
    <row r="46" ht="15.0" customHeight="1">
      <c r="A46" s="13" t="s">
        <v>429</v>
      </c>
      <c r="B46" s="17">
        <v>-1.0</v>
      </c>
      <c r="C46" s="16">
        <v>1.0</v>
      </c>
      <c r="D46" s="15"/>
      <c r="E46" s="15"/>
      <c r="F46" s="15"/>
      <c r="G46" s="16">
        <v>1.0</v>
      </c>
      <c r="H46" s="16">
        <v>1.0</v>
      </c>
      <c r="I46" s="15"/>
      <c r="J46" s="15"/>
      <c r="K46" s="17">
        <v>-1.0</v>
      </c>
      <c r="L46" s="16">
        <v>1.0</v>
      </c>
      <c r="M46" s="15"/>
      <c r="N46" s="15"/>
      <c r="O46" s="15"/>
      <c r="P46" s="15"/>
      <c r="Q46" s="21">
        <v>-889.0</v>
      </c>
      <c r="R46" s="21">
        <v>-910.0</v>
      </c>
      <c r="S46" s="21">
        <v>-615.0</v>
      </c>
      <c r="T46" s="15"/>
      <c r="U46" s="15"/>
      <c r="V46" s="15"/>
    </row>
    <row r="47" ht="15.0" customHeight="1">
      <c r="A47" s="18" t="s">
        <v>430</v>
      </c>
      <c r="B47" s="24">
        <v>42.0</v>
      </c>
      <c r="C47" s="19">
        <v>1779.0</v>
      </c>
      <c r="D47" s="23">
        <v>-296.0</v>
      </c>
      <c r="E47" s="23">
        <v>-244.0</v>
      </c>
      <c r="F47" s="22">
        <v>-96.0</v>
      </c>
      <c r="G47" s="19">
        <v>211.0</v>
      </c>
      <c r="H47" s="19">
        <v>406.0</v>
      </c>
      <c r="I47" s="19">
        <v>315.0</v>
      </c>
      <c r="J47" s="23">
        <v>-673.0</v>
      </c>
      <c r="K47" s="23">
        <v>-129.0</v>
      </c>
      <c r="L47" s="23">
        <v>-603.0</v>
      </c>
      <c r="M47" s="19">
        <v>488.0</v>
      </c>
      <c r="N47" s="19">
        <v>3078.0</v>
      </c>
      <c r="O47" s="19">
        <v>1783.0</v>
      </c>
      <c r="P47" s="19">
        <v>3827.0</v>
      </c>
      <c r="Q47" s="19">
        <v>2131.0</v>
      </c>
      <c r="R47" s="19">
        <v>4245.0</v>
      </c>
      <c r="S47" s="23">
        <v>-868.0</v>
      </c>
      <c r="T47" s="19">
        <v>2675.0</v>
      </c>
      <c r="U47" s="19">
        <v>2636.0</v>
      </c>
      <c r="V47" s="19">
        <v>3674.0</v>
      </c>
    </row>
    <row r="48" ht="15.0" customHeight="1">
      <c r="A48" s="13" t="s">
        <v>431</v>
      </c>
      <c r="B48" s="17">
        <v>-9.0</v>
      </c>
      <c r="C48" s="21">
        <v>-149.0</v>
      </c>
      <c r="D48" s="17">
        <v>-9.0</v>
      </c>
      <c r="E48" s="15"/>
      <c r="F48" s="21">
        <v>-112.0</v>
      </c>
      <c r="G48" s="17">
        <v>-29.0</v>
      </c>
      <c r="H48" s="17">
        <v>-56.0</v>
      </c>
      <c r="I48" s="17">
        <v>-95.0</v>
      </c>
      <c r="J48" s="17">
        <v>-70.0</v>
      </c>
      <c r="K48" s="21">
        <v>-153.0</v>
      </c>
      <c r="L48" s="21">
        <v>-1460.0</v>
      </c>
      <c r="M48" s="21">
        <v>-1302.0</v>
      </c>
      <c r="N48" s="21">
        <v>-2651.0</v>
      </c>
      <c r="O48" s="21">
        <v>-2961.0</v>
      </c>
      <c r="P48" s="21">
        <v>-3385.0</v>
      </c>
      <c r="Q48" s="21">
        <v>-2467.0</v>
      </c>
      <c r="R48" s="21">
        <v>-2201.0</v>
      </c>
      <c r="S48" s="21">
        <v>-1572.0</v>
      </c>
      <c r="T48" s="21">
        <v>-1596.0</v>
      </c>
      <c r="U48" s="21">
        <v>-826.0</v>
      </c>
      <c r="V48" s="21">
        <v>-481.0</v>
      </c>
    </row>
    <row r="49" ht="15.0" customHeight="1">
      <c r="A49" s="13" t="s">
        <v>432</v>
      </c>
      <c r="B49" s="17">
        <v>-54.0</v>
      </c>
      <c r="C49" s="21">
        <v>-183.0</v>
      </c>
      <c r="D49" s="17">
        <v>-54.0</v>
      </c>
      <c r="E49" s="17">
        <v>-96.0</v>
      </c>
      <c r="F49" s="15">
        <v>0.0</v>
      </c>
      <c r="G49" s="16">
        <v>37.0</v>
      </c>
      <c r="H49" s="21">
        <v>-236.0</v>
      </c>
      <c r="I49" s="15"/>
      <c r="J49" s="15"/>
      <c r="K49" s="17">
        <v>-7.0</v>
      </c>
      <c r="L49" s="17">
        <v>-11.0</v>
      </c>
      <c r="M49" s="21">
        <v>-126.0</v>
      </c>
      <c r="N49" s="21">
        <v>-1136.0</v>
      </c>
      <c r="O49" s="16">
        <v>92.0</v>
      </c>
      <c r="P49" s="21">
        <v>-673.0</v>
      </c>
      <c r="Q49" s="21">
        <v>-101.0</v>
      </c>
      <c r="R49" s="21">
        <v>-1117.0</v>
      </c>
      <c r="S49" s="21">
        <v>-1817.0</v>
      </c>
      <c r="T49" s="17">
        <v>-87.0</v>
      </c>
      <c r="U49" s="21">
        <v>-276.0</v>
      </c>
      <c r="V49" s="17">
        <v>-33.0</v>
      </c>
    </row>
    <row r="50" ht="15.0" customHeight="1">
      <c r="A50" s="13" t="s">
        <v>433</v>
      </c>
      <c r="B50" s="15"/>
      <c r="C50" s="16">
        <v>19.0</v>
      </c>
      <c r="D50" s="14">
        <v>211.0</v>
      </c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</row>
    <row r="51" ht="15.0" customHeight="1">
      <c r="A51" s="13" t="s">
        <v>434</v>
      </c>
      <c r="B51" s="14">
        <v>118.0</v>
      </c>
      <c r="C51" s="21">
        <v>-366.0</v>
      </c>
      <c r="D51" s="14">
        <v>216.0</v>
      </c>
      <c r="E51" s="14">
        <v>745.0</v>
      </c>
      <c r="F51" s="17">
        <v>-9.0</v>
      </c>
      <c r="G51" s="15">
        <v>0.0</v>
      </c>
      <c r="H51" s="17">
        <v>-11.0</v>
      </c>
      <c r="I51" s="21">
        <v>-642.0</v>
      </c>
      <c r="J51" s="17">
        <v>-9.0</v>
      </c>
      <c r="K51" s="15"/>
      <c r="L51" s="21">
        <v>-110.0</v>
      </c>
      <c r="M51" s="15"/>
      <c r="N51" s="15"/>
      <c r="O51" s="15"/>
      <c r="P51" s="17">
        <v>-99.0</v>
      </c>
      <c r="Q51" s="17">
        <v>-83.0</v>
      </c>
      <c r="R51" s="15"/>
      <c r="S51" s="15"/>
      <c r="T51" s="15"/>
      <c r="U51" s="15"/>
      <c r="V51" s="15"/>
    </row>
    <row r="52" ht="15.0" customHeight="1">
      <c r="A52" s="13" t="s">
        <v>435</v>
      </c>
      <c r="B52" s="15"/>
      <c r="C52" s="17">
        <v>-81.0</v>
      </c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</row>
    <row r="53" ht="15.0" customHeight="1">
      <c r="A53" s="13" t="s">
        <v>436</v>
      </c>
      <c r="B53" s="15"/>
      <c r="C53" s="15"/>
      <c r="D53" s="15"/>
      <c r="E53" s="16">
        <v>2.0</v>
      </c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</row>
    <row r="54" ht="15.0" customHeight="1">
      <c r="A54" s="13" t="s">
        <v>437</v>
      </c>
      <c r="B54" s="15"/>
      <c r="C54" s="15">
        <v>0.0</v>
      </c>
      <c r="D54" s="17">
        <v>-4.0</v>
      </c>
      <c r="E54" s="17">
        <v>-11.0</v>
      </c>
      <c r="F54" s="17">
        <v>-24.0</v>
      </c>
      <c r="G54" s="17">
        <v>-38.0</v>
      </c>
      <c r="H54" s="17">
        <v>-71.0</v>
      </c>
      <c r="I54" s="17">
        <v>-36.0</v>
      </c>
      <c r="J54" s="17">
        <v>-27.0</v>
      </c>
      <c r="K54" s="17">
        <v>-49.0</v>
      </c>
      <c r="L54" s="21">
        <v>-176.0</v>
      </c>
      <c r="M54" s="21">
        <v>-639.0</v>
      </c>
      <c r="N54" s="21">
        <v>-821.0</v>
      </c>
      <c r="O54" s="21">
        <v>-552.0</v>
      </c>
      <c r="P54" s="21">
        <v>-281.0</v>
      </c>
      <c r="Q54" s="21">
        <v>-124.0</v>
      </c>
      <c r="R54" s="15"/>
      <c r="S54" s="15"/>
      <c r="T54" s="15"/>
      <c r="U54" s="15"/>
      <c r="V54" s="15"/>
    </row>
    <row r="55" ht="15.0" customHeight="1">
      <c r="A55" s="13" t="s">
        <v>433</v>
      </c>
      <c r="B55" s="15"/>
      <c r="C55" s="15"/>
      <c r="D55" s="15"/>
      <c r="E55" s="16">
        <v>53.0</v>
      </c>
      <c r="F55" s="16">
        <v>29.0</v>
      </c>
      <c r="G55" s="16">
        <v>9.0</v>
      </c>
      <c r="H55" s="16">
        <v>3.0</v>
      </c>
      <c r="I55" s="16">
        <v>94.0</v>
      </c>
      <c r="J55" s="16">
        <v>4.0</v>
      </c>
      <c r="K55" s="15"/>
      <c r="L55" s="14">
        <v>152.0</v>
      </c>
      <c r="M55" s="16">
        <v>15.0</v>
      </c>
      <c r="N55" s="16">
        <v>39.0</v>
      </c>
      <c r="O55" s="16">
        <v>50.0</v>
      </c>
      <c r="P55" s="14">
        <v>677.0</v>
      </c>
      <c r="Q55" s="14">
        <v>742.0</v>
      </c>
      <c r="R55" s="16">
        <v>40.0</v>
      </c>
      <c r="S55" s="16">
        <v>34.0</v>
      </c>
      <c r="T55" s="16">
        <v>96.0</v>
      </c>
      <c r="U55" s="14">
        <v>127.0</v>
      </c>
      <c r="V55" s="16">
        <v>55.0</v>
      </c>
    </row>
    <row r="56" ht="15.0" customHeight="1">
      <c r="A56" s="13" t="s">
        <v>435</v>
      </c>
      <c r="B56" s="17">
        <v>-14.0</v>
      </c>
      <c r="C56" s="15"/>
      <c r="D56" s="15"/>
      <c r="E56" s="15"/>
      <c r="F56" s="15"/>
      <c r="G56" s="15"/>
      <c r="H56" s="15"/>
      <c r="I56" s="15"/>
      <c r="J56" s="15"/>
      <c r="K56" s="14">
        <v>548.0</v>
      </c>
      <c r="L56" s="15"/>
      <c r="M56" s="17">
        <v>-42.0</v>
      </c>
      <c r="N56" s="17">
        <v>-25.0</v>
      </c>
      <c r="O56" s="17">
        <v>-49.0</v>
      </c>
      <c r="P56" s="17">
        <v>-38.0</v>
      </c>
      <c r="Q56" s="21">
        <v>-225.0</v>
      </c>
      <c r="R56" s="15"/>
      <c r="S56" s="15"/>
      <c r="T56" s="15"/>
      <c r="U56" s="15"/>
      <c r="V56" s="15"/>
    </row>
    <row r="57" ht="15.0" customHeight="1">
      <c r="A57" s="13" t="s">
        <v>438</v>
      </c>
      <c r="B57" s="15"/>
      <c r="C57" s="15"/>
      <c r="D57" s="15">
        <v>0.0</v>
      </c>
      <c r="E57" s="16">
        <v>2.0</v>
      </c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</row>
    <row r="58" ht="15.0" customHeight="1">
      <c r="A58" s="13" t="s">
        <v>439</v>
      </c>
      <c r="B58" s="15"/>
      <c r="C58" s="15"/>
      <c r="D58" s="15"/>
      <c r="E58" s="15"/>
      <c r="F58" s="14">
        <v>591.0</v>
      </c>
      <c r="G58" s="17">
        <v>-77.0</v>
      </c>
      <c r="H58" s="21">
        <v>-209.0</v>
      </c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</row>
    <row r="59" ht="15.0" customHeight="1">
      <c r="A59" s="13" t="s">
        <v>440</v>
      </c>
      <c r="B59" s="15"/>
      <c r="C59" s="15"/>
      <c r="D59" s="15"/>
      <c r="E59" s="15"/>
      <c r="F59" s="15"/>
      <c r="G59" s="15"/>
      <c r="H59" s="15"/>
      <c r="I59" s="14">
        <v>1103.0</v>
      </c>
      <c r="J59" s="14">
        <v>868.0</v>
      </c>
      <c r="K59" s="14">
        <v>2382.0</v>
      </c>
      <c r="L59" s="14">
        <v>1150.0</v>
      </c>
      <c r="M59" s="14">
        <v>5948.0</v>
      </c>
      <c r="N59" s="15">
        <v>0.0</v>
      </c>
      <c r="O59" s="14">
        <v>1227.0</v>
      </c>
      <c r="P59" s="14">
        <v>3516.0</v>
      </c>
      <c r="Q59" s="15">
        <v>0.0</v>
      </c>
      <c r="R59" s="15"/>
      <c r="S59" s="15"/>
      <c r="T59" s="15">
        <v>0.0</v>
      </c>
      <c r="U59" s="14">
        <v>2054.0</v>
      </c>
      <c r="V59" s="16">
        <v>89.0</v>
      </c>
    </row>
    <row r="60" ht="15.0" customHeight="1">
      <c r="A60" s="13" t="s">
        <v>441</v>
      </c>
      <c r="B60" s="14">
        <v>222.0</v>
      </c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</row>
    <row r="61" ht="15.0" customHeight="1">
      <c r="A61" s="13" t="s">
        <v>442</v>
      </c>
      <c r="B61" s="17">
        <v>-42.0</v>
      </c>
      <c r="C61" s="15"/>
      <c r="D61" s="21">
        <v>-119.0</v>
      </c>
      <c r="E61" s="17">
        <v>-76.0</v>
      </c>
      <c r="F61" s="17">
        <v>-47.0</v>
      </c>
      <c r="G61" s="21">
        <v>-120.0</v>
      </c>
      <c r="H61" s="21">
        <v>-556.0</v>
      </c>
      <c r="I61" s="21">
        <v>-177.0</v>
      </c>
      <c r="J61" s="17">
        <v>-28.0</v>
      </c>
      <c r="K61" s="15"/>
      <c r="L61" s="15">
        <v>0.0</v>
      </c>
      <c r="M61" s="17">
        <v>-11.0</v>
      </c>
      <c r="N61" s="15">
        <v>0.0</v>
      </c>
      <c r="O61" s="15"/>
      <c r="P61" s="15"/>
      <c r="Q61" s="15"/>
      <c r="R61" s="15"/>
      <c r="S61" s="15"/>
      <c r="T61" s="15"/>
      <c r="U61" s="15"/>
      <c r="V61" s="15"/>
    </row>
    <row r="62" ht="15.0" customHeight="1">
      <c r="A62" s="13" t="s">
        <v>442</v>
      </c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6">
        <v>21.0</v>
      </c>
      <c r="N62" s="16">
        <v>29.0</v>
      </c>
      <c r="O62" s="15">
        <v>0.0</v>
      </c>
      <c r="P62" s="15"/>
      <c r="Q62" s="15"/>
      <c r="R62" s="15"/>
      <c r="S62" s="15"/>
      <c r="T62" s="15"/>
      <c r="U62" s="15"/>
      <c r="V62" s="15"/>
    </row>
    <row r="63" ht="15.0" customHeight="1">
      <c r="A63" s="13" t="s">
        <v>443</v>
      </c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>
        <v>0.0</v>
      </c>
      <c r="Q63" s="16">
        <v>24.0</v>
      </c>
      <c r="R63" s="14">
        <v>622.0</v>
      </c>
      <c r="S63" s="15">
        <v>0.0</v>
      </c>
      <c r="T63" s="15"/>
      <c r="U63" s="15"/>
      <c r="V63" s="15"/>
    </row>
    <row r="64" ht="15.0" customHeight="1">
      <c r="A64" s="13" t="s">
        <v>444</v>
      </c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6">
        <v>50.0</v>
      </c>
      <c r="M64" s="14">
        <v>124.0</v>
      </c>
      <c r="N64" s="16">
        <v>20.0</v>
      </c>
      <c r="O64" s="16">
        <v>6.0</v>
      </c>
      <c r="P64" s="15"/>
      <c r="Q64" s="15"/>
      <c r="R64" s="15"/>
      <c r="S64" s="15"/>
      <c r="T64" s="15"/>
      <c r="U64" s="15"/>
      <c r="V64" s="15"/>
    </row>
    <row r="65" ht="15.0" customHeight="1">
      <c r="A65" s="13" t="s">
        <v>445</v>
      </c>
      <c r="B65" s="15"/>
      <c r="C65" s="15"/>
      <c r="D65" s="15"/>
      <c r="E65" s="15"/>
      <c r="F65" s="15"/>
      <c r="G65" s="15">
        <v>0.0</v>
      </c>
      <c r="H65" s="14">
        <v>560.0</v>
      </c>
      <c r="I65" s="15"/>
      <c r="J65" s="15"/>
      <c r="K65" s="15"/>
      <c r="L65" s="14">
        <v>189.0</v>
      </c>
      <c r="M65" s="14">
        <v>513.0</v>
      </c>
      <c r="N65" s="14">
        <v>293.0</v>
      </c>
      <c r="O65" s="14">
        <v>184.0</v>
      </c>
      <c r="P65" s="16">
        <v>81.0</v>
      </c>
      <c r="Q65" s="14">
        <v>125.0</v>
      </c>
      <c r="R65" s="15"/>
      <c r="S65" s="15"/>
      <c r="T65" s="15"/>
      <c r="U65" s="15"/>
      <c r="V65" s="15"/>
    </row>
    <row r="66" ht="15.0" customHeight="1">
      <c r="A66" s="13" t="s">
        <v>446</v>
      </c>
      <c r="B66" s="15"/>
      <c r="C66" s="17">
        <v>-1.0</v>
      </c>
      <c r="D66" s="17">
        <v>-5.0</v>
      </c>
      <c r="E66" s="15">
        <v>0.0</v>
      </c>
      <c r="F66" s="16">
        <v>3.0</v>
      </c>
      <c r="G66" s="17">
        <v>-1.0</v>
      </c>
      <c r="H66" s="16">
        <v>20.0</v>
      </c>
      <c r="I66" s="15"/>
      <c r="J66" s="15"/>
      <c r="K66" s="15"/>
      <c r="L66" s="15"/>
      <c r="M66" s="15"/>
      <c r="N66" s="15"/>
      <c r="O66" s="15"/>
      <c r="P66" s="15"/>
      <c r="Q66" s="15"/>
      <c r="R66" s="21">
        <v>-1271.0</v>
      </c>
      <c r="S66" s="21">
        <v>-377.0</v>
      </c>
      <c r="T66" s="16">
        <v>11.0</v>
      </c>
      <c r="U66" s="17">
        <v>-94.0</v>
      </c>
      <c r="V66" s="17">
        <v>-73.0</v>
      </c>
    </row>
    <row r="67" ht="15.0" customHeight="1">
      <c r="A67" s="13" t="s">
        <v>447</v>
      </c>
      <c r="B67" s="15"/>
      <c r="C67" s="15"/>
      <c r="D67" s="15"/>
      <c r="E67" s="15"/>
      <c r="F67" s="15"/>
      <c r="G67" s="15"/>
      <c r="H67" s="16">
        <v>1.0</v>
      </c>
      <c r="I67" s="15"/>
      <c r="J67" s="17">
        <v>-1.0</v>
      </c>
      <c r="K67" s="17">
        <v>-1.0</v>
      </c>
      <c r="L67" s="15"/>
      <c r="M67" s="17">
        <v>-2.0</v>
      </c>
      <c r="N67" s="15"/>
      <c r="O67" s="15"/>
      <c r="P67" s="15"/>
      <c r="Q67" s="15"/>
      <c r="R67" s="15"/>
      <c r="S67" s="15"/>
      <c r="T67" s="15"/>
      <c r="U67" s="15"/>
      <c r="V67" s="15"/>
    </row>
    <row r="68" ht="15.0" customHeight="1">
      <c r="A68" s="18" t="s">
        <v>448</v>
      </c>
      <c r="B68" s="19">
        <v>221.0</v>
      </c>
      <c r="C68" s="23">
        <v>-761.0</v>
      </c>
      <c r="D68" s="19">
        <v>236.0</v>
      </c>
      <c r="E68" s="19">
        <v>619.0</v>
      </c>
      <c r="F68" s="19">
        <v>431.0</v>
      </c>
      <c r="G68" s="23">
        <v>-219.0</v>
      </c>
      <c r="H68" s="23">
        <v>-555.0</v>
      </c>
      <c r="I68" s="19">
        <v>247.0</v>
      </c>
      <c r="J68" s="19">
        <v>737.0</v>
      </c>
      <c r="K68" s="19">
        <v>2720.0</v>
      </c>
      <c r="L68" s="23">
        <v>-216.0</v>
      </c>
      <c r="M68" s="19">
        <v>4499.0</v>
      </c>
      <c r="N68" s="23">
        <v>-4252.0</v>
      </c>
      <c r="O68" s="23">
        <v>-2003.0</v>
      </c>
      <c r="P68" s="23">
        <v>-202.0</v>
      </c>
      <c r="Q68" s="23">
        <v>-2109.0</v>
      </c>
      <c r="R68" s="23">
        <v>-3927.0</v>
      </c>
      <c r="S68" s="23">
        <v>-3732.0</v>
      </c>
      <c r="T68" s="23">
        <v>-1576.0</v>
      </c>
      <c r="U68" s="19">
        <v>985.0</v>
      </c>
      <c r="V68" s="23">
        <v>-443.0</v>
      </c>
    </row>
    <row r="69" ht="15.0" customHeight="1">
      <c r="A69" s="13" t="s">
        <v>449</v>
      </c>
      <c r="B69" s="17">
        <v>-66.0</v>
      </c>
      <c r="C69" s="15"/>
      <c r="D69" s="15"/>
      <c r="E69" s="15"/>
      <c r="F69" s="15"/>
      <c r="G69" s="15"/>
      <c r="H69" s="15"/>
      <c r="I69" s="15"/>
      <c r="J69" s="15"/>
      <c r="K69" s="21">
        <v>-2624.0</v>
      </c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</row>
    <row r="70" ht="15.0" customHeight="1">
      <c r="A70" s="13" t="s">
        <v>450</v>
      </c>
      <c r="B70" s="17">
        <v>-3.0</v>
      </c>
      <c r="C70" s="17">
        <v>-31.0</v>
      </c>
      <c r="D70" s="17">
        <v>-41.0</v>
      </c>
      <c r="E70" s="17">
        <v>-78.0</v>
      </c>
      <c r="F70" s="21">
        <v>-112.0</v>
      </c>
      <c r="G70" s="21">
        <v>-139.0</v>
      </c>
      <c r="H70" s="21">
        <v>-151.0</v>
      </c>
      <c r="I70" s="17">
        <v>-70.0</v>
      </c>
      <c r="J70" s="17">
        <v>-95.0</v>
      </c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</row>
    <row r="71" ht="15.0" customHeight="1">
      <c r="A71" s="13" t="s">
        <v>451</v>
      </c>
      <c r="B71" s="21">
        <v>-204.0</v>
      </c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21">
        <v>-1115.0</v>
      </c>
      <c r="N71" s="21">
        <v>-1082.0</v>
      </c>
      <c r="O71" s="21">
        <v>-1053.0</v>
      </c>
      <c r="P71" s="21">
        <v>-741.0</v>
      </c>
      <c r="Q71" s="21">
        <v>-700.0</v>
      </c>
      <c r="R71" s="21">
        <v>-431.0</v>
      </c>
      <c r="S71" s="21">
        <v>-807.0</v>
      </c>
      <c r="T71" s="21">
        <v>-2182.0</v>
      </c>
      <c r="U71" s="21">
        <v>-275.0</v>
      </c>
      <c r="V71" s="15">
        <v>0.0</v>
      </c>
    </row>
    <row r="72" ht="15.0" customHeight="1">
      <c r="A72" s="13" t="s">
        <v>452</v>
      </c>
      <c r="B72" s="15"/>
      <c r="C72" s="14">
        <v>249.0</v>
      </c>
      <c r="D72" s="14">
        <v>507.0</v>
      </c>
      <c r="E72" s="14">
        <v>756.0</v>
      </c>
      <c r="F72" s="14">
        <v>1067.0</v>
      </c>
      <c r="G72" s="14">
        <v>227.0</v>
      </c>
      <c r="H72" s="14">
        <v>1135.0</v>
      </c>
      <c r="I72" s="14">
        <v>924.0</v>
      </c>
      <c r="J72" s="14">
        <v>647.0</v>
      </c>
      <c r="K72" s="15"/>
      <c r="L72" s="14">
        <v>1378.0</v>
      </c>
      <c r="M72" s="14">
        <v>3770.0</v>
      </c>
      <c r="N72" s="14">
        <v>4182.0</v>
      </c>
      <c r="O72" s="14">
        <v>3114.0</v>
      </c>
      <c r="P72" s="14">
        <v>3300.0</v>
      </c>
      <c r="Q72" s="14">
        <v>799.0</v>
      </c>
      <c r="R72" s="14">
        <v>3341.0</v>
      </c>
      <c r="S72" s="14">
        <v>4956.0</v>
      </c>
      <c r="T72" s="15">
        <v>0.0</v>
      </c>
      <c r="U72" s="14">
        <v>1577.0</v>
      </c>
      <c r="V72" s="16">
        <v>7.0</v>
      </c>
    </row>
    <row r="73" ht="15.0" customHeight="1">
      <c r="A73" s="13" t="s">
        <v>453</v>
      </c>
      <c r="B73" s="15"/>
      <c r="C73" s="21">
        <v>-1350.0</v>
      </c>
      <c r="D73" s="21">
        <v>-382.0</v>
      </c>
      <c r="E73" s="21">
        <v>-996.0</v>
      </c>
      <c r="F73" s="21">
        <v>-1472.0</v>
      </c>
      <c r="G73" s="21">
        <v>-316.0</v>
      </c>
      <c r="H73" s="21">
        <v>-469.0</v>
      </c>
      <c r="I73" s="21">
        <v>-1335.0</v>
      </c>
      <c r="J73" s="21">
        <v>-942.0</v>
      </c>
      <c r="K73" s="15"/>
      <c r="L73" s="21">
        <v>-1193.0</v>
      </c>
      <c r="M73" s="21">
        <v>-7963.0</v>
      </c>
      <c r="N73" s="21">
        <v>-901.0</v>
      </c>
      <c r="O73" s="21">
        <v>-1851.0</v>
      </c>
      <c r="P73" s="21">
        <v>-5406.0</v>
      </c>
      <c r="Q73" s="21">
        <v>-200.0</v>
      </c>
      <c r="R73" s="21">
        <v>-3116.0</v>
      </c>
      <c r="S73" s="17">
        <v>-24.0</v>
      </c>
      <c r="T73" s="17">
        <v>-19.0</v>
      </c>
      <c r="U73" s="21">
        <v>-3535.0</v>
      </c>
      <c r="V73" s="21">
        <v>-290.0</v>
      </c>
    </row>
    <row r="74" ht="15.0" customHeight="1">
      <c r="A74" s="13" t="s">
        <v>454</v>
      </c>
      <c r="B74" s="15"/>
      <c r="C74" s="15"/>
      <c r="D74" s="15"/>
      <c r="E74" s="15"/>
      <c r="F74" s="15">
        <v>0.0</v>
      </c>
      <c r="G74" s="16">
        <v>2.0</v>
      </c>
      <c r="H74" s="16">
        <v>4.0</v>
      </c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</row>
    <row r="75" ht="15.0" customHeight="1">
      <c r="A75" s="13" t="s">
        <v>455</v>
      </c>
      <c r="B75" s="15"/>
      <c r="C75" s="15"/>
      <c r="D75" s="15"/>
      <c r="E75" s="15"/>
      <c r="F75" s="15"/>
      <c r="G75" s="15">
        <v>0.0</v>
      </c>
      <c r="H75" s="17">
        <v>-3.0</v>
      </c>
      <c r="I75" s="15"/>
      <c r="J75" s="15"/>
      <c r="K75" s="15"/>
      <c r="L75" s="15"/>
      <c r="M75" s="15"/>
      <c r="N75" s="15"/>
      <c r="O75" s="17">
        <v>-1.0</v>
      </c>
      <c r="P75" s="17">
        <v>-23.0</v>
      </c>
      <c r="Q75" s="17">
        <v>-13.0</v>
      </c>
      <c r="R75" s="17">
        <v>-78.0</v>
      </c>
      <c r="S75" s="15">
        <v>0.0</v>
      </c>
      <c r="T75" s="15"/>
      <c r="U75" s="15"/>
      <c r="V75" s="15"/>
    </row>
    <row r="76" ht="15.0" customHeight="1">
      <c r="A76" s="13" t="s">
        <v>456</v>
      </c>
      <c r="B76" s="15"/>
      <c r="C76" s="15"/>
      <c r="D76" s="15"/>
      <c r="E76" s="15">
        <v>0.0</v>
      </c>
      <c r="F76" s="16">
        <v>1.0</v>
      </c>
      <c r="G76" s="15"/>
      <c r="H76" s="15"/>
      <c r="I76" s="15"/>
      <c r="J76" s="15"/>
      <c r="K76" s="15"/>
      <c r="L76" s="15"/>
      <c r="M76" s="15"/>
      <c r="N76" s="15"/>
      <c r="O76" s="15"/>
      <c r="P76" s="15">
        <v>0.0</v>
      </c>
      <c r="Q76" s="16">
        <v>8.0</v>
      </c>
      <c r="R76" s="15"/>
      <c r="S76" s="15"/>
      <c r="T76" s="15"/>
      <c r="U76" s="15"/>
      <c r="V76" s="15"/>
    </row>
    <row r="77" ht="15.0" customHeight="1">
      <c r="A77" s="13" t="s">
        <v>457</v>
      </c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7">
        <v>-60.0</v>
      </c>
      <c r="N77" s="21">
        <v>-100.0</v>
      </c>
      <c r="O77" s="21">
        <v>-121.0</v>
      </c>
      <c r="P77" s="17">
        <v>-79.0</v>
      </c>
      <c r="Q77" s="17">
        <v>-57.0</v>
      </c>
      <c r="R77" s="17">
        <v>-20.0</v>
      </c>
      <c r="S77" s="17">
        <v>-70.0</v>
      </c>
      <c r="T77" s="21">
        <v>-781.0</v>
      </c>
      <c r="U77" s="15"/>
      <c r="V77" s="15"/>
    </row>
    <row r="78" ht="15.0" customHeight="1">
      <c r="A78" s="13" t="s">
        <v>458</v>
      </c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6">
        <v>26.0</v>
      </c>
      <c r="N78" s="14">
        <v>183.0</v>
      </c>
      <c r="O78" s="14">
        <v>179.0</v>
      </c>
      <c r="P78" s="16">
        <v>77.0</v>
      </c>
      <c r="Q78" s="16">
        <v>56.0</v>
      </c>
      <c r="R78" s="16">
        <v>46.0</v>
      </c>
      <c r="S78" s="15">
        <v>0.0</v>
      </c>
      <c r="T78" s="15"/>
      <c r="U78" s="15"/>
      <c r="V78" s="15"/>
    </row>
    <row r="79" ht="15.0" customHeight="1">
      <c r="A79" s="13" t="s">
        <v>459</v>
      </c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7">
        <v>-6.0</v>
      </c>
      <c r="P79" s="17">
        <v>-6.0</v>
      </c>
      <c r="Q79" s="17">
        <v>-14.0</v>
      </c>
      <c r="R79" s="17">
        <v>-20.0</v>
      </c>
      <c r="S79" s="17">
        <v>-22.0</v>
      </c>
      <c r="T79" s="17">
        <v>-31.0</v>
      </c>
      <c r="U79" s="17">
        <v>-44.0</v>
      </c>
      <c r="V79" s="17">
        <v>-23.0</v>
      </c>
    </row>
    <row r="80" ht="15.0" customHeight="1">
      <c r="A80" s="13" t="s">
        <v>460</v>
      </c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>
        <v>0.0</v>
      </c>
      <c r="S80" s="16">
        <v>72.0</v>
      </c>
      <c r="T80" s="15"/>
      <c r="U80" s="15"/>
      <c r="V80" s="15"/>
    </row>
    <row r="81" ht="15.0" customHeight="1">
      <c r="A81" s="13" t="s">
        <v>461</v>
      </c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>
        <v>0.0</v>
      </c>
      <c r="U81" s="21">
        <v>-2411.0</v>
      </c>
      <c r="V81" s="15">
        <v>0.0</v>
      </c>
    </row>
    <row r="82" ht="15.0" customHeight="1">
      <c r="A82" s="13" t="s">
        <v>462</v>
      </c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6">
        <v>6.0</v>
      </c>
      <c r="N82" s="15">
        <v>0.0</v>
      </c>
      <c r="O82" s="15"/>
      <c r="P82" s="15"/>
      <c r="Q82" s="15"/>
      <c r="R82" s="15"/>
      <c r="S82" s="15"/>
      <c r="T82" s="15"/>
      <c r="U82" s="15"/>
      <c r="V82" s="15"/>
    </row>
    <row r="83" ht="15.0" customHeight="1">
      <c r="A83" s="13" t="s">
        <v>463</v>
      </c>
      <c r="B83" s="17">
        <v>-1.0</v>
      </c>
      <c r="C83" s="15"/>
      <c r="D83" s="16">
        <v>1.0</v>
      </c>
      <c r="E83" s="15"/>
      <c r="F83" s="15"/>
      <c r="G83" s="17">
        <v>-1.0</v>
      </c>
      <c r="H83" s="16">
        <v>1.0</v>
      </c>
      <c r="I83" s="15"/>
      <c r="J83" s="17">
        <v>-1.0</v>
      </c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</row>
    <row r="84" ht="15.0" customHeight="1">
      <c r="A84" s="18" t="s">
        <v>464</v>
      </c>
      <c r="B84" s="23">
        <v>-274.0</v>
      </c>
      <c r="C84" s="23">
        <v>-1132.0</v>
      </c>
      <c r="D84" s="24">
        <v>85.0</v>
      </c>
      <c r="E84" s="23">
        <v>-318.0</v>
      </c>
      <c r="F84" s="23">
        <v>-516.0</v>
      </c>
      <c r="G84" s="23">
        <v>-227.0</v>
      </c>
      <c r="H84" s="19">
        <v>517.0</v>
      </c>
      <c r="I84" s="23">
        <v>-481.0</v>
      </c>
      <c r="J84" s="23">
        <v>-391.0</v>
      </c>
      <c r="K84" s="23">
        <v>-2624.0</v>
      </c>
      <c r="L84" s="19">
        <v>185.0</v>
      </c>
      <c r="M84" s="23">
        <v>-5336.0</v>
      </c>
      <c r="N84" s="19">
        <v>2282.0</v>
      </c>
      <c r="O84" s="19">
        <v>261.0</v>
      </c>
      <c r="P84" s="23">
        <v>-2878.0</v>
      </c>
      <c r="Q84" s="23">
        <v>-121.0</v>
      </c>
      <c r="R84" s="23">
        <v>-278.0</v>
      </c>
      <c r="S84" s="19">
        <v>4105.0</v>
      </c>
      <c r="T84" s="23">
        <v>-3013.0</v>
      </c>
      <c r="U84" s="23">
        <v>-4688.0</v>
      </c>
      <c r="V84" s="23">
        <v>-306.0</v>
      </c>
    </row>
    <row r="85" ht="15.0" customHeight="1">
      <c r="A85" s="13" t="s">
        <v>465</v>
      </c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21">
        <v>-1064.0</v>
      </c>
      <c r="N85" s="15">
        <v>0.0</v>
      </c>
      <c r="O85" s="15"/>
      <c r="P85" s="15"/>
      <c r="Q85" s="15"/>
      <c r="R85" s="15"/>
      <c r="S85" s="15"/>
      <c r="T85" s="15"/>
      <c r="U85" s="15"/>
      <c r="V85" s="15"/>
    </row>
    <row r="86" ht="15.0" customHeight="1">
      <c r="A86" s="18" t="s">
        <v>466</v>
      </c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3">
        <v>-1064.0</v>
      </c>
      <c r="N86" s="20">
        <v>0.0</v>
      </c>
      <c r="O86" s="20"/>
      <c r="P86" s="20"/>
      <c r="Q86" s="20"/>
      <c r="R86" s="20"/>
      <c r="S86" s="20"/>
      <c r="T86" s="20"/>
      <c r="U86" s="20"/>
      <c r="V86" s="20"/>
    </row>
    <row r="87" ht="15.0" customHeight="1">
      <c r="A87" s="13" t="s">
        <v>467</v>
      </c>
      <c r="B87" s="16">
        <v>6.0</v>
      </c>
      <c r="C87" s="16">
        <v>16.0</v>
      </c>
      <c r="D87" s="15">
        <v>0.0</v>
      </c>
      <c r="E87" s="17">
        <v>-26.0</v>
      </c>
      <c r="F87" s="17">
        <v>-5.0</v>
      </c>
      <c r="G87" s="17">
        <v>-45.0</v>
      </c>
      <c r="H87" s="17">
        <v>-11.0</v>
      </c>
      <c r="I87" s="17">
        <v>-50.0</v>
      </c>
      <c r="J87" s="17">
        <v>-45.0</v>
      </c>
      <c r="K87" s="16">
        <v>10.0</v>
      </c>
      <c r="L87" s="14">
        <v>121.0</v>
      </c>
      <c r="M87" s="14">
        <v>142.0</v>
      </c>
      <c r="N87" s="16">
        <v>23.0</v>
      </c>
      <c r="O87" s="21">
        <v>-135.0</v>
      </c>
      <c r="P87" s="21">
        <v>-432.0</v>
      </c>
      <c r="Q87" s="14">
        <v>111.0</v>
      </c>
      <c r="R87" s="21">
        <v>-682.0</v>
      </c>
      <c r="S87" s="14">
        <v>799.0</v>
      </c>
      <c r="T87" s="21">
        <v>-228.0</v>
      </c>
      <c r="U87" s="17">
        <v>-13.0</v>
      </c>
      <c r="V87" s="14">
        <v>118.0</v>
      </c>
    </row>
    <row r="88" ht="15.0" customHeight="1">
      <c r="A88" s="13" t="s">
        <v>468</v>
      </c>
      <c r="B88" s="16">
        <v>47.0</v>
      </c>
      <c r="C88" s="14">
        <v>144.0</v>
      </c>
      <c r="D88" s="14">
        <v>119.0</v>
      </c>
      <c r="E88" s="16">
        <v>89.0</v>
      </c>
      <c r="F88" s="14">
        <v>275.0</v>
      </c>
      <c r="G88" s="14">
        <v>555.0</v>
      </c>
      <c r="H88" s="14">
        <v>198.0</v>
      </c>
      <c r="I88" s="14">
        <v>168.0</v>
      </c>
      <c r="J88" s="14">
        <v>540.0</v>
      </c>
      <c r="K88" s="14">
        <v>563.0</v>
      </c>
      <c r="L88" s="14">
        <v>1075.0</v>
      </c>
      <c r="M88" s="14">
        <v>2345.0</v>
      </c>
      <c r="N88" s="14">
        <v>1214.0</v>
      </c>
      <c r="O88" s="14">
        <v>1308.0</v>
      </c>
      <c r="P88" s="14">
        <v>993.0</v>
      </c>
      <c r="Q88" s="14">
        <v>3186.0</v>
      </c>
      <c r="R88" s="14">
        <v>3828.0</v>
      </c>
      <c r="S88" s="14">
        <v>3524.0</v>
      </c>
      <c r="T88" s="14">
        <v>5666.0</v>
      </c>
      <c r="U88" s="14">
        <v>6746.0</v>
      </c>
      <c r="V88" s="14">
        <v>3703.0</v>
      </c>
    </row>
    <row r="89" ht="15.0" customHeight="1">
      <c r="A89" s="13" t="s">
        <v>469</v>
      </c>
      <c r="B89" s="16">
        <v>43.0</v>
      </c>
      <c r="C89" s="16">
        <v>47.0</v>
      </c>
      <c r="D89" s="14">
        <v>144.0</v>
      </c>
      <c r="E89" s="14">
        <v>119.0</v>
      </c>
      <c r="F89" s="16">
        <v>89.0</v>
      </c>
      <c r="G89" s="14">
        <v>275.0</v>
      </c>
      <c r="H89" s="14">
        <v>555.0</v>
      </c>
      <c r="I89" s="14">
        <v>198.0</v>
      </c>
      <c r="J89" s="14">
        <v>168.0</v>
      </c>
      <c r="K89" s="14">
        <v>540.0</v>
      </c>
      <c r="L89" s="14">
        <v>563.0</v>
      </c>
      <c r="M89" s="14">
        <v>1075.0</v>
      </c>
      <c r="N89" s="14">
        <v>2345.0</v>
      </c>
      <c r="O89" s="14">
        <v>1214.0</v>
      </c>
      <c r="P89" s="14">
        <v>1308.0</v>
      </c>
      <c r="Q89" s="14">
        <v>3198.0</v>
      </c>
      <c r="R89" s="14">
        <v>3186.0</v>
      </c>
      <c r="S89" s="14">
        <v>3828.0</v>
      </c>
      <c r="T89" s="14">
        <v>3524.0</v>
      </c>
      <c r="U89" s="14">
        <v>5666.0</v>
      </c>
      <c r="V89" s="14">
        <v>6746.0</v>
      </c>
    </row>
    <row r="90" ht="15.0" customHeight="1">
      <c r="A90" s="13" t="s">
        <v>470</v>
      </c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21">
        <v>-206.0</v>
      </c>
      <c r="N90" s="14">
        <v>1131.0</v>
      </c>
      <c r="O90" s="15"/>
      <c r="P90" s="15"/>
      <c r="Q90" s="15"/>
      <c r="R90" s="15"/>
      <c r="S90" s="15"/>
      <c r="T90" s="15"/>
      <c r="U90" s="15"/>
      <c r="V90" s="15"/>
    </row>
    <row r="91" ht="15.0" customHeight="1">
      <c r="A91" s="13" t="s">
        <v>471</v>
      </c>
      <c r="B91" s="16">
        <v>1.0</v>
      </c>
      <c r="C91" s="15"/>
      <c r="D91" s="15"/>
      <c r="E91" s="15"/>
      <c r="F91" s="15"/>
      <c r="G91" s="15"/>
      <c r="H91" s="15"/>
      <c r="I91" s="17">
        <v>-1.0</v>
      </c>
      <c r="J91" s="16">
        <v>1.0</v>
      </c>
      <c r="K91" s="15"/>
      <c r="L91" s="16">
        <v>1.0</v>
      </c>
      <c r="M91" s="15"/>
      <c r="N91" s="15"/>
      <c r="O91" s="15"/>
      <c r="P91" s="15"/>
      <c r="Q91" s="15"/>
      <c r="R91" s="15"/>
      <c r="S91" s="15"/>
      <c r="T91" s="15"/>
      <c r="U91" s="15"/>
      <c r="V91" s="15"/>
    </row>
    <row r="92" ht="15.0" customHeight="1">
      <c r="A92" s="18" t="s">
        <v>472</v>
      </c>
      <c r="B92" s="22">
        <v>-4.0</v>
      </c>
      <c r="C92" s="22">
        <v>-98.0</v>
      </c>
      <c r="D92" s="24">
        <v>25.0</v>
      </c>
      <c r="E92" s="24">
        <v>31.0</v>
      </c>
      <c r="F92" s="23">
        <v>-186.0</v>
      </c>
      <c r="G92" s="23">
        <v>-280.0</v>
      </c>
      <c r="H92" s="19">
        <v>357.0</v>
      </c>
      <c r="I92" s="24">
        <v>30.0</v>
      </c>
      <c r="J92" s="23">
        <v>-371.0</v>
      </c>
      <c r="K92" s="22">
        <v>-23.0</v>
      </c>
      <c r="L92" s="23">
        <v>-512.0</v>
      </c>
      <c r="M92" s="23">
        <v>-1271.0</v>
      </c>
      <c r="N92" s="19">
        <v>1131.0</v>
      </c>
      <c r="O92" s="22">
        <v>-94.0</v>
      </c>
      <c r="P92" s="19">
        <v>315.0</v>
      </c>
      <c r="Q92" s="24">
        <v>12.0</v>
      </c>
      <c r="R92" s="23">
        <v>-642.0</v>
      </c>
      <c r="S92" s="19">
        <v>304.0</v>
      </c>
      <c r="T92" s="23">
        <v>-2142.0</v>
      </c>
      <c r="U92" s="23">
        <v>-1080.0</v>
      </c>
      <c r="V92" s="19">
        <v>3043.0</v>
      </c>
    </row>
    <row r="93" ht="15.0" customHeight="1">
      <c r="A93" s="13" t="s">
        <v>473</v>
      </c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4">
        <v>2763.0</v>
      </c>
      <c r="R93" s="14">
        <v>2633.0</v>
      </c>
      <c r="S93" s="14">
        <v>2745.0</v>
      </c>
      <c r="T93" s="14">
        <v>3240.0</v>
      </c>
      <c r="U93" s="14">
        <v>2456.0</v>
      </c>
      <c r="V93" s="14">
        <v>1593.0</v>
      </c>
    </row>
    <row r="94" ht="15.0" customHeight="1">
      <c r="A94" s="13" t="s">
        <v>474</v>
      </c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21">
        <v>-255.0</v>
      </c>
      <c r="R94" s="21">
        <v>-174.0</v>
      </c>
      <c r="S94" s="15"/>
      <c r="T94" s="15"/>
      <c r="U94" s="15"/>
      <c r="V94" s="15"/>
    </row>
    <row r="95" ht="15.0" customHeight="1">
      <c r="A95" s="13" t="s">
        <v>475</v>
      </c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6">
        <v>6.0</v>
      </c>
      <c r="R95" s="16">
        <v>51.0</v>
      </c>
      <c r="S95" s="15"/>
      <c r="T95" s="15"/>
      <c r="U95" s="15"/>
      <c r="V95" s="15"/>
    </row>
    <row r="96" ht="15.0" customHeight="1">
      <c r="A96" s="13" t="s">
        <v>476</v>
      </c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4">
        <v>331.0</v>
      </c>
      <c r="R96" s="16">
        <v>67.0</v>
      </c>
      <c r="S96" s="15"/>
      <c r="T96" s="15"/>
      <c r="U96" s="15"/>
      <c r="V96" s="15"/>
    </row>
    <row r="97" ht="15.0" customHeight="1">
      <c r="A97" s="13" t="s">
        <v>477</v>
      </c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6">
        <v>70.0</v>
      </c>
      <c r="R97" s="21">
        <v>-158.0</v>
      </c>
      <c r="S97" s="15"/>
      <c r="T97" s="15"/>
      <c r="U97" s="15"/>
      <c r="V97" s="15"/>
    </row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2" width="15.71"/>
    <col customWidth="1" min="23" max="26" width="8.71"/>
  </cols>
  <sheetData>
    <row r="1" ht="15.0" customHeight="1">
      <c r="A1" s="1" t="s">
        <v>478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46090.4373733333</v>
      </c>
    </row>
    <row r="11">
      <c r="A11" s="6" t="s">
        <v>17</v>
      </c>
      <c r="B11" s="7" t="s">
        <v>19</v>
      </c>
      <c r="C11" s="7" t="s">
        <v>20</v>
      </c>
      <c r="D11" s="7" t="s">
        <v>21</v>
      </c>
      <c r="E11" s="7" t="s">
        <v>22</v>
      </c>
      <c r="F11" s="7" t="s">
        <v>23</v>
      </c>
      <c r="G11" s="7" t="s">
        <v>24</v>
      </c>
      <c r="H11" s="7" t="s">
        <v>25</v>
      </c>
      <c r="I11" s="7" t="s">
        <v>26</v>
      </c>
      <c r="J11" s="7" t="s">
        <v>27</v>
      </c>
      <c r="K11" s="7" t="s">
        <v>28</v>
      </c>
      <c r="L11" s="7" t="s">
        <v>29</v>
      </c>
      <c r="M11" s="7" t="s">
        <v>30</v>
      </c>
      <c r="N11" s="7" t="s">
        <v>31</v>
      </c>
      <c r="O11" s="7" t="s">
        <v>32</v>
      </c>
      <c r="P11" s="7" t="s">
        <v>33</v>
      </c>
      <c r="Q11" s="7" t="s">
        <v>34</v>
      </c>
      <c r="R11" s="7" t="s">
        <v>35</v>
      </c>
      <c r="S11" s="7" t="s">
        <v>36</v>
      </c>
      <c r="T11" s="7" t="s">
        <v>37</v>
      </c>
      <c r="U11" s="7" t="s">
        <v>38</v>
      </c>
      <c r="V11" s="7" t="s">
        <v>479</v>
      </c>
    </row>
    <row r="12" ht="15.0" customHeight="1" outlineLevel="1">
      <c r="A12" s="8" t="s">
        <v>39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  <c r="I12" s="9">
        <v>43100.0</v>
      </c>
      <c r="J12" s="9">
        <v>42735.0</v>
      </c>
      <c r="K12" s="9">
        <v>42369.0</v>
      </c>
      <c r="L12" s="9">
        <v>42004.0</v>
      </c>
      <c r="M12" s="9">
        <v>41639.0</v>
      </c>
      <c r="N12" s="9">
        <v>41274.0</v>
      </c>
      <c r="O12" s="9">
        <v>40908.0</v>
      </c>
      <c r="P12" s="9">
        <v>40543.0</v>
      </c>
      <c r="Q12" s="9">
        <v>40178.0</v>
      </c>
      <c r="R12" s="9">
        <v>39813.0</v>
      </c>
      <c r="S12" s="9">
        <v>39447.0</v>
      </c>
      <c r="T12" s="9">
        <v>39082.0</v>
      </c>
      <c r="U12" s="9">
        <v>38717.0</v>
      </c>
      <c r="V12" s="9">
        <v>38352.0</v>
      </c>
    </row>
    <row r="13" ht="15.0" customHeight="1" outlineLevel="1">
      <c r="A13" s="8" t="s">
        <v>40</v>
      </c>
      <c r="B13" s="9">
        <v>45657.0</v>
      </c>
      <c r="C13" s="9">
        <v>45291.0</v>
      </c>
      <c r="D13" s="9">
        <v>45291.0</v>
      </c>
      <c r="E13" s="9">
        <v>44561.0</v>
      </c>
      <c r="F13" s="9">
        <v>44561.0</v>
      </c>
      <c r="G13" s="9">
        <v>43830.0</v>
      </c>
      <c r="H13" s="9">
        <v>43465.0</v>
      </c>
      <c r="I13" s="9">
        <v>43465.0</v>
      </c>
      <c r="J13" s="9">
        <v>42916.0</v>
      </c>
      <c r="K13" s="9">
        <v>42735.0</v>
      </c>
      <c r="L13" s="9">
        <v>42004.0</v>
      </c>
      <c r="M13" s="9">
        <v>42004.0</v>
      </c>
      <c r="N13" s="9">
        <v>41639.0</v>
      </c>
      <c r="O13" s="9">
        <v>40908.0</v>
      </c>
      <c r="P13" s="9">
        <v>40908.0</v>
      </c>
      <c r="Q13" s="9">
        <v>40543.0</v>
      </c>
      <c r="R13" s="9">
        <v>39813.0</v>
      </c>
      <c r="S13" s="9">
        <v>39447.0</v>
      </c>
      <c r="T13" s="9">
        <v>39082.0</v>
      </c>
      <c r="U13" s="9">
        <v>38807.0</v>
      </c>
      <c r="V13" s="9">
        <v>38352.0</v>
      </c>
    </row>
    <row r="14" ht="15.0" customHeight="1" outlineLevel="1">
      <c r="A14" s="8" t="s">
        <v>41</v>
      </c>
      <c r="B14" s="10" t="s">
        <v>42</v>
      </c>
      <c r="C14" s="10" t="s">
        <v>42</v>
      </c>
      <c r="D14" s="10" t="s">
        <v>42</v>
      </c>
      <c r="E14" s="10" t="s">
        <v>42</v>
      </c>
      <c r="F14" s="10" t="s">
        <v>42</v>
      </c>
      <c r="G14" s="10" t="s">
        <v>42</v>
      </c>
      <c r="H14" s="10" t="s">
        <v>42</v>
      </c>
      <c r="I14" s="10" t="s">
        <v>42</v>
      </c>
      <c r="J14" s="10" t="s">
        <v>42</v>
      </c>
      <c r="K14" s="10" t="s">
        <v>42</v>
      </c>
      <c r="L14" s="10" t="s">
        <v>42</v>
      </c>
      <c r="M14" s="10" t="s">
        <v>42</v>
      </c>
      <c r="N14" s="10" t="s">
        <v>42</v>
      </c>
      <c r="O14" s="10" t="s">
        <v>42</v>
      </c>
      <c r="P14" s="10" t="s">
        <v>42</v>
      </c>
      <c r="Q14" s="10" t="s">
        <v>42</v>
      </c>
      <c r="R14" s="10" t="s">
        <v>42</v>
      </c>
      <c r="S14" s="10" t="s">
        <v>42</v>
      </c>
      <c r="T14" s="10" t="s">
        <v>42</v>
      </c>
      <c r="U14" s="10" t="s">
        <v>42</v>
      </c>
      <c r="V14" s="10" t="s">
        <v>42</v>
      </c>
    </row>
    <row r="15" ht="15.0" customHeight="1" outlineLevel="1">
      <c r="A15" s="8" t="s">
        <v>43</v>
      </c>
      <c r="B15" s="10" t="s">
        <v>44</v>
      </c>
      <c r="C15" s="10" t="s">
        <v>44</v>
      </c>
      <c r="D15" s="10" t="s">
        <v>44</v>
      </c>
      <c r="E15" s="10" t="s">
        <v>44</v>
      </c>
      <c r="F15" s="10" t="s">
        <v>44</v>
      </c>
      <c r="G15" s="10" t="s">
        <v>44</v>
      </c>
      <c r="H15" s="10" t="s">
        <v>44</v>
      </c>
      <c r="I15" s="10" t="s">
        <v>44</v>
      </c>
      <c r="J15" s="10" t="s">
        <v>44</v>
      </c>
      <c r="K15" s="10" t="s">
        <v>44</v>
      </c>
      <c r="L15" s="10" t="s">
        <v>44</v>
      </c>
      <c r="M15" s="10" t="s">
        <v>44</v>
      </c>
      <c r="N15" s="10" t="s">
        <v>44</v>
      </c>
      <c r="O15" s="10" t="s">
        <v>44</v>
      </c>
      <c r="P15" s="10" t="s">
        <v>44</v>
      </c>
      <c r="Q15" s="10" t="s">
        <v>44</v>
      </c>
      <c r="R15" s="10" t="s">
        <v>44</v>
      </c>
      <c r="S15" s="10" t="s">
        <v>44</v>
      </c>
      <c r="T15" s="10" t="s">
        <v>44</v>
      </c>
      <c r="U15" s="10" t="s">
        <v>44</v>
      </c>
      <c r="V15" s="10" t="s">
        <v>44</v>
      </c>
    </row>
    <row r="17">
      <c r="A17" s="11" t="s">
        <v>480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</row>
    <row r="18">
      <c r="A18" s="11" t="s">
        <v>46</v>
      </c>
      <c r="B18" s="12" t="s">
        <v>48</v>
      </c>
      <c r="C18" s="12" t="s">
        <v>49</v>
      </c>
      <c r="D18" s="12" t="s">
        <v>50</v>
      </c>
      <c r="E18" s="12" t="s">
        <v>51</v>
      </c>
      <c r="F18" s="12" t="s">
        <v>52</v>
      </c>
      <c r="G18" s="12" t="s">
        <v>53</v>
      </c>
      <c r="H18" s="12" t="s">
        <v>54</v>
      </c>
      <c r="I18" s="12" t="s">
        <v>55</v>
      </c>
      <c r="J18" s="12" t="s">
        <v>56</v>
      </c>
      <c r="K18" s="12" t="s">
        <v>57</v>
      </c>
      <c r="L18" s="12" t="s">
        <v>58</v>
      </c>
      <c r="M18" s="12" t="s">
        <v>59</v>
      </c>
      <c r="N18" s="12" t="s">
        <v>60</v>
      </c>
      <c r="O18" s="12" t="s">
        <v>61</v>
      </c>
      <c r="P18" s="12" t="s">
        <v>62</v>
      </c>
      <c r="Q18" s="12" t="s">
        <v>63</v>
      </c>
      <c r="R18" s="12" t="s">
        <v>64</v>
      </c>
      <c r="S18" s="12" t="s">
        <v>65</v>
      </c>
      <c r="T18" s="12" t="s">
        <v>66</v>
      </c>
      <c r="U18" s="12" t="s">
        <v>67</v>
      </c>
      <c r="V18" s="12" t="s">
        <v>481</v>
      </c>
    </row>
    <row r="19" ht="15.0" customHeight="1">
      <c r="A19" s="25" t="s">
        <v>482</v>
      </c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</row>
    <row r="20" ht="15.0" customHeight="1">
      <c r="A20" s="27" t="s">
        <v>482</v>
      </c>
      <c r="B20" s="28">
        <v>3193.35</v>
      </c>
      <c r="C20" s="28">
        <v>4163.54</v>
      </c>
      <c r="D20" s="28">
        <v>3478.73</v>
      </c>
      <c r="E20" s="28">
        <v>2654.21</v>
      </c>
      <c r="F20" s="28">
        <v>3844.65</v>
      </c>
      <c r="G20" s="28">
        <v>4073.08</v>
      </c>
      <c r="H20" s="28">
        <v>3657.28</v>
      </c>
      <c r="I20" s="28">
        <v>6406.28</v>
      </c>
      <c r="J20" s="28">
        <v>6611.46</v>
      </c>
      <c r="K20" s="28">
        <v>8121.23</v>
      </c>
      <c r="L20" s="28">
        <v>9333.62</v>
      </c>
      <c r="M20" s="29">
        <v>15132.6</v>
      </c>
      <c r="N20" s="29">
        <v>12883.7</v>
      </c>
      <c r="O20" s="28">
        <v>8845.0</v>
      </c>
      <c r="P20" s="29">
        <v>10709.09</v>
      </c>
      <c r="Q20" s="28">
        <v>8784.16</v>
      </c>
      <c r="R20" s="28">
        <v>5613.48</v>
      </c>
      <c r="S20" s="28">
        <v>6509.89</v>
      </c>
      <c r="T20" s="28">
        <v>5563.86</v>
      </c>
      <c r="U20" s="28">
        <v>3354.35</v>
      </c>
      <c r="V20" s="29"/>
    </row>
    <row r="21" ht="15.0" customHeight="1">
      <c r="A21" s="27" t="s">
        <v>483</v>
      </c>
      <c r="B21" s="28">
        <v>3466.89</v>
      </c>
      <c r="C21" s="28">
        <v>3642.84</v>
      </c>
      <c r="D21" s="28">
        <v>3541.59</v>
      </c>
      <c r="E21" s="28">
        <v>4127.1</v>
      </c>
      <c r="F21" s="28">
        <v>4918.55</v>
      </c>
      <c r="G21" s="28">
        <v>5773.87</v>
      </c>
      <c r="H21" s="28">
        <v>6825.97</v>
      </c>
      <c r="I21" s="28">
        <v>9121.04</v>
      </c>
      <c r="J21" s="29">
        <v>10416.52</v>
      </c>
      <c r="K21" s="29">
        <v>10863.23</v>
      </c>
      <c r="L21" s="29">
        <v>11380.8</v>
      </c>
      <c r="M21" s="29">
        <v>11270.91</v>
      </c>
      <c r="N21" s="28">
        <v>9367.09</v>
      </c>
      <c r="O21" s="28">
        <v>8092.32</v>
      </c>
      <c r="P21" s="28">
        <v>7436.09</v>
      </c>
      <c r="Q21" s="28">
        <v>5965.15</v>
      </c>
      <c r="R21" s="29"/>
      <c r="S21" s="29"/>
      <c r="T21" s="29"/>
      <c r="U21" s="29"/>
      <c r="V21" s="29"/>
    </row>
    <row r="22" ht="15.0" customHeight="1">
      <c r="A22" s="25" t="s">
        <v>484</v>
      </c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</row>
    <row r="23" ht="15.0" customHeight="1">
      <c r="A23" s="27" t="s">
        <v>484</v>
      </c>
      <c r="B23" s="28">
        <v>3233.35</v>
      </c>
      <c r="C23" s="28">
        <v>2904.54</v>
      </c>
      <c r="D23" s="28">
        <v>2296.73</v>
      </c>
      <c r="E23" s="28">
        <v>1330.21</v>
      </c>
      <c r="F23" s="28">
        <v>1763.65</v>
      </c>
      <c r="G23" s="28">
        <v>2476.08</v>
      </c>
      <c r="H23" s="28">
        <v>3253.28</v>
      </c>
      <c r="I23" s="28">
        <v>4085.28</v>
      </c>
      <c r="J23" s="28">
        <v>4035.46</v>
      </c>
      <c r="K23" s="28">
        <v>2989.23</v>
      </c>
      <c r="L23" s="28">
        <v>5380.62</v>
      </c>
      <c r="M23" s="28">
        <v>6000.6</v>
      </c>
      <c r="N23" s="28">
        <v>6249.7</v>
      </c>
      <c r="O23" s="28">
        <v>3984.0</v>
      </c>
      <c r="P23" s="28">
        <v>5494.09</v>
      </c>
      <c r="Q23" s="28">
        <v>4308.16</v>
      </c>
      <c r="R23" s="28">
        <v>2569.48</v>
      </c>
      <c r="S23" s="28">
        <v>8250.89</v>
      </c>
      <c r="T23" s="28">
        <v>8921.86</v>
      </c>
      <c r="U23" s="28">
        <v>4753.35</v>
      </c>
      <c r="V23" s="29"/>
    </row>
    <row r="24" ht="15.0" customHeight="1">
      <c r="A24" s="27" t="s">
        <v>485</v>
      </c>
      <c r="B24" s="28">
        <v>2305.69</v>
      </c>
      <c r="C24" s="28">
        <v>2154.24</v>
      </c>
      <c r="D24" s="28">
        <v>2223.99</v>
      </c>
      <c r="E24" s="28">
        <v>2581.7</v>
      </c>
      <c r="F24" s="28">
        <v>3122.75</v>
      </c>
      <c r="G24" s="28">
        <v>3367.87</v>
      </c>
      <c r="H24" s="28">
        <v>3948.77</v>
      </c>
      <c r="I24" s="28">
        <v>4498.24</v>
      </c>
      <c r="J24" s="28">
        <v>4931.12</v>
      </c>
      <c r="K24" s="28">
        <v>4920.83</v>
      </c>
      <c r="L24" s="28">
        <v>5421.8</v>
      </c>
      <c r="M24" s="28">
        <v>5207.31</v>
      </c>
      <c r="N24" s="28">
        <v>4521.09</v>
      </c>
      <c r="O24" s="28">
        <v>4921.32</v>
      </c>
      <c r="P24" s="28">
        <v>5908.89</v>
      </c>
      <c r="Q24" s="28">
        <v>5760.75</v>
      </c>
      <c r="R24" s="29"/>
      <c r="S24" s="29"/>
      <c r="T24" s="29"/>
      <c r="U24" s="29"/>
      <c r="V24" s="29"/>
    </row>
    <row r="25" ht="15.0" customHeight="1">
      <c r="A25" s="25" t="s">
        <v>486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</row>
    <row r="26" ht="15.0" customHeight="1">
      <c r="A26" s="27" t="s">
        <v>487</v>
      </c>
      <c r="B26" s="30">
        <v>11.8</v>
      </c>
      <c r="C26" s="30">
        <v>10.6</v>
      </c>
      <c r="D26" s="30">
        <v>8.38</v>
      </c>
      <c r="E26" s="30">
        <v>4.85</v>
      </c>
      <c r="F26" s="30">
        <v>6.44</v>
      </c>
      <c r="G26" s="30">
        <v>9.04</v>
      </c>
      <c r="H26" s="30">
        <v>11.87</v>
      </c>
      <c r="I26" s="30">
        <v>14.91</v>
      </c>
      <c r="J26" s="30">
        <v>14.73</v>
      </c>
      <c r="K26" s="30">
        <v>10.91</v>
      </c>
      <c r="L26" s="30">
        <v>19.64</v>
      </c>
      <c r="M26" s="30">
        <v>21.9</v>
      </c>
      <c r="N26" s="30">
        <v>22.81</v>
      </c>
      <c r="O26" s="30">
        <v>12.72</v>
      </c>
      <c r="P26" s="30">
        <v>17.54</v>
      </c>
      <c r="Q26" s="30">
        <v>13.75</v>
      </c>
      <c r="R26" s="30">
        <v>8.2</v>
      </c>
      <c r="S26" s="30">
        <v>26.34</v>
      </c>
      <c r="T26" s="30">
        <v>28.36</v>
      </c>
      <c r="U26" s="30">
        <v>15.11</v>
      </c>
      <c r="V26" s="29"/>
    </row>
    <row r="27" ht="15.0" customHeight="1">
      <c r="A27" s="27" t="s">
        <v>488</v>
      </c>
      <c r="B27" s="30">
        <v>8.41</v>
      </c>
      <c r="C27" s="30">
        <v>7.86</v>
      </c>
      <c r="D27" s="30">
        <v>8.12</v>
      </c>
      <c r="E27" s="30">
        <v>9.42</v>
      </c>
      <c r="F27" s="30">
        <v>11.4</v>
      </c>
      <c r="G27" s="30">
        <v>12.29</v>
      </c>
      <c r="H27" s="30">
        <v>14.41</v>
      </c>
      <c r="I27" s="30">
        <v>16.42</v>
      </c>
      <c r="J27" s="30">
        <v>18.0</v>
      </c>
      <c r="K27" s="30">
        <v>17.59</v>
      </c>
      <c r="L27" s="30">
        <v>18.92</v>
      </c>
      <c r="M27" s="30">
        <v>17.66</v>
      </c>
      <c r="N27" s="30">
        <v>14.87</v>
      </c>
      <c r="O27" s="30">
        <v>15.41</v>
      </c>
      <c r="P27" s="30">
        <v>18.37</v>
      </c>
      <c r="Q27" s="30">
        <v>18.35</v>
      </c>
      <c r="R27" s="29"/>
      <c r="S27" s="29"/>
      <c r="T27" s="29"/>
      <c r="U27" s="29"/>
      <c r="V27" s="29"/>
    </row>
    <row r="28" ht="15.0" customHeight="1">
      <c r="A28" s="25" t="s">
        <v>489</v>
      </c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</row>
    <row r="29" ht="15.0" customHeight="1">
      <c r="A29" s="27" t="s">
        <v>490</v>
      </c>
      <c r="B29" s="31">
        <v>49.81</v>
      </c>
      <c r="C29" s="32">
        <v>-14.94</v>
      </c>
      <c r="D29" s="32">
        <v>-11.36</v>
      </c>
      <c r="E29" s="32">
        <v>-104.05</v>
      </c>
      <c r="F29" s="31">
        <v>14.81</v>
      </c>
      <c r="G29" s="31">
        <v>13.57</v>
      </c>
      <c r="H29" s="31">
        <v>9.66</v>
      </c>
      <c r="I29" s="32">
        <v>-35.04</v>
      </c>
      <c r="J29" s="31">
        <v>8.49</v>
      </c>
      <c r="K29" s="32">
        <v>-50.55</v>
      </c>
      <c r="L29" s="32">
        <v>-99.91</v>
      </c>
      <c r="M29" s="32">
        <v>-29.57</v>
      </c>
      <c r="N29" s="32">
        <v>-31.22</v>
      </c>
      <c r="O29" s="31">
        <v>4.69</v>
      </c>
      <c r="P29" s="32">
        <v>-9.72</v>
      </c>
      <c r="Q29" s="31">
        <v>55.19</v>
      </c>
      <c r="R29" s="32">
        <v>-110.56</v>
      </c>
      <c r="S29" s="31">
        <v>15.08</v>
      </c>
      <c r="T29" s="31">
        <v>23.19</v>
      </c>
      <c r="U29" s="31">
        <v>76.8</v>
      </c>
      <c r="V29" s="31"/>
    </row>
    <row r="30" ht="15.0" customHeight="1">
      <c r="A30" s="27" t="s">
        <v>491</v>
      </c>
      <c r="B30" s="32">
        <v>-1.79</v>
      </c>
      <c r="C30" s="32">
        <v>-13.75</v>
      </c>
      <c r="D30" s="32">
        <v>-6.6</v>
      </c>
      <c r="E30" s="32">
        <v>-14.75</v>
      </c>
      <c r="F30" s="32">
        <v>-1.14</v>
      </c>
      <c r="G30" s="32">
        <v>-11.58</v>
      </c>
      <c r="H30" s="32">
        <v>-38.8</v>
      </c>
      <c r="I30" s="32">
        <v>-43.35</v>
      </c>
      <c r="J30" s="32">
        <v>-41.65</v>
      </c>
      <c r="K30" s="32">
        <v>-43.35</v>
      </c>
      <c r="L30" s="32">
        <v>-36.28</v>
      </c>
      <c r="M30" s="32">
        <v>-8.06</v>
      </c>
      <c r="N30" s="32">
        <v>-13.06</v>
      </c>
      <c r="O30" s="31">
        <v>1.79</v>
      </c>
      <c r="P30" s="31">
        <v>8.02</v>
      </c>
      <c r="Q30" s="31">
        <v>22.53</v>
      </c>
      <c r="R30" s="31"/>
      <c r="S30" s="31"/>
      <c r="T30" s="31"/>
      <c r="U30" s="31"/>
      <c r="V30" s="31"/>
    </row>
    <row r="31" ht="15.0" customHeight="1">
      <c r="A31" s="25" t="s">
        <v>492</v>
      </c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</row>
    <row r="32" ht="15.0" customHeight="1">
      <c r="A32" s="27" t="s">
        <v>493</v>
      </c>
      <c r="B32" s="31">
        <v>0.0</v>
      </c>
      <c r="C32" s="31">
        <v>0.0</v>
      </c>
      <c r="D32" s="31">
        <v>0.0</v>
      </c>
      <c r="E32" s="31">
        <v>0.0</v>
      </c>
      <c r="F32" s="31">
        <v>0.0</v>
      </c>
      <c r="G32" s="31">
        <v>0.0</v>
      </c>
      <c r="H32" s="31">
        <v>0.0</v>
      </c>
      <c r="I32" s="31">
        <v>0.0</v>
      </c>
      <c r="J32" s="31">
        <v>0.0</v>
      </c>
      <c r="K32" s="31">
        <v>0.0</v>
      </c>
      <c r="L32" s="31">
        <v>15.24</v>
      </c>
      <c r="M32" s="31">
        <v>13.15</v>
      </c>
      <c r="N32" s="31">
        <v>12.31</v>
      </c>
      <c r="O32" s="31">
        <v>15.57</v>
      </c>
      <c r="P32" s="31">
        <v>10.67</v>
      </c>
      <c r="Q32" s="31">
        <v>8.38</v>
      </c>
      <c r="R32" s="31">
        <v>26.33</v>
      </c>
      <c r="S32" s="31">
        <v>27.34</v>
      </c>
      <c r="T32" s="31">
        <v>2.54</v>
      </c>
      <c r="U32" s="31">
        <v>0.0</v>
      </c>
      <c r="V32" s="31"/>
    </row>
    <row r="33" ht="15.0" customHeight="1">
      <c r="A33" s="27" t="s">
        <v>494</v>
      </c>
      <c r="B33" s="31">
        <v>0.0</v>
      </c>
      <c r="C33" s="31">
        <v>0.0</v>
      </c>
      <c r="D33" s="31">
        <v>0.0</v>
      </c>
      <c r="E33" s="31">
        <v>0.0</v>
      </c>
      <c r="F33" s="31">
        <v>0.0</v>
      </c>
      <c r="G33" s="31">
        <v>0.0</v>
      </c>
      <c r="H33" s="31">
        <v>4.15</v>
      </c>
      <c r="I33" s="31">
        <v>7.15</v>
      </c>
      <c r="J33" s="31">
        <v>9.65</v>
      </c>
      <c r="K33" s="31">
        <v>12.12</v>
      </c>
      <c r="L33" s="31">
        <v>13.25</v>
      </c>
      <c r="M33" s="31">
        <v>12.11</v>
      </c>
      <c r="N33" s="31">
        <v>13.41</v>
      </c>
      <c r="O33" s="31">
        <v>18.64</v>
      </c>
      <c r="P33" s="31">
        <v>14.27</v>
      </c>
      <c r="Q33" s="31">
        <v>12.24</v>
      </c>
      <c r="R33" s="31"/>
      <c r="S33" s="31"/>
      <c r="T33" s="31"/>
      <c r="U33" s="31"/>
      <c r="V33" s="31"/>
    </row>
    <row r="34" ht="15.0" customHeight="1">
      <c r="A34" s="27" t="s">
        <v>495</v>
      </c>
      <c r="B34" s="31">
        <v>0.0</v>
      </c>
      <c r="C34" s="31">
        <v>0.0</v>
      </c>
      <c r="D34" s="31">
        <v>0.0</v>
      </c>
      <c r="E34" s="31">
        <v>0.0</v>
      </c>
      <c r="F34" s="31">
        <v>0.0</v>
      </c>
      <c r="G34" s="31">
        <v>0.0</v>
      </c>
      <c r="H34" s="31">
        <v>0.0</v>
      </c>
      <c r="I34" s="31">
        <v>0.0</v>
      </c>
      <c r="J34" s="31">
        <v>0.0</v>
      </c>
      <c r="K34" s="31">
        <v>0.0</v>
      </c>
      <c r="L34" s="31">
        <v>20.88</v>
      </c>
      <c r="M34" s="31">
        <v>18.26</v>
      </c>
      <c r="N34" s="31">
        <v>17.1</v>
      </c>
      <c r="O34" s="31">
        <v>21.62</v>
      </c>
      <c r="P34" s="31">
        <v>14.82</v>
      </c>
      <c r="Q34" s="31">
        <v>11.63</v>
      </c>
      <c r="R34" s="31">
        <v>36.58</v>
      </c>
      <c r="S34" s="31">
        <v>37.97</v>
      </c>
      <c r="T34" s="31">
        <v>3.53</v>
      </c>
      <c r="U34" s="31">
        <v>0.0</v>
      </c>
      <c r="V34" s="31"/>
    </row>
    <row r="35" ht="15.0" customHeight="1">
      <c r="A35" s="27" t="s">
        <v>496</v>
      </c>
      <c r="B35" s="31">
        <v>0.0</v>
      </c>
      <c r="C35" s="31">
        <v>0.0</v>
      </c>
      <c r="D35" s="31">
        <v>0.0</v>
      </c>
      <c r="E35" s="31">
        <v>0.0</v>
      </c>
      <c r="F35" s="31">
        <v>0.0</v>
      </c>
      <c r="G35" s="31">
        <v>0.0</v>
      </c>
      <c r="H35" s="31">
        <v>5.69</v>
      </c>
      <c r="I35" s="31">
        <v>9.87</v>
      </c>
      <c r="J35" s="31">
        <v>13.34</v>
      </c>
      <c r="K35" s="31">
        <v>16.77</v>
      </c>
      <c r="L35" s="31">
        <v>18.34</v>
      </c>
      <c r="M35" s="31">
        <v>16.82</v>
      </c>
      <c r="N35" s="31">
        <v>18.63</v>
      </c>
      <c r="O35" s="31">
        <v>25.88</v>
      </c>
      <c r="P35" s="31">
        <v>19.81</v>
      </c>
      <c r="Q35" s="31">
        <v>17.0</v>
      </c>
      <c r="R35" s="31"/>
      <c r="S35" s="31"/>
      <c r="T35" s="31"/>
      <c r="U35" s="31"/>
      <c r="V35" s="31"/>
    </row>
    <row r="36" ht="15.0" customHeight="1">
      <c r="A36" s="25" t="s">
        <v>497</v>
      </c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</row>
    <row r="37" ht="15.0" customHeight="1">
      <c r="A37" s="27" t="s">
        <v>498</v>
      </c>
      <c r="B37" s="30">
        <v>0.55</v>
      </c>
      <c r="C37" s="30">
        <v>0.73</v>
      </c>
      <c r="D37" s="30">
        <v>0.56</v>
      </c>
      <c r="E37" s="30">
        <v>0.32</v>
      </c>
      <c r="F37" s="30">
        <v>0.48</v>
      </c>
      <c r="G37" s="30">
        <v>0.56</v>
      </c>
      <c r="H37" s="30">
        <v>0.75</v>
      </c>
      <c r="I37" s="30">
        <v>0.77</v>
      </c>
      <c r="J37" s="30">
        <v>0.72</v>
      </c>
      <c r="K37" s="30">
        <v>0.4</v>
      </c>
      <c r="L37" s="30">
        <v>0.57</v>
      </c>
      <c r="M37" s="30">
        <v>0.45</v>
      </c>
      <c r="N37" s="30">
        <v>0.52</v>
      </c>
      <c r="O37" s="30">
        <v>0.32</v>
      </c>
      <c r="P37" s="30">
        <v>0.47</v>
      </c>
      <c r="Q37" s="30">
        <v>0.41</v>
      </c>
      <c r="R37" s="30">
        <v>0.26</v>
      </c>
      <c r="S37" s="30">
        <v>1.0</v>
      </c>
      <c r="T37" s="30">
        <v>0.98</v>
      </c>
      <c r="U37" s="30">
        <v>0.98</v>
      </c>
      <c r="V37" s="29"/>
    </row>
    <row r="38" ht="15.0" customHeight="1">
      <c r="A38" s="27" t="s">
        <v>499</v>
      </c>
      <c r="B38" s="30">
        <v>0.53</v>
      </c>
      <c r="C38" s="30">
        <v>0.53</v>
      </c>
      <c r="D38" s="30">
        <v>0.54</v>
      </c>
      <c r="E38" s="30">
        <v>0.59</v>
      </c>
      <c r="F38" s="30">
        <v>0.67</v>
      </c>
      <c r="G38" s="30">
        <v>0.62</v>
      </c>
      <c r="H38" s="30">
        <v>0.61</v>
      </c>
      <c r="I38" s="30">
        <v>0.55</v>
      </c>
      <c r="J38" s="30">
        <v>0.52</v>
      </c>
      <c r="K38" s="30">
        <v>0.45</v>
      </c>
      <c r="L38" s="30">
        <v>0.46</v>
      </c>
      <c r="M38" s="30">
        <v>0.44</v>
      </c>
      <c r="N38" s="30">
        <v>0.4</v>
      </c>
      <c r="O38" s="30">
        <v>0.46</v>
      </c>
      <c r="P38" s="30">
        <v>0.59</v>
      </c>
      <c r="Q38" s="30">
        <v>0.68</v>
      </c>
      <c r="R38" s="29"/>
      <c r="S38" s="29"/>
      <c r="T38" s="29"/>
      <c r="U38" s="29"/>
      <c r="V38" s="29"/>
    </row>
    <row r="39" ht="15.0" customHeight="1">
      <c r="A39" s="25" t="s">
        <v>500</v>
      </c>
      <c r="B39" s="26"/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</row>
    <row r="40" ht="15.0" customHeight="1">
      <c r="A40" s="27" t="s">
        <v>501</v>
      </c>
      <c r="B40" s="30">
        <v>0.55</v>
      </c>
      <c r="C40" s="30">
        <v>0.73</v>
      </c>
      <c r="D40" s="30">
        <v>0.58</v>
      </c>
      <c r="E40" s="30">
        <v>0.33</v>
      </c>
      <c r="F40" s="30">
        <v>0.85</v>
      </c>
      <c r="G40" s="30">
        <v>0.89</v>
      </c>
      <c r="H40" s="30">
        <v>1.05</v>
      </c>
      <c r="I40" s="30">
        <v>1.05</v>
      </c>
      <c r="J40" s="30">
        <v>1.04</v>
      </c>
      <c r="K40" s="30">
        <v>0.64</v>
      </c>
      <c r="L40" s="30">
        <v>0.85</v>
      </c>
      <c r="M40" s="30">
        <v>1.2</v>
      </c>
      <c r="N40" s="30">
        <v>1.25</v>
      </c>
      <c r="O40" s="30">
        <v>0.76</v>
      </c>
      <c r="P40" s="30">
        <v>1.49</v>
      </c>
      <c r="Q40" s="30">
        <v>2.38</v>
      </c>
      <c r="R40" s="30">
        <v>1.48</v>
      </c>
      <c r="S40" s="30">
        <v>3.29</v>
      </c>
      <c r="T40" s="30">
        <v>2.66</v>
      </c>
      <c r="U40" s="29"/>
      <c r="V40" s="29"/>
    </row>
    <row r="41" ht="15.0" customHeight="1">
      <c r="A41" s="27" t="s">
        <v>502</v>
      </c>
      <c r="B41" s="30">
        <v>0.58</v>
      </c>
      <c r="C41" s="30">
        <v>0.64</v>
      </c>
      <c r="D41" s="30">
        <v>0.7</v>
      </c>
      <c r="E41" s="30">
        <v>0.82</v>
      </c>
      <c r="F41" s="30">
        <v>0.99</v>
      </c>
      <c r="G41" s="30">
        <v>0.92</v>
      </c>
      <c r="H41" s="30">
        <v>0.9</v>
      </c>
      <c r="I41" s="30">
        <v>0.95</v>
      </c>
      <c r="J41" s="30">
        <v>0.99</v>
      </c>
      <c r="K41" s="30">
        <v>0.94</v>
      </c>
      <c r="L41" s="30">
        <v>1.07</v>
      </c>
      <c r="M41" s="30">
        <v>1.25</v>
      </c>
      <c r="N41" s="30">
        <v>1.28</v>
      </c>
      <c r="O41" s="30">
        <v>1.62</v>
      </c>
      <c r="P41" s="30">
        <v>2.2</v>
      </c>
      <c r="Q41" s="30">
        <v>3.17</v>
      </c>
      <c r="R41" s="29"/>
      <c r="S41" s="29"/>
      <c r="T41" s="29"/>
      <c r="U41" s="29"/>
      <c r="V41" s="29"/>
    </row>
    <row r="42" ht="15.0" customHeight="1">
      <c r="A42" s="25" t="s">
        <v>503</v>
      </c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</row>
    <row r="43" ht="15.0" customHeight="1">
      <c r="A43" s="27" t="s">
        <v>504</v>
      </c>
      <c r="B43" s="30">
        <v>11.0</v>
      </c>
      <c r="C43" s="30">
        <v>10.77</v>
      </c>
      <c r="D43" s="30">
        <v>8.54</v>
      </c>
      <c r="E43" s="30">
        <v>1.44</v>
      </c>
      <c r="F43" s="30">
        <v>2.12</v>
      </c>
      <c r="G43" s="30">
        <v>0.46</v>
      </c>
      <c r="H43" s="30">
        <v>0.87</v>
      </c>
      <c r="I43" s="30">
        <v>1.14</v>
      </c>
      <c r="J43" s="30">
        <v>0.8</v>
      </c>
      <c r="K43" s="30">
        <v>0.31</v>
      </c>
      <c r="L43" s="30">
        <v>0.25</v>
      </c>
      <c r="M43" s="30">
        <v>0.32</v>
      </c>
      <c r="N43" s="30">
        <v>0.15</v>
      </c>
      <c r="O43" s="30">
        <v>0.09</v>
      </c>
      <c r="P43" s="30">
        <v>0.14</v>
      </c>
      <c r="Q43" s="30">
        <v>0.07</v>
      </c>
      <c r="R43" s="30">
        <v>0.04</v>
      </c>
      <c r="S43" s="30">
        <v>0.12</v>
      </c>
      <c r="T43" s="30">
        <v>0.15</v>
      </c>
      <c r="U43" s="30">
        <v>0.11</v>
      </c>
      <c r="V43" s="29"/>
    </row>
    <row r="44" ht="15.0" customHeight="1">
      <c r="A44" s="27" t="s">
        <v>505</v>
      </c>
      <c r="B44" s="30">
        <v>4.46</v>
      </c>
      <c r="C44" s="30">
        <v>1.4</v>
      </c>
      <c r="D44" s="30">
        <v>0.99</v>
      </c>
      <c r="E44" s="30">
        <v>0.89</v>
      </c>
      <c r="F44" s="30">
        <v>0.84</v>
      </c>
      <c r="G44" s="30">
        <v>0.61</v>
      </c>
      <c r="H44" s="30">
        <v>0.45</v>
      </c>
      <c r="I44" s="30">
        <v>0.39</v>
      </c>
      <c r="J44" s="30">
        <v>0.26</v>
      </c>
      <c r="K44" s="30">
        <v>0.19</v>
      </c>
      <c r="L44" s="30">
        <v>0.17</v>
      </c>
      <c r="M44" s="30">
        <v>0.13</v>
      </c>
      <c r="N44" s="30">
        <v>0.09</v>
      </c>
      <c r="O44" s="30">
        <v>0.09</v>
      </c>
      <c r="P44" s="30">
        <v>0.1</v>
      </c>
      <c r="Q44" s="30">
        <v>0.1</v>
      </c>
      <c r="R44" s="29"/>
      <c r="S44" s="29"/>
      <c r="T44" s="29"/>
      <c r="U44" s="29"/>
      <c r="V44" s="29"/>
    </row>
    <row r="45" ht="15.0" customHeight="1">
      <c r="A45" s="25" t="s">
        <v>506</v>
      </c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</row>
    <row r="46" ht="15.0" customHeight="1">
      <c r="A46" s="27" t="s">
        <v>507</v>
      </c>
      <c r="B46" s="30">
        <v>2.01</v>
      </c>
      <c r="C46" s="29"/>
      <c r="D46" s="29"/>
      <c r="E46" s="29"/>
      <c r="F46" s="30">
        <v>6.75</v>
      </c>
      <c r="G46" s="30">
        <v>7.37</v>
      </c>
      <c r="H46" s="30">
        <v>10.35</v>
      </c>
      <c r="I46" s="29"/>
      <c r="J46" s="30">
        <v>11.78</v>
      </c>
      <c r="K46" s="29"/>
      <c r="L46" s="29"/>
      <c r="M46" s="29"/>
      <c r="N46" s="29"/>
      <c r="O46" s="30">
        <v>21.34</v>
      </c>
      <c r="P46" s="29"/>
      <c r="Q46" s="30">
        <v>1.81</v>
      </c>
      <c r="R46" s="29"/>
      <c r="S46" s="30">
        <v>6.63</v>
      </c>
      <c r="T46" s="30">
        <v>4.31</v>
      </c>
      <c r="U46" s="30">
        <v>1.3</v>
      </c>
      <c r="V46" s="29"/>
    </row>
    <row r="47" ht="15.0" customHeight="1">
      <c r="A47" s="27" t="s">
        <v>508</v>
      </c>
      <c r="B47" s="29"/>
      <c r="C47" s="29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30">
        <v>55.73</v>
      </c>
      <c r="P47" s="30">
        <v>12.47</v>
      </c>
      <c r="Q47" s="30">
        <v>4.44</v>
      </c>
      <c r="R47" s="29"/>
      <c r="S47" s="29"/>
      <c r="T47" s="29"/>
      <c r="U47" s="29"/>
      <c r="V47" s="29"/>
    </row>
    <row r="48" ht="15.0" customHeight="1">
      <c r="A48" s="25" t="s">
        <v>509</v>
      </c>
      <c r="B48" s="26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</row>
    <row r="49" ht="15.0" customHeight="1">
      <c r="A49" s="27" t="s">
        <v>510</v>
      </c>
      <c r="B49" s="30">
        <v>1.92</v>
      </c>
      <c r="C49" s="29"/>
      <c r="D49" s="29"/>
      <c r="E49" s="29"/>
      <c r="F49" s="29"/>
      <c r="G49" s="30">
        <v>5.88</v>
      </c>
      <c r="H49" s="30">
        <v>21.76</v>
      </c>
      <c r="I49" s="29"/>
      <c r="J49" s="29"/>
      <c r="K49" s="29"/>
      <c r="L49" s="30">
        <v>5.31</v>
      </c>
      <c r="M49" s="30">
        <v>11.97</v>
      </c>
      <c r="N49" s="30">
        <v>2.09</v>
      </c>
      <c r="O49" s="30">
        <v>1.38</v>
      </c>
      <c r="P49" s="30">
        <v>2.13</v>
      </c>
      <c r="Q49" s="30">
        <v>1.2</v>
      </c>
      <c r="R49" s="30">
        <v>1.04</v>
      </c>
      <c r="S49" s="30">
        <v>2.47</v>
      </c>
      <c r="T49" s="30">
        <v>4.63</v>
      </c>
      <c r="U49" s="30">
        <v>2.95</v>
      </c>
      <c r="V49" s="29"/>
    </row>
    <row r="50" ht="15.0" customHeight="1">
      <c r="A50" s="27" t="s">
        <v>511</v>
      </c>
      <c r="B50" s="30">
        <v>17.54</v>
      </c>
      <c r="C50" s="29"/>
      <c r="D50" s="29"/>
      <c r="E50" s="28">
        <v>106.45</v>
      </c>
      <c r="F50" s="29"/>
      <c r="G50" s="29"/>
      <c r="H50" s="29"/>
      <c r="I50" s="29"/>
      <c r="J50" s="30">
        <v>10.21</v>
      </c>
      <c r="K50" s="30">
        <v>3.87</v>
      </c>
      <c r="L50" s="30">
        <v>2.79</v>
      </c>
      <c r="M50" s="30">
        <v>2.12</v>
      </c>
      <c r="N50" s="30">
        <v>1.56</v>
      </c>
      <c r="O50" s="30">
        <v>1.62</v>
      </c>
      <c r="P50" s="30">
        <v>2.07</v>
      </c>
      <c r="Q50" s="30">
        <v>2.22</v>
      </c>
      <c r="R50" s="29"/>
      <c r="S50" s="29"/>
      <c r="T50" s="29"/>
      <c r="U50" s="29"/>
      <c r="V50" s="29"/>
    </row>
    <row r="51" ht="15.0" customHeight="1">
      <c r="A51" s="25" t="s">
        <v>512</v>
      </c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</row>
    <row r="52" ht="15.0" customHeight="1">
      <c r="A52" s="27" t="s">
        <v>513</v>
      </c>
      <c r="B52" s="30">
        <v>1.98</v>
      </c>
      <c r="C52" s="29"/>
      <c r="D52" s="29"/>
      <c r="E52" s="29"/>
      <c r="F52" s="29"/>
      <c r="G52" s="30">
        <v>15.93</v>
      </c>
      <c r="H52" s="29"/>
      <c r="I52" s="29"/>
      <c r="J52" s="29"/>
      <c r="K52" s="29"/>
      <c r="L52" s="29"/>
      <c r="M52" s="29"/>
      <c r="N52" s="30">
        <v>2.99</v>
      </c>
      <c r="O52" s="30">
        <v>2.21</v>
      </c>
      <c r="P52" s="30">
        <v>3.69</v>
      </c>
      <c r="Q52" s="30">
        <v>1.75</v>
      </c>
      <c r="R52" s="30">
        <v>1.53</v>
      </c>
      <c r="S52" s="30">
        <v>2.98</v>
      </c>
      <c r="T52" s="30">
        <v>6.28</v>
      </c>
      <c r="U52" s="30">
        <v>4.01</v>
      </c>
      <c r="V52" s="29"/>
    </row>
    <row r="53" ht="15.0" customHeight="1">
      <c r="A53" s="27" t="s">
        <v>514</v>
      </c>
      <c r="B53" s="30">
        <v>77.82</v>
      </c>
      <c r="C53" s="29"/>
      <c r="D53" s="29"/>
      <c r="E53" s="29"/>
      <c r="F53" s="29"/>
      <c r="G53" s="29"/>
      <c r="H53" s="29"/>
      <c r="I53" s="29"/>
      <c r="J53" s="29"/>
      <c r="K53" s="28">
        <v>163.79</v>
      </c>
      <c r="L53" s="30">
        <v>7.83</v>
      </c>
      <c r="M53" s="30">
        <v>3.52</v>
      </c>
      <c r="N53" s="30">
        <v>2.37</v>
      </c>
      <c r="O53" s="30">
        <v>2.37</v>
      </c>
      <c r="P53" s="30">
        <v>2.93</v>
      </c>
      <c r="Q53" s="30">
        <v>3.03</v>
      </c>
      <c r="R53" s="29"/>
      <c r="S53" s="29"/>
      <c r="T53" s="29"/>
      <c r="U53" s="29"/>
      <c r="V53" s="29"/>
    </row>
    <row r="54" ht="15.0" customHeight="1">
      <c r="A54" s="25" t="s">
        <v>515</v>
      </c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</row>
    <row r="55" ht="15.0" customHeight="1">
      <c r="A55" s="27" t="s">
        <v>516</v>
      </c>
      <c r="B55" s="30">
        <v>14.09</v>
      </c>
      <c r="C55" s="29"/>
      <c r="D55" s="29"/>
      <c r="E55" s="29"/>
      <c r="F55" s="29"/>
      <c r="G55" s="30">
        <v>19.48</v>
      </c>
      <c r="H55" s="29"/>
      <c r="I55" s="29"/>
      <c r="J55" s="29"/>
      <c r="K55" s="29"/>
      <c r="L55" s="29"/>
      <c r="M55" s="30">
        <v>40.12</v>
      </c>
      <c r="N55" s="30">
        <v>3.13</v>
      </c>
      <c r="O55" s="30">
        <v>1.87</v>
      </c>
      <c r="P55" s="30">
        <v>3.55</v>
      </c>
      <c r="Q55" s="30">
        <v>1.69</v>
      </c>
      <c r="R55" s="30">
        <v>1.42</v>
      </c>
      <c r="S55" s="30">
        <v>2.9</v>
      </c>
      <c r="T55" s="30">
        <v>6.38</v>
      </c>
      <c r="U55" s="30">
        <v>4.08</v>
      </c>
      <c r="V55" s="29"/>
    </row>
    <row r="56" ht="15.0" customHeight="1">
      <c r="A56" s="27" t="s">
        <v>517</v>
      </c>
      <c r="B56" s="30">
        <v>0.53</v>
      </c>
      <c r="C56" s="30">
        <v>0.53</v>
      </c>
      <c r="D56" s="30">
        <v>0.54</v>
      </c>
      <c r="E56" s="30">
        <v>0.59</v>
      </c>
      <c r="F56" s="30">
        <v>0.67</v>
      </c>
      <c r="G56" s="30">
        <v>0.62</v>
      </c>
      <c r="H56" s="30">
        <v>0.61</v>
      </c>
      <c r="I56" s="30">
        <v>0.55</v>
      </c>
      <c r="J56" s="30">
        <v>0.52</v>
      </c>
      <c r="K56" s="30">
        <v>0.45</v>
      </c>
      <c r="L56" s="30">
        <v>0.46</v>
      </c>
      <c r="M56" s="30">
        <v>0.44</v>
      </c>
      <c r="N56" s="30">
        <v>0.4</v>
      </c>
      <c r="O56" s="30">
        <v>0.46</v>
      </c>
      <c r="P56" s="30">
        <v>0.59</v>
      </c>
      <c r="Q56" s="30">
        <v>0.68</v>
      </c>
      <c r="R56" s="29"/>
      <c r="S56" s="29"/>
      <c r="T56" s="29"/>
      <c r="U56" s="29"/>
      <c r="V56" s="29"/>
    </row>
    <row r="57" ht="15.0" customHeight="1">
      <c r="A57" s="25" t="s">
        <v>518</v>
      </c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</row>
    <row r="58" ht="15.0" customHeight="1">
      <c r="A58" s="27" t="s">
        <v>519</v>
      </c>
      <c r="B58" s="29">
        <v>0.0</v>
      </c>
      <c r="C58" s="29"/>
      <c r="D58" s="29"/>
      <c r="E58" s="29"/>
      <c r="F58" s="29"/>
      <c r="G58" s="30">
        <v>0.09</v>
      </c>
      <c r="H58" s="29"/>
      <c r="I58" s="29"/>
      <c r="J58" s="29"/>
      <c r="K58" s="29"/>
      <c r="L58" s="29"/>
      <c r="M58" s="29"/>
      <c r="N58" s="30">
        <v>0.09</v>
      </c>
      <c r="O58" s="30">
        <v>0.1</v>
      </c>
      <c r="P58" s="33">
        <v>-0.09</v>
      </c>
      <c r="Q58" s="30">
        <v>0.04</v>
      </c>
      <c r="R58" s="33">
        <v>-0.04</v>
      </c>
      <c r="S58" s="30">
        <v>0.03</v>
      </c>
      <c r="T58" s="30">
        <v>0.31</v>
      </c>
      <c r="U58" s="29"/>
      <c r="V58" s="29"/>
    </row>
    <row r="59" ht="15.0" customHeight="1">
      <c r="A59" s="27" t="s">
        <v>520</v>
      </c>
      <c r="B59" s="30">
        <v>1.3</v>
      </c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33">
        <v>-0.83</v>
      </c>
      <c r="O59" s="30">
        <v>0.48</v>
      </c>
      <c r="P59" s="30">
        <v>0.62</v>
      </c>
      <c r="Q59" s="29"/>
      <c r="R59" s="29"/>
      <c r="S59" s="29"/>
      <c r="T59" s="29"/>
      <c r="U59" s="29"/>
      <c r="V59" s="29"/>
    </row>
    <row r="60" ht="15.0" customHeight="1">
      <c r="A60" s="25" t="s">
        <v>521</v>
      </c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</row>
    <row r="61" ht="15.0" customHeight="1">
      <c r="A61" s="27" t="s">
        <v>522</v>
      </c>
      <c r="B61" s="30">
        <v>10.94</v>
      </c>
      <c r="C61" s="30">
        <v>15.54</v>
      </c>
      <c r="D61" s="30">
        <v>13.03</v>
      </c>
      <c r="E61" s="30">
        <v>2.91</v>
      </c>
      <c r="F61" s="30">
        <v>4.67</v>
      </c>
      <c r="G61" s="30">
        <v>0.76</v>
      </c>
      <c r="H61" s="30">
        <v>0.98</v>
      </c>
      <c r="I61" s="30">
        <v>1.8</v>
      </c>
      <c r="J61" s="30">
        <v>1.33</v>
      </c>
      <c r="K61" s="30">
        <v>0.84</v>
      </c>
      <c r="L61" s="30">
        <v>0.44</v>
      </c>
      <c r="M61" s="30">
        <v>0.82</v>
      </c>
      <c r="N61" s="30">
        <v>0.31</v>
      </c>
      <c r="O61" s="30">
        <v>0.24</v>
      </c>
      <c r="P61" s="30">
        <v>0.32</v>
      </c>
      <c r="Q61" s="30">
        <v>0.18</v>
      </c>
      <c r="R61" s="30">
        <v>0.1</v>
      </c>
      <c r="S61" s="30">
        <v>0.11</v>
      </c>
      <c r="T61" s="30">
        <v>0.11</v>
      </c>
      <c r="U61" s="30">
        <v>0.09</v>
      </c>
      <c r="V61" s="29"/>
    </row>
    <row r="62" ht="15.0" customHeight="1">
      <c r="A62" s="27" t="s">
        <v>523</v>
      </c>
      <c r="B62" s="30">
        <v>6.76</v>
      </c>
      <c r="C62" s="30">
        <v>2.39</v>
      </c>
      <c r="D62" s="30">
        <v>1.6</v>
      </c>
      <c r="E62" s="30">
        <v>1.44</v>
      </c>
      <c r="F62" s="30">
        <v>1.33</v>
      </c>
      <c r="G62" s="30">
        <v>1.06</v>
      </c>
      <c r="H62" s="30">
        <v>0.79</v>
      </c>
      <c r="I62" s="30">
        <v>0.79</v>
      </c>
      <c r="J62" s="30">
        <v>0.55</v>
      </c>
      <c r="K62" s="30">
        <v>0.43</v>
      </c>
      <c r="L62" s="30">
        <v>0.38</v>
      </c>
      <c r="M62" s="30">
        <v>0.31</v>
      </c>
      <c r="N62" s="30">
        <v>0.21</v>
      </c>
      <c r="O62" s="30">
        <v>0.17</v>
      </c>
      <c r="P62" s="30">
        <v>0.15</v>
      </c>
      <c r="Q62" s="30">
        <v>0.12</v>
      </c>
      <c r="R62" s="29"/>
      <c r="S62" s="29"/>
      <c r="T62" s="29"/>
      <c r="U62" s="29"/>
      <c r="V62" s="29"/>
    </row>
    <row r="63" ht="15.0" customHeight="1">
      <c r="A63" s="25" t="s">
        <v>524</v>
      </c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</row>
    <row r="64" ht="15.0" customHeight="1">
      <c r="A64" s="27" t="s">
        <v>525</v>
      </c>
      <c r="B64" s="28">
        <v>168.07</v>
      </c>
      <c r="C64" s="29"/>
      <c r="D64" s="30">
        <v>7.98</v>
      </c>
      <c r="E64" s="30">
        <v>14.15</v>
      </c>
      <c r="F64" s="30">
        <v>25.46</v>
      </c>
      <c r="G64" s="30">
        <v>8.16</v>
      </c>
      <c r="H64" s="30">
        <v>9.94</v>
      </c>
      <c r="I64" s="30">
        <v>15.25</v>
      </c>
      <c r="J64" s="30">
        <v>94.45</v>
      </c>
      <c r="K64" s="30">
        <v>18.33</v>
      </c>
      <c r="L64" s="30">
        <v>3.48</v>
      </c>
      <c r="M64" s="30">
        <v>11.52</v>
      </c>
      <c r="N64" s="30">
        <v>3.43</v>
      </c>
      <c r="O64" s="30">
        <v>2.09</v>
      </c>
      <c r="P64" s="30">
        <v>2.58</v>
      </c>
      <c r="Q64" s="30">
        <v>1.9</v>
      </c>
      <c r="R64" s="30">
        <v>1.41</v>
      </c>
      <c r="S64" s="30">
        <v>1.49</v>
      </c>
      <c r="T64" s="30">
        <v>1.7</v>
      </c>
      <c r="U64" s="30">
        <v>1.54</v>
      </c>
      <c r="V64" s="29"/>
    </row>
    <row r="65" ht="15.0" customHeight="1">
      <c r="A65" s="27" t="s">
        <v>526</v>
      </c>
      <c r="B65" s="28">
        <v>456.17</v>
      </c>
      <c r="C65" s="30">
        <v>35.16</v>
      </c>
      <c r="D65" s="30">
        <v>19.59</v>
      </c>
      <c r="E65" s="30">
        <v>14.52</v>
      </c>
      <c r="F65" s="30">
        <v>16.31</v>
      </c>
      <c r="G65" s="30">
        <v>16.04</v>
      </c>
      <c r="H65" s="30">
        <v>8.57</v>
      </c>
      <c r="I65" s="30">
        <v>9.26</v>
      </c>
      <c r="J65" s="30">
        <v>6.3</v>
      </c>
      <c r="K65" s="30">
        <v>4.37</v>
      </c>
      <c r="L65" s="30">
        <v>3.52</v>
      </c>
      <c r="M65" s="30">
        <v>3.11</v>
      </c>
      <c r="N65" s="30">
        <v>2.25</v>
      </c>
      <c r="O65" s="30">
        <v>1.89</v>
      </c>
      <c r="P65" s="30">
        <v>1.82</v>
      </c>
      <c r="Q65" s="30">
        <v>1.62</v>
      </c>
      <c r="R65" s="29"/>
      <c r="S65" s="29"/>
      <c r="T65" s="29"/>
      <c r="U65" s="29"/>
      <c r="V65" s="29"/>
    </row>
    <row r="66" ht="15.0" customHeight="1">
      <c r="A66" s="25" t="s">
        <v>527</v>
      </c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</row>
    <row r="67" ht="15.0" customHeight="1">
      <c r="A67" s="27" t="s">
        <v>528</v>
      </c>
      <c r="B67" s="30">
        <v>1.83</v>
      </c>
      <c r="C67" s="29"/>
      <c r="D67" s="29"/>
      <c r="E67" s="29"/>
      <c r="F67" s="30">
        <v>11.79</v>
      </c>
      <c r="G67" s="30">
        <v>8.85</v>
      </c>
      <c r="H67" s="30">
        <v>8.27</v>
      </c>
      <c r="I67" s="29"/>
      <c r="J67" s="30">
        <v>12.22</v>
      </c>
      <c r="K67" s="30">
        <v>57.6</v>
      </c>
      <c r="L67" s="29"/>
      <c r="M67" s="30">
        <v>8.82</v>
      </c>
      <c r="N67" s="30">
        <v>8.14</v>
      </c>
      <c r="O67" s="30">
        <v>2.31</v>
      </c>
      <c r="P67" s="30">
        <v>5.03</v>
      </c>
      <c r="Q67" s="30">
        <v>2.07</v>
      </c>
      <c r="R67" s="29"/>
      <c r="S67" s="30">
        <v>2.43</v>
      </c>
      <c r="T67" s="30">
        <v>2.11</v>
      </c>
      <c r="U67" s="30">
        <v>0.91</v>
      </c>
      <c r="V67" s="29"/>
    </row>
    <row r="68" ht="15.0" customHeight="1">
      <c r="A68" s="27" t="s">
        <v>529</v>
      </c>
      <c r="B68" s="28">
        <v>100.2</v>
      </c>
      <c r="C68" s="29"/>
      <c r="D68" s="29"/>
      <c r="E68" s="29"/>
      <c r="F68" s="30">
        <v>54.77</v>
      </c>
      <c r="G68" s="28">
        <v>109.35</v>
      </c>
      <c r="H68" s="29"/>
      <c r="I68" s="29"/>
      <c r="J68" s="30">
        <v>88.43</v>
      </c>
      <c r="K68" s="30">
        <v>14.02</v>
      </c>
      <c r="L68" s="30">
        <v>9.7</v>
      </c>
      <c r="M68" s="30">
        <v>4.17</v>
      </c>
      <c r="N68" s="30">
        <v>4.29</v>
      </c>
      <c r="O68" s="30">
        <v>3.37</v>
      </c>
      <c r="P68" s="30">
        <v>3.44</v>
      </c>
      <c r="Q68" s="30">
        <v>2.41</v>
      </c>
      <c r="R68" s="29"/>
      <c r="S68" s="29"/>
      <c r="T68" s="29"/>
      <c r="U68" s="29"/>
      <c r="V68" s="29"/>
    </row>
    <row r="69" ht="15.0" customHeight="1">
      <c r="A69" s="25" t="s">
        <v>530</v>
      </c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</row>
    <row r="70" ht="15.0" customHeight="1">
      <c r="A70" s="27" t="s">
        <v>531</v>
      </c>
      <c r="B70" s="30">
        <v>2.0</v>
      </c>
      <c r="C70" s="29"/>
      <c r="D70" s="29"/>
      <c r="E70" s="29"/>
      <c r="F70" s="30">
        <v>14.84</v>
      </c>
      <c r="G70" s="30">
        <v>12.23</v>
      </c>
      <c r="H70" s="30">
        <v>11.76</v>
      </c>
      <c r="I70" s="29"/>
      <c r="J70" s="30">
        <v>19.5</v>
      </c>
      <c r="K70" s="29"/>
      <c r="L70" s="29"/>
      <c r="M70" s="29"/>
      <c r="N70" s="29"/>
      <c r="O70" s="30">
        <v>54.94</v>
      </c>
      <c r="P70" s="29"/>
      <c r="Q70" s="30">
        <v>4.3</v>
      </c>
      <c r="R70" s="29"/>
      <c r="S70" s="30">
        <v>6.03</v>
      </c>
      <c r="T70" s="30">
        <v>3.07</v>
      </c>
      <c r="U70" s="30">
        <v>1.05</v>
      </c>
      <c r="V70" s="29"/>
    </row>
    <row r="71" ht="15.0" customHeight="1">
      <c r="A71" s="27" t="s">
        <v>532</v>
      </c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8">
        <v>105.37</v>
      </c>
      <c r="P71" s="30">
        <v>18.29</v>
      </c>
      <c r="Q71" s="30">
        <v>5.25</v>
      </c>
      <c r="R71" s="29"/>
      <c r="S71" s="29"/>
      <c r="T71" s="29"/>
      <c r="U71" s="29"/>
      <c r="V71" s="29"/>
    </row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