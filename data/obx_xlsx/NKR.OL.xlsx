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l2NhTp5fs/+gxjzN6MZbNkEKqltvuB4QPdk4uDQkgR8="/>
    </ext>
  </extLst>
</workbook>
</file>

<file path=xl/sharedStrings.xml><?xml version="1.0" encoding="utf-8"?>
<sst xmlns="http://schemas.openxmlformats.org/spreadsheetml/2006/main" count="889" uniqueCount="484">
  <si>
    <t>Company Fundamentals - Income Statement</t>
  </si>
  <si>
    <t>Company Name</t>
  </si>
  <si>
    <t>Nekkar ASA (NKR.OL)</t>
  </si>
  <si>
    <t>Country of Exchange</t>
  </si>
  <si>
    <t>Norway</t>
  </si>
  <si>
    <t>Country of Headquarters</t>
  </si>
  <si>
    <t>TRBC Industry Group</t>
  </si>
  <si>
    <t>Machinery, Tools, Heavy Vehicles, Trains &amp; Ships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</si>
  <si>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</si>
  <si>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</si>
  <si>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</si>
  <si>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</si>
  <si>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</si>
  <si>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</si>
  <si>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</si>
  <si>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</si>
  <si>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</si>
  <si>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</si>
  <si>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</si>
  <si>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</si>
  <si>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</si>
  <si>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</si>
  <si>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</si>
  <si>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</si>
  <si>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</si>
  <si>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</si>
  <si>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</si>
  <si>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</si>
  <si>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</si>
  <si>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</si>
  <si>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</si>
  <si>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</si>
  <si>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</si>
  <si>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</si>
  <si>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</si>
  <si>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</si>
  <si>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</si>
  <si>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</si>
  <si>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</si>
  <si>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</si>
  <si>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</si>
  <si>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</si>
  <si>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</si>
  <si>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</si>
  <si>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</si>
  <si>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</si>
  <si>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</si>
  <si>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</si>
  <si>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</si>
  <si>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</si>
  <si>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</si>
  <si>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</si>
  <si>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</si>
  <si>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</si>
  <si>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</si>
  <si>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</si>
  <si>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</si>
  <si>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</si>
  <si>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</si>
  <si>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</si>
  <si>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</si>
  <si>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</si>
  <si>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</si>
  <si>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</si>
  <si>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</si>
  <si>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</si>
  <si>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</si>
  <si>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</si>
  <si>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</si>
  <si>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</si>
  <si>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Sales revenue</t>
  </si>
  <si>
    <t>Other Operating Income</t>
  </si>
  <si>
    <t>Total revenue</t>
  </si>
  <si>
    <t>Other Operating Income - Total (Non-revenue)</t>
  </si>
  <si>
    <t>Cost of goods sold</t>
  </si>
  <si>
    <t>Other operation expenses</t>
  </si>
  <si>
    <t>Advertising Expense</t>
  </si>
  <si>
    <t>Rental Expense</t>
  </si>
  <si>
    <t>Other operating costs - rest</t>
  </si>
  <si>
    <t>Losses on Accounts Receivable</t>
  </si>
  <si>
    <t>Other Losses/ (Gains)</t>
  </si>
  <si>
    <t>Depreciation of fixed and intangible assets</t>
  </si>
  <si>
    <t>Impairment - Intangibles excluding Goodwill</t>
  </si>
  <si>
    <t>Other impairments/ amortisation</t>
  </si>
  <si>
    <t>Personnel Costs</t>
  </si>
  <si>
    <t>Other Depreciation/Amortization</t>
  </si>
  <si>
    <t>Result from JV</t>
  </si>
  <si>
    <t>Selling/Administrative Expenses</t>
  </si>
  <si>
    <t>Other Depreciation/ Writedowns</t>
  </si>
  <si>
    <t>Balancing Item - Operating Expenses</t>
  </si>
  <si>
    <t>Total Operating Expenses</t>
  </si>
  <si>
    <t>Balancing Item - Income from Operations, net</t>
  </si>
  <si>
    <t>Operating profit / (loss)</t>
  </si>
  <si>
    <t>Financial Income</t>
  </si>
  <si>
    <t>Other Financial Income/Expense</t>
  </si>
  <si>
    <t>Interest income</t>
  </si>
  <si>
    <t>Financial Income - Balancing value</t>
  </si>
  <si>
    <t>Agio</t>
  </si>
  <si>
    <t>Financial expense</t>
  </si>
  <si>
    <t>Financial expense Positive</t>
  </si>
  <si>
    <t>Fair Value Adjustments - Financial Investments</t>
  </si>
  <si>
    <t>Interest expenses</t>
  </si>
  <si>
    <t>Other financial expenses</t>
  </si>
  <si>
    <t>Other Financial Income</t>
  </si>
  <si>
    <t>Other Interest Income</t>
  </si>
  <si>
    <t>Share of net profit (loss) from equity-accounted investees</t>
  </si>
  <si>
    <t>Balancing Item - Non Operating Income/(Expense), net</t>
  </si>
  <si>
    <t>Net finance</t>
  </si>
  <si>
    <t>Balancing Item - Pretax Income</t>
  </si>
  <si>
    <t>Profit/loss before tax</t>
  </si>
  <si>
    <t>Income tax expense</t>
  </si>
  <si>
    <t>Not Allocated Tax Losses in Norwegian Co</t>
  </si>
  <si>
    <t>Deferred Tax</t>
  </si>
  <si>
    <t>Reported Current Tax - Total</t>
  </si>
  <si>
    <t>Reported Deferred Tax - Total</t>
  </si>
  <si>
    <t>Payable tax on profit</t>
  </si>
  <si>
    <t>Income tax expenses / (- income) - Balancing value</t>
  </si>
  <si>
    <t>Income Taxes - Total</t>
  </si>
  <si>
    <t>Balancing Item - Net Income After Tax</t>
  </si>
  <si>
    <t>Net result continued business</t>
  </si>
  <si>
    <t>Balancing Item - Net Income Including After Tax Adjustment</t>
  </si>
  <si>
    <t>Profit for the period</t>
  </si>
  <si>
    <t>Profit / (loss) after tax for the period from discontinued operation</t>
  </si>
  <si>
    <t>Balancing Item - Net Income available to Controlling Interest</t>
  </si>
  <si>
    <t>Extraordinary Items (After Tax)</t>
  </si>
  <si>
    <t>Attributable to Non-Controlling Interests</t>
  </si>
  <si>
    <t>Minority Interests</t>
  </si>
  <si>
    <t>Balancing Item - Net income before extraordinary items applicable to Common</t>
  </si>
  <si>
    <t>Attributable to equity holders of the comp</t>
  </si>
  <si>
    <t>Income Available to Com Excl ExtraOrd</t>
  </si>
  <si>
    <t>Balancing Item - Net Income After Extraordinary Items applicable to Common</t>
  </si>
  <si>
    <t>Income Available to Com Incl ExtraOrd</t>
  </si>
  <si>
    <t>Net result for the period</t>
  </si>
  <si>
    <t>Currency effects</t>
  </si>
  <si>
    <t>Other Comprehensive Income - Net of Tax - Total</t>
  </si>
  <si>
    <t>Attributable to equity holders of the company</t>
  </si>
  <si>
    <t>CI - Attributable to Minority Interest - Total</t>
  </si>
  <si>
    <t>Total comprehensive income</t>
  </si>
  <si>
    <t>Weighted-average number of ordinary shares (Basic)</t>
  </si>
  <si>
    <t>Diluted Weighted Average Shares</t>
  </si>
  <si>
    <t>Earnings per share (NOK)</t>
  </si>
  <si>
    <t>Diluted earnings per share (NOK)</t>
  </si>
  <si>
    <t>Basic EPS Excluding ExtraOrdinary Items</t>
  </si>
  <si>
    <t>Diluted EPS Excluding ExtraOrd Items</t>
  </si>
  <si>
    <t>Diluted Net Income</t>
  </si>
  <si>
    <t>Diluted Net Income excluding Extra Items applicable to Common - (Company Level)</t>
  </si>
  <si>
    <t>Depreciation</t>
  </si>
  <si>
    <t>Depreciation of Financial Lease Right-of-Use Assets - Supplemental</t>
  </si>
  <si>
    <t>Share of Associates</t>
  </si>
  <si>
    <t>Amortization of Licenses</t>
  </si>
  <si>
    <t>Amort of Intangibles</t>
  </si>
  <si>
    <t>Amortization of Other Intangibles excluding Goodwill - Supplemental</t>
  </si>
  <si>
    <t>Development costs</t>
  </si>
  <si>
    <t>Digital solutions  Technology assets</t>
  </si>
  <si>
    <t>Selling, General &amp; Admin</t>
  </si>
  <si>
    <t>Auditor Fees - Total</t>
  </si>
  <si>
    <t>Audit Fees</t>
  </si>
  <si>
    <t>Other Fees</t>
  </si>
  <si>
    <t>Audit-Related Fees</t>
  </si>
  <si>
    <t>Tax Related Fees</t>
  </si>
  <si>
    <t>Salaries</t>
  </si>
  <si>
    <t>Total Depreciation of Fixed Assets</t>
  </si>
  <si>
    <t>Amortization of Intangible Assets excluding Goodwill - Total</t>
  </si>
  <si>
    <t>Total Depreciation &amp; Amortization (Combined)</t>
  </si>
  <si>
    <t>Deferred Tax - Total</t>
  </si>
  <si>
    <t>Impairment - Goodwill</t>
  </si>
  <si>
    <t>Impairment - Fixed Assets</t>
  </si>
  <si>
    <t>Basic Weighted Average Shares used to Calculate EPS - (Instrument Level)</t>
  </si>
  <si>
    <t>Diluted Weighted Average Shares used to Calculate EPS - (Instrument Level)</t>
  </si>
  <si>
    <t>Basic EPS - Net Inc incl Extra Items appl to Common - (Instrument Level)</t>
  </si>
  <si>
    <t>Allocated Net Income incl Extra Items applicable to Common - (Instrument Level)</t>
  </si>
  <si>
    <t>Allocated Diluted Net Income incl Extra Items applicable to Common - (Instrument Level)</t>
  </si>
  <si>
    <t>Basic EPS - Net Income excl Extra Items applicable to Common - (Instrument Level)</t>
  </si>
  <si>
    <t>Diluted EPS - Net Income excl Extra Items applicable to Common - (Instrument Level)</t>
  </si>
  <si>
    <t>Net Income excluding Extra Items applicable to Common - (Instrument Level)</t>
  </si>
  <si>
    <t>Diluted Net Income excluding Extra Items applicable to Common - (Instrument Level)</t>
  </si>
  <si>
    <t>Diluted Earnings Allocation Factor - (Instrument Level)</t>
  </si>
  <si>
    <t>Earnings Allocation Factor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</si>
  <si>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</si>
  <si>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</si>
  <si>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</si>
  <si>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</si>
  <si>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Inventories - Work in Progress</t>
  </si>
  <si>
    <t>Inventories - Balancing value</t>
  </si>
  <si>
    <t>Total receivables</t>
  </si>
  <si>
    <t>Total receivables - Balancing value</t>
  </si>
  <si>
    <t>Trade Receivables</t>
  </si>
  <si>
    <t>Trade Receivable, Gross</t>
  </si>
  <si>
    <t>Write-Down for Losses on Receivables</t>
  </si>
  <si>
    <t>Trade Receivables - Balancing value</t>
  </si>
  <si>
    <t>Other receivables</t>
  </si>
  <si>
    <t>Accrued non-invoiced production</t>
  </si>
  <si>
    <t>Derivative financial instruments</t>
  </si>
  <si>
    <t>Prepayments to Suppliers</t>
  </si>
  <si>
    <t>Assets held for sale</t>
  </si>
  <si>
    <t>Finished Goods</t>
  </si>
  <si>
    <t>Provision for Loss</t>
  </si>
  <si>
    <t>Accrued Income</t>
  </si>
  <si>
    <t>Cash and cash equivalents</t>
  </si>
  <si>
    <t>Balancing Item - Current Assets</t>
  </si>
  <si>
    <t>Total Current Assets</t>
  </si>
  <si>
    <t>Adjustment to Tangibles</t>
  </si>
  <si>
    <t>Investments in Joint Ventures</t>
  </si>
  <si>
    <t>Other financial assets</t>
  </si>
  <si>
    <t>Pension Assets-LT</t>
  </si>
  <si>
    <t>Assets available for sale</t>
  </si>
  <si>
    <t>Other Receivables</t>
  </si>
  <si>
    <t>Total Financial Non-current Assets - Balancing value</t>
  </si>
  <si>
    <t>Equity-accounted investees</t>
  </si>
  <si>
    <t>Shares</t>
  </si>
  <si>
    <t>Tangible assets</t>
  </si>
  <si>
    <t>Property</t>
  </si>
  <si>
    <t>Property,gross</t>
  </si>
  <si>
    <t>Acc depreciation Property</t>
  </si>
  <si>
    <t>Buildings</t>
  </si>
  <si>
    <t>Buildings,gross</t>
  </si>
  <si>
    <t>Buildings - acc depn</t>
  </si>
  <si>
    <t>Buildings, Net - Balancing value</t>
  </si>
  <si>
    <t>Machinery and Vehicles</t>
  </si>
  <si>
    <t>Machinery</t>
  </si>
  <si>
    <t>Plant/mach - acc depn</t>
  </si>
  <si>
    <t>Machinery and Vehicles - Balancing value</t>
  </si>
  <si>
    <t>Furniture, Office- and Computer Equipment, Net</t>
  </si>
  <si>
    <t>Fixtures &amp; Fittings</t>
  </si>
  <si>
    <t>Acc Depr Furniture, Office- and Computer Equipment</t>
  </si>
  <si>
    <t>Furniture, Office- and Computer Equipment, Net - Balancing value</t>
  </si>
  <si>
    <t>Tangible Assets - Balancing value</t>
  </si>
  <si>
    <t>Total Property/Plant/Equipment, Gross</t>
  </si>
  <si>
    <t>Right of use assets</t>
  </si>
  <si>
    <t>Right-of-use assets - Balancing value</t>
  </si>
  <si>
    <t>Right-of-use assets- Gross</t>
  </si>
  <si>
    <t>Right-of-use assets- Accumulated Depreciation</t>
  </si>
  <si>
    <t>Starfish downscaled pilot version</t>
  </si>
  <si>
    <t>Starfish downscaled pilot version - Gross</t>
  </si>
  <si>
    <t>Starfish downscaled pilot versionr - Accumulated Depreciation &amp; Impairment</t>
  </si>
  <si>
    <t>Intangible assets total incl goodwill</t>
  </si>
  <si>
    <t>Total Intangible Assets, Gross</t>
  </si>
  <si>
    <t>Accumulated Intangible Amortization</t>
  </si>
  <si>
    <t>Goodwill</t>
  </si>
  <si>
    <t>Acc Amort/Imp Goodwill</t>
  </si>
  <si>
    <t>Goodwill - Balancing value</t>
  </si>
  <si>
    <t>Intangible assets</t>
  </si>
  <si>
    <t>Other intangible assets</t>
  </si>
  <si>
    <t>Capitalized Development Costs</t>
  </si>
  <si>
    <t>Research &amp; Development Costs, Gross</t>
  </si>
  <si>
    <t>Acc Amort/Imp Research &amp; Development Costs</t>
  </si>
  <si>
    <t>Research and development - Balancing value</t>
  </si>
  <si>
    <t>Research and Development - Balancing value</t>
  </si>
  <si>
    <t>Customer Portfolio-Net</t>
  </si>
  <si>
    <t>Customer Portfolio-Gross</t>
  </si>
  <si>
    <t>Acc Amort Portfolio</t>
  </si>
  <si>
    <t>Other Intangible (Customer portfolio) - Balancing value</t>
  </si>
  <si>
    <t>Licences and patents</t>
  </si>
  <si>
    <t>Brand/ Patents/ Trademarks/ Marketing/ Artistic Intangible, Gross</t>
  </si>
  <si>
    <t>Acc Amort Brand/ Patents/ Trademarks/ Marketing/ Artistic Intang.</t>
  </si>
  <si>
    <t>Licences and patents - Balancing value</t>
  </si>
  <si>
    <t>Concessions, Patents and Similar - Balancing value</t>
  </si>
  <si>
    <t>Digital Solutions - Gross</t>
  </si>
  <si>
    <t>Digital Solutions- Accumulated Amortization &amp; Impairment</t>
  </si>
  <si>
    <t>Digital Solutions&amp; Technology - Net - Balancing value</t>
  </si>
  <si>
    <t>Intangible Assets - Balancing value</t>
  </si>
  <si>
    <t>Goodwill - Gross</t>
  </si>
  <si>
    <t>Other</t>
  </si>
  <si>
    <t>Deferred Tax Assets</t>
  </si>
  <si>
    <t>Information Technology</t>
  </si>
  <si>
    <t>Accumulated Goodwill Amortization</t>
  </si>
  <si>
    <t>Balancing Item - Noncurrent Assets</t>
  </si>
  <si>
    <t>Total non-current assets</t>
  </si>
  <si>
    <t>Balancing Item - Assets</t>
  </si>
  <si>
    <t>Total assets</t>
  </si>
  <si>
    <t>Convertible Callable Unsecured Subordinated Bond</t>
  </si>
  <si>
    <t>Bond Loan</t>
  </si>
  <si>
    <t>Debt to financial institution</t>
  </si>
  <si>
    <t>Trade payables</t>
  </si>
  <si>
    <t>Income tax payable</t>
  </si>
  <si>
    <t>Social security and employee taxes</t>
  </si>
  <si>
    <t>Prepayment from customers</t>
  </si>
  <si>
    <t>Work in Progress</t>
  </si>
  <si>
    <t>Derivative financial instruments - hedging</t>
  </si>
  <si>
    <t>Derivative financial instruments - non hedging</t>
  </si>
  <si>
    <t>Other current liabilities</t>
  </si>
  <si>
    <t>Current lease liabilties</t>
  </si>
  <si>
    <t>Provisions - Short-Term</t>
  </si>
  <si>
    <t>Accrued Expenses</t>
  </si>
  <si>
    <t>Accrued Payroll</t>
  </si>
  <si>
    <t>Contract Liabilities - Short-Term - Advance Consideration &amp; Progress Billings in Excess of Unbilled Revenue</t>
  </si>
  <si>
    <t>Other current liabilities - Balancing value</t>
  </si>
  <si>
    <t>Deferred Income</t>
  </si>
  <si>
    <t>Liabilities Held for Sale</t>
  </si>
  <si>
    <t>Balancing Item - Current Liabilities</t>
  </si>
  <si>
    <t>Total current liabilities</t>
  </si>
  <si>
    <t>Long Term Loans</t>
  </si>
  <si>
    <t>Non-current provision</t>
  </si>
  <si>
    <t>Pension liability</t>
  </si>
  <si>
    <t>Lease liabilities</t>
  </si>
  <si>
    <t>Total other non-current liabilities</t>
  </si>
  <si>
    <t>Liabilities to Credit Institutions</t>
  </si>
  <si>
    <t>Bonds</t>
  </si>
  <si>
    <t>Long term interest bearing debt - Balancing value</t>
  </si>
  <si>
    <t>Long term interest bearing debt</t>
  </si>
  <si>
    <t>Balancing Item - Noncurrent Liabilities</t>
  </si>
  <si>
    <t>Total non-current liabilities</t>
  </si>
  <si>
    <t>Balancing Item - Liabilities</t>
  </si>
  <si>
    <t>Total Liabilities</t>
  </si>
  <si>
    <t>Issued share capital</t>
  </si>
  <si>
    <t>Treasury Shares</t>
  </si>
  <si>
    <t>Share premium</t>
  </si>
  <si>
    <t>Other Equity</t>
  </si>
  <si>
    <t>Adjusment</t>
  </si>
  <si>
    <t>Balancing Item - Shareholders Equity</t>
  </si>
  <si>
    <t>Shareholders equity</t>
  </si>
  <si>
    <t>Non-controlling interest</t>
  </si>
  <si>
    <t>Balancing Item - Total Equity</t>
  </si>
  <si>
    <t>Minority Interest</t>
  </si>
  <si>
    <t>Total equity</t>
  </si>
  <si>
    <t>Balancing Item - Total Liability and Equity</t>
  </si>
  <si>
    <t>Total Equity and Liabilities</t>
  </si>
  <si>
    <t>Reported Issued Shares- Common Iss. Pri.</t>
  </si>
  <si>
    <t>Common Shares Treasury - (Company Level)</t>
  </si>
  <si>
    <t>Total Common Shares Outstanding</t>
  </si>
  <si>
    <t>STOCKS</t>
  </si>
  <si>
    <t>Raw Materials / Work in Progress</t>
  </si>
  <si>
    <t>Revolving Line of Credit - Total Principal Amount</t>
  </si>
  <si>
    <t>Reported Total LT Debt, Supplemental</t>
  </si>
  <si>
    <t>Liabilities due after 5 Years</t>
  </si>
  <si>
    <t>Liabilities due within 5 Years</t>
  </si>
  <si>
    <t>Liabilities due within 4 Years</t>
  </si>
  <si>
    <t>Liabilities due within 3 Years</t>
  </si>
  <si>
    <t>Liabilities due within 2 Years</t>
  </si>
  <si>
    <t>Liabilities due within 1 Year</t>
  </si>
  <si>
    <t>Goodwill, net</t>
  </si>
  <si>
    <t>Reported Total Capital Leases, Sup</t>
  </si>
  <si>
    <t>Fin. Leases due after 5 Years</t>
  </si>
  <si>
    <t>Fin. Leases due within 5 Years</t>
  </si>
  <si>
    <t>Fin. Leases due within 4 Years</t>
  </si>
  <si>
    <t>Fin. Leases due within 3 Years</t>
  </si>
  <si>
    <t>Fin. Leases due within 2 Years</t>
  </si>
  <si>
    <t>Fin. Leases due within 1 Year</t>
  </si>
  <si>
    <t>Asset Allocation Factor - (Instrument Level)</t>
  </si>
  <si>
    <t>Common Shares Issued - (Instrument Level)</t>
  </si>
  <si>
    <t>Common Shares Treasury - (Instrument Level)</t>
  </si>
  <si>
    <t>S/O-Ordinary Shares</t>
  </si>
  <si>
    <t>Company Fundamentals - Cash Flow</t>
  </si>
  <si>
    <t>Industrial - Indirect</t>
  </si>
  <si>
    <t>Cash Flow - Company Specific (Currency: Norwegian Krone)</t>
  </si>
  <si>
    <t>Profit (loss) before tax</t>
  </si>
  <si>
    <t>Change in net current assets</t>
  </si>
  <si>
    <t>Amortization of non-current assets</t>
  </si>
  <si>
    <t>Depreciation / impairment</t>
  </si>
  <si>
    <t>Gain Related to Change of Control</t>
  </si>
  <si>
    <t>Depreciation of Fixed Assets</t>
  </si>
  <si>
    <t>Net interest cost (income)</t>
  </si>
  <si>
    <t>Interest paid</t>
  </si>
  <si>
    <t>Interest received</t>
  </si>
  <si>
    <t>Net Financial items</t>
  </si>
  <si>
    <t>Share of net profit (loss) from Equity-accounted investees</t>
  </si>
  <si>
    <t>Income tax paid</t>
  </si>
  <si>
    <t>Gain from sale of subsidiaries</t>
  </si>
  <si>
    <t>Investments - Gain/Loss - Cash Flow - to Reconcile</t>
  </si>
  <si>
    <t>Gain from sale of fixed assets</t>
  </si>
  <si>
    <t>Share Based Payment</t>
  </si>
  <si>
    <t>Diffeence between pension charges and payments to/from pension schemes</t>
  </si>
  <si>
    <t>Inventories, Customers and Suppliers - Change</t>
  </si>
  <si>
    <t>Change in other receivables and other short term liabilities</t>
  </si>
  <si>
    <t>Interest Received</t>
  </si>
  <si>
    <t>Trade Payables</t>
  </si>
  <si>
    <t>Prepayment</t>
  </si>
  <si>
    <t>Other receivables and other payables</t>
  </si>
  <si>
    <t>Depreciation Shares</t>
  </si>
  <si>
    <t>Other Depreciation/Write-Down</t>
  </si>
  <si>
    <t>Other Accruals</t>
  </si>
  <si>
    <t>Sale of Fixed Assets</t>
  </si>
  <si>
    <t>Working Capital</t>
  </si>
  <si>
    <t>Other Operating Cash Flow - Cash Flow - to Reconcile</t>
  </si>
  <si>
    <t>Operating Exchange Gains</t>
  </si>
  <si>
    <t>Balancing Item - Operating (Indirect)</t>
  </si>
  <si>
    <t>Net cash flow from operating activities</t>
  </si>
  <si>
    <t>Acquisition of Subsidiary net of Cash acquired</t>
  </si>
  <si>
    <t>Acquisition and expenditures of fixed/intangible assets</t>
  </si>
  <si>
    <t>Cash Distribution from Divested Companies</t>
  </si>
  <si>
    <t>Expenditures fixed and intangible assets</t>
  </si>
  <si>
    <t>Disbursements on own developement</t>
  </si>
  <si>
    <t>Dividend received from investments in equity accounted companies</t>
  </si>
  <si>
    <t>Proceeds from Change of Control in THH</t>
  </si>
  <si>
    <t>Proceeds discontinued business</t>
  </si>
  <si>
    <t>Investment in shares sale/ (purchase)</t>
  </si>
  <si>
    <t>Proceedes from sale of subsidiaries</t>
  </si>
  <si>
    <t>Sale of Tangible Assets</t>
  </si>
  <si>
    <t>Acquisition of Intangible Fixed Assets</t>
  </si>
  <si>
    <t>Disposal of Discontinued Operation</t>
  </si>
  <si>
    <t>Proceeds from Sale of Investments</t>
  </si>
  <si>
    <t>Loan Repayments Received</t>
  </si>
  <si>
    <t>Investment i associated company</t>
  </si>
  <si>
    <t>Acquisition of Subsidiary - net of Cash acquired</t>
  </si>
  <si>
    <t>Balancing Item - Investing</t>
  </si>
  <si>
    <t>Net cash flow from investment activities</t>
  </si>
  <si>
    <t>Net Change in Bank Overdraft Facility</t>
  </si>
  <si>
    <t>Net Finance</t>
  </si>
  <si>
    <t>Proceeds from issuance of short-term/long-term debt</t>
  </si>
  <si>
    <t>Purchase of treasury shares</t>
  </si>
  <si>
    <t>Proceeds from issuance of share capital</t>
  </si>
  <si>
    <t>Net proceeds from share-program employees</t>
  </si>
  <si>
    <t>Dividends paid</t>
  </si>
  <si>
    <t>Payment of lease liabilities</t>
  </si>
  <si>
    <t>Sale / (purchase) treasury shares</t>
  </si>
  <si>
    <t>Disbursement on short-term/ long-term debt</t>
  </si>
  <si>
    <t>New loans and repayment</t>
  </si>
  <si>
    <t>Payments to shareholders</t>
  </si>
  <si>
    <t>Dividends</t>
  </si>
  <si>
    <t>Change in Overdraft</t>
  </si>
  <si>
    <t>Other Financial Items</t>
  </si>
  <si>
    <t>Balancing Item - Financing</t>
  </si>
  <si>
    <t>Net cash flow from financing activities</t>
  </si>
  <si>
    <t>Net cash Discontinued Business</t>
  </si>
  <si>
    <t>Discontinued Operations Section</t>
  </si>
  <si>
    <t>Cash and cash equivalents at the start of the period</t>
  </si>
  <si>
    <t>Cash and cash equivalents at the end of the period</t>
  </si>
  <si>
    <t>Effect of exchange rate changes on cash</t>
  </si>
  <si>
    <t>Net change in cash and cash equivalents</t>
  </si>
  <si>
    <t>Company Fundamentals - Valuation</t>
  </si>
  <si>
    <t>2003</t>
  </si>
  <si>
    <t>2002</t>
  </si>
  <si>
    <t>2001</t>
  </si>
  <si>
    <t>2000</t>
  </si>
  <si>
    <t>1999</t>
  </si>
  <si>
    <t>1998</t>
  </si>
  <si>
    <t>Valuation - Standardized (Currency: Norwegian Krone)</t>
  </si>
  <si>
    <t>31-12-2003</t>
  </si>
  <si>
    <t>31-12-2002</t>
  </si>
  <si>
    <t>31-12-2001</t>
  </si>
  <si>
    <t>31-12-2000</t>
  </si>
  <si>
    <t>31-12-1999</t>
  </si>
  <si>
    <t>31-12-1998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</si>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</sst>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46091.3855905556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43100.0</v>
      </c>
      <c r="L13" s="9">
        <v>42369.0</v>
      </c>
      <c r="M13" s="9">
        <v>42185.0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40543.0</v>
      </c>
      <c r="S13" s="9">
        <v>39994.0</v>
      </c>
      <c r="T13" s="9">
        <v>39629.0</v>
      </c>
      <c r="U13" s="9">
        <v>39447.0</v>
      </c>
      <c r="V13" s="9">
        <v>38717.0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</row>
    <row r="17">
      <c r="A17" s="11" t="s">
        <v>46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70</v>
      </c>
      <c r="B19" s="14">
        <v>571.09</v>
      </c>
      <c r="C19" s="14">
        <v>623.51</v>
      </c>
      <c r="D19" s="14">
        <v>575.09</v>
      </c>
      <c r="E19" s="14">
        <v>387.5</v>
      </c>
      <c r="F19" s="14">
        <v>478.89</v>
      </c>
      <c r="G19" s="14">
        <v>359.47</v>
      </c>
      <c r="H19" s="14">
        <v>266.61</v>
      </c>
      <c r="I19" s="14">
        <v>220.31</v>
      </c>
      <c r="J19" s="14">
        <v>211.04</v>
      </c>
      <c r="K19" s="14">
        <v>202.34</v>
      </c>
      <c r="L19" s="14">
        <v>3051.24</v>
      </c>
      <c r="M19" s="14">
        <v>2453.66</v>
      </c>
      <c r="N19" s="14">
        <v>2693.17</v>
      </c>
      <c r="O19" s="14">
        <v>2346.48</v>
      </c>
      <c r="P19" s="14">
        <v>2572.03</v>
      </c>
      <c r="Q19" s="14">
        <v>3225.82</v>
      </c>
      <c r="R19" s="14">
        <v>3784.09</v>
      </c>
      <c r="S19" s="14">
        <v>4176.5</v>
      </c>
      <c r="T19" s="14">
        <v>2452.23</v>
      </c>
      <c r="U19" s="14">
        <v>1593.72</v>
      </c>
      <c r="V19" s="14">
        <v>1148.46</v>
      </c>
      <c r="W19" s="14">
        <v>785.24</v>
      </c>
    </row>
    <row r="20" ht="15.0" customHeight="1">
      <c r="A20" s="13" t="s">
        <v>71</v>
      </c>
      <c r="B20" s="15"/>
      <c r="C20" s="15"/>
      <c r="D20" s="15"/>
      <c r="E20" s="15"/>
      <c r="F20" s="16">
        <v>1.09</v>
      </c>
      <c r="G20" s="15"/>
      <c r="H20" s="15"/>
      <c r="I20" s="15"/>
      <c r="J20" s="15"/>
      <c r="K20" s="15"/>
      <c r="L20" s="15"/>
      <c r="M20" s="15"/>
      <c r="N20" s="15"/>
      <c r="O20" s="15"/>
      <c r="P20" s="16">
        <v>21.59</v>
      </c>
      <c r="Q20" s="16">
        <v>14.99</v>
      </c>
      <c r="R20" s="16">
        <v>41.23</v>
      </c>
      <c r="S20" s="16">
        <v>19.99</v>
      </c>
      <c r="T20" s="16">
        <v>7.74</v>
      </c>
      <c r="U20" s="16">
        <v>10.31</v>
      </c>
      <c r="V20" s="16">
        <v>1.37</v>
      </c>
      <c r="W20" s="16">
        <v>0.94</v>
      </c>
    </row>
    <row r="21" ht="15.0" customHeight="1">
      <c r="A21" s="17" t="s">
        <v>72</v>
      </c>
      <c r="B21" s="18">
        <v>571.09</v>
      </c>
      <c r="C21" s="18">
        <v>623.51</v>
      </c>
      <c r="D21" s="18">
        <v>575.09</v>
      </c>
      <c r="E21" s="18">
        <v>387.5</v>
      </c>
      <c r="F21" s="18">
        <v>479.98</v>
      </c>
      <c r="G21" s="18">
        <v>359.47</v>
      </c>
      <c r="H21" s="18">
        <v>266.61</v>
      </c>
      <c r="I21" s="18">
        <v>220.31</v>
      </c>
      <c r="J21" s="18">
        <v>211.04</v>
      </c>
      <c r="K21" s="18">
        <v>202.34</v>
      </c>
      <c r="L21" s="18">
        <v>3051.24</v>
      </c>
      <c r="M21" s="18">
        <v>2453.66</v>
      </c>
      <c r="N21" s="18">
        <v>2693.17</v>
      </c>
      <c r="O21" s="18">
        <v>2346.48</v>
      </c>
      <c r="P21" s="18">
        <v>2593.61</v>
      </c>
      <c r="Q21" s="18">
        <v>3240.81</v>
      </c>
      <c r="R21" s="18">
        <v>3825.32</v>
      </c>
      <c r="S21" s="18">
        <v>4196.48</v>
      </c>
      <c r="T21" s="18">
        <v>2459.96</v>
      </c>
      <c r="U21" s="18">
        <v>1604.03</v>
      </c>
      <c r="V21" s="18">
        <v>1149.83</v>
      </c>
      <c r="W21" s="18">
        <v>786.17</v>
      </c>
    </row>
    <row r="22" ht="15.0" customHeight="1">
      <c r="A22" s="13" t="s">
        <v>71</v>
      </c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>
        <v>0.0</v>
      </c>
      <c r="O22" s="16">
        <v>23.43</v>
      </c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7" t="s">
        <v>73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>
        <v>0.0</v>
      </c>
      <c r="O23" s="20">
        <v>23.43</v>
      </c>
      <c r="P23" s="19"/>
      <c r="Q23" s="19"/>
      <c r="R23" s="19"/>
      <c r="S23" s="19"/>
      <c r="T23" s="19"/>
      <c r="U23" s="19"/>
      <c r="V23" s="19"/>
      <c r="W23" s="19"/>
    </row>
    <row r="24" ht="15.0" customHeight="1">
      <c r="A24" s="13" t="s">
        <v>74</v>
      </c>
      <c r="B24" s="14">
        <v>323.71</v>
      </c>
      <c r="C24" s="14">
        <v>333.72</v>
      </c>
      <c r="D24" s="14">
        <v>304.49</v>
      </c>
      <c r="E24" s="14">
        <v>209.13</v>
      </c>
      <c r="F24" s="14">
        <v>236.71</v>
      </c>
      <c r="G24" s="14">
        <v>198.37</v>
      </c>
      <c r="H24" s="14">
        <v>160.13</v>
      </c>
      <c r="I24" s="14">
        <v>142.11</v>
      </c>
      <c r="J24" s="14">
        <v>137.2</v>
      </c>
      <c r="K24" s="14">
        <v>126.28</v>
      </c>
      <c r="L24" s="14">
        <v>1939.68</v>
      </c>
      <c r="M24" s="14">
        <v>1419.8</v>
      </c>
      <c r="N24" s="14">
        <v>1911.7</v>
      </c>
      <c r="O24" s="14">
        <v>1542.17</v>
      </c>
      <c r="P24" s="14">
        <v>1781.26</v>
      </c>
      <c r="Q24" s="14">
        <v>2396.43</v>
      </c>
      <c r="R24" s="14">
        <v>2900.89</v>
      </c>
      <c r="S24" s="14">
        <v>3333.04</v>
      </c>
      <c r="T24" s="14">
        <v>1705.92</v>
      </c>
      <c r="U24" s="14">
        <v>1111.37</v>
      </c>
      <c r="V24" s="14">
        <v>771.52</v>
      </c>
      <c r="W24" s="14">
        <v>502.35</v>
      </c>
    </row>
    <row r="25" ht="15.0" customHeight="1">
      <c r="A25" s="13" t="s">
        <v>75</v>
      </c>
      <c r="B25" s="16">
        <v>61.25</v>
      </c>
      <c r="C25" s="16">
        <v>50.4</v>
      </c>
      <c r="D25" s="16">
        <v>41.42</v>
      </c>
      <c r="E25" s="16">
        <v>32.78</v>
      </c>
      <c r="F25" s="16">
        <v>25.61</v>
      </c>
      <c r="G25" s="16">
        <v>18.71</v>
      </c>
      <c r="H25" s="16">
        <v>19.57</v>
      </c>
      <c r="I25" s="16">
        <v>16.33</v>
      </c>
      <c r="J25" s="16">
        <v>16.57</v>
      </c>
      <c r="K25" s="16">
        <v>34.49</v>
      </c>
      <c r="L25" s="14">
        <v>360.65</v>
      </c>
      <c r="M25" s="14">
        <v>942.97</v>
      </c>
      <c r="N25" s="14">
        <v>228.12</v>
      </c>
      <c r="O25" s="14">
        <v>207.52</v>
      </c>
      <c r="P25" s="14">
        <v>207.69</v>
      </c>
      <c r="Q25" s="14">
        <v>106.42</v>
      </c>
      <c r="R25" s="14">
        <v>277.92</v>
      </c>
      <c r="S25" s="14">
        <v>735.69</v>
      </c>
      <c r="T25" s="14">
        <v>601.61</v>
      </c>
      <c r="U25" s="14">
        <v>394.05</v>
      </c>
      <c r="V25" s="14">
        <v>101.3</v>
      </c>
      <c r="W25" s="16">
        <v>74.99</v>
      </c>
    </row>
    <row r="26" ht="15.0" customHeight="1">
      <c r="A26" s="13" t="s">
        <v>76</v>
      </c>
      <c r="B26" s="15"/>
      <c r="C26" s="16">
        <v>19.36</v>
      </c>
      <c r="D26" s="15"/>
      <c r="E26" s="15"/>
      <c r="F26" s="16">
        <v>4.87</v>
      </c>
      <c r="G26" s="15"/>
      <c r="H26" s="15"/>
      <c r="I26" s="16">
        <v>5.08</v>
      </c>
      <c r="J26" s="16">
        <v>6.95</v>
      </c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</row>
    <row r="27" ht="15.0" customHeight="1">
      <c r="A27" s="13" t="s">
        <v>77</v>
      </c>
      <c r="B27" s="15"/>
      <c r="C27" s="16">
        <v>2.68</v>
      </c>
      <c r="D27" s="15"/>
      <c r="E27" s="15"/>
      <c r="F27" s="16">
        <v>2.1</v>
      </c>
      <c r="G27" s="15"/>
      <c r="H27" s="15"/>
      <c r="I27" s="16">
        <v>2.6</v>
      </c>
      <c r="J27" s="16">
        <v>3.06</v>
      </c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78</v>
      </c>
      <c r="B28" s="15"/>
      <c r="C28" s="16">
        <v>28.37</v>
      </c>
      <c r="D28" s="15"/>
      <c r="E28" s="15"/>
      <c r="F28" s="16">
        <v>18.64</v>
      </c>
      <c r="G28" s="15"/>
      <c r="H28" s="15"/>
      <c r="I28" s="16">
        <v>8.64</v>
      </c>
      <c r="J28" s="16">
        <v>6.56</v>
      </c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79</v>
      </c>
      <c r="B29" s="16">
        <v>3.68</v>
      </c>
      <c r="C29" s="16">
        <v>0.7</v>
      </c>
      <c r="D29" s="16">
        <v>6.6</v>
      </c>
      <c r="E29" s="15">
        <v>0.0</v>
      </c>
      <c r="F29" s="16">
        <v>0.11</v>
      </c>
      <c r="G29" s="21">
        <v>-5.99</v>
      </c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</row>
    <row r="30" ht="15.0" customHeight="1">
      <c r="A30" s="13" t="s">
        <v>80</v>
      </c>
      <c r="B30" s="15"/>
      <c r="C30" s="15"/>
      <c r="D30" s="15"/>
      <c r="E30" s="15"/>
      <c r="F30" s="16">
        <v>3.97</v>
      </c>
      <c r="G30" s="16">
        <v>13.04</v>
      </c>
      <c r="H30" s="15">
        <v>0.0</v>
      </c>
      <c r="I30" s="16">
        <v>0.54</v>
      </c>
      <c r="J30" s="16">
        <v>0.33</v>
      </c>
      <c r="K30" s="16">
        <v>1.68</v>
      </c>
      <c r="L30" s="16">
        <v>12.6</v>
      </c>
      <c r="M30" s="15"/>
      <c r="N30" s="16">
        <v>12.17</v>
      </c>
      <c r="O30" s="16">
        <v>10.21</v>
      </c>
      <c r="P30" s="16">
        <v>12.95</v>
      </c>
      <c r="Q30" s="16">
        <v>20.85</v>
      </c>
      <c r="R30" s="16">
        <v>88.95</v>
      </c>
      <c r="S30" s="15"/>
      <c r="T30" s="15"/>
      <c r="U30" s="15"/>
      <c r="V30" s="16">
        <v>0.95</v>
      </c>
      <c r="W30" s="16">
        <v>1.91</v>
      </c>
    </row>
    <row r="31" ht="15.0" customHeight="1">
      <c r="A31" s="13" t="s">
        <v>81</v>
      </c>
      <c r="B31" s="16">
        <v>18.49</v>
      </c>
      <c r="C31" s="16">
        <v>11.62</v>
      </c>
      <c r="D31" s="16">
        <v>7.69</v>
      </c>
      <c r="E31" s="16">
        <v>10.48</v>
      </c>
      <c r="F31" s="16">
        <v>5.67</v>
      </c>
      <c r="G31" s="16">
        <v>2.75</v>
      </c>
      <c r="H31" s="16">
        <v>3.03</v>
      </c>
      <c r="I31" s="16">
        <v>1.89</v>
      </c>
      <c r="J31" s="16">
        <v>1.68</v>
      </c>
      <c r="K31" s="16">
        <v>0.65</v>
      </c>
      <c r="L31" s="16">
        <v>58.13</v>
      </c>
      <c r="M31" s="16">
        <v>43.77</v>
      </c>
      <c r="N31" s="16">
        <v>33.81</v>
      </c>
      <c r="O31" s="16">
        <v>24.39</v>
      </c>
      <c r="P31" s="16">
        <v>26.49</v>
      </c>
      <c r="Q31" s="16">
        <v>51.98</v>
      </c>
      <c r="R31" s="16">
        <v>47.31</v>
      </c>
      <c r="S31" s="16">
        <v>30.84</v>
      </c>
      <c r="T31" s="16">
        <v>17.19</v>
      </c>
      <c r="U31" s="16">
        <v>8.92</v>
      </c>
      <c r="V31" s="16">
        <v>7.56</v>
      </c>
      <c r="W31" s="16">
        <v>6.07</v>
      </c>
    </row>
    <row r="32" ht="15.0" customHeight="1">
      <c r="A32" s="13" t="s">
        <v>82</v>
      </c>
      <c r="B32" s="16">
        <v>13.72</v>
      </c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83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6">
        <v>64.84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84</v>
      </c>
      <c r="B34" s="14">
        <v>180.92</v>
      </c>
      <c r="C34" s="14">
        <v>146.46</v>
      </c>
      <c r="D34" s="14">
        <v>113.81</v>
      </c>
      <c r="E34" s="16">
        <v>78.29</v>
      </c>
      <c r="F34" s="16">
        <v>73.82</v>
      </c>
      <c r="G34" s="16">
        <v>57.97</v>
      </c>
      <c r="H34" s="16">
        <v>50.81</v>
      </c>
      <c r="I34" s="16">
        <v>44.34</v>
      </c>
      <c r="J34" s="16">
        <v>46.43</v>
      </c>
      <c r="K34" s="16">
        <v>54.84</v>
      </c>
      <c r="L34" s="14">
        <v>699.22</v>
      </c>
      <c r="M34" s="15"/>
      <c r="N34" s="14">
        <v>683.42</v>
      </c>
      <c r="O34" s="14">
        <v>512.6</v>
      </c>
      <c r="P34" s="14">
        <v>467.99</v>
      </c>
      <c r="Q34" s="14">
        <v>617.15</v>
      </c>
      <c r="R34" s="14">
        <v>663.47</v>
      </c>
      <c r="S34" s="15"/>
      <c r="T34" s="15"/>
      <c r="U34" s="15"/>
      <c r="V34" s="14">
        <v>208.86</v>
      </c>
      <c r="W34" s="14">
        <v>164.8</v>
      </c>
    </row>
    <row r="35" ht="15.0" customHeight="1">
      <c r="A35" s="13" t="s">
        <v>85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>
        <v>0.0</v>
      </c>
      <c r="O35" s="16">
        <v>22.8</v>
      </c>
      <c r="P35" s="15">
        <v>0.0</v>
      </c>
      <c r="Q35" s="15"/>
      <c r="R35" s="15"/>
      <c r="S35" s="15"/>
      <c r="T35" s="15"/>
      <c r="U35" s="15"/>
      <c r="V35" s="15"/>
      <c r="W35" s="15"/>
    </row>
    <row r="36" ht="15.0" customHeight="1">
      <c r="A36" s="13" t="s">
        <v>86</v>
      </c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22">
        <v>-115.89</v>
      </c>
      <c r="M36" s="21">
        <v>-14.32</v>
      </c>
      <c r="N36" s="21">
        <v>-11.96</v>
      </c>
      <c r="O36" s="21">
        <v>-59.92</v>
      </c>
      <c r="P36" s="21">
        <v>-46.94</v>
      </c>
      <c r="Q36" s="21">
        <v>-30.94</v>
      </c>
      <c r="R36" s="21">
        <v>-21.64</v>
      </c>
      <c r="S36" s="21">
        <v>-17.71</v>
      </c>
      <c r="T36" s="21">
        <v>-14.69</v>
      </c>
      <c r="U36" s="21">
        <v>-8.45</v>
      </c>
      <c r="V36" s="15"/>
      <c r="W36" s="15"/>
    </row>
    <row r="37" ht="15.0" customHeight="1">
      <c r="A37" s="13" t="s">
        <v>87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4">
        <v>127.19</v>
      </c>
      <c r="R37" s="15"/>
      <c r="S37" s="15"/>
      <c r="T37" s="15"/>
      <c r="U37" s="15"/>
      <c r="V37" s="15"/>
      <c r="W37" s="15"/>
    </row>
    <row r="38" ht="15.0" customHeight="1">
      <c r="A38" s="13" t="s">
        <v>88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>
        <v>0.0</v>
      </c>
      <c r="R38" s="16">
        <v>99.23</v>
      </c>
      <c r="S38" s="15"/>
      <c r="T38" s="15"/>
      <c r="U38" s="15">
        <v>0.0</v>
      </c>
      <c r="V38" s="15"/>
      <c r="W38" s="15"/>
    </row>
    <row r="39" ht="15.0" customHeight="1">
      <c r="A39" s="13" t="s">
        <v>89</v>
      </c>
      <c r="B39" s="15"/>
      <c r="C39" s="23">
        <v>0.0</v>
      </c>
      <c r="D39" s="15"/>
      <c r="E39" s="15"/>
      <c r="F39" s="15">
        <v>0.0</v>
      </c>
      <c r="G39" s="23">
        <v>0.0</v>
      </c>
      <c r="H39" s="15">
        <v>0.0</v>
      </c>
      <c r="I39" s="15">
        <v>0.0</v>
      </c>
      <c r="J39" s="15">
        <v>0.0</v>
      </c>
      <c r="K39" s="16">
        <v>0.01</v>
      </c>
      <c r="L39" s="15"/>
      <c r="M39" s="15"/>
      <c r="N39" s="15"/>
      <c r="O39" s="15"/>
      <c r="P39" s="15"/>
      <c r="Q39" s="15"/>
      <c r="R39" s="15"/>
      <c r="S39" s="15"/>
      <c r="T39" s="16">
        <v>15.94</v>
      </c>
      <c r="U39" s="15"/>
      <c r="V39" s="15"/>
      <c r="W39" s="15"/>
    </row>
    <row r="40" ht="15.0" customHeight="1">
      <c r="A40" s="17" t="s">
        <v>90</v>
      </c>
      <c r="B40" s="18">
        <v>601.77</v>
      </c>
      <c r="C40" s="18">
        <v>542.89</v>
      </c>
      <c r="D40" s="18">
        <v>474.01</v>
      </c>
      <c r="E40" s="18">
        <v>330.68</v>
      </c>
      <c r="F40" s="18">
        <v>345.88</v>
      </c>
      <c r="G40" s="18">
        <v>284.84</v>
      </c>
      <c r="H40" s="18">
        <v>233.54</v>
      </c>
      <c r="I40" s="18">
        <v>205.2</v>
      </c>
      <c r="J40" s="18">
        <v>202.2</v>
      </c>
      <c r="K40" s="18">
        <v>217.96</v>
      </c>
      <c r="L40" s="18">
        <v>3019.24</v>
      </c>
      <c r="M40" s="18">
        <v>2392.21</v>
      </c>
      <c r="N40" s="18">
        <v>2857.27</v>
      </c>
      <c r="O40" s="18">
        <v>2259.76</v>
      </c>
      <c r="P40" s="18">
        <v>2449.44</v>
      </c>
      <c r="Q40" s="18">
        <v>3289.08</v>
      </c>
      <c r="R40" s="18">
        <v>4056.12</v>
      </c>
      <c r="S40" s="18">
        <v>4081.87</v>
      </c>
      <c r="T40" s="18">
        <v>2325.97</v>
      </c>
      <c r="U40" s="18">
        <v>1505.89</v>
      </c>
      <c r="V40" s="18">
        <v>1090.2</v>
      </c>
      <c r="W40" s="18">
        <v>750.12</v>
      </c>
    </row>
    <row r="41" ht="15.0" customHeight="1">
      <c r="A41" s="13" t="s">
        <v>91</v>
      </c>
      <c r="B41" s="15"/>
      <c r="C41" s="23">
        <v>0.0</v>
      </c>
      <c r="D41" s="15">
        <v>0.0</v>
      </c>
      <c r="E41" s="15"/>
      <c r="F41" s="15">
        <v>0.0</v>
      </c>
      <c r="G41" s="23">
        <v>0.0</v>
      </c>
      <c r="H41" s="15"/>
      <c r="I41" s="15"/>
      <c r="J41" s="15"/>
      <c r="K41" s="15"/>
      <c r="L41" s="15"/>
      <c r="M41" s="15">
        <v>0.0</v>
      </c>
      <c r="N41" s="15"/>
      <c r="O41" s="15">
        <v>0.0</v>
      </c>
      <c r="P41" s="15"/>
      <c r="Q41" s="15"/>
      <c r="R41" s="15"/>
      <c r="S41" s="15"/>
      <c r="T41" s="15"/>
      <c r="U41" s="15"/>
      <c r="V41" s="15">
        <v>0.0</v>
      </c>
      <c r="W41" s="15"/>
    </row>
    <row r="42" ht="15.0" customHeight="1">
      <c r="A42" s="17" t="s">
        <v>92</v>
      </c>
      <c r="B42" s="24">
        <v>-30.68</v>
      </c>
      <c r="C42" s="20">
        <v>80.61</v>
      </c>
      <c r="D42" s="18">
        <v>101.07</v>
      </c>
      <c r="E42" s="20">
        <v>56.82</v>
      </c>
      <c r="F42" s="18">
        <v>134.1</v>
      </c>
      <c r="G42" s="20">
        <v>74.63</v>
      </c>
      <c r="H42" s="20">
        <v>33.07</v>
      </c>
      <c r="I42" s="20">
        <v>15.11</v>
      </c>
      <c r="J42" s="20">
        <v>8.84</v>
      </c>
      <c r="K42" s="24">
        <v>-15.62</v>
      </c>
      <c r="L42" s="20">
        <v>32.01</v>
      </c>
      <c r="M42" s="20">
        <v>61.45</v>
      </c>
      <c r="N42" s="25">
        <v>-164.1</v>
      </c>
      <c r="O42" s="18">
        <v>110.14</v>
      </c>
      <c r="P42" s="25">
        <v>-144.17</v>
      </c>
      <c r="Q42" s="24">
        <v>-48.27</v>
      </c>
      <c r="R42" s="25">
        <v>-230.8</v>
      </c>
      <c r="S42" s="18">
        <v>114.62</v>
      </c>
      <c r="T42" s="18">
        <v>133.99</v>
      </c>
      <c r="U42" s="20">
        <v>98.15</v>
      </c>
      <c r="V42" s="20">
        <v>59.64</v>
      </c>
      <c r="W42" s="20">
        <v>36.06</v>
      </c>
    </row>
    <row r="43" ht="15.0" customHeight="1">
      <c r="A43" s="13" t="s">
        <v>93</v>
      </c>
      <c r="B43" s="16">
        <v>36.54</v>
      </c>
      <c r="C43" s="16">
        <v>27.29</v>
      </c>
      <c r="D43" s="16">
        <v>24.1</v>
      </c>
      <c r="E43" s="16">
        <v>16.92</v>
      </c>
      <c r="F43" s="16">
        <v>5.7</v>
      </c>
      <c r="G43" s="16">
        <v>2.36</v>
      </c>
      <c r="H43" s="16">
        <v>12.11</v>
      </c>
      <c r="I43" s="16">
        <v>15.13</v>
      </c>
      <c r="J43" s="16">
        <v>4.68</v>
      </c>
      <c r="K43" s="16">
        <v>12.86</v>
      </c>
      <c r="L43" s="15"/>
      <c r="M43" s="16">
        <v>98.17</v>
      </c>
      <c r="N43" s="15"/>
      <c r="O43" s="15"/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94</v>
      </c>
      <c r="B44" s="15"/>
      <c r="C44" s="16">
        <v>0.02</v>
      </c>
      <c r="D44" s="15"/>
      <c r="E44" s="15"/>
      <c r="F44" s="16">
        <v>3.18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95</v>
      </c>
      <c r="B45" s="15"/>
      <c r="C45" s="16">
        <v>18.33</v>
      </c>
      <c r="D45" s="15"/>
      <c r="E45" s="15"/>
      <c r="F45" s="16">
        <v>2.52</v>
      </c>
      <c r="G45" s="15"/>
      <c r="H45" s="15"/>
      <c r="I45" s="16">
        <v>4.99</v>
      </c>
      <c r="J45" s="16">
        <v>0.86</v>
      </c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96</v>
      </c>
      <c r="B46" s="15"/>
      <c r="C46" s="15"/>
      <c r="D46" s="15"/>
      <c r="E46" s="15"/>
      <c r="F46" s="23">
        <v>0.0</v>
      </c>
      <c r="G46" s="15"/>
      <c r="H46" s="15"/>
      <c r="I46" s="15"/>
      <c r="J46" s="16">
        <v>3.81</v>
      </c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</row>
    <row r="47" ht="15.0" customHeight="1">
      <c r="A47" s="13" t="s">
        <v>97</v>
      </c>
      <c r="B47" s="15"/>
      <c r="C47" s="16">
        <v>8.94</v>
      </c>
      <c r="D47" s="15"/>
      <c r="E47" s="15"/>
      <c r="F47" s="15"/>
      <c r="G47" s="15"/>
      <c r="H47" s="15"/>
      <c r="I47" s="16">
        <v>10.13</v>
      </c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</row>
    <row r="48" ht="15.0" customHeight="1">
      <c r="A48" s="13" t="s">
        <v>98</v>
      </c>
      <c r="B48" s="21">
        <v>-17.91</v>
      </c>
      <c r="C48" s="21">
        <v>-42.56</v>
      </c>
      <c r="D48" s="21">
        <v>-8.82</v>
      </c>
      <c r="E48" s="21">
        <v>-31.11</v>
      </c>
      <c r="F48" s="21">
        <v>-7.26</v>
      </c>
      <c r="G48" s="21">
        <v>-5.27</v>
      </c>
      <c r="H48" s="21">
        <v>-12.08</v>
      </c>
      <c r="I48" s="21">
        <v>-16.93</v>
      </c>
      <c r="J48" s="21">
        <v>-9.28</v>
      </c>
      <c r="K48" s="21">
        <v>-14.3</v>
      </c>
      <c r="L48" s="15"/>
      <c r="M48" s="22">
        <v>-136.36</v>
      </c>
      <c r="N48" s="15"/>
      <c r="O48" s="15"/>
      <c r="P48" s="15"/>
      <c r="Q48" s="15"/>
      <c r="R48" s="15"/>
      <c r="S48" s="15"/>
      <c r="T48" s="15"/>
      <c r="U48" s="15"/>
      <c r="V48" s="15"/>
      <c r="W48" s="15"/>
    </row>
    <row r="49" ht="15.0" customHeight="1">
      <c r="A49" s="13" t="s">
        <v>99</v>
      </c>
      <c r="B49" s="15"/>
      <c r="C49" s="15"/>
      <c r="D49" s="15"/>
      <c r="E49" s="15"/>
      <c r="F49" s="21">
        <v>-2.9</v>
      </c>
      <c r="G49" s="21">
        <v>-4.19</v>
      </c>
      <c r="H49" s="21">
        <v>-4.8</v>
      </c>
      <c r="I49" s="21">
        <v>-3.07</v>
      </c>
      <c r="J49" s="21">
        <v>-4.09</v>
      </c>
      <c r="K49" s="15"/>
      <c r="L49" s="21">
        <v>-37.69</v>
      </c>
      <c r="M49" s="15"/>
      <c r="N49" s="21">
        <v>-23.26</v>
      </c>
      <c r="O49" s="21">
        <v>-53.09</v>
      </c>
      <c r="P49" s="21">
        <v>-41.62</v>
      </c>
      <c r="Q49" s="21">
        <v>-6.3</v>
      </c>
      <c r="R49" s="21">
        <v>-45.84</v>
      </c>
      <c r="S49" s="15"/>
      <c r="T49" s="15"/>
      <c r="U49" s="21">
        <v>-1.67</v>
      </c>
      <c r="V49" s="21">
        <v>-4.43</v>
      </c>
      <c r="W49" s="21">
        <v>-1.99</v>
      </c>
    </row>
    <row r="50" ht="15.0" customHeight="1">
      <c r="A50" s="13" t="s">
        <v>100</v>
      </c>
      <c r="B50" s="15"/>
      <c r="C50" s="21">
        <v>-28.06</v>
      </c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</row>
    <row r="51" ht="15.0" customHeight="1">
      <c r="A51" s="13" t="s">
        <v>101</v>
      </c>
      <c r="B51" s="15"/>
      <c r="C51" s="21">
        <v>-11.67</v>
      </c>
      <c r="D51" s="21">
        <v>-6.65</v>
      </c>
      <c r="E51" s="21">
        <v>-3.44</v>
      </c>
      <c r="F51" s="21">
        <v>-2.55</v>
      </c>
      <c r="G51" s="21">
        <v>-0.12</v>
      </c>
      <c r="H51" s="21">
        <v>-3.46</v>
      </c>
      <c r="I51" s="21">
        <v>-8.26</v>
      </c>
      <c r="J51" s="21">
        <v>-0.01</v>
      </c>
      <c r="K51" s="21">
        <v>-0.01</v>
      </c>
      <c r="L51" s="21">
        <v>-47.81</v>
      </c>
      <c r="M51" s="15"/>
      <c r="N51" s="21">
        <v>-27.63</v>
      </c>
      <c r="O51" s="21">
        <v>-42.59</v>
      </c>
      <c r="P51" s="21">
        <v>-70.12</v>
      </c>
      <c r="Q51" s="22">
        <v>-146.43</v>
      </c>
      <c r="R51" s="21">
        <v>-97.34</v>
      </c>
      <c r="S51" s="15"/>
      <c r="T51" s="15"/>
      <c r="U51" s="21">
        <v>-15.39</v>
      </c>
      <c r="V51" s="21">
        <v>-9.63</v>
      </c>
      <c r="W51" s="21">
        <v>-7.44</v>
      </c>
    </row>
    <row r="52" ht="15.0" customHeight="1">
      <c r="A52" s="13" t="s">
        <v>102</v>
      </c>
      <c r="B52" s="15"/>
      <c r="C52" s="21">
        <v>-2.83</v>
      </c>
      <c r="D52" s="21">
        <v>-2.18</v>
      </c>
      <c r="E52" s="21">
        <v>-27.67</v>
      </c>
      <c r="F52" s="21">
        <v>-1.81</v>
      </c>
      <c r="G52" s="21">
        <v>-0.96</v>
      </c>
      <c r="H52" s="21">
        <v>-3.82</v>
      </c>
      <c r="I52" s="21">
        <v>-5.61</v>
      </c>
      <c r="J52" s="21">
        <v>-5.18</v>
      </c>
      <c r="K52" s="21">
        <v>-14.28</v>
      </c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103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6">
        <v>31.92</v>
      </c>
      <c r="M53" s="15"/>
      <c r="N53" s="16">
        <v>6.2</v>
      </c>
      <c r="O53" s="16">
        <v>19.79</v>
      </c>
      <c r="P53" s="16">
        <v>34.49</v>
      </c>
      <c r="Q53" s="16">
        <v>26.9</v>
      </c>
      <c r="R53" s="16">
        <v>37.58</v>
      </c>
      <c r="S53" s="15"/>
      <c r="T53" s="15"/>
      <c r="U53" s="15"/>
      <c r="V53" s="16">
        <v>1.65</v>
      </c>
      <c r="W53" s="16">
        <v>0.12</v>
      </c>
    </row>
    <row r="54" ht="15.0" customHeight="1">
      <c r="A54" s="13" t="s">
        <v>104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6">
        <v>6.25</v>
      </c>
      <c r="M54" s="15"/>
      <c r="N54" s="16">
        <v>7.9</v>
      </c>
      <c r="O54" s="16">
        <v>10.22</v>
      </c>
      <c r="P54" s="16">
        <v>3.66</v>
      </c>
      <c r="Q54" s="16">
        <v>17.99</v>
      </c>
      <c r="R54" s="16">
        <v>24.46</v>
      </c>
      <c r="S54" s="15"/>
      <c r="T54" s="15"/>
      <c r="U54" s="16">
        <v>3.41</v>
      </c>
      <c r="V54" s="16">
        <v>2.31</v>
      </c>
      <c r="W54" s="16">
        <v>2.27</v>
      </c>
    </row>
    <row r="55" ht="15.0" customHeight="1">
      <c r="A55" s="13" t="s">
        <v>105</v>
      </c>
      <c r="B55" s="21">
        <v>-25.35</v>
      </c>
      <c r="C55" s="16">
        <v>34.45</v>
      </c>
      <c r="D55" s="21">
        <v>-7.08</v>
      </c>
      <c r="E55" s="15">
        <v>0.0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6">
        <v>6.77</v>
      </c>
      <c r="W55" s="16">
        <v>2.23</v>
      </c>
    </row>
    <row r="56" ht="15.0" customHeight="1">
      <c r="A56" s="13" t="s">
        <v>106</v>
      </c>
      <c r="B56" s="15"/>
      <c r="C56" s="15"/>
      <c r="D56" s="15"/>
      <c r="E56" s="15"/>
      <c r="F56" s="15"/>
      <c r="G56" s="15">
        <v>0.0</v>
      </c>
      <c r="H56" s="15"/>
      <c r="I56" s="15">
        <v>0.0</v>
      </c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7" t="s">
        <v>107</v>
      </c>
      <c r="B57" s="24">
        <v>-6.72</v>
      </c>
      <c r="C57" s="20">
        <v>19.18</v>
      </c>
      <c r="D57" s="20">
        <v>8.19</v>
      </c>
      <c r="E57" s="24">
        <v>-14.19</v>
      </c>
      <c r="F57" s="24">
        <v>-1.57</v>
      </c>
      <c r="G57" s="24">
        <v>-2.91</v>
      </c>
      <c r="H57" s="20">
        <v>0.03</v>
      </c>
      <c r="I57" s="24">
        <v>-1.81</v>
      </c>
      <c r="J57" s="24">
        <v>-4.61</v>
      </c>
      <c r="K57" s="24">
        <v>-1.44</v>
      </c>
      <c r="L57" s="24">
        <v>-47.33</v>
      </c>
      <c r="M57" s="24">
        <v>-38.19</v>
      </c>
      <c r="N57" s="24">
        <v>-36.78</v>
      </c>
      <c r="O57" s="24">
        <v>-65.67</v>
      </c>
      <c r="P57" s="24">
        <v>-73.59</v>
      </c>
      <c r="Q57" s="25">
        <v>-107.84</v>
      </c>
      <c r="R57" s="24">
        <v>-81.14</v>
      </c>
      <c r="S57" s="24">
        <v>-77.8</v>
      </c>
      <c r="T57" s="24">
        <v>-36.42</v>
      </c>
      <c r="U57" s="24">
        <v>-13.65</v>
      </c>
      <c r="V57" s="24">
        <v>-3.34</v>
      </c>
      <c r="W57" s="24">
        <v>-4.81</v>
      </c>
    </row>
    <row r="58" ht="15.0" customHeight="1">
      <c r="A58" s="13" t="s">
        <v>108</v>
      </c>
      <c r="B58" s="15"/>
      <c r="C58" s="15"/>
      <c r="D58" s="15"/>
      <c r="E58" s="15"/>
      <c r="F58" s="15"/>
      <c r="G58" s="15"/>
      <c r="H58" s="15">
        <v>0.0</v>
      </c>
      <c r="I58" s="15"/>
      <c r="J58" s="15">
        <v>0.0</v>
      </c>
      <c r="K58" s="15"/>
      <c r="L58" s="15"/>
      <c r="M58" s="15"/>
      <c r="N58" s="15"/>
      <c r="O58" s="15"/>
      <c r="P58" s="15">
        <v>0.0</v>
      </c>
      <c r="Q58" s="15"/>
      <c r="R58" s="23">
        <v>0.0</v>
      </c>
      <c r="S58" s="15"/>
      <c r="T58" s="15"/>
      <c r="U58" s="15"/>
      <c r="V58" s="23">
        <v>0.0</v>
      </c>
      <c r="W58" s="15"/>
    </row>
    <row r="59" ht="15.0" customHeight="1">
      <c r="A59" s="17" t="s">
        <v>109</v>
      </c>
      <c r="B59" s="24">
        <v>-37.4</v>
      </c>
      <c r="C59" s="20">
        <v>99.79</v>
      </c>
      <c r="D59" s="18">
        <v>109.26</v>
      </c>
      <c r="E59" s="20">
        <v>42.63</v>
      </c>
      <c r="F59" s="18">
        <v>132.53</v>
      </c>
      <c r="G59" s="20">
        <v>71.72</v>
      </c>
      <c r="H59" s="20">
        <v>33.1</v>
      </c>
      <c r="I59" s="20">
        <v>13.31</v>
      </c>
      <c r="J59" s="20">
        <v>4.23</v>
      </c>
      <c r="K59" s="24">
        <v>-17.06</v>
      </c>
      <c r="L59" s="24">
        <v>-15.32</v>
      </c>
      <c r="M59" s="20">
        <v>23.26</v>
      </c>
      <c r="N59" s="25">
        <v>-200.88</v>
      </c>
      <c r="O59" s="20">
        <v>44.47</v>
      </c>
      <c r="P59" s="20">
        <v>70.58</v>
      </c>
      <c r="Q59" s="25">
        <v>-156.1</v>
      </c>
      <c r="R59" s="25">
        <v>-311.94</v>
      </c>
      <c r="S59" s="20">
        <v>36.82</v>
      </c>
      <c r="T59" s="20">
        <v>97.57</v>
      </c>
      <c r="U59" s="20">
        <v>84.49</v>
      </c>
      <c r="V59" s="20">
        <v>56.3</v>
      </c>
      <c r="W59" s="20">
        <v>31.25</v>
      </c>
    </row>
    <row r="60" ht="15.0" customHeight="1">
      <c r="A60" s="13" t="s">
        <v>110</v>
      </c>
      <c r="B60" s="21">
        <v>-2.84</v>
      </c>
      <c r="C60" s="16">
        <v>13.92</v>
      </c>
      <c r="D60" s="16">
        <v>25.96</v>
      </c>
      <c r="E60" s="16">
        <v>9.98</v>
      </c>
      <c r="F60" s="16">
        <v>20.91</v>
      </c>
      <c r="G60" s="16">
        <v>0.9</v>
      </c>
      <c r="H60" s="21">
        <v>-15.87</v>
      </c>
      <c r="I60" s="16">
        <v>1.49</v>
      </c>
      <c r="J60" s="21">
        <v>-3.97</v>
      </c>
      <c r="K60" s="21">
        <v>-3.39</v>
      </c>
      <c r="L60" s="16">
        <v>24.84</v>
      </c>
      <c r="M60" s="16">
        <v>45.08</v>
      </c>
      <c r="N60" s="16">
        <v>26.48</v>
      </c>
      <c r="O60" s="16">
        <v>7.94</v>
      </c>
      <c r="P60" s="16">
        <v>33.06</v>
      </c>
      <c r="Q60" s="16">
        <v>40.55</v>
      </c>
      <c r="R60" s="21">
        <v>-63.46</v>
      </c>
      <c r="S60" s="16">
        <v>0.43</v>
      </c>
      <c r="T60" s="16">
        <v>18.53</v>
      </c>
      <c r="U60" s="16">
        <v>24.01</v>
      </c>
      <c r="V60" s="16">
        <v>16.06</v>
      </c>
      <c r="W60" s="16">
        <v>9.62</v>
      </c>
    </row>
    <row r="61" ht="15.0" customHeight="1">
      <c r="A61" s="13" t="s">
        <v>111</v>
      </c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6">
        <v>54.83</v>
      </c>
      <c r="N61" s="15"/>
      <c r="O61" s="15"/>
      <c r="P61" s="16">
        <v>29.33</v>
      </c>
      <c r="Q61" s="15">
        <v>0.0</v>
      </c>
      <c r="R61" s="15"/>
      <c r="S61" s="15"/>
      <c r="T61" s="15"/>
      <c r="U61" s="15"/>
      <c r="V61" s="15"/>
      <c r="W61" s="15"/>
    </row>
    <row r="62" ht="15.0" customHeight="1">
      <c r="A62" s="13" t="s">
        <v>112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21">
        <v>-26.74</v>
      </c>
      <c r="Q62" s="21">
        <v>-71.59</v>
      </c>
      <c r="R62" s="22">
        <v>-115.35</v>
      </c>
      <c r="S62" s="15"/>
      <c r="T62" s="15"/>
      <c r="U62" s="15"/>
      <c r="V62" s="15"/>
      <c r="W62" s="15"/>
    </row>
    <row r="63" ht="15.0" customHeight="1">
      <c r="A63" s="13" t="s">
        <v>112</v>
      </c>
      <c r="B63" s="15"/>
      <c r="C63" s="15"/>
      <c r="D63" s="15"/>
      <c r="E63" s="15"/>
      <c r="F63" s="16">
        <v>18.3</v>
      </c>
      <c r="G63" s="15"/>
      <c r="H63" s="15"/>
      <c r="I63" s="21">
        <v>-0.02</v>
      </c>
      <c r="J63" s="21">
        <v>-12.78</v>
      </c>
      <c r="K63" s="16">
        <v>2.47</v>
      </c>
      <c r="L63" s="21">
        <v>-2.8</v>
      </c>
      <c r="M63" s="21">
        <v>-27.64</v>
      </c>
      <c r="N63" s="15"/>
      <c r="O63" s="15"/>
      <c r="P63" s="15"/>
      <c r="Q63" s="16">
        <v>88.5</v>
      </c>
      <c r="R63" s="15">
        <v>0.0</v>
      </c>
      <c r="S63" s="15"/>
      <c r="T63" s="15"/>
      <c r="U63" s="15"/>
      <c r="V63" s="15"/>
      <c r="W63" s="15"/>
    </row>
    <row r="64" ht="15.0" customHeight="1">
      <c r="A64" s="13" t="s">
        <v>113</v>
      </c>
      <c r="B64" s="15"/>
      <c r="C64" s="15"/>
      <c r="D64" s="15"/>
      <c r="E64" s="15"/>
      <c r="F64" s="15"/>
      <c r="G64" s="15"/>
      <c r="H64" s="15"/>
      <c r="I64" s="15"/>
      <c r="J64" s="16">
        <v>23.07</v>
      </c>
      <c r="K64" s="16">
        <v>27.91</v>
      </c>
      <c r="L64" s="16">
        <v>27.64</v>
      </c>
      <c r="M64" s="16">
        <v>17.89</v>
      </c>
      <c r="N64" s="15"/>
      <c r="O64" s="15"/>
      <c r="P64" s="16">
        <v>30.47</v>
      </c>
      <c r="Q64" s="16">
        <v>23.64</v>
      </c>
      <c r="R64" s="16">
        <v>51.89</v>
      </c>
      <c r="S64" s="15"/>
      <c r="T64" s="15"/>
      <c r="U64" s="16">
        <v>28.18</v>
      </c>
      <c r="V64" s="16">
        <v>25.3</v>
      </c>
      <c r="W64" s="16">
        <v>10.68</v>
      </c>
    </row>
    <row r="65" ht="15.0" customHeight="1">
      <c r="A65" s="13" t="s">
        <v>114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21">
        <v>-4.17</v>
      </c>
      <c r="V65" s="21">
        <v>-9.24</v>
      </c>
      <c r="W65" s="21">
        <v>-1.06</v>
      </c>
    </row>
    <row r="66" ht="15.0" customHeight="1">
      <c r="A66" s="13" t="s">
        <v>115</v>
      </c>
      <c r="B66" s="15"/>
      <c r="C66" s="15"/>
      <c r="D66" s="15"/>
      <c r="E66" s="15"/>
      <c r="F66" s="16">
        <v>2.62</v>
      </c>
      <c r="G66" s="15"/>
      <c r="H66" s="15"/>
      <c r="I66" s="16">
        <v>1.51</v>
      </c>
      <c r="J66" s="21">
        <v>-14.25</v>
      </c>
      <c r="K66" s="21">
        <v>-33.77</v>
      </c>
      <c r="L66" s="15"/>
      <c r="M66" s="15"/>
      <c r="N66" s="15"/>
      <c r="O66" s="15"/>
      <c r="P66" s="15"/>
      <c r="Q66" s="15"/>
      <c r="R66" s="15"/>
      <c r="S66" s="15"/>
      <c r="T66" s="15"/>
      <c r="U66" s="15">
        <v>0.0</v>
      </c>
      <c r="V66" s="15"/>
      <c r="W66" s="15"/>
    </row>
    <row r="67" ht="15.0" customHeight="1">
      <c r="A67" s="13" t="s">
        <v>116</v>
      </c>
      <c r="B67" s="15"/>
      <c r="C67" s="15"/>
      <c r="D67" s="15"/>
      <c r="E67" s="15"/>
      <c r="F67" s="15">
        <v>0.0</v>
      </c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7" t="s">
        <v>117</v>
      </c>
      <c r="B68" s="24">
        <v>-2.84</v>
      </c>
      <c r="C68" s="20">
        <v>13.92</v>
      </c>
      <c r="D68" s="20">
        <v>25.96</v>
      </c>
      <c r="E68" s="20">
        <v>9.98</v>
      </c>
      <c r="F68" s="20">
        <v>20.91</v>
      </c>
      <c r="G68" s="20">
        <v>0.9</v>
      </c>
      <c r="H68" s="24">
        <v>-15.87</v>
      </c>
      <c r="I68" s="20">
        <v>1.49</v>
      </c>
      <c r="J68" s="24">
        <v>-3.97</v>
      </c>
      <c r="K68" s="24">
        <v>-3.39</v>
      </c>
      <c r="L68" s="20">
        <v>24.84</v>
      </c>
      <c r="M68" s="20">
        <v>45.08</v>
      </c>
      <c r="N68" s="20">
        <v>26.48</v>
      </c>
      <c r="O68" s="20">
        <v>7.94</v>
      </c>
      <c r="P68" s="20">
        <v>33.06</v>
      </c>
      <c r="Q68" s="20">
        <v>40.55</v>
      </c>
      <c r="R68" s="24">
        <v>-63.46</v>
      </c>
      <c r="S68" s="20">
        <v>0.43</v>
      </c>
      <c r="T68" s="20">
        <v>18.53</v>
      </c>
      <c r="U68" s="20">
        <v>24.01</v>
      </c>
      <c r="V68" s="20">
        <v>16.06</v>
      </c>
      <c r="W68" s="20">
        <v>9.62</v>
      </c>
    </row>
    <row r="69" ht="15.0" customHeight="1">
      <c r="A69" s="13" t="s">
        <v>118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23">
        <v>0.0</v>
      </c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7" t="s">
        <v>119</v>
      </c>
      <c r="B70" s="24">
        <v>-34.56</v>
      </c>
      <c r="C70" s="20">
        <v>85.87</v>
      </c>
      <c r="D70" s="20">
        <v>83.31</v>
      </c>
      <c r="E70" s="20">
        <v>32.65</v>
      </c>
      <c r="F70" s="18">
        <v>111.62</v>
      </c>
      <c r="G70" s="20">
        <v>70.82</v>
      </c>
      <c r="H70" s="20">
        <v>48.98</v>
      </c>
      <c r="I70" s="20">
        <v>11.82</v>
      </c>
      <c r="J70" s="20">
        <v>8.2</v>
      </c>
      <c r="K70" s="24">
        <v>-13.67</v>
      </c>
      <c r="L70" s="24">
        <v>-40.16</v>
      </c>
      <c r="M70" s="24">
        <v>-21.82</v>
      </c>
      <c r="N70" s="25">
        <v>-227.36</v>
      </c>
      <c r="O70" s="20">
        <v>36.53</v>
      </c>
      <c r="P70" s="20">
        <v>37.52</v>
      </c>
      <c r="Q70" s="25">
        <v>-196.66</v>
      </c>
      <c r="R70" s="25">
        <v>-248.48</v>
      </c>
      <c r="S70" s="20">
        <v>36.39</v>
      </c>
      <c r="T70" s="20">
        <v>79.04</v>
      </c>
      <c r="U70" s="20">
        <v>60.48</v>
      </c>
      <c r="V70" s="20">
        <v>40.24</v>
      </c>
      <c r="W70" s="20">
        <v>21.63</v>
      </c>
    </row>
    <row r="71" ht="15.0" customHeight="1">
      <c r="A71" s="13" t="s">
        <v>120</v>
      </c>
      <c r="B71" s="15"/>
      <c r="C71" s="15">
        <v>0.0</v>
      </c>
      <c r="D71" s="15"/>
      <c r="E71" s="15">
        <v>0.0</v>
      </c>
      <c r="F71" s="15">
        <v>0.0</v>
      </c>
      <c r="G71" s="15"/>
      <c r="H71" s="15"/>
      <c r="I71" s="23">
        <v>0.0</v>
      </c>
      <c r="J71" s="23">
        <v>0.0</v>
      </c>
      <c r="K71" s="15"/>
      <c r="L71" s="15"/>
      <c r="M71" s="15"/>
      <c r="N71" s="15"/>
      <c r="O71" s="15"/>
      <c r="P71" s="15"/>
      <c r="Q71" s="15"/>
      <c r="R71" s="15">
        <v>0.0</v>
      </c>
      <c r="S71" s="15"/>
      <c r="T71" s="15"/>
      <c r="U71" s="15"/>
      <c r="V71" s="15"/>
      <c r="W71" s="15"/>
    </row>
    <row r="72" ht="15.0" customHeight="1">
      <c r="A72" s="17" t="s">
        <v>121</v>
      </c>
      <c r="B72" s="24">
        <v>-34.56</v>
      </c>
      <c r="C72" s="20">
        <v>85.87</v>
      </c>
      <c r="D72" s="20">
        <v>83.31</v>
      </c>
      <c r="E72" s="20">
        <v>32.65</v>
      </c>
      <c r="F72" s="18">
        <v>111.62</v>
      </c>
      <c r="G72" s="20">
        <v>70.82</v>
      </c>
      <c r="H72" s="20">
        <v>48.98</v>
      </c>
      <c r="I72" s="20">
        <v>11.81</v>
      </c>
      <c r="J72" s="20">
        <v>8.2</v>
      </c>
      <c r="K72" s="24">
        <v>-13.67</v>
      </c>
      <c r="L72" s="24">
        <v>-40.16</v>
      </c>
      <c r="M72" s="24">
        <v>-21.82</v>
      </c>
      <c r="N72" s="25">
        <v>-227.36</v>
      </c>
      <c r="O72" s="20">
        <v>36.53</v>
      </c>
      <c r="P72" s="20">
        <v>37.52</v>
      </c>
      <c r="Q72" s="25">
        <v>-196.66</v>
      </c>
      <c r="R72" s="25">
        <v>-248.48</v>
      </c>
      <c r="S72" s="20">
        <v>36.39</v>
      </c>
      <c r="T72" s="20">
        <v>79.04</v>
      </c>
      <c r="U72" s="20">
        <v>60.48</v>
      </c>
      <c r="V72" s="20">
        <v>40.24</v>
      </c>
      <c r="W72" s="20">
        <v>21.63</v>
      </c>
    </row>
    <row r="73" ht="15.0" customHeight="1">
      <c r="A73" s="13" t="s">
        <v>122</v>
      </c>
      <c r="B73" s="15"/>
      <c r="C73" s="15"/>
      <c r="D73" s="15"/>
      <c r="E73" s="15"/>
      <c r="F73" s="15">
        <v>0.0</v>
      </c>
      <c r="G73" s="22">
        <v>-103.72</v>
      </c>
      <c r="H73" s="14">
        <v>148.12</v>
      </c>
      <c r="I73" s="21">
        <v>-26.76</v>
      </c>
      <c r="J73" s="21">
        <v>-26.33</v>
      </c>
      <c r="K73" s="22">
        <v>-113.4</v>
      </c>
      <c r="L73" s="15"/>
      <c r="M73" s="16">
        <v>39.56</v>
      </c>
      <c r="N73" s="16">
        <v>22.95</v>
      </c>
      <c r="O73" s="14">
        <v>418.16</v>
      </c>
      <c r="P73" s="21">
        <v>-14.62</v>
      </c>
      <c r="Q73" s="15"/>
      <c r="R73" s="15"/>
      <c r="S73" s="15"/>
      <c r="T73" s="15"/>
      <c r="U73" s="15"/>
      <c r="V73" s="15"/>
      <c r="W73" s="15"/>
    </row>
    <row r="74" ht="15.0" customHeight="1">
      <c r="A74" s="13" t="s">
        <v>123</v>
      </c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23">
        <v>0.0</v>
      </c>
      <c r="S74" s="15"/>
      <c r="T74" s="15"/>
      <c r="U74" s="15"/>
      <c r="V74" s="15"/>
      <c r="W74" s="15"/>
    </row>
    <row r="75" ht="15.0" customHeight="1">
      <c r="A75" s="17" t="s">
        <v>124</v>
      </c>
      <c r="B75" s="19"/>
      <c r="C75" s="19"/>
      <c r="D75" s="19"/>
      <c r="E75" s="19"/>
      <c r="F75" s="19">
        <v>0.0</v>
      </c>
      <c r="G75" s="25">
        <v>-103.72</v>
      </c>
      <c r="H75" s="18">
        <v>148.12</v>
      </c>
      <c r="I75" s="24">
        <v>-26.76</v>
      </c>
      <c r="J75" s="24">
        <v>-26.33</v>
      </c>
      <c r="K75" s="25">
        <v>-113.4</v>
      </c>
      <c r="L75" s="19"/>
      <c r="M75" s="20">
        <v>39.56</v>
      </c>
      <c r="N75" s="20">
        <v>22.95</v>
      </c>
      <c r="O75" s="18">
        <v>418.16</v>
      </c>
      <c r="P75" s="24">
        <v>-14.62</v>
      </c>
      <c r="Q75" s="19"/>
      <c r="R75" s="19"/>
      <c r="S75" s="19"/>
      <c r="T75" s="19"/>
      <c r="U75" s="19"/>
      <c r="V75" s="19"/>
      <c r="W75" s="19"/>
    </row>
    <row r="76" ht="15.0" customHeight="1">
      <c r="A76" s="13" t="s">
        <v>125</v>
      </c>
      <c r="B76" s="16">
        <v>6.36</v>
      </c>
      <c r="C76" s="16">
        <v>3.2</v>
      </c>
      <c r="D76" s="16">
        <v>2.07</v>
      </c>
      <c r="E76" s="16">
        <v>0.82</v>
      </c>
      <c r="F76" s="16">
        <v>1.4</v>
      </c>
      <c r="G76" s="16">
        <v>1.83</v>
      </c>
      <c r="H76" s="16">
        <v>1.26</v>
      </c>
      <c r="I76" s="16">
        <v>13.65</v>
      </c>
      <c r="J76" s="16">
        <v>15.41</v>
      </c>
      <c r="K76" s="21">
        <v>-6.22</v>
      </c>
      <c r="L76" s="16">
        <v>8.51</v>
      </c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7" t="s">
        <v>126</v>
      </c>
      <c r="B77" s="20">
        <v>6.36</v>
      </c>
      <c r="C77" s="20">
        <v>3.2</v>
      </c>
      <c r="D77" s="20">
        <v>2.07</v>
      </c>
      <c r="E77" s="20">
        <v>0.82</v>
      </c>
      <c r="F77" s="20">
        <v>1.4</v>
      </c>
      <c r="G77" s="20">
        <v>1.83</v>
      </c>
      <c r="H77" s="20">
        <v>1.26</v>
      </c>
      <c r="I77" s="20">
        <v>13.65</v>
      </c>
      <c r="J77" s="20">
        <v>15.41</v>
      </c>
      <c r="K77" s="24">
        <v>-6.22</v>
      </c>
      <c r="L77" s="20">
        <v>8.51</v>
      </c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</row>
    <row r="78" ht="15.0" customHeight="1">
      <c r="A78" s="13" t="s">
        <v>127</v>
      </c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>
        <v>0.0</v>
      </c>
      <c r="S78" s="15"/>
      <c r="T78" s="15"/>
      <c r="U78" s="15"/>
      <c r="V78" s="15"/>
      <c r="W78" s="15"/>
    </row>
    <row r="79" ht="15.0" customHeight="1">
      <c r="A79" s="17" t="s">
        <v>128</v>
      </c>
      <c r="B79" s="24">
        <v>-40.92</v>
      </c>
      <c r="C79" s="20">
        <v>82.67</v>
      </c>
      <c r="D79" s="20">
        <v>81.24</v>
      </c>
      <c r="E79" s="20">
        <v>31.84</v>
      </c>
      <c r="F79" s="18">
        <v>110.22</v>
      </c>
      <c r="G79" s="24">
        <v>-34.73</v>
      </c>
      <c r="H79" s="18">
        <v>195.83</v>
      </c>
      <c r="I79" s="24">
        <v>-28.59</v>
      </c>
      <c r="J79" s="24">
        <v>-33.54</v>
      </c>
      <c r="K79" s="25">
        <v>-120.85</v>
      </c>
      <c r="L79" s="24">
        <v>-48.67</v>
      </c>
      <c r="M79" s="20">
        <v>17.74</v>
      </c>
      <c r="N79" s="25">
        <v>-204.42</v>
      </c>
      <c r="O79" s="18">
        <v>454.7</v>
      </c>
      <c r="P79" s="20">
        <v>22.9</v>
      </c>
      <c r="Q79" s="25">
        <v>-196.66</v>
      </c>
      <c r="R79" s="25">
        <v>-248.48</v>
      </c>
      <c r="S79" s="20">
        <v>36.39</v>
      </c>
      <c r="T79" s="20">
        <v>79.04</v>
      </c>
      <c r="U79" s="20">
        <v>60.48</v>
      </c>
      <c r="V79" s="20">
        <v>40.24</v>
      </c>
      <c r="W79" s="20">
        <v>21.63</v>
      </c>
    </row>
    <row r="80" ht="15.0" customHeight="1">
      <c r="A80" s="17" t="s">
        <v>129</v>
      </c>
      <c r="B80" s="24">
        <v>-40.92</v>
      </c>
      <c r="C80" s="20">
        <v>82.67</v>
      </c>
      <c r="D80" s="20">
        <v>81.24</v>
      </c>
      <c r="E80" s="20">
        <v>31.84</v>
      </c>
      <c r="F80" s="18">
        <v>110.22</v>
      </c>
      <c r="G80" s="20">
        <v>68.99</v>
      </c>
      <c r="H80" s="20">
        <v>47.72</v>
      </c>
      <c r="I80" s="24">
        <v>-1.83</v>
      </c>
      <c r="J80" s="24">
        <v>-7.21</v>
      </c>
      <c r="K80" s="24">
        <v>-7.45</v>
      </c>
      <c r="L80" s="24">
        <v>-48.67</v>
      </c>
      <c r="M80" s="24">
        <v>-21.82</v>
      </c>
      <c r="N80" s="25">
        <v>-227.36</v>
      </c>
      <c r="O80" s="20">
        <v>36.53</v>
      </c>
      <c r="P80" s="20">
        <v>37.52</v>
      </c>
      <c r="Q80" s="25">
        <v>-196.66</v>
      </c>
      <c r="R80" s="25">
        <v>-248.48</v>
      </c>
      <c r="S80" s="20">
        <v>36.39</v>
      </c>
      <c r="T80" s="20">
        <v>79.04</v>
      </c>
      <c r="U80" s="20">
        <v>60.48</v>
      </c>
      <c r="V80" s="20">
        <v>40.24</v>
      </c>
      <c r="W80" s="20">
        <v>21.63</v>
      </c>
    </row>
    <row r="81" ht="15.0" customHeight="1">
      <c r="A81" s="13" t="s">
        <v>130</v>
      </c>
      <c r="B81" s="15">
        <v>0.0</v>
      </c>
      <c r="C81" s="15"/>
      <c r="D81" s="15"/>
      <c r="E81" s="15"/>
      <c r="F81" s="15"/>
      <c r="G81" s="15"/>
      <c r="H81" s="15"/>
      <c r="I81" s="15"/>
      <c r="J81" s="15">
        <v>0.0</v>
      </c>
      <c r="K81" s="15"/>
      <c r="L81" s="15"/>
      <c r="M81" s="15"/>
      <c r="N81" s="15"/>
      <c r="O81" s="15"/>
      <c r="P81" s="15"/>
      <c r="Q81" s="15"/>
      <c r="R81" s="15">
        <v>0.0</v>
      </c>
      <c r="S81" s="15"/>
      <c r="T81" s="15"/>
      <c r="U81" s="15"/>
      <c r="V81" s="15"/>
      <c r="W81" s="15"/>
    </row>
    <row r="82" ht="15.0" customHeight="1">
      <c r="A82" s="17" t="s">
        <v>131</v>
      </c>
      <c r="B82" s="24">
        <v>-40.92</v>
      </c>
      <c r="C82" s="20">
        <v>82.67</v>
      </c>
      <c r="D82" s="20">
        <v>81.24</v>
      </c>
      <c r="E82" s="20">
        <v>31.84</v>
      </c>
      <c r="F82" s="18">
        <v>110.22</v>
      </c>
      <c r="G82" s="24">
        <v>-34.73</v>
      </c>
      <c r="H82" s="18">
        <v>195.83</v>
      </c>
      <c r="I82" s="24">
        <v>-28.59</v>
      </c>
      <c r="J82" s="24">
        <v>-33.54</v>
      </c>
      <c r="K82" s="25">
        <v>-120.85</v>
      </c>
      <c r="L82" s="24">
        <v>-48.67</v>
      </c>
      <c r="M82" s="20">
        <v>17.74</v>
      </c>
      <c r="N82" s="25">
        <v>-204.42</v>
      </c>
      <c r="O82" s="18">
        <v>454.7</v>
      </c>
      <c r="P82" s="20">
        <v>22.9</v>
      </c>
      <c r="Q82" s="25">
        <v>-196.66</v>
      </c>
      <c r="R82" s="25">
        <v>-248.48</v>
      </c>
      <c r="S82" s="20">
        <v>36.39</v>
      </c>
      <c r="T82" s="20">
        <v>79.04</v>
      </c>
      <c r="U82" s="20">
        <v>60.48</v>
      </c>
      <c r="V82" s="20">
        <v>40.24</v>
      </c>
      <c r="W82" s="20">
        <v>21.63</v>
      </c>
    </row>
    <row r="83" ht="15.0" customHeight="1">
      <c r="A83" s="13" t="s">
        <v>132</v>
      </c>
      <c r="B83" s="15"/>
      <c r="C83" s="16">
        <v>85.87</v>
      </c>
      <c r="D83" s="15"/>
      <c r="E83" s="15"/>
      <c r="F83" s="14">
        <v>111.62</v>
      </c>
      <c r="G83" s="15"/>
      <c r="H83" s="15"/>
      <c r="I83" s="21">
        <v>-14.94</v>
      </c>
      <c r="J83" s="21">
        <v>-18.13</v>
      </c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133</v>
      </c>
      <c r="B84" s="15"/>
      <c r="C84" s="15">
        <v>0.0</v>
      </c>
      <c r="D84" s="15"/>
      <c r="E84" s="15"/>
      <c r="F84" s="15">
        <v>0.0</v>
      </c>
      <c r="G84" s="15"/>
      <c r="H84" s="15"/>
      <c r="I84" s="21">
        <v>-15.59</v>
      </c>
      <c r="J84" s="16">
        <v>20.49</v>
      </c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</row>
    <row r="85" ht="15.0" customHeight="1">
      <c r="A85" s="17" t="s">
        <v>134</v>
      </c>
      <c r="B85" s="19"/>
      <c r="C85" s="19">
        <v>0.0</v>
      </c>
      <c r="D85" s="19"/>
      <c r="E85" s="19"/>
      <c r="F85" s="19">
        <v>0.0</v>
      </c>
      <c r="G85" s="19"/>
      <c r="H85" s="19"/>
      <c r="I85" s="24">
        <v>-15.59</v>
      </c>
      <c r="J85" s="20">
        <v>20.49</v>
      </c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</row>
    <row r="86" ht="15.0" customHeight="1">
      <c r="A86" s="13" t="s">
        <v>135</v>
      </c>
      <c r="B86" s="15"/>
      <c r="C86" s="16">
        <v>82.67</v>
      </c>
      <c r="D86" s="15"/>
      <c r="E86" s="15"/>
      <c r="F86" s="14">
        <v>110.22</v>
      </c>
      <c r="G86" s="15"/>
      <c r="H86" s="15"/>
      <c r="I86" s="21">
        <v>-44.74</v>
      </c>
      <c r="J86" s="21">
        <v>-16.42</v>
      </c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3" t="s">
        <v>136</v>
      </c>
      <c r="B87" s="15"/>
      <c r="C87" s="16">
        <v>3.2</v>
      </c>
      <c r="D87" s="15"/>
      <c r="E87" s="15"/>
      <c r="F87" s="16">
        <v>1.4</v>
      </c>
      <c r="G87" s="15"/>
      <c r="H87" s="15"/>
      <c r="I87" s="16">
        <v>14.21</v>
      </c>
      <c r="J87" s="16">
        <v>18.78</v>
      </c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7" t="s">
        <v>137</v>
      </c>
      <c r="B88" s="19"/>
      <c r="C88" s="20">
        <v>85.87</v>
      </c>
      <c r="D88" s="19"/>
      <c r="E88" s="19"/>
      <c r="F88" s="18">
        <v>111.62</v>
      </c>
      <c r="G88" s="19"/>
      <c r="H88" s="19"/>
      <c r="I88" s="24">
        <v>-30.53</v>
      </c>
      <c r="J88" s="20">
        <v>2.36</v>
      </c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</row>
    <row r="89" ht="15.0" customHeight="1">
      <c r="A89" s="13" t="s">
        <v>138</v>
      </c>
      <c r="B89" s="14">
        <v>120.36</v>
      </c>
      <c r="C89" s="14">
        <v>100.82</v>
      </c>
      <c r="D89" s="14">
        <v>104.16</v>
      </c>
      <c r="E89" s="14">
        <v>106.13</v>
      </c>
      <c r="F89" s="14">
        <v>106.33</v>
      </c>
      <c r="G89" s="14">
        <v>105.68</v>
      </c>
      <c r="H89" s="16">
        <v>94.51</v>
      </c>
      <c r="I89" s="16">
        <v>87.08</v>
      </c>
      <c r="J89" s="16">
        <v>86.49</v>
      </c>
      <c r="K89" s="16">
        <v>86.49</v>
      </c>
      <c r="L89" s="16">
        <v>86.49</v>
      </c>
      <c r="M89" s="16">
        <v>86.44</v>
      </c>
      <c r="N89" s="16">
        <v>86.41</v>
      </c>
      <c r="O89" s="16">
        <v>83.11</v>
      </c>
      <c r="P89" s="16">
        <v>75.13</v>
      </c>
      <c r="Q89" s="16">
        <v>71.24</v>
      </c>
      <c r="R89" s="16">
        <v>43.41</v>
      </c>
      <c r="S89" s="16">
        <v>34.13</v>
      </c>
      <c r="T89" s="16">
        <v>31.64</v>
      </c>
      <c r="U89" s="16">
        <v>27.35</v>
      </c>
      <c r="V89" s="16">
        <v>24.28</v>
      </c>
      <c r="W89" s="16">
        <v>19.89</v>
      </c>
    </row>
    <row r="90" ht="15.0" customHeight="1">
      <c r="A90" s="13" t="s">
        <v>139</v>
      </c>
      <c r="B90" s="14">
        <v>120.36</v>
      </c>
      <c r="C90" s="14">
        <v>100.82</v>
      </c>
      <c r="D90" s="14">
        <v>104.16</v>
      </c>
      <c r="E90" s="14">
        <v>106.13</v>
      </c>
      <c r="F90" s="14">
        <v>106.33</v>
      </c>
      <c r="G90" s="14">
        <v>105.68</v>
      </c>
      <c r="H90" s="14">
        <v>105.61</v>
      </c>
      <c r="I90" s="16">
        <v>87.08</v>
      </c>
      <c r="J90" s="16">
        <v>86.49</v>
      </c>
      <c r="K90" s="16">
        <v>86.49</v>
      </c>
      <c r="L90" s="16">
        <v>86.49</v>
      </c>
      <c r="M90" s="16">
        <v>86.44</v>
      </c>
      <c r="N90" s="16">
        <v>86.41</v>
      </c>
      <c r="O90" s="14">
        <v>102.26</v>
      </c>
      <c r="P90" s="16">
        <v>84.8</v>
      </c>
      <c r="Q90" s="16">
        <v>71.24</v>
      </c>
      <c r="R90" s="16">
        <v>43.41</v>
      </c>
      <c r="S90" s="16">
        <v>34.13</v>
      </c>
      <c r="T90" s="16">
        <v>32.12</v>
      </c>
      <c r="U90" s="16">
        <v>27.52</v>
      </c>
      <c r="V90" s="16">
        <v>24.39</v>
      </c>
      <c r="W90" s="16">
        <v>20.1</v>
      </c>
    </row>
    <row r="91" ht="15.0" customHeight="1">
      <c r="A91" s="13" t="s">
        <v>140</v>
      </c>
      <c r="B91" s="21">
        <v>-0.34</v>
      </c>
      <c r="C91" s="16">
        <v>0.82</v>
      </c>
      <c r="D91" s="16">
        <v>0.78</v>
      </c>
      <c r="E91" s="16">
        <v>0.3</v>
      </c>
      <c r="F91" s="16">
        <v>1.04</v>
      </c>
      <c r="G91" s="21">
        <v>-0.33</v>
      </c>
      <c r="H91" s="16">
        <v>2.07</v>
      </c>
      <c r="I91" s="21">
        <v>-0.33</v>
      </c>
      <c r="J91" s="21">
        <v>-0.39</v>
      </c>
      <c r="K91" s="21">
        <v>-1.4</v>
      </c>
      <c r="L91" s="21">
        <v>-0.55</v>
      </c>
      <c r="M91" s="16">
        <v>0.21</v>
      </c>
      <c r="N91" s="21">
        <v>-2.63</v>
      </c>
      <c r="O91" s="16">
        <v>5.47</v>
      </c>
      <c r="P91" s="16">
        <v>0.3</v>
      </c>
      <c r="Q91" s="21">
        <v>-2.76</v>
      </c>
      <c r="R91" s="21">
        <v>-5.72</v>
      </c>
      <c r="S91" s="16">
        <v>1.05</v>
      </c>
      <c r="T91" s="16">
        <v>3.41</v>
      </c>
      <c r="U91" s="16">
        <v>2.92</v>
      </c>
      <c r="V91" s="16">
        <v>2.19</v>
      </c>
      <c r="W91" s="16">
        <v>1.09</v>
      </c>
    </row>
    <row r="92" ht="15.0" customHeight="1">
      <c r="A92" s="13" t="s">
        <v>141</v>
      </c>
      <c r="B92" s="21">
        <v>-0.34</v>
      </c>
      <c r="C92" s="16">
        <v>0.82</v>
      </c>
      <c r="D92" s="16">
        <v>0.78</v>
      </c>
      <c r="E92" s="16">
        <v>0.3</v>
      </c>
      <c r="F92" s="16">
        <v>1.04</v>
      </c>
      <c r="G92" s="21">
        <v>-0.33</v>
      </c>
      <c r="H92" s="16">
        <v>1.91</v>
      </c>
      <c r="I92" s="21">
        <v>-0.33</v>
      </c>
      <c r="J92" s="21">
        <v>-0.39</v>
      </c>
      <c r="K92" s="21">
        <v>-1.4</v>
      </c>
      <c r="L92" s="21">
        <v>-0.55</v>
      </c>
      <c r="M92" s="16">
        <v>0.21</v>
      </c>
      <c r="N92" s="21">
        <v>-2.63</v>
      </c>
      <c r="O92" s="16">
        <v>4.45</v>
      </c>
      <c r="P92" s="16">
        <v>0.27</v>
      </c>
      <c r="Q92" s="21">
        <v>-2.76</v>
      </c>
      <c r="R92" s="21">
        <v>-5.72</v>
      </c>
      <c r="S92" s="16">
        <v>1.05</v>
      </c>
      <c r="T92" s="16">
        <v>3.37</v>
      </c>
      <c r="U92" s="16">
        <v>2.91</v>
      </c>
      <c r="V92" s="16">
        <v>1.65</v>
      </c>
      <c r="W92" s="16">
        <v>1.42</v>
      </c>
    </row>
    <row r="93" ht="15.0" customHeight="1">
      <c r="A93" s="13" t="s">
        <v>142</v>
      </c>
      <c r="B93" s="21">
        <v>-0.34</v>
      </c>
      <c r="C93" s="16">
        <v>0.82</v>
      </c>
      <c r="D93" s="16">
        <v>0.78</v>
      </c>
      <c r="E93" s="16">
        <v>0.3</v>
      </c>
      <c r="F93" s="16">
        <v>1.04</v>
      </c>
      <c r="G93" s="16">
        <v>0.65</v>
      </c>
      <c r="H93" s="16">
        <v>0.5</v>
      </c>
      <c r="I93" s="21">
        <v>-0.02</v>
      </c>
      <c r="J93" s="21">
        <v>-0.08</v>
      </c>
      <c r="K93" s="21">
        <v>-0.09</v>
      </c>
      <c r="L93" s="21">
        <v>-0.55</v>
      </c>
      <c r="M93" s="21">
        <v>-0.25</v>
      </c>
      <c r="N93" s="21">
        <v>-2.63</v>
      </c>
      <c r="O93" s="16">
        <v>0.44</v>
      </c>
      <c r="P93" s="16">
        <v>0.5</v>
      </c>
      <c r="Q93" s="21">
        <v>-2.76</v>
      </c>
      <c r="R93" s="21">
        <v>-5.72</v>
      </c>
      <c r="S93" s="16">
        <v>1.07</v>
      </c>
      <c r="T93" s="16">
        <v>2.5</v>
      </c>
      <c r="U93" s="16">
        <v>2.92</v>
      </c>
      <c r="V93" s="16">
        <v>2.19</v>
      </c>
      <c r="W93" s="16">
        <v>1.09</v>
      </c>
    </row>
    <row r="94" ht="15.0" customHeight="1">
      <c r="A94" s="13" t="s">
        <v>143</v>
      </c>
      <c r="B94" s="21">
        <v>-0.34</v>
      </c>
      <c r="C94" s="16">
        <v>0.82</v>
      </c>
      <c r="D94" s="16">
        <v>0.78</v>
      </c>
      <c r="E94" s="16">
        <v>0.3</v>
      </c>
      <c r="F94" s="16">
        <v>1.04</v>
      </c>
      <c r="G94" s="16">
        <v>0.65</v>
      </c>
      <c r="H94" s="16">
        <v>0.45</v>
      </c>
      <c r="I94" s="21">
        <v>-0.02</v>
      </c>
      <c r="J94" s="21">
        <v>-0.08</v>
      </c>
      <c r="K94" s="21">
        <v>-0.09</v>
      </c>
      <c r="L94" s="21">
        <v>-0.55</v>
      </c>
      <c r="M94" s="21">
        <v>-0.25</v>
      </c>
      <c r="N94" s="21">
        <v>-2.63</v>
      </c>
      <c r="O94" s="16">
        <v>0.36</v>
      </c>
      <c r="P94" s="16">
        <v>0.44</v>
      </c>
      <c r="Q94" s="21">
        <v>-2.76</v>
      </c>
      <c r="R94" s="21">
        <v>-5.72</v>
      </c>
      <c r="S94" s="16">
        <v>1.07</v>
      </c>
      <c r="T94" s="16">
        <v>3.25</v>
      </c>
      <c r="U94" s="16">
        <v>2.91</v>
      </c>
      <c r="V94" s="16">
        <v>1.65</v>
      </c>
      <c r="W94" s="16">
        <v>1.42</v>
      </c>
    </row>
    <row r="95" ht="15.0" customHeight="1">
      <c r="A95" s="13" t="s">
        <v>144</v>
      </c>
      <c r="B95" s="21">
        <v>-40.92</v>
      </c>
      <c r="C95" s="16">
        <v>82.67</v>
      </c>
      <c r="D95" s="16">
        <v>81.24</v>
      </c>
      <c r="E95" s="16">
        <v>31.84</v>
      </c>
      <c r="F95" s="14">
        <v>110.22</v>
      </c>
      <c r="G95" s="21">
        <v>-34.73</v>
      </c>
      <c r="H95" s="14">
        <v>195.83</v>
      </c>
      <c r="I95" s="21">
        <v>-28.59</v>
      </c>
      <c r="J95" s="21">
        <v>-33.54</v>
      </c>
      <c r="K95" s="22">
        <v>-120.85</v>
      </c>
      <c r="L95" s="21">
        <v>-48.67</v>
      </c>
      <c r="M95" s="16">
        <v>17.74</v>
      </c>
      <c r="N95" s="22">
        <v>-204.42</v>
      </c>
      <c r="O95" s="14">
        <v>454.7</v>
      </c>
      <c r="P95" s="16">
        <v>22.9</v>
      </c>
      <c r="Q95" s="22">
        <v>-196.66</v>
      </c>
      <c r="R95" s="22">
        <v>-248.48</v>
      </c>
      <c r="S95" s="16">
        <v>36.39</v>
      </c>
      <c r="T95" s="16">
        <v>79.04</v>
      </c>
      <c r="U95" s="16">
        <v>60.48</v>
      </c>
      <c r="V95" s="16">
        <v>40.24</v>
      </c>
      <c r="W95" s="16">
        <v>21.63</v>
      </c>
    </row>
    <row r="96" ht="15.0" customHeight="1">
      <c r="A96" s="13" t="s">
        <v>145</v>
      </c>
      <c r="B96" s="21">
        <v>-40.92</v>
      </c>
      <c r="C96" s="16">
        <v>82.67</v>
      </c>
      <c r="D96" s="16">
        <v>81.24</v>
      </c>
      <c r="E96" s="16">
        <v>31.84</v>
      </c>
      <c r="F96" s="14">
        <v>110.22</v>
      </c>
      <c r="G96" s="16">
        <v>68.99</v>
      </c>
      <c r="H96" s="16">
        <v>47.72</v>
      </c>
      <c r="I96" s="21">
        <v>-1.83</v>
      </c>
      <c r="J96" s="21">
        <v>-7.21</v>
      </c>
      <c r="K96" s="21">
        <v>-7.45</v>
      </c>
      <c r="L96" s="21">
        <v>-48.67</v>
      </c>
      <c r="M96" s="21">
        <v>-21.82</v>
      </c>
      <c r="N96" s="22">
        <v>-227.36</v>
      </c>
      <c r="O96" s="16">
        <v>36.53</v>
      </c>
      <c r="P96" s="16">
        <v>37.52</v>
      </c>
      <c r="Q96" s="22">
        <v>-196.66</v>
      </c>
      <c r="R96" s="22">
        <v>-248.48</v>
      </c>
      <c r="S96" s="16">
        <v>36.39</v>
      </c>
      <c r="T96" s="14">
        <v>104.5</v>
      </c>
      <c r="U96" s="16">
        <v>79.96</v>
      </c>
      <c r="V96" s="16">
        <v>40.24</v>
      </c>
      <c r="W96" s="16">
        <v>21.63</v>
      </c>
    </row>
    <row r="97" ht="15.0" customHeight="1">
      <c r="A97" s="13" t="s">
        <v>146</v>
      </c>
      <c r="B97" s="15"/>
      <c r="C97" s="16">
        <v>2.59</v>
      </c>
      <c r="D97" s="16">
        <v>2.53</v>
      </c>
      <c r="E97" s="16">
        <v>7.06</v>
      </c>
      <c r="F97" s="16">
        <v>2.42</v>
      </c>
      <c r="G97" s="16">
        <v>1.35</v>
      </c>
      <c r="H97" s="16">
        <v>14.74</v>
      </c>
      <c r="I97" s="16">
        <v>1.5</v>
      </c>
      <c r="J97" s="16">
        <v>15.76</v>
      </c>
      <c r="K97" s="16">
        <v>38.87</v>
      </c>
      <c r="L97" s="16">
        <v>50.72</v>
      </c>
      <c r="M97" s="16">
        <v>31.78</v>
      </c>
      <c r="N97" s="16">
        <v>25.1</v>
      </c>
      <c r="O97" s="16">
        <v>17.17</v>
      </c>
      <c r="P97" s="16">
        <v>29.14</v>
      </c>
      <c r="Q97" s="16">
        <v>35.13</v>
      </c>
      <c r="R97" s="16">
        <v>29.03</v>
      </c>
      <c r="S97" s="16">
        <v>30.84</v>
      </c>
      <c r="T97" s="16">
        <v>17.19</v>
      </c>
      <c r="U97" s="16">
        <v>8.41</v>
      </c>
      <c r="V97" s="16">
        <v>6.97</v>
      </c>
      <c r="W97" s="16">
        <v>5.61</v>
      </c>
    </row>
    <row r="98" ht="15.0" customHeight="1">
      <c r="A98" s="13" t="s">
        <v>147</v>
      </c>
      <c r="B98" s="15"/>
      <c r="C98" s="16">
        <v>4.68</v>
      </c>
      <c r="D98" s="16">
        <v>2.91</v>
      </c>
      <c r="E98" s="16">
        <v>1.39</v>
      </c>
      <c r="F98" s="16">
        <v>1.43</v>
      </c>
      <c r="G98" s="16">
        <v>0.58</v>
      </c>
      <c r="H98" s="16">
        <v>0.6</v>
      </c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148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21">
        <v>-30.94</v>
      </c>
      <c r="R99" s="21">
        <v>-21.64</v>
      </c>
      <c r="S99" s="21">
        <v>-17.71</v>
      </c>
      <c r="T99" s="21">
        <v>-14.69</v>
      </c>
      <c r="U99" s="21">
        <v>-8.45</v>
      </c>
      <c r="V99" s="15"/>
      <c r="W99" s="15"/>
    </row>
    <row r="100" ht="15.0" customHeight="1">
      <c r="A100" s="13" t="s">
        <v>149</v>
      </c>
      <c r="B100" s="15"/>
      <c r="C100" s="16">
        <v>0.67</v>
      </c>
      <c r="D100" s="16">
        <v>0.13</v>
      </c>
      <c r="E100" s="15"/>
      <c r="F100" s="16">
        <v>0.05</v>
      </c>
      <c r="G100" s="16">
        <v>0.14</v>
      </c>
      <c r="H100" s="16">
        <v>0.05</v>
      </c>
      <c r="I100" s="16">
        <v>0.05</v>
      </c>
      <c r="J100" s="16">
        <v>0.59</v>
      </c>
      <c r="K100" s="16">
        <v>0.96</v>
      </c>
      <c r="L100" s="16">
        <v>1.07</v>
      </c>
      <c r="M100" s="16">
        <v>1.39</v>
      </c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150</v>
      </c>
      <c r="B101" s="15"/>
      <c r="C101" s="15"/>
      <c r="D101" s="15"/>
      <c r="E101" s="15"/>
      <c r="F101" s="16">
        <v>1.09</v>
      </c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151</v>
      </c>
      <c r="B102" s="15"/>
      <c r="C102" s="16">
        <v>0.92</v>
      </c>
      <c r="D102" s="16">
        <v>0.32</v>
      </c>
      <c r="E102" s="15"/>
      <c r="F102" s="16">
        <v>0.34</v>
      </c>
      <c r="G102" s="16">
        <v>0.34</v>
      </c>
      <c r="H102" s="16">
        <v>0.34</v>
      </c>
      <c r="I102" s="15"/>
      <c r="J102" s="16">
        <v>19.69</v>
      </c>
      <c r="K102" s="16">
        <v>10.99</v>
      </c>
      <c r="L102" s="16">
        <v>3.56</v>
      </c>
      <c r="M102" s="16">
        <v>2.87</v>
      </c>
      <c r="N102" s="16">
        <v>11.73</v>
      </c>
      <c r="O102" s="16">
        <v>22.8</v>
      </c>
      <c r="P102" s="16">
        <v>30.01</v>
      </c>
      <c r="Q102" s="16">
        <v>16.85</v>
      </c>
      <c r="R102" s="16">
        <v>18.32</v>
      </c>
      <c r="S102" s="15"/>
      <c r="T102" s="15"/>
      <c r="U102" s="16">
        <v>0.5</v>
      </c>
      <c r="V102" s="16">
        <v>0.6</v>
      </c>
      <c r="W102" s="16">
        <v>0.46</v>
      </c>
    </row>
    <row r="103" ht="15.0" customHeight="1">
      <c r="A103" s="13" t="s">
        <v>152</v>
      </c>
      <c r="B103" s="15"/>
      <c r="C103" s="16">
        <v>2.5</v>
      </c>
      <c r="D103" s="16">
        <v>0.33</v>
      </c>
      <c r="E103" s="15"/>
      <c r="F103" s="16">
        <v>0.33</v>
      </c>
      <c r="G103" s="16">
        <v>0.33</v>
      </c>
      <c r="H103" s="16">
        <v>0.25</v>
      </c>
      <c r="I103" s="15">
        <v>0.0</v>
      </c>
      <c r="J103" s="16">
        <v>3.76</v>
      </c>
      <c r="K103" s="16">
        <v>6.66</v>
      </c>
      <c r="L103" s="16">
        <v>10.96</v>
      </c>
      <c r="M103" s="16">
        <v>7.46</v>
      </c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3" t="s">
        <v>153</v>
      </c>
      <c r="B104" s="15"/>
      <c r="C104" s="16">
        <v>0.33</v>
      </c>
      <c r="D104" s="16">
        <v>1.42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</row>
    <row r="105" ht="15.0" customHeight="1">
      <c r="A105" s="13" t="s">
        <v>154</v>
      </c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6">
        <v>15.88</v>
      </c>
      <c r="R105" s="15"/>
      <c r="S105" s="15"/>
      <c r="T105" s="15"/>
      <c r="U105" s="15"/>
      <c r="V105" s="15"/>
      <c r="W105" s="15"/>
    </row>
    <row r="106" ht="15.0" customHeight="1">
      <c r="A106" s="13" t="s">
        <v>155</v>
      </c>
      <c r="B106" s="15"/>
      <c r="C106" s="16">
        <v>1.94</v>
      </c>
      <c r="D106" s="15"/>
      <c r="E106" s="15"/>
      <c r="F106" s="16">
        <v>1.84</v>
      </c>
      <c r="G106" s="15"/>
      <c r="H106" s="15"/>
      <c r="I106" s="16">
        <v>3.61</v>
      </c>
      <c r="J106" s="16">
        <v>2.84</v>
      </c>
      <c r="K106" s="16">
        <v>2.54</v>
      </c>
      <c r="L106" s="16">
        <v>6.34</v>
      </c>
      <c r="M106" s="16">
        <v>5.78</v>
      </c>
      <c r="N106" s="16">
        <v>5.63</v>
      </c>
      <c r="O106" s="16">
        <v>5.53</v>
      </c>
      <c r="P106" s="16">
        <v>6.31</v>
      </c>
      <c r="Q106" s="16">
        <v>6.08</v>
      </c>
      <c r="R106" s="16">
        <v>6.12</v>
      </c>
      <c r="S106" s="15"/>
      <c r="T106" s="15"/>
      <c r="U106" s="16">
        <v>2.56</v>
      </c>
      <c r="V106" s="15"/>
      <c r="W106" s="15"/>
    </row>
    <row r="107" ht="15.0" customHeight="1">
      <c r="A107" s="13" t="s">
        <v>156</v>
      </c>
      <c r="B107" s="15"/>
      <c r="C107" s="16">
        <v>1.9</v>
      </c>
      <c r="D107" s="15"/>
      <c r="E107" s="15"/>
      <c r="F107" s="16">
        <v>1.57</v>
      </c>
      <c r="G107" s="15"/>
      <c r="H107" s="15"/>
      <c r="I107" s="16">
        <v>1.93</v>
      </c>
      <c r="J107" s="16">
        <v>2.13</v>
      </c>
      <c r="K107" s="16">
        <v>2.0</v>
      </c>
      <c r="L107" s="16">
        <v>5.36</v>
      </c>
      <c r="M107" s="16">
        <v>4.75</v>
      </c>
      <c r="N107" s="16">
        <v>4.76</v>
      </c>
      <c r="O107" s="16">
        <v>3.19</v>
      </c>
      <c r="P107" s="16">
        <v>3.76</v>
      </c>
      <c r="Q107" s="16">
        <v>4.7</v>
      </c>
      <c r="R107" s="16">
        <v>4.37</v>
      </c>
      <c r="S107" s="15"/>
      <c r="T107" s="15"/>
      <c r="U107" s="16">
        <v>1.87</v>
      </c>
      <c r="V107" s="15"/>
      <c r="W107" s="15"/>
    </row>
    <row r="108" ht="15.0" customHeight="1">
      <c r="A108" s="13" t="s">
        <v>157</v>
      </c>
      <c r="B108" s="15"/>
      <c r="C108" s="16">
        <v>0.01</v>
      </c>
      <c r="D108" s="15"/>
      <c r="E108" s="15"/>
      <c r="F108" s="16">
        <v>0.27</v>
      </c>
      <c r="G108" s="15"/>
      <c r="H108" s="15"/>
      <c r="I108" s="16">
        <v>1.52</v>
      </c>
      <c r="J108" s="16">
        <v>0.66</v>
      </c>
      <c r="K108" s="15"/>
      <c r="L108" s="16">
        <v>0.45</v>
      </c>
      <c r="M108" s="16">
        <v>0.31</v>
      </c>
      <c r="N108" s="16">
        <v>0.46</v>
      </c>
      <c r="O108" s="16">
        <v>1.34</v>
      </c>
      <c r="P108" s="16">
        <v>1.65</v>
      </c>
      <c r="Q108" s="16">
        <v>0.28</v>
      </c>
      <c r="R108" s="16">
        <v>1.73</v>
      </c>
      <c r="S108" s="15"/>
      <c r="T108" s="15"/>
      <c r="U108" s="16">
        <v>0.08</v>
      </c>
      <c r="V108" s="15"/>
      <c r="W108" s="15"/>
    </row>
    <row r="109" ht="15.0" customHeight="1">
      <c r="A109" s="13" t="s">
        <v>158</v>
      </c>
      <c r="B109" s="15"/>
      <c r="C109" s="16">
        <v>0.03</v>
      </c>
      <c r="D109" s="15"/>
      <c r="E109" s="15"/>
      <c r="F109" s="15"/>
      <c r="G109" s="15"/>
      <c r="H109" s="15"/>
      <c r="I109" s="16">
        <v>0.12</v>
      </c>
      <c r="J109" s="16">
        <v>0.04</v>
      </c>
      <c r="K109" s="15">
        <v>0.0</v>
      </c>
      <c r="L109" s="16">
        <v>0.11</v>
      </c>
      <c r="M109" s="16">
        <v>0.06</v>
      </c>
      <c r="N109" s="15">
        <v>0.0</v>
      </c>
      <c r="O109" s="16">
        <v>0.6</v>
      </c>
      <c r="P109" s="16">
        <v>0.75</v>
      </c>
      <c r="Q109" s="15"/>
      <c r="R109" s="15"/>
      <c r="S109" s="15"/>
      <c r="T109" s="15"/>
      <c r="U109" s="15"/>
      <c r="V109" s="15"/>
      <c r="W109" s="15"/>
    </row>
    <row r="110" ht="15.0" customHeight="1">
      <c r="A110" s="13" t="s">
        <v>159</v>
      </c>
      <c r="B110" s="15"/>
      <c r="C110" s="15"/>
      <c r="D110" s="15"/>
      <c r="E110" s="15"/>
      <c r="F110" s="15"/>
      <c r="G110" s="15"/>
      <c r="H110" s="15"/>
      <c r="I110" s="16">
        <v>0.04</v>
      </c>
      <c r="J110" s="15"/>
      <c r="K110" s="16">
        <v>0.54</v>
      </c>
      <c r="L110" s="16">
        <v>0.42</v>
      </c>
      <c r="M110" s="16">
        <v>0.66</v>
      </c>
      <c r="N110" s="16">
        <v>0.41</v>
      </c>
      <c r="O110" s="16">
        <v>0.41</v>
      </c>
      <c r="P110" s="16">
        <v>0.15</v>
      </c>
      <c r="Q110" s="16">
        <v>1.11</v>
      </c>
      <c r="R110" s="16">
        <v>0.02</v>
      </c>
      <c r="S110" s="15"/>
      <c r="T110" s="15"/>
      <c r="U110" s="16">
        <v>0.62</v>
      </c>
      <c r="V110" s="15"/>
      <c r="W110" s="15"/>
    </row>
    <row r="111" ht="15.0" customHeight="1">
      <c r="A111" s="13" t="s">
        <v>77</v>
      </c>
      <c r="B111" s="15"/>
      <c r="C111" s="15"/>
      <c r="D111" s="15"/>
      <c r="E111" s="15"/>
      <c r="F111" s="15"/>
      <c r="G111" s="15"/>
      <c r="H111" s="15"/>
      <c r="I111" s="16">
        <v>46.54</v>
      </c>
      <c r="J111" s="16">
        <v>67.75</v>
      </c>
      <c r="K111" s="16">
        <v>57.7</v>
      </c>
      <c r="L111" s="16">
        <v>67.61</v>
      </c>
      <c r="M111" s="15"/>
      <c r="N111" s="16">
        <v>11.9</v>
      </c>
      <c r="O111" s="15"/>
      <c r="P111" s="15"/>
      <c r="Q111" s="16">
        <v>51.74</v>
      </c>
      <c r="R111" s="16">
        <v>58.33</v>
      </c>
      <c r="S111" s="15"/>
      <c r="T111" s="15"/>
      <c r="U111" s="16">
        <v>21.16</v>
      </c>
      <c r="V111" s="15"/>
      <c r="W111" s="15"/>
    </row>
    <row r="112" ht="15.0" customHeight="1">
      <c r="A112" s="13" t="s">
        <v>160</v>
      </c>
      <c r="B112" s="15"/>
      <c r="C112" s="15"/>
      <c r="D112" s="15"/>
      <c r="E112" s="15"/>
      <c r="F112" s="15"/>
      <c r="G112" s="15"/>
      <c r="H112" s="15"/>
      <c r="I112" s="16">
        <v>33.0</v>
      </c>
      <c r="J112" s="16">
        <v>33.53</v>
      </c>
      <c r="K112" s="16">
        <v>42.4</v>
      </c>
      <c r="L112" s="14">
        <v>512.42</v>
      </c>
      <c r="M112" s="15"/>
      <c r="N112" s="14">
        <v>535.75</v>
      </c>
      <c r="O112" s="14">
        <v>405.96</v>
      </c>
      <c r="P112" s="14">
        <v>369.54</v>
      </c>
      <c r="Q112" s="15"/>
      <c r="R112" s="15"/>
      <c r="S112" s="15"/>
      <c r="T112" s="15"/>
      <c r="U112" s="15"/>
      <c r="V112" s="15"/>
      <c r="W112" s="15"/>
    </row>
    <row r="113" ht="15.0" customHeight="1">
      <c r="A113" s="13" t="s">
        <v>161</v>
      </c>
      <c r="B113" s="15"/>
      <c r="C113" s="16">
        <v>7.26</v>
      </c>
      <c r="D113" s="16">
        <v>5.44</v>
      </c>
      <c r="E113" s="16">
        <v>8.45</v>
      </c>
      <c r="F113" s="16">
        <v>3.85</v>
      </c>
      <c r="G113" s="16">
        <v>1.93</v>
      </c>
      <c r="H113" s="16">
        <v>15.34</v>
      </c>
      <c r="I113" s="16">
        <v>1.5</v>
      </c>
      <c r="J113" s="16">
        <v>15.76</v>
      </c>
      <c r="K113" s="16">
        <v>38.87</v>
      </c>
      <c r="L113" s="16">
        <v>50.72</v>
      </c>
      <c r="M113" s="16">
        <v>31.78</v>
      </c>
      <c r="N113" s="16">
        <v>33.81</v>
      </c>
      <c r="O113" s="16">
        <v>24.39</v>
      </c>
      <c r="P113" s="16">
        <v>29.14</v>
      </c>
      <c r="Q113" s="16">
        <v>51.98</v>
      </c>
      <c r="R113" s="16">
        <v>47.31</v>
      </c>
      <c r="S113" s="16">
        <v>30.84</v>
      </c>
      <c r="T113" s="16">
        <v>17.19</v>
      </c>
      <c r="U113" s="16">
        <v>8.92</v>
      </c>
      <c r="V113" s="16">
        <v>6.97</v>
      </c>
      <c r="W113" s="16">
        <v>6.07</v>
      </c>
    </row>
    <row r="114" ht="15.0" customHeight="1">
      <c r="A114" s="13" t="s">
        <v>162</v>
      </c>
      <c r="B114" s="15"/>
      <c r="C114" s="16">
        <v>4.42</v>
      </c>
      <c r="D114" s="16">
        <v>2.19</v>
      </c>
      <c r="E114" s="15"/>
      <c r="F114" s="16">
        <v>1.82</v>
      </c>
      <c r="G114" s="16">
        <v>0.82</v>
      </c>
      <c r="H114" s="16">
        <v>0.64</v>
      </c>
      <c r="I114" s="16">
        <v>0.39</v>
      </c>
      <c r="J114" s="16">
        <v>24.04</v>
      </c>
      <c r="K114" s="16">
        <v>18.61</v>
      </c>
      <c r="L114" s="16">
        <v>12.21</v>
      </c>
      <c r="M114" s="16">
        <v>11.72</v>
      </c>
      <c r="N114" s="16">
        <v>11.73</v>
      </c>
      <c r="O114" s="16">
        <v>22.8</v>
      </c>
      <c r="P114" s="16">
        <v>30.01</v>
      </c>
      <c r="Q114" s="16">
        <v>16.85</v>
      </c>
      <c r="R114" s="16">
        <v>18.32</v>
      </c>
      <c r="S114" s="15"/>
      <c r="T114" s="15"/>
      <c r="U114" s="16">
        <v>0.5</v>
      </c>
      <c r="V114" s="16">
        <v>0.6</v>
      </c>
      <c r="W114" s="16">
        <v>0.46</v>
      </c>
    </row>
    <row r="115" ht="15.0" customHeight="1">
      <c r="A115" s="13" t="s">
        <v>163</v>
      </c>
      <c r="B115" s="16">
        <v>32.21</v>
      </c>
      <c r="C115" s="16">
        <v>11.68</v>
      </c>
      <c r="D115" s="16">
        <v>7.63</v>
      </c>
      <c r="E115" s="16">
        <v>10.48</v>
      </c>
      <c r="F115" s="16">
        <v>5.67</v>
      </c>
      <c r="G115" s="16">
        <v>2.75</v>
      </c>
      <c r="H115" s="16">
        <v>15.98</v>
      </c>
      <c r="I115" s="16">
        <v>1.89</v>
      </c>
      <c r="J115" s="16">
        <v>39.8</v>
      </c>
      <c r="K115" s="16">
        <v>57.48</v>
      </c>
      <c r="L115" s="16">
        <v>58.13</v>
      </c>
      <c r="M115" s="16">
        <v>43.77</v>
      </c>
      <c r="N115" s="16">
        <v>45.55</v>
      </c>
      <c r="O115" s="16">
        <v>47.19</v>
      </c>
      <c r="P115" s="16">
        <v>26.49</v>
      </c>
      <c r="Q115" s="16">
        <v>51.98</v>
      </c>
      <c r="R115" s="16">
        <v>47.31</v>
      </c>
      <c r="S115" s="16">
        <v>30.84</v>
      </c>
      <c r="T115" s="16">
        <v>17.19</v>
      </c>
      <c r="U115" s="16">
        <v>8.92</v>
      </c>
      <c r="V115" s="16">
        <v>7.56</v>
      </c>
      <c r="W115" s="16">
        <v>6.07</v>
      </c>
    </row>
    <row r="116" ht="15.0" customHeight="1">
      <c r="A116" s="13" t="s">
        <v>164</v>
      </c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21">
        <v>-16.91</v>
      </c>
      <c r="R116" s="14">
        <v>115.35</v>
      </c>
      <c r="S116" s="15"/>
      <c r="T116" s="15"/>
      <c r="U116" s="15"/>
      <c r="V116" s="15"/>
      <c r="W116" s="15"/>
    </row>
    <row r="117" ht="15.0" customHeight="1">
      <c r="A117" s="13" t="s">
        <v>165</v>
      </c>
      <c r="B117" s="15"/>
      <c r="C117" s="15"/>
      <c r="D117" s="15"/>
      <c r="E117" s="15"/>
      <c r="F117" s="15"/>
      <c r="G117" s="15"/>
      <c r="H117" s="15"/>
      <c r="I117" s="15"/>
      <c r="J117" s="15"/>
      <c r="K117" s="21">
        <v>-82.27</v>
      </c>
      <c r="L117" s="21">
        <v>-31.9</v>
      </c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</row>
    <row r="118" ht="15.0" customHeight="1">
      <c r="A118" s="13" t="s">
        <v>82</v>
      </c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21">
        <v>-45.0</v>
      </c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</row>
    <row r="119" ht="15.0" customHeight="1">
      <c r="A119" s="13" t="s">
        <v>166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21">
        <v>-20.0</v>
      </c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</row>
    <row r="120" ht="15.0" customHeight="1">
      <c r="A120" s="13" t="s">
        <v>167</v>
      </c>
      <c r="B120" s="14">
        <v>120.36</v>
      </c>
      <c r="C120" s="14">
        <v>100.82</v>
      </c>
      <c r="D120" s="14">
        <v>104.16</v>
      </c>
      <c r="E120" s="14">
        <v>106.13</v>
      </c>
      <c r="F120" s="14">
        <v>106.33</v>
      </c>
      <c r="G120" s="14">
        <v>105.68</v>
      </c>
      <c r="H120" s="16">
        <v>94.51</v>
      </c>
      <c r="I120" s="16">
        <v>87.08</v>
      </c>
      <c r="J120" s="16">
        <v>86.49</v>
      </c>
      <c r="K120" s="16">
        <v>86.49</v>
      </c>
      <c r="L120" s="16">
        <v>86.49</v>
      </c>
      <c r="M120" s="16">
        <v>86.44</v>
      </c>
      <c r="N120" s="16">
        <v>86.41</v>
      </c>
      <c r="O120" s="16">
        <v>83.11</v>
      </c>
      <c r="P120" s="15"/>
      <c r="Q120" s="15"/>
      <c r="R120" s="15"/>
      <c r="S120" s="15"/>
      <c r="T120" s="15"/>
      <c r="U120" s="15"/>
      <c r="V120" s="15"/>
      <c r="W120" s="15"/>
    </row>
    <row r="121" ht="15.0" customHeight="1">
      <c r="A121" s="13" t="s">
        <v>168</v>
      </c>
      <c r="B121" s="14">
        <v>120.36</v>
      </c>
      <c r="C121" s="14">
        <v>100.82</v>
      </c>
      <c r="D121" s="14">
        <v>104.16</v>
      </c>
      <c r="E121" s="14">
        <v>106.13</v>
      </c>
      <c r="F121" s="14">
        <v>106.33</v>
      </c>
      <c r="G121" s="14">
        <v>105.68</v>
      </c>
      <c r="H121" s="14">
        <v>105.61</v>
      </c>
      <c r="I121" s="16">
        <v>87.08</v>
      </c>
      <c r="J121" s="16">
        <v>86.49</v>
      </c>
      <c r="K121" s="16">
        <v>86.49</v>
      </c>
      <c r="L121" s="16">
        <v>86.49</v>
      </c>
      <c r="M121" s="16">
        <v>86.44</v>
      </c>
      <c r="N121" s="16">
        <v>86.41</v>
      </c>
      <c r="O121" s="14">
        <v>102.26</v>
      </c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3" t="s">
        <v>169</v>
      </c>
      <c r="B122" s="21">
        <v>-0.34</v>
      </c>
      <c r="C122" s="16">
        <v>0.82</v>
      </c>
      <c r="D122" s="16">
        <v>0.78</v>
      </c>
      <c r="E122" s="16">
        <v>0.3</v>
      </c>
      <c r="F122" s="16">
        <v>1.04</v>
      </c>
      <c r="G122" s="21">
        <v>-0.33</v>
      </c>
      <c r="H122" s="16">
        <v>2.07</v>
      </c>
      <c r="I122" s="21">
        <v>-0.33</v>
      </c>
      <c r="J122" s="21">
        <v>-0.39</v>
      </c>
      <c r="K122" s="21">
        <v>-1.4</v>
      </c>
      <c r="L122" s="21">
        <v>-0.55</v>
      </c>
      <c r="M122" s="16">
        <v>0.21</v>
      </c>
      <c r="N122" s="21">
        <v>-2.63</v>
      </c>
      <c r="O122" s="16">
        <v>5.47</v>
      </c>
      <c r="P122" s="15"/>
      <c r="Q122" s="15"/>
      <c r="R122" s="15"/>
      <c r="S122" s="15"/>
      <c r="T122" s="15"/>
      <c r="U122" s="15"/>
      <c r="V122" s="15"/>
      <c r="W122" s="15"/>
    </row>
    <row r="123" ht="15.0" customHeight="1">
      <c r="A123" s="13" t="s">
        <v>141</v>
      </c>
      <c r="B123" s="21">
        <v>-0.34</v>
      </c>
      <c r="C123" s="16">
        <v>0.82</v>
      </c>
      <c r="D123" s="16">
        <v>0.78</v>
      </c>
      <c r="E123" s="16">
        <v>0.3</v>
      </c>
      <c r="F123" s="16">
        <v>1.04</v>
      </c>
      <c r="G123" s="21">
        <v>-0.33</v>
      </c>
      <c r="H123" s="16">
        <v>1.91</v>
      </c>
      <c r="I123" s="21">
        <v>-0.33</v>
      </c>
      <c r="J123" s="21">
        <v>-0.39</v>
      </c>
      <c r="K123" s="21">
        <v>-1.4</v>
      </c>
      <c r="L123" s="21">
        <v>-0.55</v>
      </c>
      <c r="M123" s="16">
        <v>0.21</v>
      </c>
      <c r="N123" s="21">
        <v>-2.63</v>
      </c>
      <c r="O123" s="16">
        <v>4.45</v>
      </c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3" t="s">
        <v>170</v>
      </c>
      <c r="B124" s="21">
        <v>-40.92</v>
      </c>
      <c r="C124" s="16">
        <v>82.67</v>
      </c>
      <c r="D124" s="16">
        <v>81.24</v>
      </c>
      <c r="E124" s="16">
        <v>31.84</v>
      </c>
      <c r="F124" s="14">
        <v>110.22</v>
      </c>
      <c r="G124" s="21">
        <v>-34.73</v>
      </c>
      <c r="H124" s="14">
        <v>195.83</v>
      </c>
      <c r="I124" s="21">
        <v>-28.59</v>
      </c>
      <c r="J124" s="21">
        <v>-33.54</v>
      </c>
      <c r="K124" s="22">
        <v>-120.85</v>
      </c>
      <c r="L124" s="21">
        <v>-48.67</v>
      </c>
      <c r="M124" s="16">
        <v>17.74</v>
      </c>
      <c r="N124" s="22">
        <v>-204.42</v>
      </c>
      <c r="O124" s="14">
        <v>454.7</v>
      </c>
      <c r="P124" s="15"/>
      <c r="Q124" s="15"/>
      <c r="R124" s="15"/>
      <c r="S124" s="15"/>
      <c r="T124" s="15"/>
      <c r="U124" s="15"/>
      <c r="V124" s="15"/>
      <c r="W124" s="15"/>
    </row>
    <row r="125" ht="15.0" customHeight="1">
      <c r="A125" s="13" t="s">
        <v>171</v>
      </c>
      <c r="B125" s="21">
        <v>-40.92</v>
      </c>
      <c r="C125" s="16">
        <v>82.67</v>
      </c>
      <c r="D125" s="16">
        <v>81.24</v>
      </c>
      <c r="E125" s="16">
        <v>31.84</v>
      </c>
      <c r="F125" s="14">
        <v>110.22</v>
      </c>
      <c r="G125" s="21">
        <v>-34.73</v>
      </c>
      <c r="H125" s="14">
        <v>195.83</v>
      </c>
      <c r="I125" s="21">
        <v>-28.59</v>
      </c>
      <c r="J125" s="21">
        <v>-33.54</v>
      </c>
      <c r="K125" s="22">
        <v>-120.85</v>
      </c>
      <c r="L125" s="21">
        <v>-48.67</v>
      </c>
      <c r="M125" s="16">
        <v>17.74</v>
      </c>
      <c r="N125" s="22">
        <v>-204.42</v>
      </c>
      <c r="O125" s="14">
        <v>454.7</v>
      </c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3" t="s">
        <v>172</v>
      </c>
      <c r="B126" s="21">
        <v>-0.34</v>
      </c>
      <c r="C126" s="16">
        <v>0.82</v>
      </c>
      <c r="D126" s="16">
        <v>0.78</v>
      </c>
      <c r="E126" s="16">
        <v>0.3</v>
      </c>
      <c r="F126" s="16">
        <v>1.04</v>
      </c>
      <c r="G126" s="16">
        <v>0.65</v>
      </c>
      <c r="H126" s="16">
        <v>0.5</v>
      </c>
      <c r="I126" s="21">
        <v>-0.02</v>
      </c>
      <c r="J126" s="21">
        <v>-0.08</v>
      </c>
      <c r="K126" s="21">
        <v>-0.09</v>
      </c>
      <c r="L126" s="21">
        <v>-0.55</v>
      </c>
      <c r="M126" s="21">
        <v>-0.25</v>
      </c>
      <c r="N126" s="21">
        <v>-2.63</v>
      </c>
      <c r="O126" s="16">
        <v>0.44</v>
      </c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3" t="s">
        <v>173</v>
      </c>
      <c r="B127" s="21">
        <v>-0.34</v>
      </c>
      <c r="C127" s="16">
        <v>0.82</v>
      </c>
      <c r="D127" s="16">
        <v>0.78</v>
      </c>
      <c r="E127" s="16">
        <v>0.3</v>
      </c>
      <c r="F127" s="16">
        <v>1.04</v>
      </c>
      <c r="G127" s="16">
        <v>0.65</v>
      </c>
      <c r="H127" s="16">
        <v>0.45</v>
      </c>
      <c r="I127" s="21">
        <v>-0.02</v>
      </c>
      <c r="J127" s="21">
        <v>-0.08</v>
      </c>
      <c r="K127" s="21">
        <v>-0.09</v>
      </c>
      <c r="L127" s="21">
        <v>-0.55</v>
      </c>
      <c r="M127" s="21">
        <v>-0.25</v>
      </c>
      <c r="N127" s="21">
        <v>-2.63</v>
      </c>
      <c r="O127" s="16">
        <v>0.36</v>
      </c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174</v>
      </c>
      <c r="B128" s="21">
        <v>-40.92</v>
      </c>
      <c r="C128" s="16">
        <v>82.67</v>
      </c>
      <c r="D128" s="16">
        <v>81.24</v>
      </c>
      <c r="E128" s="16">
        <v>31.84</v>
      </c>
      <c r="F128" s="14">
        <v>110.22</v>
      </c>
      <c r="G128" s="16">
        <v>68.99</v>
      </c>
      <c r="H128" s="16">
        <v>47.72</v>
      </c>
      <c r="I128" s="21">
        <v>-1.83</v>
      </c>
      <c r="J128" s="21">
        <v>-7.21</v>
      </c>
      <c r="K128" s="21">
        <v>-7.45</v>
      </c>
      <c r="L128" s="21">
        <v>-48.67</v>
      </c>
      <c r="M128" s="21">
        <v>-21.82</v>
      </c>
      <c r="N128" s="22">
        <v>-227.36</v>
      </c>
      <c r="O128" s="16">
        <v>36.53</v>
      </c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3" t="s">
        <v>175</v>
      </c>
      <c r="B129" s="21">
        <v>-40.92</v>
      </c>
      <c r="C129" s="16">
        <v>82.67</v>
      </c>
      <c r="D129" s="16">
        <v>81.24</v>
      </c>
      <c r="E129" s="16">
        <v>31.84</v>
      </c>
      <c r="F129" s="14">
        <v>110.22</v>
      </c>
      <c r="G129" s="16">
        <v>68.99</v>
      </c>
      <c r="H129" s="16">
        <v>47.72</v>
      </c>
      <c r="I129" s="21">
        <v>-1.83</v>
      </c>
      <c r="J129" s="21">
        <v>-7.21</v>
      </c>
      <c r="K129" s="21">
        <v>-7.45</v>
      </c>
      <c r="L129" s="21">
        <v>-48.67</v>
      </c>
      <c r="M129" s="21">
        <v>-21.82</v>
      </c>
      <c r="N129" s="22">
        <v>-227.36</v>
      </c>
      <c r="O129" s="16">
        <v>36.53</v>
      </c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3" t="s">
        <v>176</v>
      </c>
      <c r="B130" s="16">
        <v>1.0</v>
      </c>
      <c r="C130" s="16">
        <v>1.0</v>
      </c>
      <c r="D130" s="16">
        <v>1.0</v>
      </c>
      <c r="E130" s="16">
        <v>1.0</v>
      </c>
      <c r="F130" s="16">
        <v>1.0</v>
      </c>
      <c r="G130" s="16">
        <v>1.0</v>
      </c>
      <c r="H130" s="16">
        <v>1.0</v>
      </c>
      <c r="I130" s="16">
        <v>1.0</v>
      </c>
      <c r="J130" s="16">
        <v>1.0</v>
      </c>
      <c r="K130" s="16">
        <v>1.0</v>
      </c>
      <c r="L130" s="16">
        <v>1.0</v>
      </c>
      <c r="M130" s="16">
        <v>1.0</v>
      </c>
      <c r="N130" s="16">
        <v>1.0</v>
      </c>
      <c r="O130" s="16">
        <v>1.0</v>
      </c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3" t="s">
        <v>177</v>
      </c>
      <c r="B131" s="16">
        <v>1.0</v>
      </c>
      <c r="C131" s="16">
        <v>1.0</v>
      </c>
      <c r="D131" s="16">
        <v>1.0</v>
      </c>
      <c r="E131" s="16">
        <v>1.0</v>
      </c>
      <c r="F131" s="16">
        <v>1.0</v>
      </c>
      <c r="G131" s="16">
        <v>1.0</v>
      </c>
      <c r="H131" s="16">
        <v>1.0</v>
      </c>
      <c r="I131" s="16">
        <v>1.0</v>
      </c>
      <c r="J131" s="16">
        <v>1.0</v>
      </c>
      <c r="K131" s="16">
        <v>1.0</v>
      </c>
      <c r="L131" s="16">
        <v>1.0</v>
      </c>
      <c r="M131" s="16">
        <v>1.0</v>
      </c>
      <c r="N131" s="16">
        <v>1.0</v>
      </c>
      <c r="O131" s="16">
        <v>1.0</v>
      </c>
      <c r="P131" s="15"/>
      <c r="Q131" s="15"/>
      <c r="R131" s="15"/>
      <c r="S131" s="15"/>
      <c r="T131" s="15"/>
      <c r="U131" s="15"/>
      <c r="V131" s="15"/>
      <c r="W131" s="15"/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178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46091.3855911111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41274.0</v>
      </c>
      <c r="Q13" s="9">
        <v>40908.0</v>
      </c>
      <c r="R13" s="9">
        <v>40543.0</v>
      </c>
      <c r="S13" s="9">
        <v>39903.0</v>
      </c>
      <c r="T13" s="9">
        <v>39447.0</v>
      </c>
      <c r="U13" s="9">
        <v>39082.0</v>
      </c>
      <c r="V13" s="9">
        <v>38898.0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179</v>
      </c>
      <c r="C15" s="10" t="s">
        <v>179</v>
      </c>
      <c r="D15" s="10" t="s">
        <v>179</v>
      </c>
      <c r="E15" s="10" t="s">
        <v>179</v>
      </c>
      <c r="F15" s="10" t="s">
        <v>179</v>
      </c>
      <c r="G15" s="10" t="s">
        <v>179</v>
      </c>
      <c r="H15" s="10" t="s">
        <v>179</v>
      </c>
      <c r="I15" s="10" t="s">
        <v>179</v>
      </c>
      <c r="J15" s="10" t="s">
        <v>179</v>
      </c>
      <c r="K15" s="10" t="s">
        <v>179</v>
      </c>
      <c r="L15" s="10" t="s">
        <v>179</v>
      </c>
      <c r="M15" s="10" t="s">
        <v>179</v>
      </c>
      <c r="N15" s="10" t="s">
        <v>179</v>
      </c>
      <c r="O15" s="10" t="s">
        <v>179</v>
      </c>
      <c r="P15" s="10" t="s">
        <v>179</v>
      </c>
      <c r="Q15" s="10" t="s">
        <v>179</v>
      </c>
      <c r="R15" s="10" t="s">
        <v>179</v>
      </c>
      <c r="S15" s="10" t="s">
        <v>179</v>
      </c>
      <c r="T15" s="10" t="s">
        <v>179</v>
      </c>
      <c r="U15" s="10" t="s">
        <v>179</v>
      </c>
      <c r="V15" s="10" t="s">
        <v>179</v>
      </c>
      <c r="W15" s="10" t="s">
        <v>179</v>
      </c>
    </row>
    <row r="17">
      <c r="A17" s="11" t="s">
        <v>180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181</v>
      </c>
      <c r="B19" s="16">
        <v>19.22</v>
      </c>
      <c r="C19" s="16">
        <v>17.99</v>
      </c>
      <c r="D19" s="16">
        <v>11.86</v>
      </c>
      <c r="E19" s="16">
        <v>2.32</v>
      </c>
      <c r="F19" s="16">
        <v>3.47</v>
      </c>
      <c r="G19" s="16">
        <v>5.41</v>
      </c>
      <c r="H19" s="16">
        <v>6.89</v>
      </c>
      <c r="I19" s="16">
        <v>0.6</v>
      </c>
      <c r="J19" s="16">
        <v>0.64</v>
      </c>
      <c r="K19" s="14">
        <v>229.03</v>
      </c>
      <c r="L19" s="14">
        <v>414.16</v>
      </c>
      <c r="M19" s="14">
        <v>189.26</v>
      </c>
      <c r="N19" s="14">
        <v>200.8</v>
      </c>
      <c r="O19" s="14">
        <v>187.11</v>
      </c>
      <c r="P19" s="14">
        <v>382.79</v>
      </c>
      <c r="Q19" s="14">
        <v>422.59</v>
      </c>
      <c r="R19" s="15"/>
      <c r="S19" s="15"/>
      <c r="T19" s="15"/>
      <c r="U19" s="15"/>
      <c r="V19" s="15"/>
      <c r="W19" s="15"/>
    </row>
    <row r="20" ht="15.0" customHeight="1">
      <c r="A20" s="13" t="s">
        <v>182</v>
      </c>
      <c r="B20" s="15"/>
      <c r="C20" s="16">
        <v>2.66</v>
      </c>
      <c r="D20" s="15"/>
      <c r="E20" s="16">
        <v>1.17</v>
      </c>
      <c r="F20" s="16">
        <v>1.07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</row>
    <row r="21" ht="15.0" customHeight="1">
      <c r="A21" s="13" t="s">
        <v>183</v>
      </c>
      <c r="B21" s="15"/>
      <c r="C21" s="16">
        <v>15.33</v>
      </c>
      <c r="D21" s="15"/>
      <c r="E21" s="16">
        <v>1.15</v>
      </c>
      <c r="F21" s="16">
        <v>2.4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3" t="s">
        <v>184</v>
      </c>
      <c r="B22" s="15"/>
      <c r="C22" s="15"/>
      <c r="D22" s="15"/>
      <c r="E22" s="15"/>
      <c r="F22" s="15"/>
      <c r="G22" s="15"/>
      <c r="H22" s="15"/>
      <c r="I22" s="15"/>
      <c r="J22" s="15"/>
      <c r="K22" s="14">
        <v>937.15</v>
      </c>
      <c r="L22" s="14">
        <v>1091.79</v>
      </c>
      <c r="M22" s="14">
        <v>1164.6</v>
      </c>
      <c r="N22" s="14">
        <v>925.96</v>
      </c>
      <c r="O22" s="14">
        <v>1036.95</v>
      </c>
      <c r="P22" s="14">
        <v>1167.07</v>
      </c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185</v>
      </c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23">
        <v>0.0</v>
      </c>
      <c r="M23" s="15">
        <v>0.0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186</v>
      </c>
      <c r="B24" s="14">
        <v>155.18</v>
      </c>
      <c r="C24" s="14">
        <v>151.82</v>
      </c>
      <c r="D24" s="16">
        <v>85.27</v>
      </c>
      <c r="E24" s="14">
        <v>106.88</v>
      </c>
      <c r="F24" s="14">
        <v>134.75</v>
      </c>
      <c r="G24" s="16">
        <v>36.64</v>
      </c>
      <c r="H24" s="16">
        <v>38.26</v>
      </c>
      <c r="I24" s="16">
        <v>68.97</v>
      </c>
      <c r="J24" s="16">
        <v>38.4</v>
      </c>
      <c r="K24" s="14">
        <v>463.36</v>
      </c>
      <c r="L24" s="14">
        <v>361.31</v>
      </c>
      <c r="M24" s="14">
        <v>326.75</v>
      </c>
      <c r="N24" s="14">
        <v>316.4</v>
      </c>
      <c r="O24" s="14">
        <v>334.02</v>
      </c>
      <c r="P24" s="14">
        <v>468.88</v>
      </c>
      <c r="Q24" s="15"/>
      <c r="R24" s="15"/>
      <c r="S24" s="15"/>
      <c r="T24" s="14">
        <v>427.89</v>
      </c>
      <c r="U24" s="14">
        <v>244.84</v>
      </c>
      <c r="V24" s="15"/>
      <c r="W24" s="14">
        <v>182.05</v>
      </c>
    </row>
    <row r="25" ht="15.0" customHeight="1">
      <c r="A25" s="13" t="s">
        <v>187</v>
      </c>
      <c r="B25" s="15"/>
      <c r="C25" s="14">
        <v>174.85</v>
      </c>
      <c r="D25" s="15"/>
      <c r="E25" s="14">
        <v>119.84</v>
      </c>
      <c r="F25" s="14">
        <v>147.66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4">
        <v>572.28</v>
      </c>
      <c r="R25" s="14">
        <v>704.68</v>
      </c>
      <c r="S25" s="14">
        <v>747.63</v>
      </c>
      <c r="T25" s="15"/>
      <c r="U25" s="15"/>
      <c r="V25" s="15"/>
      <c r="W25" s="15"/>
    </row>
    <row r="26" ht="15.0" customHeight="1">
      <c r="A26" s="13" t="s">
        <v>188</v>
      </c>
      <c r="B26" s="15"/>
      <c r="C26" s="21">
        <v>-23.03</v>
      </c>
      <c r="D26" s="15"/>
      <c r="E26" s="21">
        <v>-12.97</v>
      </c>
      <c r="F26" s="21">
        <v>-12.91</v>
      </c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21">
        <v>-83.48</v>
      </c>
      <c r="R26" s="22">
        <v>-139.54</v>
      </c>
      <c r="S26" s="21">
        <v>-15.39</v>
      </c>
      <c r="T26" s="21">
        <v>-4.02</v>
      </c>
      <c r="U26" s="21">
        <v>-3.01</v>
      </c>
      <c r="V26" s="15"/>
      <c r="W26" s="15"/>
    </row>
    <row r="27" ht="15.0" customHeight="1">
      <c r="A27" s="13" t="s">
        <v>189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4">
        <v>431.91</v>
      </c>
      <c r="U27" s="14">
        <v>247.85</v>
      </c>
      <c r="V27" s="15"/>
      <c r="W27" s="15"/>
    </row>
    <row r="28" ht="15.0" customHeight="1">
      <c r="A28" s="13" t="s">
        <v>190</v>
      </c>
      <c r="B28" s="16">
        <v>40.77</v>
      </c>
      <c r="C28" s="16">
        <v>14.41</v>
      </c>
      <c r="D28" s="16">
        <v>6.39</v>
      </c>
      <c r="E28" s="16">
        <v>7.13</v>
      </c>
      <c r="F28" s="16">
        <v>13.91</v>
      </c>
      <c r="G28" s="16">
        <v>9.17</v>
      </c>
      <c r="H28" s="16">
        <v>14.84</v>
      </c>
      <c r="I28" s="16">
        <v>3.28</v>
      </c>
      <c r="J28" s="16">
        <v>17.3</v>
      </c>
      <c r="K28" s="16">
        <v>84.49</v>
      </c>
      <c r="L28" s="16">
        <v>73.24</v>
      </c>
      <c r="M28" s="16">
        <v>96.63</v>
      </c>
      <c r="N28" s="16">
        <v>58.81</v>
      </c>
      <c r="O28" s="14">
        <v>121.74</v>
      </c>
      <c r="P28" s="14">
        <v>213.08</v>
      </c>
      <c r="Q28" s="14">
        <v>192.72</v>
      </c>
      <c r="R28" s="14">
        <v>192.35</v>
      </c>
      <c r="S28" s="14">
        <v>468.08</v>
      </c>
      <c r="T28" s="14">
        <v>137.5</v>
      </c>
      <c r="U28" s="16">
        <v>47.13</v>
      </c>
      <c r="V28" s="15"/>
      <c r="W28" s="16">
        <v>17.65</v>
      </c>
    </row>
    <row r="29" ht="15.0" customHeight="1">
      <c r="A29" s="13" t="s">
        <v>191</v>
      </c>
      <c r="B29" s="16">
        <v>85.19</v>
      </c>
      <c r="C29" s="14">
        <v>118.14</v>
      </c>
      <c r="D29" s="14">
        <v>144.01</v>
      </c>
      <c r="E29" s="14">
        <v>113.62</v>
      </c>
      <c r="F29" s="16">
        <v>20.15</v>
      </c>
      <c r="G29" s="16">
        <v>22.38</v>
      </c>
      <c r="H29" s="16">
        <v>12.37</v>
      </c>
      <c r="I29" s="16">
        <v>38.91</v>
      </c>
      <c r="J29" s="16">
        <v>33.25</v>
      </c>
      <c r="K29" s="14">
        <v>302.15</v>
      </c>
      <c r="L29" s="14">
        <v>560.76</v>
      </c>
      <c r="M29" s="14">
        <v>609.48</v>
      </c>
      <c r="N29" s="14">
        <v>470.76</v>
      </c>
      <c r="O29" s="14">
        <v>504.57</v>
      </c>
      <c r="P29" s="14">
        <v>317.76</v>
      </c>
      <c r="Q29" s="14">
        <v>368.06</v>
      </c>
      <c r="R29" s="14">
        <v>456.19</v>
      </c>
      <c r="S29" s="14">
        <v>884.16</v>
      </c>
      <c r="T29" s="14">
        <v>189.98</v>
      </c>
      <c r="U29" s="16">
        <v>84.56</v>
      </c>
      <c r="V29" s="15"/>
      <c r="W29" s="16">
        <v>23.52</v>
      </c>
    </row>
    <row r="30" ht="15.0" customHeight="1">
      <c r="A30" s="13" t="s">
        <v>192</v>
      </c>
      <c r="B30" s="16">
        <v>4.99</v>
      </c>
      <c r="C30" s="15"/>
      <c r="D30" s="16">
        <v>20.14</v>
      </c>
      <c r="E30" s="15">
        <v>0.0</v>
      </c>
      <c r="F30" s="16">
        <v>11.51</v>
      </c>
      <c r="G30" s="16">
        <v>26.64</v>
      </c>
      <c r="H30" s="16">
        <v>6.98</v>
      </c>
      <c r="I30" s="16">
        <v>0.05</v>
      </c>
      <c r="J30" s="16">
        <v>3.0</v>
      </c>
      <c r="K30" s="16">
        <v>15.51</v>
      </c>
      <c r="L30" s="16">
        <v>16.08</v>
      </c>
      <c r="M30" s="16">
        <v>38.34</v>
      </c>
      <c r="N30" s="16">
        <v>25.18</v>
      </c>
      <c r="O30" s="16">
        <v>23.18</v>
      </c>
      <c r="P30" s="16">
        <v>20.71</v>
      </c>
      <c r="Q30" s="16">
        <v>48.78</v>
      </c>
      <c r="R30" s="16">
        <v>53.21</v>
      </c>
      <c r="S30" s="16">
        <v>70.36</v>
      </c>
      <c r="T30" s="16">
        <v>53.99</v>
      </c>
      <c r="U30" s="16">
        <v>17.31</v>
      </c>
      <c r="V30" s="15"/>
      <c r="W30" s="15"/>
    </row>
    <row r="31" ht="15.0" customHeight="1">
      <c r="A31" s="13" t="s">
        <v>193</v>
      </c>
      <c r="B31" s="15"/>
      <c r="C31" s="15"/>
      <c r="D31" s="15"/>
      <c r="E31" s="15"/>
      <c r="F31" s="15"/>
      <c r="G31" s="15"/>
      <c r="H31" s="15"/>
      <c r="I31" s="15">
        <v>0.0</v>
      </c>
      <c r="J31" s="15">
        <v>0.0</v>
      </c>
      <c r="K31" s="16">
        <v>71.63</v>
      </c>
      <c r="L31" s="16">
        <v>80.41</v>
      </c>
      <c r="M31" s="16">
        <v>93.4</v>
      </c>
      <c r="N31" s="16">
        <v>54.8</v>
      </c>
      <c r="O31" s="16">
        <v>53.44</v>
      </c>
      <c r="P31" s="14">
        <v>146.43</v>
      </c>
      <c r="Q31" s="14">
        <v>130.69</v>
      </c>
      <c r="R31" s="14">
        <v>217.74</v>
      </c>
      <c r="S31" s="14">
        <v>203.92</v>
      </c>
      <c r="T31" s="15"/>
      <c r="U31" s="15"/>
      <c r="V31" s="15"/>
      <c r="W31" s="15"/>
    </row>
    <row r="32" ht="15.0" customHeight="1">
      <c r="A32" s="13" t="s">
        <v>194</v>
      </c>
      <c r="B32" s="15"/>
      <c r="C32" s="15"/>
      <c r="D32" s="15"/>
      <c r="E32" s="15"/>
      <c r="F32" s="15"/>
      <c r="G32" s="15"/>
      <c r="H32" s="15">
        <v>0.0</v>
      </c>
      <c r="I32" s="14">
        <v>1916.15</v>
      </c>
      <c r="J32" s="14">
        <v>1941.41</v>
      </c>
      <c r="K32" s="15"/>
      <c r="L32" s="15"/>
      <c r="M32" s="15"/>
      <c r="N32" s="15"/>
      <c r="O32" s="15">
        <v>0.0</v>
      </c>
      <c r="P32" s="16">
        <v>0.22</v>
      </c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195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4">
        <v>420.5</v>
      </c>
      <c r="S33" s="14">
        <v>212.83</v>
      </c>
      <c r="T33" s="14">
        <v>104.89</v>
      </c>
      <c r="U33" s="16">
        <v>85.74</v>
      </c>
      <c r="V33" s="15"/>
      <c r="W33" s="16">
        <v>41.04</v>
      </c>
    </row>
    <row r="34" ht="15.0" customHeight="1">
      <c r="A34" s="13" t="s">
        <v>196</v>
      </c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6">
        <v>41.69</v>
      </c>
      <c r="S34" s="16">
        <v>33.1</v>
      </c>
      <c r="T34" s="21">
        <v>-4.31</v>
      </c>
      <c r="U34" s="21">
        <v>-8.44</v>
      </c>
      <c r="V34" s="15"/>
      <c r="W34" s="21">
        <v>-6.62</v>
      </c>
    </row>
    <row r="35" ht="15.0" customHeight="1">
      <c r="A35" s="13" t="s">
        <v>197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4">
        <v>596.64</v>
      </c>
      <c r="U35" s="14">
        <v>455.23</v>
      </c>
      <c r="V35" s="15"/>
      <c r="W35" s="14">
        <v>129.1</v>
      </c>
    </row>
    <row r="36" ht="15.0" customHeight="1">
      <c r="A36" s="13" t="s">
        <v>198</v>
      </c>
      <c r="B36" s="14">
        <v>149.56</v>
      </c>
      <c r="C36" s="14">
        <v>204.94</v>
      </c>
      <c r="D36" s="14">
        <v>194.16</v>
      </c>
      <c r="E36" s="14">
        <v>181.28</v>
      </c>
      <c r="F36" s="14">
        <v>174.5</v>
      </c>
      <c r="G36" s="14">
        <v>367.85</v>
      </c>
      <c r="H36" s="14">
        <v>260.95</v>
      </c>
      <c r="I36" s="14">
        <v>349.45</v>
      </c>
      <c r="J36" s="14">
        <v>261.84</v>
      </c>
      <c r="K36" s="14">
        <v>175.78</v>
      </c>
      <c r="L36" s="14">
        <v>413.21</v>
      </c>
      <c r="M36" s="14">
        <v>130.6</v>
      </c>
      <c r="N36" s="14">
        <v>155.57</v>
      </c>
      <c r="O36" s="14">
        <v>227.67</v>
      </c>
      <c r="P36" s="14">
        <v>434.75</v>
      </c>
      <c r="Q36" s="14">
        <v>272.33</v>
      </c>
      <c r="R36" s="14">
        <v>191.91</v>
      </c>
      <c r="S36" s="14">
        <v>267.23</v>
      </c>
      <c r="T36" s="14">
        <v>353.14</v>
      </c>
      <c r="U36" s="14">
        <v>236.93</v>
      </c>
      <c r="V36" s="16">
        <v>97.81</v>
      </c>
      <c r="W36" s="16">
        <v>52.97</v>
      </c>
    </row>
    <row r="37" ht="15.0" customHeight="1">
      <c r="A37" s="13" t="s">
        <v>199</v>
      </c>
      <c r="B37" s="15"/>
      <c r="C37" s="15"/>
      <c r="D37" s="15"/>
      <c r="E37" s="23">
        <v>0.0</v>
      </c>
      <c r="F37" s="15"/>
      <c r="G37" s="15"/>
      <c r="H37" s="15"/>
      <c r="I37" s="15">
        <v>0.0</v>
      </c>
      <c r="J37" s="15"/>
      <c r="K37" s="15">
        <v>0.0</v>
      </c>
      <c r="L37" s="15"/>
      <c r="M37" s="23">
        <v>0.0</v>
      </c>
      <c r="N37" s="15">
        <v>0.0</v>
      </c>
      <c r="O37" s="15">
        <v>0.0</v>
      </c>
      <c r="P37" s="15">
        <v>0.0</v>
      </c>
      <c r="Q37" s="15">
        <v>0.0</v>
      </c>
      <c r="R37" s="23">
        <v>0.0</v>
      </c>
      <c r="S37" s="15"/>
      <c r="T37" s="21">
        <v>-4.02</v>
      </c>
      <c r="U37" s="21">
        <v>-3.01</v>
      </c>
      <c r="V37" s="14">
        <v>655.35</v>
      </c>
      <c r="W37" s="15"/>
    </row>
    <row r="38" ht="15.0" customHeight="1">
      <c r="A38" s="17" t="s">
        <v>200</v>
      </c>
      <c r="B38" s="18">
        <v>454.89</v>
      </c>
      <c r="C38" s="18">
        <v>507.29</v>
      </c>
      <c r="D38" s="18">
        <v>461.83</v>
      </c>
      <c r="E38" s="18">
        <v>411.21</v>
      </c>
      <c r="F38" s="18">
        <v>358.29</v>
      </c>
      <c r="G38" s="18">
        <v>468.1</v>
      </c>
      <c r="H38" s="18">
        <v>340.29</v>
      </c>
      <c r="I38" s="18">
        <v>2377.41</v>
      </c>
      <c r="J38" s="18">
        <v>2295.84</v>
      </c>
      <c r="K38" s="18">
        <v>1341.97</v>
      </c>
      <c r="L38" s="18">
        <v>1919.16</v>
      </c>
      <c r="M38" s="18">
        <v>1484.46</v>
      </c>
      <c r="N38" s="18">
        <v>1282.33</v>
      </c>
      <c r="O38" s="18">
        <v>1451.73</v>
      </c>
      <c r="P38" s="18">
        <v>1984.62</v>
      </c>
      <c r="Q38" s="18">
        <v>1923.96</v>
      </c>
      <c r="R38" s="18">
        <v>2138.72</v>
      </c>
      <c r="S38" s="18">
        <v>2871.92</v>
      </c>
      <c r="T38" s="18">
        <v>1886.38</v>
      </c>
      <c r="U38" s="18">
        <v>1172.14</v>
      </c>
      <c r="V38" s="18">
        <v>753.16</v>
      </c>
      <c r="W38" s="18">
        <v>465.03</v>
      </c>
    </row>
    <row r="39" ht="15.0" customHeight="1">
      <c r="A39" s="13" t="s">
        <v>201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>
        <v>0.0</v>
      </c>
      <c r="R39" s="21">
        <v>-0.6</v>
      </c>
      <c r="S39" s="15"/>
      <c r="T39" s="15"/>
      <c r="U39" s="15"/>
      <c r="V39" s="15"/>
      <c r="W39" s="15"/>
    </row>
    <row r="40" ht="15.0" customHeight="1">
      <c r="A40" s="13" t="s">
        <v>202</v>
      </c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>
        <v>0.0</v>
      </c>
      <c r="U40" s="16">
        <v>5.46</v>
      </c>
      <c r="V40" s="15"/>
      <c r="W40" s="15"/>
    </row>
    <row r="41" ht="15.0" customHeight="1">
      <c r="A41" s="13" t="s">
        <v>203</v>
      </c>
      <c r="B41" s="16">
        <v>2.75</v>
      </c>
      <c r="C41" s="16">
        <v>1.88</v>
      </c>
      <c r="D41" s="16">
        <v>1.16</v>
      </c>
      <c r="E41" s="15"/>
      <c r="F41" s="15"/>
      <c r="G41" s="15"/>
      <c r="H41" s="15"/>
      <c r="I41" s="15"/>
      <c r="J41" s="15">
        <v>0.0</v>
      </c>
      <c r="K41" s="16">
        <v>29.16</v>
      </c>
      <c r="L41" s="16">
        <v>84.98</v>
      </c>
      <c r="M41" s="14">
        <v>102.58</v>
      </c>
      <c r="N41" s="14">
        <v>132.69</v>
      </c>
      <c r="O41" s="14">
        <v>163.88</v>
      </c>
      <c r="P41" s="14">
        <v>172.65</v>
      </c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204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6">
        <v>2.78</v>
      </c>
      <c r="Q42" s="16">
        <v>7.81</v>
      </c>
      <c r="R42" s="16">
        <v>9.67</v>
      </c>
      <c r="S42" s="16">
        <v>11.36</v>
      </c>
      <c r="T42" s="16">
        <v>0.79</v>
      </c>
      <c r="U42" s="15"/>
      <c r="V42" s="15"/>
      <c r="W42" s="15"/>
    </row>
    <row r="43" ht="15.0" customHeight="1">
      <c r="A43" s="13" t="s">
        <v>205</v>
      </c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>
        <v>0.0</v>
      </c>
      <c r="N43" s="16">
        <v>28.69</v>
      </c>
      <c r="O43" s="16">
        <v>28.9</v>
      </c>
      <c r="P43" s="15"/>
      <c r="Q43" s="15"/>
      <c r="R43" s="15"/>
      <c r="S43" s="15"/>
      <c r="T43" s="15"/>
      <c r="U43" s="15"/>
      <c r="V43" s="15"/>
      <c r="W43" s="15"/>
    </row>
    <row r="44" ht="15.0" customHeight="1">
      <c r="A44" s="13" t="s">
        <v>206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>
        <v>0.0</v>
      </c>
      <c r="P44" s="16">
        <v>0.14</v>
      </c>
      <c r="Q44" s="15">
        <v>0.0</v>
      </c>
      <c r="R44" s="16">
        <v>5.58</v>
      </c>
      <c r="S44" s="16">
        <v>3.4</v>
      </c>
      <c r="T44" s="16">
        <v>1.89</v>
      </c>
      <c r="U44" s="16">
        <v>6.73</v>
      </c>
      <c r="V44" s="15"/>
      <c r="W44" s="16">
        <v>6.0</v>
      </c>
    </row>
    <row r="45" ht="15.0" customHeight="1">
      <c r="A45" s="13" t="s">
        <v>207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>
        <v>0.0</v>
      </c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208</v>
      </c>
      <c r="B46" s="16">
        <v>56.81</v>
      </c>
      <c r="C46" s="16">
        <v>82.16</v>
      </c>
      <c r="D46" s="16">
        <v>47.71</v>
      </c>
      <c r="E46" s="15"/>
      <c r="F46" s="15"/>
      <c r="G46" s="15"/>
      <c r="H46" s="15"/>
      <c r="I46" s="15"/>
      <c r="J46" s="15">
        <v>0.0</v>
      </c>
      <c r="K46" s="16">
        <v>29.16</v>
      </c>
      <c r="L46" s="16">
        <v>84.98</v>
      </c>
      <c r="M46" s="14">
        <v>102.58</v>
      </c>
      <c r="N46" s="14">
        <v>104.0</v>
      </c>
      <c r="O46" s="14">
        <v>134.99</v>
      </c>
      <c r="P46" s="14">
        <v>169.72</v>
      </c>
      <c r="Q46" s="14">
        <v>120.73</v>
      </c>
      <c r="R46" s="16">
        <v>93.96</v>
      </c>
      <c r="S46" s="16">
        <v>87.4</v>
      </c>
      <c r="T46" s="16">
        <v>57.02</v>
      </c>
      <c r="U46" s="16">
        <v>36.7</v>
      </c>
      <c r="V46" s="15"/>
      <c r="W46" s="16">
        <v>8.29</v>
      </c>
    </row>
    <row r="47" ht="15.0" customHeight="1">
      <c r="A47" s="13" t="s">
        <v>209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6">
        <v>0.22</v>
      </c>
      <c r="R47" s="16">
        <v>1.95</v>
      </c>
      <c r="S47" s="16">
        <v>1.95</v>
      </c>
      <c r="T47" s="16">
        <v>2.15</v>
      </c>
      <c r="U47" s="16">
        <v>13.55</v>
      </c>
      <c r="V47" s="15"/>
      <c r="W47" s="16">
        <v>13.55</v>
      </c>
    </row>
    <row r="48" ht="15.0" customHeight="1">
      <c r="A48" s="13" t="s">
        <v>210</v>
      </c>
      <c r="B48" s="16">
        <v>14.24</v>
      </c>
      <c r="C48" s="16">
        <v>10.11</v>
      </c>
      <c r="D48" s="16">
        <v>9.19</v>
      </c>
      <c r="E48" s="16">
        <v>9.81</v>
      </c>
      <c r="F48" s="16">
        <v>14.44</v>
      </c>
      <c r="G48" s="16">
        <v>6.22</v>
      </c>
      <c r="H48" s="16">
        <v>7.11</v>
      </c>
      <c r="I48" s="16">
        <v>13.61</v>
      </c>
      <c r="J48" s="16">
        <v>7.32</v>
      </c>
      <c r="K48" s="16">
        <v>94.34</v>
      </c>
      <c r="L48" s="14">
        <v>134.52</v>
      </c>
      <c r="M48" s="14">
        <v>160.9</v>
      </c>
      <c r="N48" s="14">
        <v>136.05</v>
      </c>
      <c r="O48" s="14">
        <v>115.04</v>
      </c>
      <c r="P48" s="14">
        <v>118.0</v>
      </c>
      <c r="Q48" s="16">
        <f t="shared" ref="Q48:S48" si="1">SUM(Q50,Q53,Q57,Q61,Q71)</f>
        <v>120.7</v>
      </c>
      <c r="R48" s="16">
        <f t="shared" si="1"/>
        <v>130.38</v>
      </c>
      <c r="S48" s="16">
        <f t="shared" si="1"/>
        <v>34.01</v>
      </c>
      <c r="T48" s="15"/>
      <c r="U48" s="15"/>
      <c r="V48" s="15"/>
      <c r="W48" s="15"/>
    </row>
    <row r="49" ht="15.0" customHeight="1">
      <c r="A49" s="13" t="s">
        <v>211</v>
      </c>
      <c r="B49" s="15"/>
      <c r="C49" s="15"/>
      <c r="D49" s="15"/>
      <c r="E49" s="15"/>
      <c r="F49" s="15"/>
      <c r="G49" s="15"/>
      <c r="H49" s="15"/>
      <c r="I49" s="15"/>
      <c r="J49" s="15">
        <v>0.0</v>
      </c>
      <c r="K49" s="16">
        <v>20.39</v>
      </c>
      <c r="L49" s="16">
        <v>22.2</v>
      </c>
      <c r="M49" s="16">
        <v>20.23</v>
      </c>
      <c r="N49" s="16">
        <v>16.05</v>
      </c>
      <c r="O49" s="15"/>
      <c r="P49" s="16">
        <v>14.55</v>
      </c>
      <c r="Q49" s="15"/>
      <c r="R49" s="15"/>
      <c r="S49" s="15"/>
      <c r="T49" s="15"/>
      <c r="U49" s="15"/>
      <c r="V49" s="15"/>
      <c r="W49" s="15"/>
    </row>
    <row r="50" ht="15.0" customHeight="1">
      <c r="A50" s="13" t="s">
        <v>212</v>
      </c>
      <c r="B50" s="15"/>
      <c r="C50" s="15"/>
      <c r="D50" s="15"/>
      <c r="E50" s="15"/>
      <c r="F50" s="15"/>
      <c r="G50" s="15"/>
      <c r="H50" s="15"/>
      <c r="I50" s="15"/>
      <c r="J50" s="16">
        <v>23.08</v>
      </c>
      <c r="K50" s="16">
        <v>21.56</v>
      </c>
      <c r="L50" s="16">
        <v>23.36</v>
      </c>
      <c r="M50" s="16">
        <v>21.39</v>
      </c>
      <c r="N50" s="16">
        <v>17.22</v>
      </c>
      <c r="O50" s="15"/>
      <c r="P50" s="16">
        <v>15.71</v>
      </c>
      <c r="Q50" s="16">
        <v>15.38</v>
      </c>
      <c r="R50" s="16">
        <v>14.09</v>
      </c>
      <c r="S50" s="16">
        <v>14.67</v>
      </c>
      <c r="T50" s="16">
        <v>15.47</v>
      </c>
      <c r="U50" s="16">
        <v>0.74</v>
      </c>
      <c r="V50" s="15"/>
      <c r="W50" s="16">
        <v>0.18</v>
      </c>
    </row>
    <row r="51" ht="15.0" customHeight="1">
      <c r="A51" s="13" t="s">
        <v>213</v>
      </c>
      <c r="B51" s="15"/>
      <c r="C51" s="15"/>
      <c r="D51" s="15"/>
      <c r="E51" s="15"/>
      <c r="F51" s="15"/>
      <c r="G51" s="15"/>
      <c r="H51" s="15"/>
      <c r="I51" s="15"/>
      <c r="J51" s="21">
        <v>-23.08</v>
      </c>
      <c r="K51" s="21">
        <v>-1.16</v>
      </c>
      <c r="L51" s="21">
        <v>-1.16</v>
      </c>
      <c r="M51" s="21">
        <v>-1.16</v>
      </c>
      <c r="N51" s="21">
        <v>-1.16</v>
      </c>
      <c r="O51" s="15"/>
      <c r="P51" s="21">
        <v>-1.16</v>
      </c>
      <c r="Q51" s="15"/>
      <c r="R51" s="15"/>
      <c r="S51" s="15"/>
      <c r="T51" s="15"/>
      <c r="U51" s="15"/>
      <c r="V51" s="15"/>
      <c r="W51" s="15"/>
    </row>
    <row r="52" ht="15.0" customHeight="1">
      <c r="A52" s="13" t="s">
        <v>214</v>
      </c>
      <c r="B52" s="15"/>
      <c r="C52" s="15"/>
      <c r="D52" s="15"/>
      <c r="E52" s="15"/>
      <c r="F52" s="15"/>
      <c r="G52" s="15"/>
      <c r="H52" s="15"/>
      <c r="I52" s="15">
        <v>0.0</v>
      </c>
      <c r="J52" s="15">
        <v>0.0</v>
      </c>
      <c r="K52" s="16">
        <v>7.74</v>
      </c>
      <c r="L52" s="16">
        <v>13.2</v>
      </c>
      <c r="M52" s="16">
        <v>13.48</v>
      </c>
      <c r="N52" s="16">
        <v>13.81</v>
      </c>
      <c r="O52" s="15"/>
      <c r="P52" s="16">
        <v>19.79</v>
      </c>
      <c r="Q52" s="15"/>
      <c r="R52" s="15"/>
      <c r="S52" s="15"/>
      <c r="T52" s="15"/>
      <c r="U52" s="15"/>
      <c r="V52" s="15"/>
      <c r="W52" s="15"/>
    </row>
    <row r="53" ht="15.0" customHeight="1">
      <c r="A53" s="13" t="s">
        <v>215</v>
      </c>
      <c r="B53" s="15"/>
      <c r="C53" s="15"/>
      <c r="D53" s="15"/>
      <c r="E53" s="15"/>
      <c r="F53" s="15"/>
      <c r="G53" s="15"/>
      <c r="H53" s="15"/>
      <c r="I53" s="15">
        <v>0.0</v>
      </c>
      <c r="J53" s="16">
        <v>19.58</v>
      </c>
      <c r="K53" s="16">
        <v>19.18</v>
      </c>
      <c r="L53" s="16">
        <v>24.22</v>
      </c>
      <c r="M53" s="16">
        <v>26.96</v>
      </c>
      <c r="N53" s="16">
        <v>22.2</v>
      </c>
      <c r="O53" s="15"/>
      <c r="P53" s="16">
        <v>33.73</v>
      </c>
      <c r="Q53" s="16">
        <v>30.3</v>
      </c>
      <c r="R53" s="16">
        <v>33.26</v>
      </c>
      <c r="S53" s="16">
        <v>34.09</v>
      </c>
      <c r="T53" s="16">
        <v>19.01</v>
      </c>
      <c r="U53" s="16">
        <v>13.82</v>
      </c>
      <c r="V53" s="15"/>
      <c r="W53" s="16">
        <v>4.58</v>
      </c>
    </row>
    <row r="54" ht="15.0" customHeight="1">
      <c r="A54" s="13" t="s">
        <v>216</v>
      </c>
      <c r="B54" s="15"/>
      <c r="C54" s="15"/>
      <c r="D54" s="15"/>
      <c r="E54" s="15"/>
      <c r="F54" s="15"/>
      <c r="G54" s="15"/>
      <c r="H54" s="15"/>
      <c r="I54" s="15">
        <v>0.0</v>
      </c>
      <c r="J54" s="21">
        <v>-19.57</v>
      </c>
      <c r="K54" s="21">
        <v>-11.44</v>
      </c>
      <c r="L54" s="21">
        <v>-11.01</v>
      </c>
      <c r="M54" s="21">
        <v>-13.48</v>
      </c>
      <c r="N54" s="21">
        <v>-8.39</v>
      </c>
      <c r="O54" s="15"/>
      <c r="P54" s="21">
        <v>-13.94</v>
      </c>
      <c r="Q54" s="15"/>
      <c r="R54" s="15"/>
      <c r="S54" s="15"/>
      <c r="T54" s="15"/>
      <c r="U54" s="15"/>
      <c r="V54" s="15"/>
      <c r="W54" s="15"/>
    </row>
    <row r="55" ht="15.0" customHeight="1">
      <c r="A55" s="13" t="s">
        <v>217</v>
      </c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>
        <v>0.0</v>
      </c>
      <c r="N55" s="15"/>
      <c r="O55" s="15"/>
      <c r="P55" s="15"/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218</v>
      </c>
      <c r="B56" s="15"/>
      <c r="C56" s="15"/>
      <c r="D56" s="15"/>
      <c r="E56" s="15"/>
      <c r="F56" s="15"/>
      <c r="G56" s="15"/>
      <c r="H56" s="15"/>
      <c r="I56" s="16">
        <v>5.74</v>
      </c>
      <c r="J56" s="15">
        <v>0.0</v>
      </c>
      <c r="K56" s="16">
        <v>27.33</v>
      </c>
      <c r="L56" s="16">
        <v>50.18</v>
      </c>
      <c r="M56" s="16">
        <v>53.62</v>
      </c>
      <c r="N56" s="16">
        <v>47.21</v>
      </c>
      <c r="O56" s="15"/>
      <c r="P56" s="16">
        <v>9.41</v>
      </c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219</v>
      </c>
      <c r="B57" s="15"/>
      <c r="C57" s="15"/>
      <c r="D57" s="15"/>
      <c r="E57" s="15"/>
      <c r="F57" s="15"/>
      <c r="G57" s="15"/>
      <c r="H57" s="15"/>
      <c r="I57" s="16">
        <v>5.74</v>
      </c>
      <c r="J57" s="14">
        <v>180.11</v>
      </c>
      <c r="K57" s="14">
        <v>178.43</v>
      </c>
      <c r="L57" s="14">
        <v>168.41</v>
      </c>
      <c r="M57" s="16">
        <v>80.72</v>
      </c>
      <c r="N57" s="16">
        <v>70.22</v>
      </c>
      <c r="O57" s="15"/>
      <c r="P57" s="16">
        <v>63.08</v>
      </c>
      <c r="Q57" s="16">
        <v>55.03</v>
      </c>
      <c r="R57" s="16">
        <v>53.4</v>
      </c>
      <c r="S57" s="16">
        <v>50.43</v>
      </c>
      <c r="T57" s="16">
        <v>29.63</v>
      </c>
      <c r="U57" s="16">
        <v>25.63</v>
      </c>
      <c r="V57" s="15"/>
      <c r="W57" s="16">
        <v>19.89</v>
      </c>
    </row>
    <row r="58" ht="15.0" customHeight="1">
      <c r="A58" s="13" t="s">
        <v>220</v>
      </c>
      <c r="B58" s="15"/>
      <c r="C58" s="15"/>
      <c r="D58" s="15"/>
      <c r="E58" s="15"/>
      <c r="F58" s="15"/>
      <c r="G58" s="15"/>
      <c r="H58" s="15"/>
      <c r="I58" s="15">
        <v>0.0</v>
      </c>
      <c r="J58" s="22">
        <v>-180.11</v>
      </c>
      <c r="K58" s="22">
        <v>-151.1</v>
      </c>
      <c r="L58" s="22">
        <v>-118.23</v>
      </c>
      <c r="M58" s="21">
        <v>-27.1</v>
      </c>
      <c r="N58" s="21">
        <v>-23.01</v>
      </c>
      <c r="O58" s="15"/>
      <c r="P58" s="21">
        <v>-53.68</v>
      </c>
      <c r="Q58" s="15"/>
      <c r="R58" s="15"/>
      <c r="S58" s="15"/>
      <c r="T58" s="15"/>
      <c r="U58" s="15"/>
      <c r="V58" s="15"/>
      <c r="W58" s="15"/>
    </row>
    <row r="59" ht="15.0" customHeight="1">
      <c r="A59" s="13" t="s">
        <v>221</v>
      </c>
      <c r="B59" s="15"/>
      <c r="C59" s="15"/>
      <c r="D59" s="15"/>
      <c r="E59" s="15"/>
      <c r="F59" s="15"/>
      <c r="G59" s="15"/>
      <c r="H59" s="15"/>
      <c r="I59" s="15"/>
      <c r="J59" s="15">
        <v>0.0</v>
      </c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222</v>
      </c>
      <c r="B60" s="15"/>
      <c r="C60" s="16">
        <v>10.11</v>
      </c>
      <c r="D60" s="15"/>
      <c r="E60" s="16">
        <v>9.81</v>
      </c>
      <c r="F60" s="16">
        <v>9.63</v>
      </c>
      <c r="G60" s="15"/>
      <c r="H60" s="15"/>
      <c r="I60" s="16">
        <v>7.87</v>
      </c>
      <c r="J60" s="16">
        <v>7.32</v>
      </c>
      <c r="K60" s="16">
        <v>38.87</v>
      </c>
      <c r="L60" s="16">
        <v>48.94</v>
      </c>
      <c r="M60" s="16">
        <v>73.57</v>
      </c>
      <c r="N60" s="16">
        <v>58.98</v>
      </c>
      <c r="O60" s="15"/>
      <c r="P60" s="16">
        <v>74.26</v>
      </c>
      <c r="Q60" s="15"/>
      <c r="R60" s="15"/>
      <c r="S60" s="15"/>
      <c r="T60" s="15"/>
      <c r="U60" s="15"/>
      <c r="V60" s="15"/>
      <c r="W60" s="15"/>
    </row>
    <row r="61" ht="15.0" customHeight="1">
      <c r="A61" s="13" t="s">
        <v>223</v>
      </c>
      <c r="B61" s="15"/>
      <c r="C61" s="16">
        <v>43.88</v>
      </c>
      <c r="D61" s="15"/>
      <c r="E61" s="16">
        <v>38.46</v>
      </c>
      <c r="F61" s="16">
        <v>36.03</v>
      </c>
      <c r="G61" s="15"/>
      <c r="H61" s="15"/>
      <c r="I61" s="16">
        <v>14.98</v>
      </c>
      <c r="J61" s="14">
        <v>147.65</v>
      </c>
      <c r="K61" s="14">
        <v>148.21</v>
      </c>
      <c r="L61" s="14">
        <v>143.11</v>
      </c>
      <c r="M61" s="14">
        <v>127.78</v>
      </c>
      <c r="N61" s="14">
        <v>109.58</v>
      </c>
      <c r="O61" s="15"/>
      <c r="P61" s="14">
        <v>194.79</v>
      </c>
      <c r="Q61" s="14">
        <v>179.65</v>
      </c>
      <c r="R61" s="14">
        <v>153.55</v>
      </c>
      <c r="S61" s="16">
        <v>29.71</v>
      </c>
      <c r="T61" s="16">
        <v>12.45</v>
      </c>
      <c r="U61" s="16">
        <v>9.91</v>
      </c>
      <c r="V61" s="15"/>
      <c r="W61" s="16">
        <v>7.09</v>
      </c>
    </row>
    <row r="62" ht="15.0" customHeight="1">
      <c r="A62" s="13" t="s">
        <v>224</v>
      </c>
      <c r="B62" s="15"/>
      <c r="C62" s="21">
        <v>-33.77</v>
      </c>
      <c r="D62" s="15"/>
      <c r="E62" s="21">
        <v>-28.65</v>
      </c>
      <c r="F62" s="21">
        <v>-26.41</v>
      </c>
      <c r="G62" s="15"/>
      <c r="H62" s="15"/>
      <c r="I62" s="21">
        <v>-7.11</v>
      </c>
      <c r="J62" s="22">
        <v>-140.33</v>
      </c>
      <c r="K62" s="22">
        <v>-109.34</v>
      </c>
      <c r="L62" s="21">
        <v>-94.17</v>
      </c>
      <c r="M62" s="21">
        <v>-54.21</v>
      </c>
      <c r="N62" s="21">
        <v>-50.6</v>
      </c>
      <c r="O62" s="15"/>
      <c r="P62" s="22">
        <v>-120.53</v>
      </c>
      <c r="Q62" s="15"/>
      <c r="R62" s="15"/>
      <c r="S62" s="15"/>
      <c r="T62" s="15"/>
      <c r="U62" s="15"/>
      <c r="V62" s="15"/>
      <c r="W62" s="15"/>
    </row>
    <row r="63" ht="15.0" customHeight="1">
      <c r="A63" s="13" t="s">
        <v>225</v>
      </c>
      <c r="B63" s="15"/>
      <c r="C63" s="15">
        <v>0.0</v>
      </c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</row>
    <row r="64" ht="15.0" customHeight="1">
      <c r="A64" s="13" t="s">
        <v>225</v>
      </c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>
        <v>0.0</v>
      </c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226</v>
      </c>
      <c r="B65" s="15"/>
      <c r="C65" s="15"/>
      <c r="D65" s="15"/>
      <c r="E65" s="15"/>
      <c r="F65" s="15"/>
      <c r="G65" s="15"/>
      <c r="H65" s="15"/>
      <c r="I65" s="15"/>
      <c r="J65" s="15"/>
      <c r="K65" s="15">
        <v>0.0</v>
      </c>
      <c r="L65" s="15"/>
      <c r="M65" s="15"/>
      <c r="N65" s="23">
        <v>0.0</v>
      </c>
      <c r="O65" s="15"/>
      <c r="P65" s="15"/>
      <c r="Q65" s="15"/>
      <c r="R65" s="15"/>
      <c r="S65" s="15"/>
      <c r="T65" s="15"/>
      <c r="U65" s="15"/>
      <c r="V65" s="15"/>
      <c r="W65" s="15"/>
    </row>
    <row r="66" ht="15.0" customHeight="1">
      <c r="A66" s="13" t="s">
        <v>227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4">
        <v>198.55</v>
      </c>
      <c r="P66" s="15"/>
      <c r="Q66" s="15"/>
      <c r="R66" s="15"/>
      <c r="S66" s="15"/>
      <c r="T66" s="15"/>
      <c r="U66" s="15"/>
      <c r="V66" s="15"/>
      <c r="W66" s="15"/>
    </row>
    <row r="67" ht="15.0" customHeight="1">
      <c r="A67" s="13" t="s">
        <v>228</v>
      </c>
      <c r="B67" s="16">
        <v>23.04</v>
      </c>
      <c r="C67" s="16">
        <v>14.52</v>
      </c>
      <c r="D67" s="16">
        <v>13.54</v>
      </c>
      <c r="E67" s="16">
        <v>4.41</v>
      </c>
      <c r="F67" s="16">
        <v>5.8</v>
      </c>
      <c r="G67" s="16">
        <v>6.08</v>
      </c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229</v>
      </c>
      <c r="B68" s="15"/>
      <c r="C68" s="15"/>
      <c r="D68" s="15"/>
      <c r="E68" s="15"/>
      <c r="F68" s="15">
        <v>0.0</v>
      </c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230</v>
      </c>
      <c r="B69" s="15"/>
      <c r="C69" s="16">
        <v>26.13</v>
      </c>
      <c r="D69" s="15"/>
      <c r="E69" s="16">
        <v>8.43</v>
      </c>
      <c r="F69" s="16">
        <v>8.43</v>
      </c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</row>
    <row r="70" ht="15.0" customHeight="1">
      <c r="A70" s="13" t="s">
        <v>231</v>
      </c>
      <c r="B70" s="15"/>
      <c r="C70" s="21">
        <v>-11.61</v>
      </c>
      <c r="D70" s="15"/>
      <c r="E70" s="21">
        <v>-4.02</v>
      </c>
      <c r="F70" s="21">
        <v>-2.63</v>
      </c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146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21">
        <v>-83.51</v>
      </c>
      <c r="P71" s="15"/>
      <c r="Q71" s="22">
        <v>-159.66</v>
      </c>
      <c r="R71" s="22">
        <v>-123.92</v>
      </c>
      <c r="S71" s="21">
        <v>-94.89</v>
      </c>
      <c r="T71" s="21">
        <v>-71.09</v>
      </c>
      <c r="U71" s="21">
        <v>-58.22</v>
      </c>
      <c r="V71" s="15"/>
      <c r="W71" s="21">
        <v>-42.84</v>
      </c>
    </row>
    <row r="72" ht="15.0" customHeight="1">
      <c r="A72" s="13" t="s">
        <v>232</v>
      </c>
      <c r="B72" s="15"/>
      <c r="C72" s="15"/>
      <c r="D72" s="15"/>
      <c r="E72" s="15">
        <v>0.0</v>
      </c>
      <c r="F72" s="16">
        <v>4.81</v>
      </c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3" t="s">
        <v>233</v>
      </c>
      <c r="B73" s="15"/>
      <c r="C73" s="15"/>
      <c r="D73" s="15"/>
      <c r="E73" s="16">
        <v>5.5</v>
      </c>
      <c r="F73" s="16">
        <v>5.5</v>
      </c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</row>
    <row r="74" ht="15.0" customHeight="1">
      <c r="A74" s="13" t="s">
        <v>234</v>
      </c>
      <c r="B74" s="15"/>
      <c r="C74" s="15"/>
      <c r="D74" s="15"/>
      <c r="E74" s="21">
        <v>-5.5</v>
      </c>
      <c r="F74" s="21">
        <v>-0.69</v>
      </c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235</v>
      </c>
      <c r="B75" s="15"/>
      <c r="C75" s="15"/>
      <c r="D75" s="15"/>
      <c r="E75" s="15"/>
      <c r="F75" s="15"/>
      <c r="G75" s="16">
        <v>26.84</v>
      </c>
      <c r="H75" s="16">
        <v>33.28</v>
      </c>
      <c r="I75" s="16">
        <v>6.08</v>
      </c>
      <c r="J75" s="16">
        <v>6.47</v>
      </c>
      <c r="K75" s="15"/>
      <c r="L75" s="15"/>
      <c r="M75" s="15"/>
      <c r="N75" s="15"/>
      <c r="O75" s="14">
        <v>619.7</v>
      </c>
      <c r="P75" s="14">
        <v>1253.57</v>
      </c>
      <c r="Q75" s="15"/>
      <c r="R75" s="15"/>
      <c r="S75" s="15"/>
      <c r="T75" s="15"/>
      <c r="U75" s="15"/>
      <c r="V75" s="15"/>
      <c r="W75" s="15"/>
    </row>
    <row r="76" ht="15.0" customHeight="1">
      <c r="A76" s="13" t="s">
        <v>236</v>
      </c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4">
        <v>591.3</v>
      </c>
      <c r="P76" s="15"/>
      <c r="Q76" s="15"/>
      <c r="R76" s="15"/>
      <c r="S76" s="15"/>
      <c r="T76" s="15"/>
      <c r="U76" s="15"/>
      <c r="V76" s="15"/>
      <c r="W76" s="15"/>
    </row>
    <row r="77" ht="15.0" customHeight="1">
      <c r="A77" s="13" t="s">
        <v>237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21">
        <v>-39.43</v>
      </c>
      <c r="P77" s="15"/>
      <c r="Q77" s="21">
        <v>-53.88</v>
      </c>
      <c r="R77" s="21">
        <v>-34.79</v>
      </c>
      <c r="S77" s="21">
        <v>-16.47</v>
      </c>
      <c r="T77" s="21">
        <v>-9.77</v>
      </c>
      <c r="U77" s="21">
        <v>-5.49</v>
      </c>
      <c r="V77" s="15"/>
      <c r="W77" s="21">
        <v>-4.39</v>
      </c>
    </row>
    <row r="78" ht="15.0" customHeight="1">
      <c r="A78" s="13" t="s">
        <v>238</v>
      </c>
      <c r="B78" s="15"/>
      <c r="C78" s="15"/>
      <c r="D78" s="15"/>
      <c r="E78" s="15"/>
      <c r="F78" s="15"/>
      <c r="G78" s="15"/>
      <c r="H78" s="15"/>
      <c r="I78" s="15">
        <v>0.0</v>
      </c>
      <c r="J78" s="15">
        <v>0.0</v>
      </c>
      <c r="K78" s="14">
        <v>575.8</v>
      </c>
      <c r="L78" s="14">
        <v>701.81</v>
      </c>
      <c r="M78" s="14">
        <v>563.21</v>
      </c>
      <c r="N78" s="14">
        <v>538.12</v>
      </c>
      <c r="O78" s="14">
        <v>471.15</v>
      </c>
      <c r="P78" s="14">
        <v>827.18</v>
      </c>
      <c r="Q78" s="14">
        <v>827.18</v>
      </c>
      <c r="R78" s="14">
        <v>828.08</v>
      </c>
      <c r="S78" s="14">
        <v>954.61</v>
      </c>
      <c r="T78" s="14">
        <v>856.69</v>
      </c>
      <c r="U78" s="15"/>
      <c r="V78" s="15"/>
      <c r="W78" s="15"/>
    </row>
    <row r="79" ht="15.0" customHeight="1">
      <c r="A79" s="13" t="s">
        <v>238</v>
      </c>
      <c r="B79" s="15"/>
      <c r="C79" s="15"/>
      <c r="D79" s="15"/>
      <c r="E79" s="15"/>
      <c r="F79" s="15"/>
      <c r="G79" s="15"/>
      <c r="H79" s="15"/>
      <c r="I79" s="15">
        <v>0.0</v>
      </c>
      <c r="J79" s="14">
        <v>698.14</v>
      </c>
      <c r="K79" s="14">
        <v>689.97</v>
      </c>
      <c r="L79" s="14">
        <v>733.71</v>
      </c>
      <c r="M79" s="14">
        <v>563.21</v>
      </c>
      <c r="N79" s="14">
        <v>538.12</v>
      </c>
      <c r="O79" s="15"/>
      <c r="P79" s="15"/>
      <c r="Q79" s="15"/>
      <c r="R79" s="15"/>
      <c r="S79" s="15"/>
      <c r="T79" s="15"/>
      <c r="U79" s="14">
        <v>329.86</v>
      </c>
      <c r="V79" s="15"/>
      <c r="W79" s="14">
        <v>285.13</v>
      </c>
    </row>
    <row r="80" ht="15.0" customHeight="1">
      <c r="A80" s="13" t="s">
        <v>239</v>
      </c>
      <c r="B80" s="15"/>
      <c r="C80" s="15"/>
      <c r="D80" s="15"/>
      <c r="E80" s="15"/>
      <c r="F80" s="15"/>
      <c r="G80" s="15"/>
      <c r="H80" s="15"/>
      <c r="I80" s="15">
        <v>0.0</v>
      </c>
      <c r="J80" s="22">
        <v>-698.14</v>
      </c>
      <c r="K80" s="22">
        <v>-114.17</v>
      </c>
      <c r="L80" s="21">
        <v>-31.9</v>
      </c>
      <c r="M80" s="15">
        <v>0.0</v>
      </c>
      <c r="N80" s="15">
        <v>0.0</v>
      </c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240</v>
      </c>
      <c r="B81" s="15"/>
      <c r="C81" s="15"/>
      <c r="D81" s="15"/>
      <c r="E81" s="15"/>
      <c r="F81" s="15"/>
      <c r="G81" s="15"/>
      <c r="H81" s="15"/>
      <c r="I81" s="15"/>
      <c r="J81" s="15"/>
      <c r="K81" s="15">
        <v>0.0</v>
      </c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</row>
    <row r="82" ht="15.0" customHeight="1">
      <c r="A82" s="13" t="s">
        <v>241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6">
        <v>49.71</v>
      </c>
      <c r="P82" s="15"/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242</v>
      </c>
      <c r="B83" s="16">
        <v>85.27</v>
      </c>
      <c r="C83" s="16">
        <v>96.24</v>
      </c>
      <c r="D83" s="16">
        <v>50.23</v>
      </c>
      <c r="E83" s="16">
        <v>58.04</v>
      </c>
      <c r="F83" s="16">
        <v>40.08</v>
      </c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243</v>
      </c>
      <c r="B84" s="15"/>
      <c r="C84" s="16">
        <v>63.88</v>
      </c>
      <c r="D84" s="15"/>
      <c r="E84" s="16">
        <v>45.75</v>
      </c>
      <c r="F84" s="16">
        <v>26.74</v>
      </c>
      <c r="G84" s="15"/>
      <c r="H84" s="15"/>
      <c r="I84" s="15">
        <v>0.0</v>
      </c>
      <c r="J84" s="15">
        <v>0.0</v>
      </c>
      <c r="K84" s="16">
        <v>12.42</v>
      </c>
      <c r="L84" s="16">
        <v>16.51</v>
      </c>
      <c r="M84" s="16">
        <v>34.85</v>
      </c>
      <c r="N84" s="16">
        <v>46.75</v>
      </c>
      <c r="O84" s="15"/>
      <c r="P84" s="14">
        <v>274.84</v>
      </c>
      <c r="Q84" s="15"/>
      <c r="R84" s="15"/>
      <c r="S84" s="14">
        <v>236.84</v>
      </c>
      <c r="T84" s="15"/>
      <c r="U84" s="15"/>
      <c r="V84" s="15"/>
      <c r="W84" s="15"/>
    </row>
    <row r="85" ht="15.0" customHeight="1">
      <c r="A85" s="13" t="s">
        <v>244</v>
      </c>
      <c r="B85" s="15"/>
      <c r="C85" s="16">
        <v>70.16</v>
      </c>
      <c r="D85" s="15"/>
      <c r="E85" s="16">
        <v>46.09</v>
      </c>
      <c r="F85" s="16">
        <v>26.74</v>
      </c>
      <c r="G85" s="15"/>
      <c r="H85" s="15"/>
      <c r="I85" s="15">
        <v>0.0</v>
      </c>
      <c r="J85" s="16">
        <v>62.47</v>
      </c>
      <c r="K85" s="16">
        <v>62.45</v>
      </c>
      <c r="L85" s="16">
        <v>59.89</v>
      </c>
      <c r="M85" s="16">
        <v>54.21</v>
      </c>
      <c r="N85" s="16">
        <v>58.64</v>
      </c>
      <c r="O85" s="15"/>
      <c r="P85" s="14">
        <v>338.21</v>
      </c>
      <c r="Q85" s="16">
        <v>27.69</v>
      </c>
      <c r="R85" s="14">
        <v>301.54</v>
      </c>
      <c r="S85" s="15"/>
      <c r="T85" s="14">
        <v>179.62</v>
      </c>
      <c r="U85" s="16">
        <v>26.69</v>
      </c>
      <c r="V85" s="15"/>
      <c r="W85" s="16">
        <v>13.79</v>
      </c>
    </row>
    <row r="86" ht="15.0" customHeight="1">
      <c r="A86" s="13" t="s">
        <v>245</v>
      </c>
      <c r="B86" s="15"/>
      <c r="C86" s="21">
        <v>-6.29</v>
      </c>
      <c r="D86" s="15"/>
      <c r="E86" s="21">
        <v>-0.33</v>
      </c>
      <c r="F86" s="15">
        <v>0.0</v>
      </c>
      <c r="G86" s="15"/>
      <c r="H86" s="15"/>
      <c r="I86" s="15">
        <v>0.0</v>
      </c>
      <c r="J86" s="21">
        <v>-62.47</v>
      </c>
      <c r="K86" s="21">
        <v>-50.03</v>
      </c>
      <c r="L86" s="21">
        <v>-43.37</v>
      </c>
      <c r="M86" s="21">
        <v>-19.35</v>
      </c>
      <c r="N86" s="21">
        <v>-11.9</v>
      </c>
      <c r="O86" s="15"/>
      <c r="P86" s="21">
        <v>-63.37</v>
      </c>
      <c r="Q86" s="15"/>
      <c r="R86" s="15"/>
      <c r="S86" s="15"/>
      <c r="T86" s="15"/>
      <c r="U86" s="15"/>
      <c r="V86" s="15"/>
      <c r="W86" s="15"/>
    </row>
    <row r="87" ht="15.0" customHeight="1">
      <c r="A87" s="13" t="s">
        <v>246</v>
      </c>
      <c r="B87" s="15"/>
      <c r="C87" s="15"/>
      <c r="D87" s="15"/>
      <c r="E87" s="23">
        <v>0.0</v>
      </c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</row>
    <row r="88" ht="15.0" customHeight="1">
      <c r="A88" s="13" t="s">
        <v>247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23">
        <v>0.0</v>
      </c>
      <c r="N88" s="15"/>
      <c r="O88" s="15"/>
      <c r="P88" s="15"/>
      <c r="Q88" s="15"/>
      <c r="R88" s="15"/>
      <c r="S88" s="15"/>
      <c r="T88" s="15"/>
      <c r="U88" s="15"/>
      <c r="V88" s="15"/>
      <c r="W88" s="15"/>
    </row>
    <row r="89" ht="15.0" customHeight="1">
      <c r="A89" s="13" t="s">
        <v>248</v>
      </c>
      <c r="B89" s="15"/>
      <c r="C89" s="16">
        <v>26.78</v>
      </c>
      <c r="D89" s="15"/>
      <c r="E89" s="16">
        <v>4.95</v>
      </c>
      <c r="F89" s="16">
        <v>4.68</v>
      </c>
      <c r="G89" s="15"/>
      <c r="H89" s="15"/>
      <c r="I89" s="16">
        <v>5.71</v>
      </c>
      <c r="J89" s="16">
        <v>6.05</v>
      </c>
      <c r="K89" s="16">
        <v>89.36</v>
      </c>
      <c r="L89" s="14">
        <v>122.19</v>
      </c>
      <c r="M89" s="16">
        <v>30.6</v>
      </c>
      <c r="N89" s="16">
        <v>26.37</v>
      </c>
      <c r="O89" s="16">
        <v>25.18</v>
      </c>
      <c r="P89" s="16">
        <v>3.32</v>
      </c>
      <c r="Q89" s="16">
        <v>5.74</v>
      </c>
      <c r="R89" s="16">
        <v>5.22</v>
      </c>
      <c r="S89" s="16">
        <v>4.1</v>
      </c>
      <c r="T89" s="15"/>
      <c r="U89" s="15"/>
      <c r="V89" s="15"/>
      <c r="W89" s="15"/>
    </row>
    <row r="90" ht="15.0" customHeight="1">
      <c r="A90" s="13" t="s">
        <v>249</v>
      </c>
      <c r="B90" s="15"/>
      <c r="C90" s="16">
        <v>27.7</v>
      </c>
      <c r="D90" s="15"/>
      <c r="E90" s="16">
        <v>10.24</v>
      </c>
      <c r="F90" s="16">
        <v>9.62</v>
      </c>
      <c r="G90" s="15"/>
      <c r="H90" s="15"/>
      <c r="I90" s="16">
        <v>9.62</v>
      </c>
      <c r="J90" s="14">
        <v>108.54</v>
      </c>
      <c r="K90" s="14">
        <v>109.73</v>
      </c>
      <c r="L90" s="14">
        <v>131.57</v>
      </c>
      <c r="M90" s="16">
        <v>36.42</v>
      </c>
      <c r="N90" s="16">
        <v>29.32</v>
      </c>
      <c r="O90" s="16">
        <v>26.47</v>
      </c>
      <c r="P90" s="16">
        <v>5.74</v>
      </c>
      <c r="Q90" s="15"/>
      <c r="R90" s="15"/>
      <c r="S90" s="15"/>
      <c r="T90" s="16">
        <v>5.22</v>
      </c>
      <c r="U90" s="15"/>
      <c r="V90" s="15"/>
      <c r="W90" s="15"/>
    </row>
    <row r="91" ht="15.0" customHeight="1">
      <c r="A91" s="13" t="s">
        <v>250</v>
      </c>
      <c r="B91" s="15"/>
      <c r="C91" s="21">
        <v>-0.92</v>
      </c>
      <c r="D91" s="15"/>
      <c r="E91" s="21">
        <v>-5.29</v>
      </c>
      <c r="F91" s="21">
        <v>-4.93</v>
      </c>
      <c r="G91" s="15"/>
      <c r="H91" s="15"/>
      <c r="I91" s="21">
        <v>-3.91</v>
      </c>
      <c r="J91" s="22">
        <v>-102.5</v>
      </c>
      <c r="K91" s="21">
        <v>-20.37</v>
      </c>
      <c r="L91" s="21">
        <v>-9.38</v>
      </c>
      <c r="M91" s="21">
        <v>-5.82</v>
      </c>
      <c r="N91" s="21">
        <v>-2.95</v>
      </c>
      <c r="O91" s="21">
        <v>-0.91</v>
      </c>
      <c r="P91" s="21">
        <v>-2.43</v>
      </c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251</v>
      </c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21">
        <v>-0.38</v>
      </c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3" t="s">
        <v>252</v>
      </c>
      <c r="B93" s="15"/>
      <c r="C93" s="16">
        <v>4.18</v>
      </c>
      <c r="D93" s="15"/>
      <c r="E93" s="16">
        <v>0.07</v>
      </c>
      <c r="F93" s="16">
        <v>0.12</v>
      </c>
      <c r="G93" s="15"/>
      <c r="H93" s="15"/>
      <c r="I93" s="16">
        <v>0.37</v>
      </c>
      <c r="J93" s="16">
        <v>0.43</v>
      </c>
      <c r="K93" s="16">
        <v>2.51</v>
      </c>
      <c r="L93" s="16">
        <v>3.12</v>
      </c>
      <c r="M93" s="16">
        <v>3.72</v>
      </c>
      <c r="N93" s="16">
        <v>4.58</v>
      </c>
      <c r="O93" s="16">
        <v>5.83</v>
      </c>
      <c r="P93" s="16">
        <v>10.7</v>
      </c>
      <c r="Q93" s="15"/>
      <c r="R93" s="15"/>
      <c r="S93" s="16">
        <v>9.65</v>
      </c>
      <c r="T93" s="15"/>
      <c r="U93" s="15"/>
      <c r="V93" s="15"/>
      <c r="W93" s="15"/>
    </row>
    <row r="94" ht="15.0" customHeight="1">
      <c r="A94" s="13" t="s">
        <v>253</v>
      </c>
      <c r="B94" s="15"/>
      <c r="C94" s="16">
        <v>11.05</v>
      </c>
      <c r="D94" s="15"/>
      <c r="E94" s="16">
        <v>0.53</v>
      </c>
      <c r="F94" s="16">
        <v>0.53</v>
      </c>
      <c r="G94" s="15"/>
      <c r="H94" s="15"/>
      <c r="I94" s="16">
        <v>0.53</v>
      </c>
      <c r="J94" s="16">
        <v>8.24</v>
      </c>
      <c r="K94" s="16">
        <v>7.75</v>
      </c>
      <c r="L94" s="16">
        <v>7.4</v>
      </c>
      <c r="M94" s="16">
        <v>6.93</v>
      </c>
      <c r="N94" s="16">
        <v>6.4</v>
      </c>
      <c r="O94" s="16">
        <v>10.16</v>
      </c>
      <c r="P94" s="16">
        <v>28.8</v>
      </c>
      <c r="Q94" s="15"/>
      <c r="R94" s="15"/>
      <c r="S94" s="15"/>
      <c r="T94" s="15"/>
      <c r="U94" s="15"/>
      <c r="V94" s="15"/>
      <c r="W94" s="15"/>
    </row>
    <row r="95" ht="15.0" customHeight="1">
      <c r="A95" s="13" t="s">
        <v>254</v>
      </c>
      <c r="B95" s="15"/>
      <c r="C95" s="21">
        <v>-6.87</v>
      </c>
      <c r="D95" s="15"/>
      <c r="E95" s="21">
        <v>-0.46</v>
      </c>
      <c r="F95" s="21">
        <v>-0.41</v>
      </c>
      <c r="G95" s="15"/>
      <c r="H95" s="15"/>
      <c r="I95" s="21">
        <v>-0.16</v>
      </c>
      <c r="J95" s="21">
        <v>-7.81</v>
      </c>
      <c r="K95" s="21">
        <v>-5.24</v>
      </c>
      <c r="L95" s="21">
        <v>-4.28</v>
      </c>
      <c r="M95" s="21">
        <v>-3.21</v>
      </c>
      <c r="N95" s="21">
        <v>-1.82</v>
      </c>
      <c r="O95" s="21">
        <v>-5.17</v>
      </c>
      <c r="P95" s="21">
        <v>-18.1</v>
      </c>
      <c r="Q95" s="15"/>
      <c r="R95" s="15"/>
      <c r="S95" s="15"/>
      <c r="T95" s="15"/>
      <c r="U95" s="15"/>
      <c r="V95" s="15"/>
      <c r="W95" s="15"/>
    </row>
    <row r="96" ht="15.0" customHeight="1">
      <c r="A96" s="13" t="s">
        <v>255</v>
      </c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23">
        <v>0.0</v>
      </c>
      <c r="N96" s="15"/>
      <c r="O96" s="15"/>
      <c r="P96" s="15"/>
      <c r="Q96" s="15"/>
      <c r="R96" s="15"/>
      <c r="S96" s="15"/>
      <c r="T96" s="15"/>
      <c r="U96" s="15"/>
      <c r="V96" s="15"/>
      <c r="W96" s="15"/>
    </row>
    <row r="97" ht="15.0" customHeight="1">
      <c r="A97" s="13" t="s">
        <v>256</v>
      </c>
      <c r="B97" s="15"/>
      <c r="C97" s="15"/>
      <c r="D97" s="15"/>
      <c r="E97" s="15"/>
      <c r="F97" s="15">
        <v>0.0</v>
      </c>
      <c r="G97" s="15"/>
      <c r="H97" s="15"/>
      <c r="I97" s="15"/>
      <c r="J97" s="15"/>
      <c r="K97" s="15"/>
      <c r="L97" s="15"/>
      <c r="M97" s="15"/>
      <c r="N97" s="15"/>
      <c r="O97" s="16">
        <v>0.84</v>
      </c>
      <c r="P97" s="15"/>
      <c r="Q97" s="15"/>
      <c r="R97" s="15"/>
      <c r="S97" s="15"/>
      <c r="T97" s="15"/>
      <c r="U97" s="15"/>
      <c r="V97" s="15"/>
      <c r="W97" s="15"/>
    </row>
    <row r="98" ht="15.0" customHeight="1">
      <c r="A98" s="13" t="s">
        <v>257</v>
      </c>
      <c r="B98" s="15"/>
      <c r="C98" s="16">
        <v>3.3</v>
      </c>
      <c r="D98" s="15"/>
      <c r="E98" s="16">
        <v>7.24</v>
      </c>
      <c r="F98" s="16">
        <v>10.54</v>
      </c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</row>
    <row r="99" ht="15.0" customHeight="1">
      <c r="A99" s="13" t="s">
        <v>258</v>
      </c>
      <c r="B99" s="15"/>
      <c r="C99" s="21">
        <v>-1.9</v>
      </c>
      <c r="D99" s="15"/>
      <c r="E99" s="21">
        <v>-2.04</v>
      </c>
      <c r="F99" s="21">
        <v>-2.0</v>
      </c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3" t="s">
        <v>259</v>
      </c>
      <c r="B100" s="15"/>
      <c r="C100" s="15"/>
      <c r="D100" s="15"/>
      <c r="E100" s="15">
        <v>0.0</v>
      </c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</row>
    <row r="101" ht="15.0" customHeight="1">
      <c r="A101" s="13" t="s">
        <v>260</v>
      </c>
      <c r="B101" s="15"/>
      <c r="C101" s="23">
        <v>0.0</v>
      </c>
      <c r="D101" s="15"/>
      <c r="E101" s="16">
        <v>2.06</v>
      </c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</row>
    <row r="102" ht="15.0" customHeight="1">
      <c r="A102" s="13" t="s">
        <v>238</v>
      </c>
      <c r="B102" s="14">
        <v>106.13</v>
      </c>
      <c r="C102" s="14">
        <v>106.13</v>
      </c>
      <c r="D102" s="16">
        <v>17.05</v>
      </c>
      <c r="E102" s="16">
        <v>16.64</v>
      </c>
      <c r="F102" s="16">
        <v>16.64</v>
      </c>
      <c r="G102" s="16">
        <v>16.64</v>
      </c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</row>
    <row r="103" ht="15.0" customHeight="1">
      <c r="A103" s="13" t="s">
        <v>261</v>
      </c>
      <c r="B103" s="15"/>
      <c r="C103" s="14">
        <v>106.13</v>
      </c>
      <c r="D103" s="15"/>
      <c r="E103" s="16">
        <v>16.64</v>
      </c>
      <c r="F103" s="16">
        <v>16.64</v>
      </c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</row>
    <row r="104" ht="15.0" customHeight="1">
      <c r="A104" s="13" t="s">
        <v>262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4">
        <v>309.39</v>
      </c>
      <c r="R104" s="16">
        <v>22.14</v>
      </c>
      <c r="S104" s="15"/>
      <c r="T104" s="15"/>
      <c r="U104" s="15"/>
      <c r="V104" s="15"/>
      <c r="W104" s="15"/>
    </row>
    <row r="105" ht="15.0" customHeight="1">
      <c r="A105" s="13" t="s">
        <v>263</v>
      </c>
      <c r="B105" s="16">
        <v>0.13</v>
      </c>
      <c r="C105" s="16">
        <v>0.22</v>
      </c>
      <c r="D105" s="15"/>
      <c r="E105" s="16">
        <v>7.03</v>
      </c>
      <c r="F105" s="16">
        <v>15.98</v>
      </c>
      <c r="G105" s="16">
        <v>34.2</v>
      </c>
      <c r="H105" s="16">
        <v>35.37</v>
      </c>
      <c r="I105" s="16">
        <v>18.94</v>
      </c>
      <c r="J105" s="16">
        <v>18.85</v>
      </c>
      <c r="K105" s="16">
        <v>29.68</v>
      </c>
      <c r="L105" s="16">
        <v>43.22</v>
      </c>
      <c r="M105" s="16">
        <v>31.15</v>
      </c>
      <c r="N105" s="16">
        <v>57.75</v>
      </c>
      <c r="O105" s="16">
        <v>67.83</v>
      </c>
      <c r="P105" s="14">
        <v>137.52</v>
      </c>
      <c r="Q105" s="14">
        <v>162.46</v>
      </c>
      <c r="R105" s="14">
        <v>187.63</v>
      </c>
      <c r="S105" s="16">
        <v>74.79</v>
      </c>
      <c r="T105" s="16">
        <v>43.65</v>
      </c>
      <c r="U105" s="16">
        <v>35.54</v>
      </c>
      <c r="V105" s="15"/>
      <c r="W105" s="16">
        <v>20.3</v>
      </c>
    </row>
    <row r="106" ht="15.0" customHeight="1">
      <c r="A106" s="13" t="s">
        <v>264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6">
        <v>90.68</v>
      </c>
      <c r="T106" s="16">
        <v>72.85</v>
      </c>
      <c r="U106" s="16">
        <v>42.16</v>
      </c>
      <c r="V106" s="15"/>
      <c r="W106" s="16">
        <v>25.89</v>
      </c>
    </row>
    <row r="107" ht="15.0" customHeight="1">
      <c r="A107" s="13" t="s">
        <v>265</v>
      </c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21">
        <v>-22.08</v>
      </c>
      <c r="V107" s="15"/>
      <c r="W107" s="21">
        <v>-22.08</v>
      </c>
    </row>
    <row r="108" ht="15.0" customHeight="1">
      <c r="A108" s="13" t="s">
        <v>266</v>
      </c>
      <c r="B108" s="23">
        <v>0.0</v>
      </c>
      <c r="C108" s="15"/>
      <c r="D108" s="15">
        <v>0.0</v>
      </c>
      <c r="E108" s="15">
        <v>0.0</v>
      </c>
      <c r="F108" s="15"/>
      <c r="G108" s="15"/>
      <c r="H108" s="23">
        <v>0.0</v>
      </c>
      <c r="I108" s="15"/>
      <c r="J108" s="15">
        <v>0.0</v>
      </c>
      <c r="K108" s="15"/>
      <c r="L108" s="15"/>
      <c r="M108" s="15"/>
      <c r="N108" s="23">
        <v>0.0</v>
      </c>
      <c r="O108" s="15">
        <v>0.0</v>
      </c>
      <c r="P108" s="15">
        <v>0.0</v>
      </c>
      <c r="Q108" s="23">
        <v>0.0</v>
      </c>
      <c r="R108" s="15">
        <v>0.0</v>
      </c>
      <c r="S108" s="15"/>
      <c r="T108" s="15"/>
      <c r="U108" s="15"/>
      <c r="V108" s="15"/>
      <c r="W108" s="15"/>
    </row>
    <row r="109" ht="15.0" customHeight="1">
      <c r="A109" s="17" t="s">
        <v>267</v>
      </c>
      <c r="B109" s="18">
        <v>288.37</v>
      </c>
      <c r="C109" s="18">
        <v>311.27</v>
      </c>
      <c r="D109" s="18">
        <v>138.88</v>
      </c>
      <c r="E109" s="20">
        <v>95.93</v>
      </c>
      <c r="F109" s="20">
        <v>92.95</v>
      </c>
      <c r="G109" s="20">
        <v>89.99</v>
      </c>
      <c r="H109" s="20">
        <v>75.75</v>
      </c>
      <c r="I109" s="20">
        <v>38.63</v>
      </c>
      <c r="J109" s="20">
        <v>32.64</v>
      </c>
      <c r="K109" s="18">
        <v>833.26</v>
      </c>
      <c r="L109" s="18">
        <v>1106.35</v>
      </c>
      <c r="M109" s="18">
        <v>927.01</v>
      </c>
      <c r="N109" s="18">
        <v>942.3</v>
      </c>
      <c r="O109" s="18">
        <v>898.62</v>
      </c>
      <c r="P109" s="18">
        <v>1544.22</v>
      </c>
      <c r="Q109" s="18">
        <f>1561.93+Q110</f>
        <v>1528.04</v>
      </c>
      <c r="R109" s="18">
        <f>1555.91+R110</f>
        <v>1550.75</v>
      </c>
      <c r="S109" s="18">
        <f>1573.98+S110</f>
        <v>1508.8</v>
      </c>
      <c r="T109" s="18">
        <v>1283.99</v>
      </c>
      <c r="U109" s="18">
        <v>514.79</v>
      </c>
      <c r="V109" s="18">
        <v>429.63</v>
      </c>
      <c r="W109" s="18">
        <f>375.52+W110</f>
        <v>335.38</v>
      </c>
    </row>
    <row r="110" ht="15.0" customHeight="1">
      <c r="A110" s="13" t="s">
        <v>268</v>
      </c>
      <c r="B110" s="15"/>
      <c r="C110" s="15">
        <v>0.0</v>
      </c>
      <c r="D110" s="23">
        <v>0.0</v>
      </c>
      <c r="E110" s="15"/>
      <c r="F110" s="15">
        <v>0.0</v>
      </c>
      <c r="G110" s="15"/>
      <c r="H110" s="15">
        <v>0.0</v>
      </c>
      <c r="I110" s="15"/>
      <c r="J110" s="23">
        <v>0.0</v>
      </c>
      <c r="K110" s="23">
        <v>0.0</v>
      </c>
      <c r="L110" s="15"/>
      <c r="M110" s="15">
        <v>0.0</v>
      </c>
      <c r="N110" s="15">
        <v>0.0</v>
      </c>
      <c r="O110" s="15">
        <v>0.0</v>
      </c>
      <c r="P110" s="23">
        <v>0.0</v>
      </c>
      <c r="Q110" s="21">
        <v>-33.89</v>
      </c>
      <c r="R110" s="21">
        <v>-5.16</v>
      </c>
      <c r="S110" s="21">
        <v>-65.18</v>
      </c>
      <c r="T110" s="21">
        <v>-68.41</v>
      </c>
      <c r="U110" s="21">
        <v>-53.8</v>
      </c>
      <c r="V110" s="15"/>
      <c r="W110" s="21">
        <v>-40.14</v>
      </c>
    </row>
    <row r="111" ht="15.0" customHeight="1">
      <c r="A111" s="17" t="s">
        <v>269</v>
      </c>
      <c r="B111" s="18">
        <v>743.26</v>
      </c>
      <c r="C111" s="18">
        <v>818.56</v>
      </c>
      <c r="D111" s="18">
        <v>600.71</v>
      </c>
      <c r="E111" s="18">
        <v>507.14</v>
      </c>
      <c r="F111" s="18">
        <v>451.24</v>
      </c>
      <c r="G111" s="18">
        <v>558.08</v>
      </c>
      <c r="H111" s="18">
        <v>416.04</v>
      </c>
      <c r="I111" s="18">
        <v>2416.04</v>
      </c>
      <c r="J111" s="18">
        <v>2328.48</v>
      </c>
      <c r="K111" s="18">
        <v>2175.23</v>
      </c>
      <c r="L111" s="18">
        <v>3025.5</v>
      </c>
      <c r="M111" s="18">
        <v>2411.48</v>
      </c>
      <c r="N111" s="18">
        <v>2224.63</v>
      </c>
      <c r="O111" s="18">
        <v>2350.35</v>
      </c>
      <c r="P111" s="18">
        <v>3528.84</v>
      </c>
      <c r="Q111" s="18">
        <v>3452.0</v>
      </c>
      <c r="R111" s="18">
        <v>3689.47</v>
      </c>
      <c r="S111" s="18">
        <v>4380.72</v>
      </c>
      <c r="T111" s="18">
        <v>3101.96</v>
      </c>
      <c r="U111" s="18">
        <v>1633.13</v>
      </c>
      <c r="V111" s="18">
        <v>1182.79</v>
      </c>
      <c r="W111" s="18">
        <v>800.4</v>
      </c>
    </row>
    <row r="112" ht="15.0" customHeight="1">
      <c r="A112" s="13" t="s">
        <v>270</v>
      </c>
      <c r="B112" s="15"/>
      <c r="C112" s="15"/>
      <c r="D112" s="15"/>
      <c r="E112" s="15"/>
      <c r="F112" s="15"/>
      <c r="G112" s="15"/>
      <c r="H112" s="15">
        <v>0.0</v>
      </c>
      <c r="I112" s="16">
        <v>90.95</v>
      </c>
      <c r="J112" s="16">
        <v>93.35</v>
      </c>
      <c r="K112" s="16">
        <v>95.35</v>
      </c>
      <c r="L112" s="16">
        <v>96.43</v>
      </c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</row>
    <row r="113" ht="15.0" customHeight="1">
      <c r="A113" s="13" t="s">
        <v>271</v>
      </c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>
        <v>0.0</v>
      </c>
      <c r="P113" s="14">
        <v>400.0</v>
      </c>
      <c r="Q113" s="15">
        <v>0.0</v>
      </c>
      <c r="R113" s="15"/>
      <c r="S113" s="15"/>
      <c r="T113" s="15"/>
      <c r="U113" s="15"/>
      <c r="V113" s="15"/>
      <c r="W113" s="15"/>
    </row>
    <row r="114" ht="15.0" customHeight="1">
      <c r="A114" s="13" t="s">
        <v>272</v>
      </c>
      <c r="B114" s="15"/>
      <c r="C114" s="15"/>
      <c r="D114" s="15"/>
      <c r="E114" s="15"/>
      <c r="F114" s="15"/>
      <c r="G114" s="15"/>
      <c r="H114" s="15">
        <v>0.0</v>
      </c>
      <c r="I114" s="14">
        <v>196.5</v>
      </c>
      <c r="J114" s="14">
        <v>246.5</v>
      </c>
      <c r="K114" s="14">
        <v>102.96</v>
      </c>
      <c r="L114" s="14">
        <v>426.39</v>
      </c>
      <c r="M114" s="14">
        <v>297.76</v>
      </c>
      <c r="N114" s="16">
        <v>49.26</v>
      </c>
      <c r="O114" s="16">
        <v>29.59</v>
      </c>
      <c r="P114" s="14">
        <v>355.39</v>
      </c>
      <c r="Q114" s="14">
        <v>550.76</v>
      </c>
      <c r="R114" s="14">
        <v>600.01</v>
      </c>
      <c r="S114" s="14">
        <v>244.63</v>
      </c>
      <c r="T114" s="16">
        <v>46.63</v>
      </c>
      <c r="U114" s="16">
        <v>36.65</v>
      </c>
      <c r="V114" s="15"/>
      <c r="W114" s="16">
        <v>55.21</v>
      </c>
    </row>
    <row r="115" ht="15.0" customHeight="1">
      <c r="A115" s="13" t="s">
        <v>273</v>
      </c>
      <c r="B115" s="16">
        <v>82.76</v>
      </c>
      <c r="C115" s="16">
        <v>45.08</v>
      </c>
      <c r="D115" s="16">
        <v>57.24</v>
      </c>
      <c r="E115" s="16">
        <v>45.89</v>
      </c>
      <c r="F115" s="16">
        <v>20.68</v>
      </c>
      <c r="G115" s="16">
        <v>24.62</v>
      </c>
      <c r="H115" s="16">
        <v>14.01</v>
      </c>
      <c r="I115" s="16">
        <v>9.72</v>
      </c>
      <c r="J115" s="16">
        <v>16.28</v>
      </c>
      <c r="K115" s="14">
        <v>257.32</v>
      </c>
      <c r="L115" s="14">
        <v>285.86</v>
      </c>
      <c r="M115" s="14">
        <v>258.47</v>
      </c>
      <c r="N115" s="14">
        <v>298.7</v>
      </c>
      <c r="O115" s="14">
        <v>245.36</v>
      </c>
      <c r="P115" s="14">
        <v>339.62</v>
      </c>
      <c r="Q115" s="14">
        <v>332.51</v>
      </c>
      <c r="R115" s="14">
        <v>339.47</v>
      </c>
      <c r="S115" s="14">
        <v>607.38</v>
      </c>
      <c r="T115" s="14">
        <v>290.99</v>
      </c>
      <c r="U115" s="14">
        <v>160.49</v>
      </c>
      <c r="V115" s="15"/>
      <c r="W115" s="14">
        <v>101.82</v>
      </c>
    </row>
    <row r="116" ht="15.0" customHeight="1">
      <c r="A116" s="13" t="s">
        <v>274</v>
      </c>
      <c r="B116" s="15"/>
      <c r="C116" s="15"/>
      <c r="D116" s="15"/>
      <c r="E116" s="15"/>
      <c r="F116" s="15"/>
      <c r="G116" s="15"/>
      <c r="H116" s="16">
        <v>0.57</v>
      </c>
      <c r="I116" s="15">
        <v>0.0</v>
      </c>
      <c r="J116" s="15">
        <v>0.0</v>
      </c>
      <c r="K116" s="21">
        <v>-4.66</v>
      </c>
      <c r="L116" s="16">
        <v>11.39</v>
      </c>
      <c r="M116" s="16">
        <v>0.94</v>
      </c>
      <c r="N116" s="16">
        <v>6.27</v>
      </c>
      <c r="O116" s="16">
        <v>2.14</v>
      </c>
      <c r="P116" s="16">
        <v>11.14</v>
      </c>
      <c r="Q116" s="16">
        <v>5.68</v>
      </c>
      <c r="R116" s="16">
        <v>19.31</v>
      </c>
      <c r="S116" s="16">
        <v>4.21</v>
      </c>
      <c r="T116" s="16">
        <v>14.66</v>
      </c>
      <c r="U116" s="16">
        <v>8.22</v>
      </c>
      <c r="V116" s="15"/>
      <c r="W116" s="16">
        <v>1.59</v>
      </c>
    </row>
    <row r="117" ht="15.0" customHeight="1">
      <c r="A117" s="13" t="s">
        <v>275</v>
      </c>
      <c r="B117" s="16">
        <v>13.02</v>
      </c>
      <c r="C117" s="16">
        <v>11.68</v>
      </c>
      <c r="D117" s="16">
        <v>7.97</v>
      </c>
      <c r="E117" s="16">
        <v>7.47</v>
      </c>
      <c r="F117" s="16">
        <v>6.52</v>
      </c>
      <c r="G117" s="16">
        <v>5.09</v>
      </c>
      <c r="H117" s="16">
        <v>3.74</v>
      </c>
      <c r="I117" s="16">
        <v>3.15</v>
      </c>
      <c r="J117" s="16">
        <v>3.31</v>
      </c>
      <c r="K117" s="16">
        <v>22.22</v>
      </c>
      <c r="L117" s="16">
        <v>27.1</v>
      </c>
      <c r="M117" s="16">
        <v>30.97</v>
      </c>
      <c r="N117" s="16">
        <v>31.19</v>
      </c>
      <c r="O117" s="16">
        <v>24.9</v>
      </c>
      <c r="P117" s="16">
        <v>46.06</v>
      </c>
      <c r="Q117" s="16">
        <v>33.67</v>
      </c>
      <c r="R117" s="16">
        <v>37.71</v>
      </c>
      <c r="S117" s="16">
        <v>44.78</v>
      </c>
      <c r="T117" s="16">
        <v>34.17</v>
      </c>
      <c r="U117" s="16">
        <v>13.26</v>
      </c>
      <c r="V117" s="15"/>
      <c r="W117" s="16">
        <v>11.8</v>
      </c>
    </row>
    <row r="118" ht="15.0" customHeight="1">
      <c r="A118" s="13" t="s">
        <v>276</v>
      </c>
      <c r="B118" s="16">
        <v>98.45</v>
      </c>
      <c r="C118" s="16">
        <v>74.63</v>
      </c>
      <c r="D118" s="16">
        <v>39.0</v>
      </c>
      <c r="E118" s="16">
        <v>42.42</v>
      </c>
      <c r="F118" s="16">
        <v>29.46</v>
      </c>
      <c r="G118" s="14">
        <v>187.47</v>
      </c>
      <c r="H118" s="14">
        <v>109.29</v>
      </c>
      <c r="I118" s="14">
        <v>130.54</v>
      </c>
      <c r="J118" s="16">
        <v>58.47</v>
      </c>
      <c r="K118" s="14">
        <v>249.2</v>
      </c>
      <c r="L118" s="14">
        <v>633.98</v>
      </c>
      <c r="M118" s="14">
        <v>233.52</v>
      </c>
      <c r="N118" s="14">
        <v>281.49</v>
      </c>
      <c r="O118" s="14">
        <v>501.18</v>
      </c>
      <c r="P118" s="14">
        <v>616.52</v>
      </c>
      <c r="Q118" s="14">
        <v>447.21</v>
      </c>
      <c r="R118" s="14">
        <v>639.94</v>
      </c>
      <c r="S118" s="14">
        <v>931.91</v>
      </c>
      <c r="T118" s="14">
        <v>570.45</v>
      </c>
      <c r="U118" s="14">
        <v>220.31</v>
      </c>
      <c r="V118" s="15"/>
      <c r="W118" s="16">
        <v>64.35</v>
      </c>
    </row>
    <row r="119" ht="15.0" customHeight="1">
      <c r="A119" s="13" t="s">
        <v>277</v>
      </c>
      <c r="B119" s="15"/>
      <c r="C119" s="15"/>
      <c r="D119" s="15"/>
      <c r="E119" s="15"/>
      <c r="F119" s="15"/>
      <c r="G119" s="15"/>
      <c r="H119" s="15"/>
      <c r="I119" s="15"/>
      <c r="J119" s="15">
        <v>0.0</v>
      </c>
      <c r="K119" s="14">
        <v>132.41</v>
      </c>
      <c r="L119" s="16">
        <v>40.64</v>
      </c>
      <c r="M119" s="16">
        <v>81.28</v>
      </c>
      <c r="N119" s="14">
        <v>173.41</v>
      </c>
      <c r="O119" s="16">
        <v>62.37</v>
      </c>
      <c r="P119" s="16">
        <v>98.84</v>
      </c>
      <c r="Q119" s="14">
        <v>336.73</v>
      </c>
      <c r="R119" s="14">
        <v>149.79</v>
      </c>
      <c r="S119" s="16">
        <v>72.1</v>
      </c>
      <c r="T119" s="14">
        <v>273.71</v>
      </c>
      <c r="U119" s="14">
        <v>203.12</v>
      </c>
      <c r="V119" s="15"/>
      <c r="W119" s="16">
        <v>85.13</v>
      </c>
    </row>
    <row r="120" ht="15.0" customHeight="1">
      <c r="A120" s="13" t="s">
        <v>278</v>
      </c>
      <c r="B120" s="15"/>
      <c r="C120" s="15"/>
      <c r="D120" s="15">
        <v>0.0</v>
      </c>
      <c r="E120" s="16">
        <v>7.2</v>
      </c>
      <c r="F120" s="16">
        <v>3.97</v>
      </c>
      <c r="G120" s="16">
        <v>4.28</v>
      </c>
      <c r="H120" s="16">
        <v>17.17</v>
      </c>
      <c r="I120" s="16">
        <v>25.8</v>
      </c>
      <c r="J120" s="16">
        <v>19.1</v>
      </c>
      <c r="K120" s="16">
        <v>58.31</v>
      </c>
      <c r="L120" s="14">
        <v>199.14</v>
      </c>
      <c r="M120" s="14">
        <v>237.32</v>
      </c>
      <c r="N120" s="16">
        <v>28.49</v>
      </c>
      <c r="O120" s="16">
        <v>9.49</v>
      </c>
      <c r="P120" s="14">
        <v>108.55</v>
      </c>
      <c r="Q120" s="16">
        <v>69.67</v>
      </c>
      <c r="R120" s="16">
        <v>91.88</v>
      </c>
      <c r="S120" s="14">
        <v>351.34</v>
      </c>
      <c r="T120" s="16">
        <v>20.48</v>
      </c>
      <c r="U120" s="16">
        <v>14.53</v>
      </c>
      <c r="V120" s="15"/>
      <c r="W120" s="15"/>
    </row>
    <row r="121" ht="15.0" customHeight="1">
      <c r="A121" s="13" t="s">
        <v>279</v>
      </c>
      <c r="B121" s="15">
        <v>0.0</v>
      </c>
      <c r="C121" s="16">
        <v>11.04</v>
      </c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</row>
    <row r="122" ht="15.0" customHeight="1">
      <c r="A122" s="13" t="s">
        <v>280</v>
      </c>
      <c r="B122" s="15"/>
      <c r="C122" s="15"/>
      <c r="D122" s="15"/>
      <c r="E122" s="15"/>
      <c r="F122" s="15"/>
      <c r="G122" s="15"/>
      <c r="H122" s="16">
        <v>37.04</v>
      </c>
      <c r="I122" s="16">
        <v>88.52</v>
      </c>
      <c r="J122" s="16">
        <v>32.78</v>
      </c>
      <c r="K122" s="14">
        <v>327.59</v>
      </c>
      <c r="L122" s="14">
        <v>398.43</v>
      </c>
      <c r="M122" s="14">
        <v>541.38</v>
      </c>
      <c r="N122" s="14">
        <v>499.35</v>
      </c>
      <c r="O122" s="14">
        <v>505.09</v>
      </c>
      <c r="P122" s="14">
        <v>497.89</v>
      </c>
      <c r="Q122" s="14">
        <v>327.34</v>
      </c>
      <c r="R122" s="14">
        <v>422.62</v>
      </c>
      <c r="S122" s="14">
        <v>569.46</v>
      </c>
      <c r="T122" s="15"/>
      <c r="U122" s="15"/>
      <c r="V122" s="15"/>
      <c r="W122" s="15"/>
    </row>
    <row r="123" ht="15.0" customHeight="1">
      <c r="A123" s="13" t="s">
        <v>281</v>
      </c>
      <c r="B123" s="16">
        <v>7.04</v>
      </c>
      <c r="C123" s="16">
        <v>6.04</v>
      </c>
      <c r="D123" s="16">
        <v>4.28</v>
      </c>
      <c r="E123" s="16">
        <v>1.55</v>
      </c>
      <c r="F123" s="16">
        <v>1.57</v>
      </c>
      <c r="G123" s="16">
        <v>0.95</v>
      </c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</row>
    <row r="124" ht="15.0" customHeight="1">
      <c r="A124" s="13" t="s">
        <v>280</v>
      </c>
      <c r="B124" s="16">
        <v>69.93</v>
      </c>
      <c r="C124" s="16">
        <v>96.72</v>
      </c>
      <c r="D124" s="16">
        <v>36.82</v>
      </c>
      <c r="E124" s="16">
        <v>46.92</v>
      </c>
      <c r="F124" s="16">
        <v>65.44</v>
      </c>
      <c r="G124" s="14">
        <v>127.05</v>
      </c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4">
        <v>328.39</v>
      </c>
      <c r="U124" s="14">
        <v>181.87</v>
      </c>
      <c r="V124" s="15"/>
      <c r="W124" s="14">
        <v>143.3</v>
      </c>
    </row>
    <row r="125" ht="15.0" customHeight="1">
      <c r="A125" s="13" t="s">
        <v>282</v>
      </c>
      <c r="B125" s="15"/>
      <c r="C125" s="16">
        <v>24.84</v>
      </c>
      <c r="D125" s="15"/>
      <c r="E125" s="16">
        <v>7.93</v>
      </c>
      <c r="F125" s="16">
        <v>26.58</v>
      </c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</row>
    <row r="126" ht="15.0" customHeight="1">
      <c r="A126" s="13" t="s">
        <v>283</v>
      </c>
      <c r="B126" s="15"/>
      <c r="C126" s="16">
        <v>31.62</v>
      </c>
      <c r="D126" s="15"/>
      <c r="E126" s="16">
        <v>30.36</v>
      </c>
      <c r="F126" s="16">
        <v>17.47</v>
      </c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</row>
    <row r="127" ht="15.0" customHeight="1">
      <c r="A127" s="13" t="s">
        <v>284</v>
      </c>
      <c r="B127" s="15"/>
      <c r="C127" s="16">
        <v>9.72</v>
      </c>
      <c r="D127" s="15"/>
      <c r="E127" s="16">
        <v>8.63</v>
      </c>
      <c r="F127" s="16">
        <v>4.33</v>
      </c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</row>
    <row r="128" ht="15.0" customHeight="1">
      <c r="A128" s="13" t="s">
        <v>285</v>
      </c>
      <c r="B128" s="15"/>
      <c r="C128" s="16">
        <v>30.55</v>
      </c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</row>
    <row r="129" ht="15.0" customHeight="1">
      <c r="A129" s="13" t="s">
        <v>286</v>
      </c>
      <c r="B129" s="15"/>
      <c r="C129" s="15"/>
      <c r="D129" s="15"/>
      <c r="E129" s="15"/>
      <c r="F129" s="15">
        <v>0.0</v>
      </c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</row>
    <row r="130" ht="15.0" customHeight="1">
      <c r="A130" s="13" t="s">
        <v>287</v>
      </c>
      <c r="B130" s="15"/>
      <c r="C130" s="15"/>
      <c r="D130" s="15"/>
      <c r="E130" s="15">
        <v>0.0</v>
      </c>
      <c r="F130" s="16">
        <v>17.06</v>
      </c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</row>
    <row r="131" ht="15.0" customHeight="1">
      <c r="A131" s="13" t="s">
        <v>288</v>
      </c>
      <c r="B131" s="15"/>
      <c r="C131" s="15"/>
      <c r="D131" s="15"/>
      <c r="E131" s="15"/>
      <c r="F131" s="15"/>
      <c r="G131" s="15"/>
      <c r="H131" s="15">
        <v>0.0</v>
      </c>
      <c r="I131" s="14">
        <v>1356.64</v>
      </c>
      <c r="J131" s="14">
        <v>1251.24</v>
      </c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</row>
    <row r="132" ht="15.0" customHeight="1">
      <c r="A132" s="13" t="s">
        <v>274</v>
      </c>
      <c r="B132" s="16">
        <v>18.2</v>
      </c>
      <c r="C132" s="16">
        <v>4.94</v>
      </c>
      <c r="D132" s="16">
        <v>1.51</v>
      </c>
      <c r="E132" s="16">
        <v>1.56</v>
      </c>
      <c r="F132" s="16">
        <v>2.62</v>
      </c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</row>
    <row r="133" ht="15.0" customHeight="1">
      <c r="A133" s="13" t="s">
        <v>289</v>
      </c>
      <c r="B133" s="15"/>
      <c r="C133" s="15"/>
      <c r="D133" s="15"/>
      <c r="E133" s="15"/>
      <c r="F133" s="15">
        <v>0.0</v>
      </c>
      <c r="G133" s="15"/>
      <c r="H133" s="23">
        <v>0.0</v>
      </c>
      <c r="I133" s="23">
        <v>0.0</v>
      </c>
      <c r="J133" s="15">
        <v>0.0</v>
      </c>
      <c r="K133" s="15"/>
      <c r="L133" s="15"/>
      <c r="M133" s="15">
        <v>0.0</v>
      </c>
      <c r="N133" s="15"/>
      <c r="O133" s="15"/>
      <c r="P133" s="15"/>
      <c r="Q133" s="15"/>
      <c r="R133" s="15">
        <v>0.0</v>
      </c>
      <c r="S133" s="15"/>
      <c r="T133" s="15"/>
      <c r="U133" s="15"/>
      <c r="V133" s="15"/>
      <c r="W133" s="15"/>
    </row>
    <row r="134" ht="15.0" customHeight="1">
      <c r="A134" s="17" t="s">
        <v>290</v>
      </c>
      <c r="B134" s="18">
        <v>289.4</v>
      </c>
      <c r="C134" s="18">
        <v>250.13</v>
      </c>
      <c r="D134" s="18">
        <v>146.82</v>
      </c>
      <c r="E134" s="18">
        <v>153.01</v>
      </c>
      <c r="F134" s="18">
        <v>130.25</v>
      </c>
      <c r="G134" s="18">
        <v>349.46</v>
      </c>
      <c r="H134" s="18">
        <v>181.82</v>
      </c>
      <c r="I134" s="18">
        <v>1901.81</v>
      </c>
      <c r="J134" s="18">
        <v>1721.02</v>
      </c>
      <c r="K134" s="18">
        <v>1240.7</v>
      </c>
      <c r="L134" s="18">
        <v>2119.36</v>
      </c>
      <c r="M134" s="18">
        <v>1681.64</v>
      </c>
      <c r="N134" s="18">
        <v>1368.16</v>
      </c>
      <c r="O134" s="18">
        <v>1380.11</v>
      </c>
      <c r="P134" s="18">
        <v>2474.01</v>
      </c>
      <c r="Q134" s="18">
        <v>2103.57</v>
      </c>
      <c r="R134" s="18">
        <v>2300.72</v>
      </c>
      <c r="S134" s="18">
        <v>2825.81</v>
      </c>
      <c r="T134" s="18">
        <v>1579.48</v>
      </c>
      <c r="U134" s="18">
        <v>838.43</v>
      </c>
      <c r="V134" s="18">
        <v>710.57</v>
      </c>
      <c r="W134" s="18">
        <v>463.2</v>
      </c>
    </row>
    <row r="135" ht="15.0" customHeight="1">
      <c r="A135" s="13" t="s">
        <v>291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4">
        <v>532.3</v>
      </c>
      <c r="T135" s="14">
        <v>563.17</v>
      </c>
      <c r="U135" s="14">
        <v>174.86</v>
      </c>
      <c r="V135" s="16">
        <v>58.57</v>
      </c>
      <c r="W135" s="16">
        <v>56.32</v>
      </c>
    </row>
    <row r="136" ht="15.0" customHeight="1">
      <c r="A136" s="13" t="s">
        <v>292</v>
      </c>
      <c r="B136" s="16">
        <v>55.81</v>
      </c>
      <c r="C136" s="16">
        <v>33.77</v>
      </c>
      <c r="D136" s="15"/>
      <c r="E136" s="15"/>
      <c r="F136" s="15"/>
      <c r="G136" s="15"/>
      <c r="H136" s="15"/>
      <c r="I136" s="15"/>
      <c r="J136" s="15"/>
      <c r="K136" s="16">
        <v>46.35</v>
      </c>
      <c r="L136" s="16">
        <v>51.58</v>
      </c>
      <c r="M136" s="16">
        <v>31.34</v>
      </c>
      <c r="N136" s="14">
        <v>105.61</v>
      </c>
      <c r="O136" s="16">
        <v>94.33</v>
      </c>
      <c r="P136" s="16">
        <v>26.46</v>
      </c>
      <c r="Q136" s="15"/>
      <c r="R136" s="15"/>
      <c r="S136" s="15"/>
      <c r="T136" s="15">
        <v>0.0</v>
      </c>
      <c r="U136" s="16">
        <v>2.17</v>
      </c>
      <c r="V136" s="16">
        <v>18.71</v>
      </c>
      <c r="W136" s="16">
        <v>5.7</v>
      </c>
    </row>
    <row r="137" ht="15.0" customHeight="1">
      <c r="A137" s="13" t="s">
        <v>293</v>
      </c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>
        <v>0.0</v>
      </c>
      <c r="N137" s="16">
        <v>74.68</v>
      </c>
      <c r="O137" s="16">
        <v>62.92</v>
      </c>
      <c r="P137" s="15">
        <v>0.0</v>
      </c>
      <c r="Q137" s="15"/>
      <c r="R137" s="15"/>
      <c r="S137" s="15"/>
      <c r="T137" s="15"/>
      <c r="U137" s="15"/>
      <c r="V137" s="15"/>
      <c r="W137" s="15"/>
    </row>
    <row r="138" ht="15.0" customHeight="1">
      <c r="A138" s="13" t="s">
        <v>112</v>
      </c>
      <c r="B138" s="16">
        <v>13.6</v>
      </c>
      <c r="C138" s="16">
        <v>36.98</v>
      </c>
      <c r="D138" s="16">
        <v>17.86</v>
      </c>
      <c r="E138" s="16">
        <v>0.45</v>
      </c>
      <c r="F138" s="16">
        <v>0.53</v>
      </c>
      <c r="G138" s="16">
        <v>0.6</v>
      </c>
      <c r="H138" s="16">
        <v>0.68</v>
      </c>
      <c r="I138" s="15">
        <v>0.0</v>
      </c>
      <c r="J138" s="15">
        <v>0.0</v>
      </c>
      <c r="K138" s="16">
        <v>46.35</v>
      </c>
      <c r="L138" s="16">
        <v>51.58</v>
      </c>
      <c r="M138" s="16">
        <v>31.34</v>
      </c>
      <c r="N138" s="16">
        <v>30.93</v>
      </c>
      <c r="O138" s="16">
        <v>31.41</v>
      </c>
      <c r="P138" s="16">
        <v>26.46</v>
      </c>
      <c r="Q138" s="16">
        <v>25.56</v>
      </c>
      <c r="R138" s="16">
        <v>22.34</v>
      </c>
      <c r="S138" s="16">
        <v>33.56</v>
      </c>
      <c r="T138" s="16">
        <v>25.71</v>
      </c>
      <c r="U138" s="16">
        <v>19.61</v>
      </c>
      <c r="V138" s="15"/>
      <c r="W138" s="16">
        <v>14.28</v>
      </c>
    </row>
    <row r="139" ht="15.0" customHeight="1">
      <c r="A139" s="13" t="s">
        <v>294</v>
      </c>
      <c r="B139" s="16">
        <v>16.66</v>
      </c>
      <c r="C139" s="16">
        <v>9.08</v>
      </c>
      <c r="D139" s="16">
        <v>9.09</v>
      </c>
      <c r="E139" s="16">
        <v>2.72</v>
      </c>
      <c r="F139" s="16">
        <v>4.23</v>
      </c>
      <c r="G139" s="16">
        <v>4.55</v>
      </c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</row>
    <row r="140" ht="15.0" customHeight="1">
      <c r="A140" s="13" t="s">
        <v>295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>
        <v>0.0</v>
      </c>
      <c r="M140" s="16">
        <v>88.14</v>
      </c>
      <c r="N140" s="14">
        <v>184.18</v>
      </c>
      <c r="O140" s="16">
        <v>81.33</v>
      </c>
      <c r="P140" s="14">
        <v>187.98</v>
      </c>
      <c r="Q140" s="16">
        <v>75.0</v>
      </c>
      <c r="R140" s="15"/>
      <c r="S140" s="15"/>
      <c r="T140" s="15"/>
      <c r="U140" s="15"/>
      <c r="V140" s="15"/>
      <c r="W140" s="15"/>
    </row>
    <row r="141" ht="15.0" customHeight="1">
      <c r="A141" s="13" t="s">
        <v>270</v>
      </c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>
        <v>0.0</v>
      </c>
      <c r="M141" s="16">
        <v>88.14</v>
      </c>
      <c r="N141" s="16">
        <v>81.18</v>
      </c>
      <c r="O141" s="16">
        <v>75.33</v>
      </c>
      <c r="P141" s="14">
        <v>152.62</v>
      </c>
      <c r="Q141" s="15">
        <v>0.0</v>
      </c>
      <c r="R141" s="15"/>
      <c r="S141" s="15"/>
      <c r="T141" s="15"/>
      <c r="U141" s="15"/>
      <c r="V141" s="15"/>
      <c r="W141" s="15"/>
    </row>
    <row r="142" ht="15.0" customHeight="1">
      <c r="A142" s="13" t="s">
        <v>296</v>
      </c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>
        <v>0.0</v>
      </c>
      <c r="N142" s="14">
        <v>103.0</v>
      </c>
      <c r="O142" s="16">
        <v>6.0</v>
      </c>
      <c r="P142" s="16">
        <v>35.36</v>
      </c>
      <c r="Q142" s="16">
        <v>45.13</v>
      </c>
      <c r="R142" s="16">
        <v>30.54</v>
      </c>
      <c r="S142" s="15"/>
      <c r="T142" s="15"/>
      <c r="U142" s="15"/>
      <c r="V142" s="15"/>
      <c r="W142" s="15"/>
    </row>
    <row r="143" ht="15.0" customHeight="1">
      <c r="A143" s="13" t="s">
        <v>297</v>
      </c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4">
        <v>400.0</v>
      </c>
      <c r="R143" s="14">
        <v>400.0</v>
      </c>
      <c r="S143" s="15"/>
      <c r="T143" s="15"/>
      <c r="U143" s="15"/>
      <c r="V143" s="15"/>
      <c r="W143" s="15"/>
    </row>
    <row r="144" ht="15.0" customHeight="1">
      <c r="A144" s="13" t="s">
        <v>298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22">
        <v>-370.13</v>
      </c>
      <c r="R144" s="15"/>
      <c r="S144" s="15"/>
      <c r="T144" s="15"/>
      <c r="U144" s="15"/>
      <c r="V144" s="15"/>
      <c r="W144" s="15"/>
    </row>
    <row r="145" ht="15.0" customHeight="1">
      <c r="A145" s="13" t="s">
        <v>299</v>
      </c>
      <c r="B145" s="15"/>
      <c r="C145" s="15"/>
      <c r="D145" s="15"/>
      <c r="E145" s="15"/>
      <c r="F145" s="15"/>
      <c r="G145" s="15"/>
      <c r="H145" s="15"/>
      <c r="I145" s="15">
        <v>0.0</v>
      </c>
      <c r="J145" s="15">
        <v>0.0</v>
      </c>
      <c r="K145" s="14">
        <v>271.75</v>
      </c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</row>
    <row r="146" ht="15.0" customHeight="1">
      <c r="A146" s="13" t="s">
        <v>300</v>
      </c>
      <c r="B146" s="23">
        <v>0.0</v>
      </c>
      <c r="C146" s="15"/>
      <c r="D146" s="15"/>
      <c r="E146" s="23">
        <v>0.0</v>
      </c>
      <c r="F146" s="15">
        <v>0.0</v>
      </c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</row>
    <row r="147" ht="15.0" customHeight="1">
      <c r="A147" s="17" t="s">
        <v>301</v>
      </c>
      <c r="B147" s="20">
        <v>86.06</v>
      </c>
      <c r="C147" s="20">
        <v>79.83</v>
      </c>
      <c r="D147" s="20">
        <v>26.95</v>
      </c>
      <c r="E147" s="20">
        <v>3.17</v>
      </c>
      <c r="F147" s="20">
        <v>4.76</v>
      </c>
      <c r="G147" s="20">
        <v>5.15</v>
      </c>
      <c r="H147" s="20">
        <v>0.68</v>
      </c>
      <c r="I147" s="19">
        <v>0.0</v>
      </c>
      <c r="J147" s="19">
        <v>0.0</v>
      </c>
      <c r="K147" s="18">
        <v>318.1</v>
      </c>
      <c r="L147" s="20">
        <v>51.58</v>
      </c>
      <c r="M147" s="18">
        <v>119.48</v>
      </c>
      <c r="N147" s="18">
        <v>289.79</v>
      </c>
      <c r="O147" s="18">
        <v>175.66</v>
      </c>
      <c r="P147" s="18">
        <v>214.45</v>
      </c>
      <c r="Q147" s="18">
        <v>100.56</v>
      </c>
      <c r="R147" s="18">
        <v>452.88</v>
      </c>
      <c r="S147" s="18">
        <v>565.86</v>
      </c>
      <c r="T147" s="18">
        <v>588.88</v>
      </c>
      <c r="U147" s="18">
        <v>196.64</v>
      </c>
      <c r="V147" s="20">
        <v>77.28</v>
      </c>
      <c r="W147" s="20">
        <v>76.29</v>
      </c>
    </row>
    <row r="148" ht="15.0" customHeight="1">
      <c r="A148" s="13" t="s">
        <v>302</v>
      </c>
      <c r="B148" s="15"/>
      <c r="C148" s="15"/>
      <c r="D148" s="15"/>
      <c r="E148" s="15"/>
      <c r="F148" s="23">
        <v>0.0</v>
      </c>
      <c r="G148" s="15"/>
      <c r="H148" s="15"/>
      <c r="I148" s="15"/>
      <c r="J148" s="15"/>
      <c r="K148" s="15"/>
      <c r="L148" s="15"/>
      <c r="M148" s="15"/>
      <c r="N148" s="15"/>
      <c r="O148" s="15"/>
      <c r="P148" s="23">
        <v>0.0</v>
      </c>
      <c r="Q148" s="14">
        <v>445.13</v>
      </c>
      <c r="R148" s="15"/>
      <c r="S148" s="15"/>
      <c r="T148" s="15"/>
      <c r="U148" s="15"/>
      <c r="V148" s="15"/>
      <c r="W148" s="15"/>
    </row>
    <row r="149" ht="15.0" customHeight="1">
      <c r="A149" s="17" t="s">
        <v>303</v>
      </c>
      <c r="B149" s="18">
        <v>375.47</v>
      </c>
      <c r="C149" s="18">
        <v>329.96</v>
      </c>
      <c r="D149" s="18">
        <v>173.77</v>
      </c>
      <c r="E149" s="18">
        <v>156.18</v>
      </c>
      <c r="F149" s="18">
        <v>135.01</v>
      </c>
      <c r="G149" s="18">
        <v>354.61</v>
      </c>
      <c r="H149" s="18">
        <v>182.5</v>
      </c>
      <c r="I149" s="18">
        <v>1901.81</v>
      </c>
      <c r="J149" s="18">
        <v>1721.02</v>
      </c>
      <c r="K149" s="18">
        <v>1558.8</v>
      </c>
      <c r="L149" s="18">
        <v>2170.94</v>
      </c>
      <c r="M149" s="18">
        <v>1801.12</v>
      </c>
      <c r="N149" s="18">
        <v>1657.96</v>
      </c>
      <c r="O149" s="18">
        <v>1555.77</v>
      </c>
      <c r="P149" s="18">
        <v>2688.45</v>
      </c>
      <c r="Q149" s="18">
        <v>2649.26</v>
      </c>
      <c r="R149" s="18">
        <v>2753.59</v>
      </c>
      <c r="S149" s="18">
        <v>3391.67</v>
      </c>
      <c r="T149" s="18">
        <v>2168.36</v>
      </c>
      <c r="U149" s="18">
        <v>1035.07</v>
      </c>
      <c r="V149" s="18">
        <v>787.85</v>
      </c>
      <c r="W149" s="18">
        <v>539.49</v>
      </c>
    </row>
    <row r="150" ht="15.0" customHeight="1">
      <c r="A150" s="13" t="s">
        <v>304</v>
      </c>
      <c r="B150" s="16">
        <v>11.82</v>
      </c>
      <c r="C150" s="16">
        <v>11.82</v>
      </c>
      <c r="D150" s="16">
        <v>11.82</v>
      </c>
      <c r="E150" s="16">
        <v>11.75</v>
      </c>
      <c r="F150" s="16">
        <v>11.71</v>
      </c>
      <c r="G150" s="16">
        <v>11.7</v>
      </c>
      <c r="H150" s="16">
        <v>11.62</v>
      </c>
      <c r="I150" s="16">
        <v>9.58</v>
      </c>
      <c r="J150" s="16">
        <v>9.53</v>
      </c>
      <c r="K150" s="16">
        <v>9.53</v>
      </c>
      <c r="L150" s="16">
        <v>9.53</v>
      </c>
      <c r="M150" s="16">
        <v>9.53</v>
      </c>
      <c r="N150" s="16">
        <v>9.53</v>
      </c>
      <c r="O150" s="16">
        <v>9.53</v>
      </c>
      <c r="P150" s="16">
        <v>37.85</v>
      </c>
      <c r="Q150" s="16">
        <v>37.32</v>
      </c>
      <c r="R150" s="16">
        <v>33.95</v>
      </c>
      <c r="S150" s="16">
        <v>12.95</v>
      </c>
      <c r="T150" s="16">
        <v>12.87</v>
      </c>
      <c r="U150" s="16">
        <v>11.25</v>
      </c>
      <c r="V150" s="16">
        <v>10.05</v>
      </c>
      <c r="W150" s="16">
        <v>8.16</v>
      </c>
    </row>
    <row r="151" ht="15.0" customHeight="1">
      <c r="A151" s="13" t="s">
        <v>305</v>
      </c>
      <c r="B151" s="21">
        <v>-1.02</v>
      </c>
      <c r="C151" s="21">
        <v>-0.44</v>
      </c>
      <c r="D151" s="21">
        <v>-0.15</v>
      </c>
      <c r="E151" s="15">
        <v>0.0</v>
      </c>
      <c r="F151" s="23">
        <v>0.0</v>
      </c>
      <c r="G151" s="23">
        <v>0.0</v>
      </c>
      <c r="H151" s="23">
        <v>0.0</v>
      </c>
      <c r="I151" s="23">
        <v>0.0</v>
      </c>
      <c r="J151" s="21">
        <v>-0.01</v>
      </c>
      <c r="K151" s="21">
        <v>-0.01</v>
      </c>
      <c r="L151" s="21">
        <v>-0.01</v>
      </c>
      <c r="M151" s="21">
        <v>-0.01</v>
      </c>
      <c r="N151" s="21">
        <v>-0.02</v>
      </c>
      <c r="O151" s="21">
        <v>-0.03</v>
      </c>
      <c r="P151" s="21">
        <v>-0.02</v>
      </c>
      <c r="Q151" s="21">
        <v>-0.02</v>
      </c>
      <c r="R151" s="21">
        <v>-0.02</v>
      </c>
      <c r="S151" s="21">
        <v>-0.07</v>
      </c>
      <c r="T151" s="23">
        <v>0.0</v>
      </c>
      <c r="U151" s="23">
        <v>0.0</v>
      </c>
      <c r="V151" s="15"/>
      <c r="W151" s="21">
        <v>-0.01</v>
      </c>
    </row>
    <row r="152" ht="15.0" customHeight="1">
      <c r="A152" s="13" t="s">
        <v>306</v>
      </c>
      <c r="B152" s="16">
        <v>9.21</v>
      </c>
      <c r="C152" s="16">
        <v>9.21</v>
      </c>
      <c r="D152" s="16">
        <v>9.21</v>
      </c>
      <c r="E152" s="16">
        <v>5.92</v>
      </c>
      <c r="F152" s="16">
        <v>3.86</v>
      </c>
      <c r="G152" s="16">
        <v>2.75</v>
      </c>
      <c r="H152" s="15">
        <v>0.0</v>
      </c>
      <c r="I152" s="14">
        <v>151.73</v>
      </c>
      <c r="J152" s="14">
        <v>149.38</v>
      </c>
      <c r="K152" s="14">
        <v>149.38</v>
      </c>
      <c r="L152" s="14">
        <v>149.38</v>
      </c>
      <c r="M152" s="14">
        <v>149.38</v>
      </c>
      <c r="N152" s="14">
        <v>149.38</v>
      </c>
      <c r="O152" s="14">
        <v>149.38</v>
      </c>
      <c r="P152" s="14">
        <v>384.89</v>
      </c>
      <c r="Q152" s="14">
        <v>376.06</v>
      </c>
      <c r="R152" s="14">
        <v>337.91</v>
      </c>
      <c r="S152" s="14">
        <v>122.89</v>
      </c>
      <c r="T152" s="14">
        <v>611.58</v>
      </c>
      <c r="U152" s="14">
        <v>318.55</v>
      </c>
      <c r="V152" s="15"/>
      <c r="W152" s="14">
        <v>193.01</v>
      </c>
    </row>
    <row r="153" ht="15.0" customHeight="1">
      <c r="A153" s="13" t="s">
        <v>307</v>
      </c>
      <c r="B153" s="14">
        <v>276.02</v>
      </c>
      <c r="C153" s="14">
        <v>397.99</v>
      </c>
      <c r="D153" s="14">
        <v>383.53</v>
      </c>
      <c r="E153" s="14">
        <v>313.21</v>
      </c>
      <c r="F153" s="14">
        <v>281.38</v>
      </c>
      <c r="G153" s="14">
        <v>171.15</v>
      </c>
      <c r="H153" s="14">
        <v>205.88</v>
      </c>
      <c r="I153" s="14">
        <v>196.4</v>
      </c>
      <c r="J153" s="14">
        <v>297.19</v>
      </c>
      <c r="K153" s="14">
        <v>313.05</v>
      </c>
      <c r="L153" s="14">
        <v>475.62</v>
      </c>
      <c r="M153" s="14">
        <v>451.47</v>
      </c>
      <c r="N153" s="14">
        <v>407.78</v>
      </c>
      <c r="O153" s="14">
        <v>635.7</v>
      </c>
      <c r="P153" s="14">
        <v>417.67</v>
      </c>
      <c r="Q153" s="14">
        <v>389.38</v>
      </c>
      <c r="R153" s="14">
        <v>564.04</v>
      </c>
      <c r="S153" s="14">
        <v>853.28</v>
      </c>
      <c r="T153" s="14">
        <v>309.15</v>
      </c>
      <c r="U153" s="14">
        <v>268.27</v>
      </c>
      <c r="V153" s="14">
        <v>384.88</v>
      </c>
      <c r="W153" s="16">
        <v>59.76</v>
      </c>
    </row>
    <row r="154" ht="15.0" customHeight="1">
      <c r="A154" s="13" t="s">
        <v>308</v>
      </c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23">
        <v>0.0</v>
      </c>
      <c r="R154" s="15"/>
      <c r="S154" s="15"/>
      <c r="T154" s="15"/>
      <c r="U154" s="15"/>
      <c r="V154" s="15"/>
      <c r="W154" s="15"/>
    </row>
    <row r="155" ht="15.0" customHeight="1">
      <c r="A155" s="13" t="s">
        <v>309</v>
      </c>
      <c r="B155" s="15"/>
      <c r="C155" s="15">
        <v>0.0</v>
      </c>
      <c r="D155" s="15"/>
      <c r="E155" s="23">
        <v>0.0</v>
      </c>
      <c r="F155" s="15"/>
      <c r="G155" s="15"/>
      <c r="H155" s="15"/>
      <c r="I155" s="23">
        <v>0.0</v>
      </c>
      <c r="J155" s="23">
        <v>0.0</v>
      </c>
      <c r="K155" s="23">
        <v>0.0</v>
      </c>
      <c r="L155" s="23">
        <v>0.0</v>
      </c>
      <c r="M155" s="23">
        <v>0.0</v>
      </c>
      <c r="N155" s="15"/>
      <c r="O155" s="15"/>
      <c r="P155" s="15"/>
      <c r="Q155" s="15"/>
      <c r="R155" s="15"/>
      <c r="S155" s="15"/>
      <c r="T155" s="15"/>
      <c r="U155" s="15"/>
      <c r="V155" s="15"/>
      <c r="W155" s="15"/>
    </row>
    <row r="156" ht="15.0" customHeight="1">
      <c r="A156" s="17" t="s">
        <v>310</v>
      </c>
      <c r="B156" s="18">
        <v>296.02</v>
      </c>
      <c r="C156" s="18">
        <v>418.57</v>
      </c>
      <c r="D156" s="18">
        <v>404.4</v>
      </c>
      <c r="E156" s="18">
        <v>330.88</v>
      </c>
      <c r="F156" s="18">
        <v>296.95</v>
      </c>
      <c r="G156" s="18">
        <v>185.6</v>
      </c>
      <c r="H156" s="18">
        <v>217.5</v>
      </c>
      <c r="I156" s="18">
        <v>357.7</v>
      </c>
      <c r="J156" s="18">
        <v>456.08</v>
      </c>
      <c r="K156" s="18">
        <v>471.94</v>
      </c>
      <c r="L156" s="18">
        <v>634.51</v>
      </c>
      <c r="M156" s="18">
        <v>610.36</v>
      </c>
      <c r="N156" s="18">
        <v>566.67</v>
      </c>
      <c r="O156" s="18">
        <v>794.58</v>
      </c>
      <c r="P156" s="18">
        <v>840.38</v>
      </c>
      <c r="Q156" s="18">
        <v>802.73</v>
      </c>
      <c r="R156" s="18">
        <v>935.88</v>
      </c>
      <c r="S156" s="18">
        <v>989.06</v>
      </c>
      <c r="T156" s="18">
        <v>933.6</v>
      </c>
      <c r="U156" s="18">
        <v>598.06</v>
      </c>
      <c r="V156" s="18">
        <v>394.93</v>
      </c>
      <c r="W156" s="18">
        <v>260.91</v>
      </c>
    </row>
    <row r="157" ht="15.0" customHeight="1">
      <c r="A157" s="13" t="s">
        <v>311</v>
      </c>
      <c r="B157" s="16">
        <v>71.77</v>
      </c>
      <c r="C157" s="16">
        <v>70.03</v>
      </c>
      <c r="D157" s="16">
        <v>22.55</v>
      </c>
      <c r="E157" s="16">
        <v>20.09</v>
      </c>
      <c r="F157" s="16">
        <v>19.28</v>
      </c>
      <c r="G157" s="16">
        <v>17.88</v>
      </c>
      <c r="H157" s="16">
        <v>16.05</v>
      </c>
      <c r="I157" s="14">
        <v>156.53</v>
      </c>
      <c r="J157" s="14">
        <v>151.38</v>
      </c>
      <c r="K157" s="14">
        <v>144.49</v>
      </c>
      <c r="L157" s="14">
        <v>220.06</v>
      </c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</row>
    <row r="158" ht="15.0" customHeight="1">
      <c r="A158" s="13" t="s">
        <v>312</v>
      </c>
      <c r="B158" s="15"/>
      <c r="C158" s="23">
        <v>0.0</v>
      </c>
      <c r="D158" s="23">
        <v>0.0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</row>
    <row r="159" ht="15.0" customHeight="1">
      <c r="A159" s="17" t="s">
        <v>313</v>
      </c>
      <c r="B159" s="20">
        <v>71.77</v>
      </c>
      <c r="C159" s="20">
        <v>70.03</v>
      </c>
      <c r="D159" s="20">
        <v>22.55</v>
      </c>
      <c r="E159" s="20">
        <v>20.09</v>
      </c>
      <c r="F159" s="20">
        <v>19.28</v>
      </c>
      <c r="G159" s="20">
        <v>17.88</v>
      </c>
      <c r="H159" s="20">
        <v>16.05</v>
      </c>
      <c r="I159" s="18">
        <v>156.53</v>
      </c>
      <c r="J159" s="18">
        <v>151.38</v>
      </c>
      <c r="K159" s="18">
        <v>144.49</v>
      </c>
      <c r="L159" s="18">
        <v>220.06</v>
      </c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</row>
    <row r="160" ht="15.0" customHeight="1">
      <c r="A160" s="17" t="s">
        <v>314</v>
      </c>
      <c r="B160" s="18">
        <v>367.79</v>
      </c>
      <c r="C160" s="18">
        <v>488.6</v>
      </c>
      <c r="D160" s="18">
        <v>426.95</v>
      </c>
      <c r="E160" s="18">
        <v>350.97</v>
      </c>
      <c r="F160" s="18">
        <v>316.23</v>
      </c>
      <c r="G160" s="18">
        <v>203.48</v>
      </c>
      <c r="H160" s="18">
        <v>233.55</v>
      </c>
      <c r="I160" s="18">
        <v>514.23</v>
      </c>
      <c r="J160" s="18">
        <v>607.46</v>
      </c>
      <c r="K160" s="18">
        <v>616.43</v>
      </c>
      <c r="L160" s="18">
        <v>854.57</v>
      </c>
      <c r="M160" s="18">
        <v>610.36</v>
      </c>
      <c r="N160" s="18">
        <v>566.67</v>
      </c>
      <c r="O160" s="18">
        <v>794.58</v>
      </c>
      <c r="P160" s="18">
        <v>840.38</v>
      </c>
      <c r="Q160" s="18">
        <v>802.73</v>
      </c>
      <c r="R160" s="18">
        <v>935.88</v>
      </c>
      <c r="S160" s="18">
        <v>989.06</v>
      </c>
      <c r="T160" s="18">
        <v>933.6</v>
      </c>
      <c r="U160" s="18">
        <v>598.06</v>
      </c>
      <c r="V160" s="18">
        <v>394.93</v>
      </c>
      <c r="W160" s="18">
        <v>260.91</v>
      </c>
    </row>
    <row r="161" ht="15.0" customHeight="1">
      <c r="A161" s="13" t="s">
        <v>315</v>
      </c>
      <c r="B161" s="15"/>
      <c r="C161" s="15"/>
      <c r="D161" s="15"/>
      <c r="E161" s="15"/>
      <c r="F161" s="15"/>
      <c r="G161" s="15"/>
      <c r="H161" s="15"/>
      <c r="I161" s="15"/>
      <c r="J161" s="23">
        <v>0.0</v>
      </c>
      <c r="K161" s="15"/>
      <c r="L161" s="23">
        <v>0.0</v>
      </c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</row>
    <row r="162" ht="15.0" customHeight="1">
      <c r="A162" s="17" t="s">
        <v>316</v>
      </c>
      <c r="B162" s="18">
        <v>743.26</v>
      </c>
      <c r="C162" s="18">
        <v>818.56</v>
      </c>
      <c r="D162" s="18">
        <v>600.71</v>
      </c>
      <c r="E162" s="18">
        <v>507.14</v>
      </c>
      <c r="F162" s="18">
        <v>451.24</v>
      </c>
      <c r="G162" s="18">
        <v>558.08</v>
      </c>
      <c r="H162" s="18">
        <v>416.04</v>
      </c>
      <c r="I162" s="18">
        <v>2416.04</v>
      </c>
      <c r="J162" s="18">
        <v>2328.48</v>
      </c>
      <c r="K162" s="18">
        <v>2175.23</v>
      </c>
      <c r="L162" s="18">
        <v>3025.5</v>
      </c>
      <c r="M162" s="18">
        <v>2411.48</v>
      </c>
      <c r="N162" s="18">
        <v>2224.63</v>
      </c>
      <c r="O162" s="18">
        <v>2350.35</v>
      </c>
      <c r="P162" s="18">
        <v>3528.84</v>
      </c>
      <c r="Q162" s="18">
        <v>3452.0</v>
      </c>
      <c r="R162" s="18">
        <v>3689.47</v>
      </c>
      <c r="S162" s="18">
        <v>4380.72</v>
      </c>
      <c r="T162" s="18">
        <v>3101.95</v>
      </c>
      <c r="U162" s="18">
        <v>1633.13</v>
      </c>
      <c r="V162" s="18">
        <v>1182.79</v>
      </c>
      <c r="W162" s="18">
        <v>800.4</v>
      </c>
    </row>
    <row r="163" ht="15.0" customHeight="1">
      <c r="A163" s="13" t="s">
        <v>317</v>
      </c>
      <c r="B163" s="14">
        <v>107.43</v>
      </c>
      <c r="C163" s="14">
        <v>107.43</v>
      </c>
      <c r="D163" s="14">
        <v>107.43</v>
      </c>
      <c r="E163" s="14">
        <v>106.78</v>
      </c>
      <c r="F163" s="14">
        <v>106.49</v>
      </c>
      <c r="G163" s="14">
        <v>106.33</v>
      </c>
      <c r="H163" s="14">
        <v>105.62</v>
      </c>
      <c r="I163" s="16">
        <v>87.09</v>
      </c>
      <c r="J163" s="16">
        <v>86.61</v>
      </c>
      <c r="K163" s="16">
        <v>86.61</v>
      </c>
      <c r="L163" s="16">
        <v>86.61</v>
      </c>
      <c r="M163" s="16">
        <v>86.61</v>
      </c>
      <c r="N163" s="16">
        <v>86.61</v>
      </c>
      <c r="O163" s="16">
        <v>86.61</v>
      </c>
      <c r="P163" s="16">
        <v>75.69</v>
      </c>
      <c r="Q163" s="16">
        <v>74.63</v>
      </c>
      <c r="R163" s="16">
        <v>67.91</v>
      </c>
      <c r="S163" s="16">
        <v>34.25</v>
      </c>
      <c r="T163" s="16">
        <v>34.03</v>
      </c>
      <c r="U163" s="16">
        <v>29.81</v>
      </c>
      <c r="V163" s="16">
        <v>26.63</v>
      </c>
      <c r="W163" s="16">
        <v>21.6</v>
      </c>
    </row>
    <row r="164" ht="15.0" customHeight="1">
      <c r="A164" s="13" t="s">
        <v>318</v>
      </c>
      <c r="B164" s="16">
        <v>9.28</v>
      </c>
      <c r="C164" s="16">
        <v>4.04</v>
      </c>
      <c r="D164" s="16">
        <v>1.4</v>
      </c>
      <c r="E164" s="16">
        <v>0.01</v>
      </c>
      <c r="F164" s="16">
        <v>0.01</v>
      </c>
      <c r="G164" s="16">
        <v>0.01</v>
      </c>
      <c r="H164" s="16">
        <v>0.01</v>
      </c>
      <c r="I164" s="16">
        <v>0.01</v>
      </c>
      <c r="J164" s="16">
        <v>0.11</v>
      </c>
      <c r="K164" s="16">
        <v>0.11</v>
      </c>
      <c r="L164" s="16">
        <v>0.11</v>
      </c>
      <c r="M164" s="16">
        <v>0.11</v>
      </c>
      <c r="N164" s="16">
        <v>0.14</v>
      </c>
      <c r="O164" s="16">
        <v>0.29</v>
      </c>
      <c r="P164" s="16">
        <v>0.04</v>
      </c>
      <c r="Q164" s="16">
        <v>0.04</v>
      </c>
      <c r="R164" s="16">
        <v>0.04</v>
      </c>
      <c r="S164" s="15">
        <v>0.0</v>
      </c>
      <c r="T164" s="16">
        <v>0.01</v>
      </c>
      <c r="U164" s="16">
        <v>0.14</v>
      </c>
      <c r="V164" s="15">
        <v>0.0</v>
      </c>
      <c r="W164" s="15">
        <v>0.0</v>
      </c>
    </row>
    <row r="165" ht="15.0" customHeight="1">
      <c r="A165" s="13" t="s">
        <v>319</v>
      </c>
      <c r="B165" s="16">
        <v>98.14</v>
      </c>
      <c r="C165" s="14">
        <v>103.39</v>
      </c>
      <c r="D165" s="14">
        <v>106.03</v>
      </c>
      <c r="E165" s="14">
        <v>106.77</v>
      </c>
      <c r="F165" s="14">
        <v>106.49</v>
      </c>
      <c r="G165" s="14">
        <v>106.32</v>
      </c>
      <c r="H165" s="14">
        <v>105.61</v>
      </c>
      <c r="I165" s="16">
        <v>87.08</v>
      </c>
      <c r="J165" s="16">
        <v>86.49</v>
      </c>
      <c r="K165" s="16">
        <v>86.49</v>
      </c>
      <c r="L165" s="16">
        <v>86.49</v>
      </c>
      <c r="M165" s="16">
        <v>86.49</v>
      </c>
      <c r="N165" s="16">
        <v>86.46</v>
      </c>
      <c r="O165" s="16">
        <v>86.31</v>
      </c>
      <c r="P165" s="16">
        <v>75.66</v>
      </c>
      <c r="Q165" s="16">
        <v>74.6</v>
      </c>
      <c r="R165" s="16">
        <v>67.87</v>
      </c>
      <c r="S165" s="16">
        <v>34.25</v>
      </c>
      <c r="T165" s="16">
        <v>34.02</v>
      </c>
      <c r="U165" s="16">
        <v>29.68</v>
      </c>
      <c r="V165" s="16">
        <v>26.63</v>
      </c>
      <c r="W165" s="16">
        <v>21.6</v>
      </c>
    </row>
    <row r="166" ht="15.0" customHeight="1">
      <c r="A166" s="13" t="s">
        <v>320</v>
      </c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4">
        <v>131.26</v>
      </c>
      <c r="U166" s="16">
        <v>89.15</v>
      </c>
      <c r="V166" s="15"/>
      <c r="W166" s="15"/>
    </row>
    <row r="167" ht="15.0" customHeight="1">
      <c r="A167" s="13" t="s">
        <v>321</v>
      </c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6">
        <v>30.68</v>
      </c>
      <c r="U167" s="16">
        <v>11.84</v>
      </c>
      <c r="V167" s="15"/>
      <c r="W167" s="16">
        <v>25.33</v>
      </c>
    </row>
    <row r="168" ht="15.0" customHeight="1">
      <c r="A168" s="13" t="s">
        <v>322</v>
      </c>
      <c r="B168" s="15"/>
      <c r="C168" s="14">
        <v>100.0</v>
      </c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</row>
    <row r="169" ht="15.0" customHeight="1">
      <c r="A169" s="13" t="s">
        <v>323</v>
      </c>
      <c r="B169" s="15"/>
      <c r="C169" s="15"/>
      <c r="D169" s="15"/>
      <c r="E169" s="15"/>
      <c r="F169" s="15"/>
      <c r="G169" s="15"/>
      <c r="H169" s="15"/>
      <c r="I169" s="15">
        <v>0.0</v>
      </c>
      <c r="J169" s="14">
        <v>289.85</v>
      </c>
      <c r="K169" s="14">
        <v>271.75</v>
      </c>
      <c r="L169" s="16">
        <v>95.35</v>
      </c>
      <c r="M169" s="16">
        <v>95.36</v>
      </c>
      <c r="N169" s="15"/>
      <c r="O169" s="14">
        <v>129.95</v>
      </c>
      <c r="P169" s="15"/>
      <c r="Q169" s="15"/>
      <c r="R169" s="15"/>
      <c r="S169" s="15"/>
      <c r="T169" s="14">
        <v>585.45</v>
      </c>
      <c r="U169" s="14">
        <v>197.27</v>
      </c>
      <c r="V169" s="15"/>
      <c r="W169" s="15"/>
    </row>
    <row r="170" ht="15.0" customHeight="1">
      <c r="A170" s="13" t="s">
        <v>324</v>
      </c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6">
        <v>1.5</v>
      </c>
      <c r="U170" s="15"/>
      <c r="V170" s="15"/>
      <c r="W170" s="15"/>
    </row>
    <row r="171" ht="15.0" customHeight="1">
      <c r="A171" s="13" t="s">
        <v>325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6">
        <v>2.26</v>
      </c>
      <c r="U171" s="16">
        <v>10.52</v>
      </c>
      <c r="V171" s="15"/>
      <c r="W171" s="15"/>
    </row>
    <row r="172" ht="15.0" customHeight="1">
      <c r="A172" s="13" t="s">
        <v>326</v>
      </c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6">
        <v>13.34</v>
      </c>
      <c r="U172" s="16">
        <v>19.18</v>
      </c>
      <c r="V172" s="15"/>
      <c r="W172" s="15"/>
    </row>
    <row r="173" ht="15.0" customHeight="1">
      <c r="A173" s="13" t="s">
        <v>327</v>
      </c>
      <c r="B173" s="15"/>
      <c r="C173" s="15"/>
      <c r="D173" s="15"/>
      <c r="E173" s="15"/>
      <c r="F173" s="15"/>
      <c r="G173" s="15"/>
      <c r="H173" s="15"/>
      <c r="I173" s="15">
        <v>0.0</v>
      </c>
      <c r="J173" s="15">
        <v>0.0</v>
      </c>
      <c r="K173" s="14">
        <v>221.75</v>
      </c>
      <c r="L173" s="15"/>
      <c r="M173" s="15">
        <v>0.0</v>
      </c>
      <c r="N173" s="15"/>
      <c r="O173" s="15"/>
      <c r="P173" s="15"/>
      <c r="Q173" s="15"/>
      <c r="R173" s="15"/>
      <c r="S173" s="15"/>
      <c r="T173" s="14">
        <v>521.15</v>
      </c>
      <c r="U173" s="14">
        <v>120.76</v>
      </c>
      <c r="V173" s="15"/>
      <c r="W173" s="15"/>
    </row>
    <row r="174" ht="15.0" customHeight="1">
      <c r="A174" s="13" t="s">
        <v>328</v>
      </c>
      <c r="B174" s="15"/>
      <c r="C174" s="15"/>
      <c r="D174" s="15"/>
      <c r="E174" s="15"/>
      <c r="F174" s="15"/>
      <c r="G174" s="15"/>
      <c r="H174" s="15"/>
      <c r="I174" s="15">
        <v>0.0</v>
      </c>
      <c r="J174" s="14">
        <v>289.85</v>
      </c>
      <c r="K174" s="16">
        <v>50.0</v>
      </c>
      <c r="L174" s="16">
        <v>95.35</v>
      </c>
      <c r="M174" s="16">
        <v>95.35</v>
      </c>
      <c r="N174" s="15"/>
      <c r="O174" s="15"/>
      <c r="P174" s="15"/>
      <c r="Q174" s="15"/>
      <c r="R174" s="15"/>
      <c r="S174" s="15"/>
      <c r="T174" s="16">
        <v>23.28</v>
      </c>
      <c r="U174" s="16">
        <v>21.02</v>
      </c>
      <c r="V174" s="15"/>
      <c r="W174" s="15"/>
    </row>
    <row r="175" ht="15.0" customHeight="1">
      <c r="A175" s="13" t="s">
        <v>329</v>
      </c>
      <c r="B175" s="15"/>
      <c r="C175" s="15"/>
      <c r="D175" s="15"/>
      <c r="E175" s="15"/>
      <c r="F175" s="15"/>
      <c r="G175" s="15"/>
      <c r="H175" s="15"/>
      <c r="I175" s="15">
        <v>0.0</v>
      </c>
      <c r="J175" s="15">
        <v>0.0</v>
      </c>
      <c r="K175" s="15">
        <v>0.0</v>
      </c>
      <c r="L175" s="15">
        <v>0.0</v>
      </c>
      <c r="M175" s="16">
        <v>0.02</v>
      </c>
      <c r="N175" s="15"/>
      <c r="O175" s="15"/>
      <c r="P175" s="15"/>
      <c r="Q175" s="15"/>
      <c r="R175" s="15"/>
      <c r="S175" s="15"/>
      <c r="T175" s="16">
        <v>23.92</v>
      </c>
      <c r="U175" s="16">
        <v>25.78</v>
      </c>
      <c r="V175" s="15"/>
      <c r="W175" s="15"/>
    </row>
    <row r="176" ht="15.0" customHeight="1">
      <c r="A176" s="13" t="s">
        <v>330</v>
      </c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4">
        <v>307.78</v>
      </c>
      <c r="V176" s="15"/>
      <c r="W176" s="15"/>
    </row>
    <row r="177" ht="15.0" customHeight="1">
      <c r="A177" s="13" t="s">
        <v>331</v>
      </c>
      <c r="B177" s="15"/>
      <c r="C177" s="15"/>
      <c r="D177" s="15"/>
      <c r="E177" s="15"/>
      <c r="F177" s="16">
        <v>6.26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6">
        <v>3.89</v>
      </c>
      <c r="U177" s="16">
        <v>5.62</v>
      </c>
      <c r="V177" s="15"/>
      <c r="W177" s="15"/>
    </row>
    <row r="178" ht="15.0" customHeight="1">
      <c r="A178" s="13" t="s">
        <v>332</v>
      </c>
      <c r="B178" s="15"/>
      <c r="C178" s="15"/>
      <c r="D178" s="15"/>
      <c r="E178" s="15"/>
      <c r="F178" s="16">
        <v>1.46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6">
        <v>0.13</v>
      </c>
      <c r="U178" s="16">
        <v>0.2</v>
      </c>
      <c r="V178" s="15"/>
      <c r="W178" s="15"/>
    </row>
    <row r="179" ht="15.0" customHeight="1">
      <c r="A179" s="13" t="s">
        <v>333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6">
        <v>0.1</v>
      </c>
      <c r="U179" s="16">
        <v>0.1</v>
      </c>
      <c r="V179" s="15"/>
      <c r="W179" s="15"/>
    </row>
    <row r="180" ht="15.0" customHeight="1">
      <c r="A180" s="13" t="s">
        <v>334</v>
      </c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6">
        <v>0.1</v>
      </c>
      <c r="U180" s="16">
        <v>0.1</v>
      </c>
      <c r="V180" s="15"/>
      <c r="W180" s="15"/>
    </row>
    <row r="181" ht="15.0" customHeight="1">
      <c r="A181" s="13" t="s">
        <v>335</v>
      </c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6">
        <v>0.1</v>
      </c>
      <c r="U181" s="16">
        <v>0.71</v>
      </c>
      <c r="V181" s="15"/>
      <c r="W181" s="15"/>
    </row>
    <row r="182" ht="15.0" customHeight="1">
      <c r="A182" s="13" t="s">
        <v>336</v>
      </c>
      <c r="B182" s="15"/>
      <c r="C182" s="15"/>
      <c r="D182" s="15"/>
      <c r="E182" s="15"/>
      <c r="F182" s="16">
        <v>3.19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6">
        <v>1.21</v>
      </c>
      <c r="U182" s="16">
        <v>2.25</v>
      </c>
      <c r="V182" s="15"/>
      <c r="W182" s="15"/>
    </row>
    <row r="183" ht="15.0" customHeight="1">
      <c r="A183" s="13" t="s">
        <v>337</v>
      </c>
      <c r="B183" s="15"/>
      <c r="C183" s="15"/>
      <c r="D183" s="15"/>
      <c r="E183" s="15"/>
      <c r="F183" s="16">
        <v>1.6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6">
        <v>2.25</v>
      </c>
      <c r="U183" s="16">
        <v>2.25</v>
      </c>
      <c r="V183" s="15"/>
      <c r="W183" s="15"/>
    </row>
    <row r="184" ht="15.0" customHeight="1">
      <c r="A184" s="13" t="s">
        <v>338</v>
      </c>
      <c r="B184" s="16">
        <v>1.0</v>
      </c>
      <c r="C184" s="16">
        <v>1.0</v>
      </c>
      <c r="D184" s="16">
        <v>1.0</v>
      </c>
      <c r="E184" s="16">
        <v>1.0</v>
      </c>
      <c r="F184" s="16">
        <v>1.0</v>
      </c>
      <c r="G184" s="16">
        <v>1.0</v>
      </c>
      <c r="H184" s="16">
        <v>1.0</v>
      </c>
      <c r="I184" s="16">
        <v>1.0</v>
      </c>
      <c r="J184" s="16">
        <v>1.0</v>
      </c>
      <c r="K184" s="16">
        <v>1.0</v>
      </c>
      <c r="L184" s="16">
        <v>1.0</v>
      </c>
      <c r="M184" s="16">
        <v>1.0</v>
      </c>
      <c r="N184" s="16">
        <v>1.0</v>
      </c>
      <c r="O184" s="16">
        <v>1.0</v>
      </c>
      <c r="P184" s="16">
        <v>1.0</v>
      </c>
      <c r="Q184" s="16">
        <v>1.0</v>
      </c>
      <c r="R184" s="16">
        <v>1.0</v>
      </c>
      <c r="S184" s="16">
        <v>1.0</v>
      </c>
      <c r="T184" s="16">
        <v>1.0</v>
      </c>
      <c r="U184" s="16">
        <v>1.0</v>
      </c>
      <c r="V184" s="16">
        <v>1.0</v>
      </c>
      <c r="W184" s="16">
        <v>1.0</v>
      </c>
    </row>
    <row r="185" ht="15.0" customHeight="1">
      <c r="A185" s="13" t="s">
        <v>339</v>
      </c>
      <c r="B185" s="14">
        <v>107.43</v>
      </c>
      <c r="C185" s="14">
        <v>107.43</v>
      </c>
      <c r="D185" s="14">
        <v>107.43</v>
      </c>
      <c r="E185" s="14">
        <v>106.78</v>
      </c>
      <c r="F185" s="14">
        <v>106.49</v>
      </c>
      <c r="G185" s="14">
        <v>106.33</v>
      </c>
      <c r="H185" s="14">
        <v>105.62</v>
      </c>
      <c r="I185" s="16">
        <v>87.09</v>
      </c>
      <c r="J185" s="16">
        <v>86.61</v>
      </c>
      <c r="K185" s="16">
        <v>86.61</v>
      </c>
      <c r="L185" s="16">
        <v>86.61</v>
      </c>
      <c r="M185" s="16">
        <v>86.61</v>
      </c>
      <c r="N185" s="16">
        <v>86.61</v>
      </c>
      <c r="O185" s="16">
        <v>86.61</v>
      </c>
      <c r="P185" s="16">
        <v>75.69</v>
      </c>
      <c r="Q185" s="16">
        <v>74.63</v>
      </c>
      <c r="R185" s="16">
        <v>67.91</v>
      </c>
      <c r="S185" s="16">
        <v>34.25</v>
      </c>
      <c r="T185" s="16">
        <v>34.03</v>
      </c>
      <c r="U185" s="16">
        <v>29.81</v>
      </c>
      <c r="V185" s="16">
        <v>26.63</v>
      </c>
      <c r="W185" s="16">
        <v>21.6</v>
      </c>
    </row>
    <row r="186" ht="15.0" customHeight="1">
      <c r="A186" s="13" t="s">
        <v>340</v>
      </c>
      <c r="B186" s="16">
        <v>9.28</v>
      </c>
      <c r="C186" s="16">
        <v>4.04</v>
      </c>
      <c r="D186" s="16">
        <v>1.4</v>
      </c>
      <c r="E186" s="16">
        <v>0.01</v>
      </c>
      <c r="F186" s="16">
        <v>0.01</v>
      </c>
      <c r="G186" s="16">
        <v>0.01</v>
      </c>
      <c r="H186" s="16">
        <v>0.01</v>
      </c>
      <c r="I186" s="16">
        <v>0.01</v>
      </c>
      <c r="J186" s="16">
        <v>0.11</v>
      </c>
      <c r="K186" s="16">
        <v>0.11</v>
      </c>
      <c r="L186" s="16">
        <v>0.11</v>
      </c>
      <c r="M186" s="16">
        <v>0.11</v>
      </c>
      <c r="N186" s="16">
        <v>0.14</v>
      </c>
      <c r="O186" s="16">
        <v>0.29</v>
      </c>
      <c r="P186" s="16">
        <v>0.04</v>
      </c>
      <c r="Q186" s="16">
        <v>0.04</v>
      </c>
      <c r="R186" s="16">
        <v>0.04</v>
      </c>
      <c r="S186" s="15">
        <v>0.0</v>
      </c>
      <c r="T186" s="16">
        <v>0.01</v>
      </c>
      <c r="U186" s="16">
        <v>0.14</v>
      </c>
      <c r="V186" s="15">
        <v>0.0</v>
      </c>
      <c r="W186" s="15">
        <v>0.0</v>
      </c>
    </row>
    <row r="187" ht="15.0" customHeight="1">
      <c r="A187" s="13" t="s">
        <v>341</v>
      </c>
      <c r="B187" s="16">
        <v>98.14</v>
      </c>
      <c r="C187" s="14">
        <v>103.39</v>
      </c>
      <c r="D187" s="14">
        <v>106.03</v>
      </c>
      <c r="E187" s="14">
        <v>106.77</v>
      </c>
      <c r="F187" s="14">
        <v>106.49</v>
      </c>
      <c r="G187" s="14">
        <v>106.32</v>
      </c>
      <c r="H187" s="14">
        <v>105.61</v>
      </c>
      <c r="I187" s="16">
        <v>87.08</v>
      </c>
      <c r="J187" s="16">
        <v>86.49</v>
      </c>
      <c r="K187" s="16">
        <v>86.49</v>
      </c>
      <c r="L187" s="16">
        <v>86.49</v>
      </c>
      <c r="M187" s="16">
        <v>86.49</v>
      </c>
      <c r="N187" s="16">
        <v>86.46</v>
      </c>
      <c r="O187" s="16">
        <v>86.31</v>
      </c>
      <c r="P187" s="16">
        <v>75.66</v>
      </c>
      <c r="Q187" s="16">
        <v>74.6</v>
      </c>
      <c r="R187" s="16">
        <v>67.87</v>
      </c>
      <c r="S187" s="16">
        <v>34.25</v>
      </c>
      <c r="T187" s="16">
        <v>34.02</v>
      </c>
      <c r="U187" s="16">
        <v>29.68</v>
      </c>
      <c r="V187" s="16">
        <v>26.63</v>
      </c>
      <c r="W187" s="16">
        <v>21.6</v>
      </c>
    </row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9" width="15.71"/>
  </cols>
  <sheetData>
    <row r="1" ht="15.0" customHeight="1">
      <c r="A1" s="1" t="s">
        <v>342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46091.3855917361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</row>
    <row r="12" ht="15.0" customHeight="1" outlineLevel="1">
      <c r="A12" s="8" t="s">
        <v>40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</row>
    <row r="13" ht="15.0" customHeight="1" outlineLevel="1">
      <c r="A13" s="8" t="s">
        <v>41</v>
      </c>
      <c r="B13" s="9">
        <v>46022.0</v>
      </c>
      <c r="C13" s="9">
        <v>45657.0</v>
      </c>
      <c r="D13" s="9">
        <v>45291.0</v>
      </c>
      <c r="E13" s="9">
        <v>45291.0</v>
      </c>
      <c r="F13" s="9">
        <v>44561.0</v>
      </c>
      <c r="G13" s="9">
        <v>44561.0</v>
      </c>
      <c r="H13" s="9">
        <v>43830.0</v>
      </c>
      <c r="I13" s="9">
        <v>43465.0</v>
      </c>
      <c r="J13" s="9">
        <v>43465.0</v>
      </c>
      <c r="K13" s="9">
        <v>42735.0</v>
      </c>
      <c r="L13" s="9">
        <v>42735.0</v>
      </c>
      <c r="M13" s="9">
        <v>42369.0</v>
      </c>
      <c r="N13" s="9">
        <v>41639.0</v>
      </c>
      <c r="O13" s="9">
        <v>41639.0</v>
      </c>
      <c r="P13" s="9">
        <v>41274.0</v>
      </c>
      <c r="Q13" s="9">
        <v>40908.0</v>
      </c>
      <c r="R13" s="9">
        <v>40178.0</v>
      </c>
      <c r="S13" s="9">
        <v>39903.0</v>
      </c>
      <c r="T13" s="9">
        <v>39721.0</v>
      </c>
      <c r="U13" s="9">
        <v>39082.0</v>
      </c>
      <c r="V13" s="9">
        <v>39082.0</v>
      </c>
      <c r="W13" s="9">
        <v>38717.0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</row>
    <row r="15" ht="15.0" customHeight="1" outlineLevel="1">
      <c r="A15" s="8" t="s">
        <v>44</v>
      </c>
      <c r="B15" s="10" t="s">
        <v>343</v>
      </c>
      <c r="C15" s="10" t="s">
        <v>343</v>
      </c>
      <c r="D15" s="10" t="s">
        <v>343</v>
      </c>
      <c r="E15" s="10" t="s">
        <v>343</v>
      </c>
      <c r="F15" s="10" t="s">
        <v>343</v>
      </c>
      <c r="G15" s="10" t="s">
        <v>343</v>
      </c>
      <c r="H15" s="10" t="s">
        <v>343</v>
      </c>
      <c r="I15" s="10" t="s">
        <v>343</v>
      </c>
      <c r="J15" s="10" t="s">
        <v>343</v>
      </c>
      <c r="K15" s="10" t="s">
        <v>343</v>
      </c>
      <c r="L15" s="10" t="s">
        <v>343</v>
      </c>
      <c r="M15" s="10" t="s">
        <v>343</v>
      </c>
      <c r="N15" s="10" t="s">
        <v>343</v>
      </c>
      <c r="O15" s="10" t="s">
        <v>343</v>
      </c>
      <c r="P15" s="10" t="s">
        <v>343</v>
      </c>
      <c r="Q15" s="10" t="s">
        <v>343</v>
      </c>
      <c r="R15" s="10" t="s">
        <v>343</v>
      </c>
      <c r="S15" s="10" t="s">
        <v>343</v>
      </c>
      <c r="T15" s="10" t="s">
        <v>343</v>
      </c>
      <c r="U15" s="10" t="s">
        <v>343</v>
      </c>
      <c r="V15" s="10" t="s">
        <v>343</v>
      </c>
      <c r="W15" s="10" t="s">
        <v>343</v>
      </c>
    </row>
    <row r="17">
      <c r="A17" s="11" t="s">
        <v>344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11" t="s">
        <v>47</v>
      </c>
      <c r="B18" s="12" t="s">
        <v>48</v>
      </c>
      <c r="C18" s="12" t="s">
        <v>49</v>
      </c>
      <c r="D18" s="12" t="s">
        <v>50</v>
      </c>
      <c r="E18" s="12" t="s">
        <v>51</v>
      </c>
      <c r="F18" s="12" t="s">
        <v>52</v>
      </c>
      <c r="G18" s="12" t="s">
        <v>53</v>
      </c>
      <c r="H18" s="12" t="s">
        <v>54</v>
      </c>
      <c r="I18" s="12" t="s">
        <v>55</v>
      </c>
      <c r="J18" s="12" t="s">
        <v>56</v>
      </c>
      <c r="K18" s="12" t="s">
        <v>57</v>
      </c>
      <c r="L18" s="12" t="s">
        <v>58</v>
      </c>
      <c r="M18" s="12" t="s">
        <v>59</v>
      </c>
      <c r="N18" s="12" t="s">
        <v>60</v>
      </c>
      <c r="O18" s="12" t="s">
        <v>61</v>
      </c>
      <c r="P18" s="12" t="s">
        <v>62</v>
      </c>
      <c r="Q18" s="12" t="s">
        <v>63</v>
      </c>
      <c r="R18" s="12" t="s">
        <v>64</v>
      </c>
      <c r="S18" s="12" t="s">
        <v>65</v>
      </c>
      <c r="T18" s="12" t="s">
        <v>66</v>
      </c>
      <c r="U18" s="12" t="s">
        <v>67</v>
      </c>
      <c r="V18" s="12" t="s">
        <v>68</v>
      </c>
      <c r="W18" s="12" t="s">
        <v>69</v>
      </c>
    </row>
    <row r="19" ht="15.0" customHeight="1">
      <c r="A19" s="13" t="s">
        <v>345</v>
      </c>
      <c r="B19" s="21">
        <v>-37.4</v>
      </c>
      <c r="C19" s="16">
        <v>99.79</v>
      </c>
      <c r="D19" s="14">
        <v>109.26</v>
      </c>
      <c r="E19" s="16">
        <v>42.63</v>
      </c>
      <c r="F19" s="14">
        <v>132.53</v>
      </c>
      <c r="G19" s="16">
        <v>71.72</v>
      </c>
      <c r="H19" s="16">
        <v>33.1</v>
      </c>
      <c r="I19" s="16">
        <v>13.31</v>
      </c>
      <c r="J19" s="16">
        <v>4.23</v>
      </c>
      <c r="K19" s="21">
        <v>-96.69</v>
      </c>
      <c r="L19" s="21">
        <v>-15.32</v>
      </c>
      <c r="M19" s="16">
        <v>62.82</v>
      </c>
      <c r="N19" s="22">
        <v>-177.94</v>
      </c>
      <c r="O19" s="14">
        <v>462.63</v>
      </c>
      <c r="P19" s="16">
        <v>70.58</v>
      </c>
      <c r="Q19" s="22">
        <v>-156.1</v>
      </c>
      <c r="R19" s="22">
        <v>-311.94</v>
      </c>
      <c r="S19" s="16">
        <v>36.82</v>
      </c>
      <c r="T19" s="15"/>
      <c r="U19" s="16">
        <v>84.49</v>
      </c>
      <c r="V19" s="16">
        <v>56.3</v>
      </c>
      <c r="W19" s="16">
        <v>31.25</v>
      </c>
    </row>
    <row r="20" ht="15.0" customHeight="1">
      <c r="A20" s="13" t="s">
        <v>346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6">
        <v>23.42</v>
      </c>
      <c r="U20" s="15"/>
      <c r="V20" s="15"/>
      <c r="W20" s="15"/>
    </row>
    <row r="21" ht="15.0" customHeight="1">
      <c r="A21" s="13" t="s">
        <v>347</v>
      </c>
      <c r="B21" s="15"/>
      <c r="C21" s="15"/>
      <c r="D21" s="15"/>
      <c r="E21" s="15"/>
      <c r="F21" s="15"/>
      <c r="G21" s="15"/>
      <c r="H21" s="15"/>
      <c r="I21" s="15"/>
      <c r="J21" s="15"/>
      <c r="K21" s="16">
        <v>98.72</v>
      </c>
      <c r="L21" s="16">
        <v>64.84</v>
      </c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</row>
    <row r="22" ht="15.0" customHeight="1">
      <c r="A22" s="13" t="s">
        <v>348</v>
      </c>
      <c r="B22" s="16">
        <v>32.21</v>
      </c>
      <c r="C22" s="16">
        <v>11.62</v>
      </c>
      <c r="D22" s="16">
        <v>7.69</v>
      </c>
      <c r="E22" s="16">
        <v>10.48</v>
      </c>
      <c r="F22" s="16">
        <v>5.67</v>
      </c>
      <c r="G22" s="16">
        <v>2.75</v>
      </c>
      <c r="H22" s="16">
        <v>3.03</v>
      </c>
      <c r="I22" s="16">
        <v>1.89</v>
      </c>
      <c r="J22" s="16">
        <v>1.68</v>
      </c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</row>
    <row r="23" ht="15.0" customHeight="1">
      <c r="A23" s="13" t="s">
        <v>349</v>
      </c>
      <c r="B23" s="15"/>
      <c r="C23" s="15"/>
      <c r="D23" s="15"/>
      <c r="E23" s="15"/>
      <c r="F23" s="15"/>
      <c r="G23" s="15"/>
      <c r="H23" s="15"/>
      <c r="I23" s="15"/>
      <c r="J23" s="15"/>
      <c r="K23" s="15">
        <v>0.0</v>
      </c>
      <c r="L23" s="22">
        <v>-104.37</v>
      </c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</row>
    <row r="24" ht="15.0" customHeight="1">
      <c r="A24" s="13" t="s">
        <v>350</v>
      </c>
      <c r="B24" s="15"/>
      <c r="C24" s="15"/>
      <c r="D24" s="15"/>
      <c r="E24" s="15"/>
      <c r="F24" s="15"/>
      <c r="G24" s="15"/>
      <c r="H24" s="15"/>
      <c r="I24" s="15"/>
      <c r="J24" s="15"/>
      <c r="K24" s="16">
        <v>43.37</v>
      </c>
      <c r="L24" s="16">
        <v>58.13</v>
      </c>
      <c r="M24" s="16">
        <v>40.09</v>
      </c>
      <c r="N24" s="16">
        <v>33.81</v>
      </c>
      <c r="O24" s="16">
        <v>24.39</v>
      </c>
      <c r="P24" s="16">
        <v>26.49</v>
      </c>
      <c r="Q24" s="16">
        <v>51.98</v>
      </c>
      <c r="R24" s="16">
        <v>47.31</v>
      </c>
      <c r="S24" s="16">
        <v>30.5</v>
      </c>
      <c r="T24" s="15"/>
      <c r="U24" s="16">
        <v>8.92</v>
      </c>
      <c r="V24" s="16">
        <v>7.56</v>
      </c>
      <c r="W24" s="16">
        <v>6.07</v>
      </c>
    </row>
    <row r="25" ht="15.0" customHeight="1">
      <c r="A25" s="13" t="s">
        <v>351</v>
      </c>
      <c r="B25" s="15"/>
      <c r="C25" s="16">
        <v>11.67</v>
      </c>
      <c r="D25" s="21">
        <v>-6.02</v>
      </c>
      <c r="E25" s="21">
        <v>-1.45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</row>
    <row r="26" ht="15.0" customHeight="1">
      <c r="A26" s="13" t="s">
        <v>352</v>
      </c>
      <c r="B26" s="15"/>
      <c r="C26" s="21">
        <v>-11.67</v>
      </c>
      <c r="D26" s="21">
        <v>-6.65</v>
      </c>
      <c r="E26" s="21">
        <v>-3.44</v>
      </c>
      <c r="F26" s="16">
        <v>2.55</v>
      </c>
      <c r="G26" s="16">
        <v>0.08</v>
      </c>
      <c r="H26" s="16">
        <v>3.46</v>
      </c>
      <c r="I26" s="16">
        <v>8.26</v>
      </c>
      <c r="J26" s="16">
        <v>0.01</v>
      </c>
      <c r="K26" s="16">
        <v>40.24</v>
      </c>
      <c r="L26" s="16">
        <v>47.81</v>
      </c>
      <c r="M26" s="16">
        <v>42.3</v>
      </c>
      <c r="N26" s="16">
        <v>27.63</v>
      </c>
      <c r="O26" s="16">
        <v>42.59</v>
      </c>
      <c r="P26" s="16">
        <v>70.12</v>
      </c>
      <c r="Q26" s="14">
        <v>107.84</v>
      </c>
      <c r="R26" s="16">
        <v>77.74</v>
      </c>
      <c r="S26" s="16">
        <v>89.66</v>
      </c>
      <c r="T26" s="15"/>
      <c r="U26" s="16">
        <v>15.39</v>
      </c>
      <c r="V26" s="16">
        <v>9.63</v>
      </c>
      <c r="W26" s="15"/>
    </row>
    <row r="27" ht="15.0" customHeight="1">
      <c r="A27" s="13" t="s">
        <v>353</v>
      </c>
      <c r="B27" s="15"/>
      <c r="C27" s="16">
        <v>18.33</v>
      </c>
      <c r="D27" s="16">
        <v>12.66</v>
      </c>
      <c r="E27" s="16">
        <v>4.88</v>
      </c>
      <c r="F27" s="21">
        <v>-2.52</v>
      </c>
      <c r="G27" s="21">
        <v>-1.51</v>
      </c>
      <c r="H27" s="21">
        <v>-7.26</v>
      </c>
      <c r="I27" s="21">
        <v>-4.99</v>
      </c>
      <c r="J27" s="21">
        <v>-0.74</v>
      </c>
      <c r="K27" s="21">
        <v>-4.22</v>
      </c>
      <c r="L27" s="21">
        <v>-6.25</v>
      </c>
      <c r="M27" s="21">
        <v>-11.76</v>
      </c>
      <c r="N27" s="21">
        <v>-7.9</v>
      </c>
      <c r="O27" s="16">
        <v>10.22</v>
      </c>
      <c r="P27" s="15"/>
      <c r="Q27" s="15"/>
      <c r="R27" s="15"/>
      <c r="S27" s="15"/>
      <c r="T27" s="15"/>
      <c r="U27" s="15"/>
      <c r="V27" s="15"/>
      <c r="W27" s="15"/>
    </row>
    <row r="28" ht="15.0" customHeight="1">
      <c r="A28" s="13" t="s">
        <v>354</v>
      </c>
      <c r="B28" s="15"/>
      <c r="C28" s="21">
        <v>-18.32</v>
      </c>
      <c r="D28" s="21">
        <v>-3.42</v>
      </c>
      <c r="E28" s="15">
        <v>0.0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</row>
    <row r="29" ht="15.0" customHeight="1">
      <c r="A29" s="13" t="s">
        <v>355</v>
      </c>
      <c r="B29" s="16">
        <v>25.35</v>
      </c>
      <c r="C29" s="21">
        <v>-34.45</v>
      </c>
      <c r="D29" s="16">
        <v>7.08</v>
      </c>
      <c r="E29" s="15">
        <v>0.0</v>
      </c>
      <c r="F29" s="15"/>
      <c r="G29" s="15"/>
      <c r="H29" s="15"/>
      <c r="I29" s="15"/>
      <c r="J29" s="15"/>
      <c r="K29" s="16">
        <v>60.87</v>
      </c>
      <c r="L29" s="21">
        <v>-14.32</v>
      </c>
      <c r="M29" s="21">
        <v>-14.32</v>
      </c>
      <c r="N29" s="21">
        <v>-11.96</v>
      </c>
      <c r="O29" s="21">
        <v>-59.92</v>
      </c>
      <c r="P29" s="21">
        <v>-46.94</v>
      </c>
      <c r="Q29" s="21">
        <v>-30.94</v>
      </c>
      <c r="R29" s="21">
        <v>-21.64</v>
      </c>
      <c r="S29" s="21">
        <v>-17.71</v>
      </c>
      <c r="T29" s="15"/>
      <c r="U29" s="21">
        <v>-8.45</v>
      </c>
      <c r="V29" s="21">
        <v>-6.77</v>
      </c>
      <c r="W29" s="21">
        <v>-2.23</v>
      </c>
    </row>
    <row r="30" ht="15.0" customHeight="1">
      <c r="A30" s="13" t="s">
        <v>356</v>
      </c>
      <c r="B30" s="21">
        <v>-4.94</v>
      </c>
      <c r="C30" s="16">
        <v>0.17</v>
      </c>
      <c r="D30" s="15">
        <v>0.0</v>
      </c>
      <c r="E30" s="21">
        <v>-2.62</v>
      </c>
      <c r="F30" s="15">
        <v>0.0</v>
      </c>
      <c r="G30" s="21">
        <v>-0.24</v>
      </c>
      <c r="H30" s="21">
        <v>-0.19</v>
      </c>
      <c r="I30" s="21">
        <v>-1.51</v>
      </c>
      <c r="J30" s="21">
        <v>-4.43</v>
      </c>
      <c r="K30" s="21">
        <v>-32.15</v>
      </c>
      <c r="L30" s="21">
        <v>-12.91</v>
      </c>
      <c r="M30" s="21">
        <v>-23.41</v>
      </c>
      <c r="N30" s="21">
        <v>-12.76</v>
      </c>
      <c r="O30" s="21">
        <v>-19.15</v>
      </c>
      <c r="P30" s="21">
        <v>-25.01</v>
      </c>
      <c r="Q30" s="21">
        <v>-19.31</v>
      </c>
      <c r="R30" s="21">
        <v>-13.9</v>
      </c>
      <c r="S30" s="21">
        <v>-36.81</v>
      </c>
      <c r="T30" s="15"/>
      <c r="U30" s="21">
        <v>-26.75</v>
      </c>
      <c r="V30" s="21">
        <v>-13.67</v>
      </c>
      <c r="W30" s="21">
        <v>-8.99</v>
      </c>
    </row>
    <row r="31" ht="15.0" customHeight="1">
      <c r="A31" s="13" t="s">
        <v>357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21">
        <v>-39.56</v>
      </c>
      <c r="N31" s="21">
        <v>-22.94</v>
      </c>
      <c r="O31" s="22">
        <v>-418.16</v>
      </c>
      <c r="P31" s="15"/>
      <c r="Q31" s="15"/>
      <c r="R31" s="15"/>
      <c r="S31" s="15"/>
      <c r="T31" s="15"/>
      <c r="U31" s="15"/>
      <c r="V31" s="15"/>
      <c r="W31" s="15"/>
    </row>
    <row r="32" ht="15.0" customHeight="1">
      <c r="A32" s="13" t="s">
        <v>358</v>
      </c>
      <c r="B32" s="15"/>
      <c r="C32" s="15"/>
      <c r="D32" s="15"/>
      <c r="E32" s="15"/>
      <c r="F32" s="15"/>
      <c r="G32" s="15"/>
      <c r="H32" s="15"/>
      <c r="I32" s="15">
        <v>0.0</v>
      </c>
      <c r="J32" s="21">
        <v>-2.17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</row>
    <row r="33" ht="15.0" customHeight="1">
      <c r="A33" s="13" t="s">
        <v>359</v>
      </c>
      <c r="B33" s="15"/>
      <c r="C33" s="15"/>
      <c r="D33" s="15"/>
      <c r="E33" s="15"/>
      <c r="F33" s="15"/>
      <c r="G33" s="15"/>
      <c r="H33" s="15"/>
      <c r="I33" s="15"/>
      <c r="J33" s="15"/>
      <c r="K33" s="21">
        <v>-9.68</v>
      </c>
      <c r="L33" s="15">
        <v>0.0</v>
      </c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</row>
    <row r="34" ht="15.0" customHeight="1">
      <c r="A34" s="13" t="s">
        <v>360</v>
      </c>
      <c r="B34" s="15"/>
      <c r="C34" s="15"/>
      <c r="D34" s="15"/>
      <c r="E34" s="15"/>
      <c r="F34" s="15"/>
      <c r="G34" s="15"/>
      <c r="H34" s="15">
        <v>0.0</v>
      </c>
      <c r="I34" s="16">
        <v>0.53</v>
      </c>
      <c r="J34" s="16">
        <v>0.56</v>
      </c>
      <c r="K34" s="16">
        <v>0.53</v>
      </c>
      <c r="L34" s="16">
        <v>0.92</v>
      </c>
      <c r="M34" s="16">
        <v>1.21</v>
      </c>
      <c r="N34" s="16">
        <v>1.3</v>
      </c>
      <c r="O34" s="16">
        <v>1.42</v>
      </c>
      <c r="P34" s="15">
        <v>0.0</v>
      </c>
      <c r="Q34" s="15"/>
      <c r="R34" s="15"/>
      <c r="S34" s="15"/>
      <c r="T34" s="15"/>
      <c r="U34" s="15"/>
      <c r="V34" s="15"/>
      <c r="W34" s="15"/>
    </row>
    <row r="35" ht="15.0" customHeight="1">
      <c r="A35" s="13" t="s">
        <v>361</v>
      </c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21">
        <v>-74.68</v>
      </c>
      <c r="N35" s="16">
        <v>1.58</v>
      </c>
      <c r="O35" s="16">
        <v>0.17</v>
      </c>
      <c r="P35" s="16">
        <v>5.03</v>
      </c>
      <c r="Q35" s="16">
        <v>1.86</v>
      </c>
      <c r="R35" s="16">
        <v>1.69</v>
      </c>
      <c r="S35" s="21">
        <v>-7.72</v>
      </c>
      <c r="T35" s="15"/>
      <c r="U35" s="21">
        <v>-1.27</v>
      </c>
      <c r="V35" s="21">
        <v>-2.26</v>
      </c>
      <c r="W35" s="21">
        <v>-1.1</v>
      </c>
    </row>
    <row r="36" ht="15.0" customHeight="1">
      <c r="A36" s="13" t="s">
        <v>181</v>
      </c>
      <c r="B36" s="21">
        <v>-1.23</v>
      </c>
      <c r="C36" s="21">
        <v>-3.36</v>
      </c>
      <c r="D36" s="21">
        <v>-9.54</v>
      </c>
      <c r="E36" s="16">
        <v>1.16</v>
      </c>
      <c r="F36" s="16">
        <v>1.94</v>
      </c>
      <c r="G36" s="21">
        <v>-4.58</v>
      </c>
      <c r="H36" s="21">
        <v>-6.29</v>
      </c>
      <c r="I36" s="16">
        <v>0.04</v>
      </c>
      <c r="J36" s="21">
        <v>-0.57</v>
      </c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</row>
    <row r="37" ht="15.0" customHeight="1">
      <c r="A37" s="13" t="s">
        <v>362</v>
      </c>
      <c r="B37" s="15"/>
      <c r="C37" s="15"/>
      <c r="D37" s="15"/>
      <c r="E37" s="15"/>
      <c r="F37" s="15"/>
      <c r="G37" s="15"/>
      <c r="H37" s="15"/>
      <c r="I37" s="15"/>
      <c r="J37" s="15"/>
      <c r="K37" s="16">
        <v>63.31</v>
      </c>
      <c r="L37" s="16">
        <v>5.17</v>
      </c>
      <c r="M37" s="22">
        <v>-200.91</v>
      </c>
      <c r="N37" s="22">
        <v>-137.05</v>
      </c>
      <c r="O37" s="16">
        <v>61.34</v>
      </c>
      <c r="P37" s="16">
        <v>9.07</v>
      </c>
      <c r="Q37" s="14">
        <v>108.99</v>
      </c>
      <c r="R37" s="15"/>
      <c r="S37" s="15"/>
      <c r="T37" s="15"/>
      <c r="U37" s="15"/>
      <c r="V37" s="15"/>
      <c r="W37" s="15"/>
    </row>
    <row r="38" ht="15.0" customHeight="1">
      <c r="A38" s="13" t="s">
        <v>363</v>
      </c>
      <c r="B38" s="15"/>
      <c r="C38" s="15"/>
      <c r="D38" s="15"/>
      <c r="E38" s="15"/>
      <c r="F38" s="15"/>
      <c r="G38" s="15"/>
      <c r="H38" s="15"/>
      <c r="I38" s="15"/>
      <c r="J38" s="15"/>
      <c r="K38" s="22">
        <v>-258.39</v>
      </c>
      <c r="L38" s="21">
        <v>-23.86</v>
      </c>
      <c r="M38" s="16">
        <v>56.46</v>
      </c>
      <c r="N38" s="14">
        <v>160.41</v>
      </c>
      <c r="O38" s="22">
        <v>-151.81</v>
      </c>
      <c r="P38" s="16">
        <v>48.9</v>
      </c>
      <c r="Q38" s="16">
        <v>65.17</v>
      </c>
      <c r="R38" s="22">
        <v>-371.7</v>
      </c>
      <c r="S38" s="22">
        <v>-106.66</v>
      </c>
      <c r="T38" s="15"/>
      <c r="U38" s="16">
        <v>5.04</v>
      </c>
      <c r="V38" s="21">
        <v>-72.34</v>
      </c>
      <c r="W38" s="15"/>
    </row>
    <row r="39" ht="15.0" customHeight="1">
      <c r="A39" s="13" t="s">
        <v>364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6">
        <v>7.9</v>
      </c>
      <c r="O39" s="21">
        <v>-10.22</v>
      </c>
      <c r="P39" s="15"/>
      <c r="Q39" s="15"/>
      <c r="R39" s="15"/>
      <c r="S39" s="15"/>
      <c r="T39" s="15"/>
      <c r="U39" s="15"/>
      <c r="V39" s="15"/>
      <c r="W39" s="15"/>
    </row>
    <row r="40" ht="15.0" customHeight="1">
      <c r="A40" s="13" t="s">
        <v>186</v>
      </c>
      <c r="B40" s="21">
        <v>-3.36</v>
      </c>
      <c r="C40" s="21">
        <v>-53.43</v>
      </c>
      <c r="D40" s="16">
        <v>21.61</v>
      </c>
      <c r="E40" s="16">
        <v>27.87</v>
      </c>
      <c r="F40" s="21">
        <v>-98.11</v>
      </c>
      <c r="G40" s="16">
        <v>1.62</v>
      </c>
      <c r="H40" s="16">
        <v>37.0</v>
      </c>
      <c r="I40" s="21">
        <v>-30.57</v>
      </c>
      <c r="J40" s="21">
        <v>-7.71</v>
      </c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</row>
    <row r="41" ht="15.0" customHeight="1">
      <c r="A41" s="13" t="s">
        <v>365</v>
      </c>
      <c r="B41" s="16">
        <v>37.68</v>
      </c>
      <c r="C41" s="21">
        <v>-14.76</v>
      </c>
      <c r="D41" s="16">
        <v>11.35</v>
      </c>
      <c r="E41" s="16">
        <v>25.21</v>
      </c>
      <c r="F41" s="21">
        <v>-3.93</v>
      </c>
      <c r="G41" s="16">
        <v>10.61</v>
      </c>
      <c r="H41" s="16">
        <v>4.29</v>
      </c>
      <c r="I41" s="21">
        <v>-6.56</v>
      </c>
      <c r="J41" s="16">
        <v>8.58</v>
      </c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</row>
    <row r="42" ht="15.0" customHeight="1">
      <c r="A42" s="13" t="s">
        <v>363</v>
      </c>
      <c r="B42" s="15"/>
      <c r="C42" s="15"/>
      <c r="D42" s="15"/>
      <c r="E42" s="15"/>
      <c r="F42" s="15"/>
      <c r="G42" s="15"/>
      <c r="H42" s="15"/>
      <c r="I42" s="14">
        <v>145.66</v>
      </c>
      <c r="J42" s="16">
        <v>26.2</v>
      </c>
      <c r="K42" s="15"/>
      <c r="L42" s="15"/>
      <c r="M42" s="16">
        <v>56.46</v>
      </c>
      <c r="N42" s="15"/>
      <c r="O42" s="15"/>
      <c r="P42" s="15"/>
      <c r="Q42" s="15"/>
      <c r="R42" s="15"/>
      <c r="S42" s="15"/>
      <c r="T42" s="15"/>
      <c r="U42" s="15"/>
      <c r="V42" s="15"/>
      <c r="W42" s="15"/>
    </row>
    <row r="43" ht="15.0" customHeight="1">
      <c r="A43" s="13" t="s">
        <v>197</v>
      </c>
      <c r="B43" s="16">
        <v>32.95</v>
      </c>
      <c r="C43" s="16">
        <v>27.46</v>
      </c>
      <c r="D43" s="21">
        <v>-30.39</v>
      </c>
      <c r="E43" s="21">
        <v>-93.46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4">
        <v>283.21</v>
      </c>
      <c r="S43" s="14">
        <v>219.86</v>
      </c>
      <c r="T43" s="15"/>
      <c r="U43" s="16">
        <v>11.33</v>
      </c>
      <c r="V43" s="22">
        <v>-135.34</v>
      </c>
      <c r="W43" s="21">
        <v>-43.16</v>
      </c>
    </row>
    <row r="44" ht="15.0" customHeight="1">
      <c r="A44" s="13" t="s">
        <v>366</v>
      </c>
      <c r="B44" s="16">
        <v>23.82</v>
      </c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</row>
    <row r="45" ht="15.0" customHeight="1">
      <c r="A45" s="13" t="s">
        <v>367</v>
      </c>
      <c r="B45" s="21">
        <v>-69.49</v>
      </c>
      <c r="C45" s="14">
        <v>108.52</v>
      </c>
      <c r="D45" s="21">
        <v>-38.47</v>
      </c>
      <c r="E45" s="16">
        <v>17.55</v>
      </c>
      <c r="F45" s="21">
        <v>-94.26</v>
      </c>
      <c r="G45" s="16">
        <v>40.65</v>
      </c>
      <c r="H45" s="21">
        <v>-13.02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</row>
    <row r="46" ht="15.0" customHeight="1">
      <c r="A46" s="13" t="s">
        <v>368</v>
      </c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6">
        <v>2.8</v>
      </c>
      <c r="R46" s="15"/>
      <c r="S46" s="15"/>
      <c r="T46" s="15"/>
      <c r="U46" s="15"/>
      <c r="V46" s="15"/>
      <c r="W46" s="15"/>
    </row>
    <row r="47" ht="15.0" customHeight="1">
      <c r="A47" s="13" t="s">
        <v>369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>
        <v>0.0</v>
      </c>
      <c r="O47" s="16">
        <v>22.8</v>
      </c>
      <c r="P47" s="15">
        <v>0.0</v>
      </c>
      <c r="Q47" s="15"/>
      <c r="R47" s="16">
        <v>99.23</v>
      </c>
      <c r="S47" s="16">
        <v>0.35</v>
      </c>
      <c r="T47" s="15"/>
      <c r="U47" s="15"/>
      <c r="V47" s="15"/>
      <c r="W47" s="15"/>
    </row>
    <row r="48" ht="15.0" customHeight="1">
      <c r="A48" s="13" t="s">
        <v>370</v>
      </c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22">
        <v>-148.81</v>
      </c>
      <c r="S48" s="22">
        <v>-123.92</v>
      </c>
      <c r="T48" s="15"/>
      <c r="U48" s="15"/>
      <c r="V48" s="15"/>
      <c r="W48" s="21">
        <v>-10.04</v>
      </c>
    </row>
    <row r="49" ht="15.0" customHeight="1">
      <c r="A49" s="13" t="s">
        <v>371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21">
        <v>-0.35</v>
      </c>
      <c r="V49" s="21">
        <v>-1.47</v>
      </c>
      <c r="W49" s="15"/>
    </row>
    <row r="50" ht="15.0" customHeight="1">
      <c r="A50" s="13" t="s">
        <v>372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21">
        <v>-79.89</v>
      </c>
      <c r="V50" s="16">
        <v>83.34</v>
      </c>
      <c r="W50" s="16">
        <v>27.47</v>
      </c>
    </row>
    <row r="51" ht="15.0" customHeight="1">
      <c r="A51" s="13" t="s">
        <v>373</v>
      </c>
      <c r="B51" s="15"/>
      <c r="C51" s="15"/>
      <c r="D51" s="15"/>
      <c r="E51" s="15"/>
      <c r="F51" s="16">
        <v>1.54</v>
      </c>
      <c r="G51" s="16">
        <v>4.34</v>
      </c>
      <c r="H51" s="16">
        <v>3.78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</row>
    <row r="52" ht="15.0" customHeight="1">
      <c r="A52" s="13" t="s">
        <v>374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21">
        <v>-7.53</v>
      </c>
      <c r="V52" s="16">
        <v>5.26</v>
      </c>
      <c r="W52" s="16">
        <v>7.86</v>
      </c>
    </row>
    <row r="53" ht="15.0" customHeight="1">
      <c r="A53" s="13" t="s">
        <v>375</v>
      </c>
      <c r="B53" s="15"/>
      <c r="C53" s="15"/>
      <c r="D53" s="15">
        <v>0.0</v>
      </c>
      <c r="E53" s="15">
        <v>0.0</v>
      </c>
      <c r="F53" s="23">
        <v>0.0</v>
      </c>
      <c r="G53" s="15">
        <v>0.0</v>
      </c>
      <c r="H53" s="21">
        <v>-0.24</v>
      </c>
      <c r="I53" s="23">
        <v>0.0</v>
      </c>
      <c r="J53" s="15">
        <v>0.0</v>
      </c>
      <c r="K53" s="15"/>
      <c r="L53" s="23">
        <v>0.0</v>
      </c>
      <c r="M53" s="15"/>
      <c r="N53" s="15">
        <v>0.0</v>
      </c>
      <c r="O53" s="23">
        <v>0.0</v>
      </c>
      <c r="P53" s="15"/>
      <c r="Q53" s="15"/>
      <c r="R53" s="15"/>
      <c r="S53" s="15"/>
      <c r="T53" s="15"/>
      <c r="U53" s="15"/>
      <c r="V53" s="15"/>
      <c r="W53" s="15"/>
    </row>
    <row r="54" ht="15.0" customHeight="1">
      <c r="A54" s="17" t="s">
        <v>376</v>
      </c>
      <c r="B54" s="20">
        <v>35.59</v>
      </c>
      <c r="C54" s="18">
        <v>141.55</v>
      </c>
      <c r="D54" s="20">
        <v>75.16</v>
      </c>
      <c r="E54" s="20">
        <v>28.82</v>
      </c>
      <c r="F54" s="24">
        <v>-54.59</v>
      </c>
      <c r="G54" s="18">
        <v>125.42</v>
      </c>
      <c r="H54" s="20">
        <v>57.66</v>
      </c>
      <c r="I54" s="18">
        <v>126.04</v>
      </c>
      <c r="J54" s="20">
        <v>25.64</v>
      </c>
      <c r="K54" s="24">
        <v>-94.09</v>
      </c>
      <c r="L54" s="24">
        <v>-0.17</v>
      </c>
      <c r="M54" s="25">
        <v>-161.76</v>
      </c>
      <c r="N54" s="25">
        <v>-137.92</v>
      </c>
      <c r="O54" s="24">
        <v>-33.7</v>
      </c>
      <c r="P54" s="18">
        <v>158.24</v>
      </c>
      <c r="Q54" s="18">
        <v>132.29</v>
      </c>
      <c r="R54" s="25">
        <v>-358.83</v>
      </c>
      <c r="S54" s="20">
        <v>84.37</v>
      </c>
      <c r="T54" s="20">
        <v>23.42</v>
      </c>
      <c r="U54" s="20">
        <v>0.93</v>
      </c>
      <c r="V54" s="24">
        <v>-69.75</v>
      </c>
      <c r="W54" s="20">
        <v>7.11</v>
      </c>
    </row>
    <row r="55" ht="15.0" customHeight="1">
      <c r="A55" s="13" t="s">
        <v>377</v>
      </c>
      <c r="B55" s="15"/>
      <c r="C55" s="15"/>
      <c r="D55" s="15"/>
      <c r="E55" s="15"/>
      <c r="F55" s="15">
        <v>0.0</v>
      </c>
      <c r="G55" s="15">
        <v>0.0</v>
      </c>
      <c r="H55" s="21">
        <v>-8.35</v>
      </c>
      <c r="I55" s="15"/>
      <c r="J55" s="15"/>
      <c r="K55" s="15"/>
      <c r="L55" s="15"/>
      <c r="M55" s="21">
        <v>-1.09</v>
      </c>
      <c r="N55" s="21">
        <v>-11.73</v>
      </c>
      <c r="O55" s="22">
        <v>-144.3</v>
      </c>
      <c r="P55" s="15">
        <v>0.0</v>
      </c>
      <c r="Q55" s="15"/>
      <c r="R55" s="15"/>
      <c r="S55" s="15"/>
      <c r="T55" s="15"/>
      <c r="U55" s="15"/>
      <c r="V55" s="15"/>
      <c r="W55" s="15"/>
    </row>
    <row r="56" ht="15.0" customHeight="1">
      <c r="A56" s="13" t="s">
        <v>378</v>
      </c>
      <c r="B56" s="21">
        <v>-19.21</v>
      </c>
      <c r="C56" s="21">
        <v>-25.12</v>
      </c>
      <c r="D56" s="21">
        <v>-19.24</v>
      </c>
      <c r="E56" s="21">
        <v>-22.4</v>
      </c>
      <c r="F56" s="21">
        <v>-26.25</v>
      </c>
      <c r="G56" s="21">
        <v>-12.08</v>
      </c>
      <c r="H56" s="21">
        <v>-13.31</v>
      </c>
      <c r="I56" s="21">
        <v>-7.78</v>
      </c>
      <c r="J56" s="21">
        <v>-3.74</v>
      </c>
      <c r="K56" s="21">
        <v>-12.5</v>
      </c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</row>
    <row r="57" ht="15.0" customHeight="1">
      <c r="A57" s="13" t="s">
        <v>379</v>
      </c>
      <c r="B57" s="15"/>
      <c r="C57" s="15"/>
      <c r="D57" s="15"/>
      <c r="E57" s="15"/>
      <c r="F57" s="15">
        <v>0.0</v>
      </c>
      <c r="G57" s="15">
        <v>0.0</v>
      </c>
      <c r="H57" s="21">
        <v>-59.35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</row>
    <row r="58" ht="15.0" customHeight="1">
      <c r="A58" s="13" t="s">
        <v>380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21">
        <v>-24.13</v>
      </c>
      <c r="M58" s="21">
        <v>-50.69</v>
      </c>
      <c r="N58" s="21">
        <v>-35.75</v>
      </c>
      <c r="O58" s="21">
        <v>-22.74</v>
      </c>
      <c r="P58" s="21">
        <v>-14.4</v>
      </c>
      <c r="Q58" s="21">
        <v>-20.4</v>
      </c>
      <c r="R58" s="21">
        <v>-44.67</v>
      </c>
      <c r="S58" s="21">
        <v>-67.7</v>
      </c>
      <c r="T58" s="15"/>
      <c r="U58" s="21">
        <v>-7.71</v>
      </c>
      <c r="V58" s="21">
        <v>-16.12</v>
      </c>
      <c r="W58" s="21">
        <v>-37.72</v>
      </c>
    </row>
    <row r="59" ht="15.0" customHeight="1">
      <c r="A59" s="13" t="s">
        <v>381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6">
        <v>1.51</v>
      </c>
      <c r="N59" s="21">
        <v>-2.05</v>
      </c>
      <c r="O59" s="21">
        <v>-3.77</v>
      </c>
      <c r="P59" s="21">
        <v>-10.87</v>
      </c>
      <c r="Q59" s="15"/>
      <c r="R59" s="15"/>
      <c r="S59" s="15"/>
      <c r="T59" s="15"/>
      <c r="U59" s="15"/>
      <c r="V59" s="15"/>
      <c r="W59" s="15"/>
    </row>
    <row r="60" ht="15.0" customHeight="1">
      <c r="A60" s="13" t="s">
        <v>382</v>
      </c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6">
        <v>14.33</v>
      </c>
      <c r="N60" s="16">
        <v>40.86</v>
      </c>
      <c r="O60" s="16">
        <v>47.71</v>
      </c>
      <c r="P60" s="15">
        <v>0.0</v>
      </c>
      <c r="Q60" s="15"/>
      <c r="R60" s="16">
        <v>0.6</v>
      </c>
      <c r="S60" s="21">
        <v>-3.97</v>
      </c>
      <c r="T60" s="15"/>
      <c r="U60" s="15"/>
      <c r="V60" s="15"/>
      <c r="W60" s="15"/>
    </row>
    <row r="61" ht="15.0" customHeight="1">
      <c r="A61" s="13" t="s">
        <v>383</v>
      </c>
      <c r="B61" s="15"/>
      <c r="C61" s="15"/>
      <c r="D61" s="15"/>
      <c r="E61" s="15"/>
      <c r="F61" s="15"/>
      <c r="G61" s="15"/>
      <c r="H61" s="15"/>
      <c r="I61" s="15"/>
      <c r="J61" s="15"/>
      <c r="K61" s="15">
        <v>0.0</v>
      </c>
      <c r="L61" s="14">
        <v>220.11</v>
      </c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</row>
    <row r="62" ht="15.0" customHeight="1">
      <c r="A62" s="13" t="s">
        <v>384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6">
        <v>39.56</v>
      </c>
      <c r="N62" s="16">
        <v>22.95</v>
      </c>
      <c r="O62" s="14">
        <v>1216.42</v>
      </c>
      <c r="P62" s="15">
        <v>0.0</v>
      </c>
      <c r="Q62" s="15"/>
      <c r="R62" s="15"/>
      <c r="S62" s="15"/>
      <c r="T62" s="22">
        <v>-563.97</v>
      </c>
      <c r="U62" s="15"/>
      <c r="V62" s="15"/>
      <c r="W62" s="15"/>
    </row>
    <row r="63" ht="15.0" customHeight="1">
      <c r="A63" s="13" t="s">
        <v>385</v>
      </c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6">
        <v>23.3</v>
      </c>
      <c r="N63" s="15">
        <v>0.0</v>
      </c>
      <c r="O63" s="21">
        <v>-28.67</v>
      </c>
      <c r="P63" s="15">
        <v>0.0</v>
      </c>
      <c r="Q63" s="15"/>
      <c r="R63" s="15">
        <v>0.0</v>
      </c>
      <c r="S63" s="21">
        <v>-70.0</v>
      </c>
      <c r="T63" s="15"/>
      <c r="U63" s="21">
        <v>-3.11</v>
      </c>
      <c r="V63" s="21">
        <v>-44.63</v>
      </c>
      <c r="W63" s="21">
        <v>-22.71</v>
      </c>
    </row>
    <row r="64" ht="15.0" customHeight="1">
      <c r="A64" s="13" t="s">
        <v>386</v>
      </c>
      <c r="B64" s="15"/>
      <c r="C64" s="15"/>
      <c r="D64" s="15"/>
      <c r="E64" s="15"/>
      <c r="F64" s="15"/>
      <c r="G64" s="15"/>
      <c r="H64" s="15"/>
      <c r="I64" s="15"/>
      <c r="J64" s="15"/>
      <c r="K64" s="15">
        <v>0.0</v>
      </c>
      <c r="L64" s="16">
        <v>0.18</v>
      </c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</row>
    <row r="65" ht="15.0" customHeight="1">
      <c r="A65" s="13" t="s">
        <v>387</v>
      </c>
      <c r="B65" s="15"/>
      <c r="C65" s="15"/>
      <c r="D65" s="15"/>
      <c r="E65" s="15"/>
      <c r="F65" s="15"/>
      <c r="G65" s="15"/>
      <c r="H65" s="15"/>
      <c r="I65" s="15">
        <v>0.0</v>
      </c>
      <c r="J65" s="15">
        <v>0.0</v>
      </c>
      <c r="K65" s="16">
        <v>12.12</v>
      </c>
      <c r="L65" s="15"/>
      <c r="M65" s="15"/>
      <c r="N65" s="15"/>
      <c r="O65" s="15"/>
      <c r="P65" s="16">
        <v>9.35</v>
      </c>
      <c r="Q65" s="16">
        <v>6.0</v>
      </c>
      <c r="R65" s="16">
        <v>4.53</v>
      </c>
      <c r="S65" s="15">
        <v>0.0</v>
      </c>
      <c r="T65" s="15"/>
      <c r="U65" s="16">
        <v>0.46</v>
      </c>
      <c r="V65" s="16">
        <v>2.66</v>
      </c>
      <c r="W65" s="16">
        <v>0.4</v>
      </c>
    </row>
    <row r="66" ht="15.0" customHeight="1">
      <c r="A66" s="13" t="s">
        <v>388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21">
        <v>-12.9</v>
      </c>
      <c r="R66" s="21">
        <v>-68.22</v>
      </c>
      <c r="S66" s="21">
        <v>-72.51</v>
      </c>
      <c r="T66" s="15"/>
      <c r="U66" s="15">
        <v>0.0</v>
      </c>
      <c r="V66" s="21">
        <v>-0.75</v>
      </c>
      <c r="W66" s="15"/>
    </row>
    <row r="67" ht="15.0" customHeight="1">
      <c r="A67" s="13" t="s">
        <v>389</v>
      </c>
      <c r="B67" s="15"/>
      <c r="C67" s="15"/>
      <c r="D67" s="15"/>
      <c r="E67" s="15"/>
      <c r="F67" s="21">
        <v>-98.34</v>
      </c>
      <c r="G67" s="21">
        <v>-13.96</v>
      </c>
      <c r="H67" s="15">
        <v>0.0</v>
      </c>
      <c r="I67" s="16">
        <v>22.61</v>
      </c>
      <c r="J67" s="16">
        <v>33.12</v>
      </c>
      <c r="K67" s="15"/>
      <c r="L67" s="15"/>
      <c r="M67" s="15"/>
      <c r="N67" s="15"/>
      <c r="O67" s="15"/>
      <c r="P67" s="14">
        <v>244.37</v>
      </c>
      <c r="Q67" s="15"/>
      <c r="R67" s="15"/>
      <c r="S67" s="15"/>
      <c r="T67" s="15"/>
      <c r="U67" s="15"/>
      <c r="V67" s="15"/>
      <c r="W67" s="15"/>
    </row>
    <row r="68" ht="15.0" customHeight="1">
      <c r="A68" s="13" t="s">
        <v>390</v>
      </c>
      <c r="B68" s="15"/>
      <c r="C68" s="15"/>
      <c r="D68" s="15"/>
      <c r="E68" s="15"/>
      <c r="F68" s="15">
        <v>0.0</v>
      </c>
      <c r="G68" s="15">
        <v>0.0</v>
      </c>
      <c r="H68" s="14">
        <v>553.56</v>
      </c>
      <c r="I68" s="15">
        <v>0.0</v>
      </c>
      <c r="J68" s="16">
        <v>2.17</v>
      </c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</row>
    <row r="69" ht="15.0" customHeight="1">
      <c r="A69" s="13" t="s">
        <v>391</v>
      </c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21">
        <v>-2.18</v>
      </c>
      <c r="S69" s="21">
        <v>-1.51</v>
      </c>
      <c r="T69" s="15"/>
      <c r="U69" s="21">
        <v>-0.58</v>
      </c>
      <c r="V69" s="21">
        <v>-0.19</v>
      </c>
      <c r="W69" s="21">
        <v>-0.08</v>
      </c>
    </row>
    <row r="70" ht="15.0" customHeight="1">
      <c r="A70" s="13" t="s">
        <v>392</v>
      </c>
      <c r="B70" s="15"/>
      <c r="C70" s="15"/>
      <c r="D70" s="21">
        <v>-28.76</v>
      </c>
      <c r="E70" s="15">
        <v>0.0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</row>
    <row r="71" ht="15.0" customHeight="1">
      <c r="A71" s="13" t="s">
        <v>393</v>
      </c>
      <c r="B71" s="15">
        <v>0.0</v>
      </c>
      <c r="C71" s="21">
        <v>-56.3</v>
      </c>
      <c r="D71" s="21">
        <v>-2.73</v>
      </c>
      <c r="E71" s="15">
        <v>0.0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</row>
    <row r="72" ht="15.0" customHeight="1">
      <c r="A72" s="13" t="s">
        <v>394</v>
      </c>
      <c r="B72" s="15"/>
      <c r="C72" s="15"/>
      <c r="D72" s="15"/>
      <c r="E72" s="15"/>
      <c r="F72" s="15"/>
      <c r="G72" s="15">
        <v>0.0</v>
      </c>
      <c r="H72" s="15"/>
      <c r="I72" s="15"/>
      <c r="J72" s="15"/>
      <c r="K72" s="15"/>
      <c r="L72" s="15">
        <v>0.0</v>
      </c>
      <c r="M72" s="15"/>
      <c r="N72" s="23">
        <v>0.0</v>
      </c>
      <c r="O72" s="15">
        <v>0.0</v>
      </c>
      <c r="P72" s="15"/>
      <c r="Q72" s="15"/>
      <c r="R72" s="15"/>
      <c r="S72" s="15"/>
      <c r="T72" s="15"/>
      <c r="U72" s="15"/>
      <c r="V72" s="15"/>
      <c r="W72" s="15"/>
    </row>
    <row r="73" ht="15.0" customHeight="1">
      <c r="A73" s="17" t="s">
        <v>395</v>
      </c>
      <c r="B73" s="24">
        <v>-19.21</v>
      </c>
      <c r="C73" s="24">
        <v>-81.42</v>
      </c>
      <c r="D73" s="24">
        <v>-50.74</v>
      </c>
      <c r="E73" s="24">
        <v>-22.4</v>
      </c>
      <c r="F73" s="25">
        <v>-124.59</v>
      </c>
      <c r="G73" s="24">
        <v>-26.05</v>
      </c>
      <c r="H73" s="18">
        <v>472.55</v>
      </c>
      <c r="I73" s="20">
        <v>14.83</v>
      </c>
      <c r="J73" s="20">
        <v>31.55</v>
      </c>
      <c r="K73" s="24">
        <v>-0.38</v>
      </c>
      <c r="L73" s="18">
        <v>196.16</v>
      </c>
      <c r="M73" s="20">
        <v>26.92</v>
      </c>
      <c r="N73" s="20">
        <v>14.27</v>
      </c>
      <c r="O73" s="18">
        <v>1064.65</v>
      </c>
      <c r="P73" s="18">
        <v>228.44</v>
      </c>
      <c r="Q73" s="24">
        <v>-27.31</v>
      </c>
      <c r="R73" s="25">
        <v>-109.94</v>
      </c>
      <c r="S73" s="25">
        <v>-215.68</v>
      </c>
      <c r="T73" s="25">
        <v>-563.97</v>
      </c>
      <c r="U73" s="24">
        <v>-10.94</v>
      </c>
      <c r="V73" s="24">
        <v>-59.04</v>
      </c>
      <c r="W73" s="24">
        <v>-60.11</v>
      </c>
    </row>
    <row r="74" ht="15.0" customHeight="1">
      <c r="A74" s="13" t="s">
        <v>396</v>
      </c>
      <c r="B74" s="15"/>
      <c r="C74" s="15"/>
      <c r="D74" s="15"/>
      <c r="E74" s="15"/>
      <c r="F74" s="15"/>
      <c r="G74" s="15"/>
      <c r="H74" s="15"/>
      <c r="I74" s="15"/>
      <c r="J74" s="15"/>
      <c r="K74" s="22">
        <v>-140.1</v>
      </c>
      <c r="L74" s="14">
        <v>125.93</v>
      </c>
      <c r="M74" s="16">
        <v>11.76</v>
      </c>
      <c r="N74" s="15"/>
      <c r="O74" s="15"/>
      <c r="P74" s="15"/>
      <c r="Q74" s="15"/>
      <c r="R74" s="15"/>
      <c r="S74" s="15"/>
      <c r="T74" s="15"/>
      <c r="U74" s="15"/>
      <c r="V74" s="15"/>
      <c r="W74" s="15"/>
    </row>
    <row r="75" ht="15.0" customHeight="1">
      <c r="A75" s="13" t="s">
        <v>397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4">
        <v>656.76</v>
      </c>
      <c r="U75" s="15"/>
      <c r="V75" s="15"/>
      <c r="W75" s="15"/>
    </row>
    <row r="76" ht="15.0" customHeight="1">
      <c r="A76" s="13" t="s">
        <v>398</v>
      </c>
      <c r="B76" s="15"/>
      <c r="C76" s="15"/>
      <c r="D76" s="15"/>
      <c r="E76" s="15"/>
      <c r="F76" s="15"/>
      <c r="G76" s="15"/>
      <c r="H76" s="15"/>
      <c r="I76" s="15"/>
      <c r="J76" s="15"/>
      <c r="K76" s="14">
        <v>171.75</v>
      </c>
      <c r="L76" s="15">
        <v>0.0</v>
      </c>
      <c r="M76" s="14">
        <v>134.66</v>
      </c>
      <c r="N76" s="14">
        <v>115.01</v>
      </c>
      <c r="O76" s="15">
        <v>0.0</v>
      </c>
      <c r="P76" s="14">
        <v>186.0</v>
      </c>
      <c r="Q76" s="16">
        <v>75.0</v>
      </c>
      <c r="R76" s="15"/>
      <c r="S76" s="15"/>
      <c r="T76" s="15"/>
      <c r="U76" s="14">
        <v>146.03</v>
      </c>
      <c r="V76" s="16">
        <v>51.52</v>
      </c>
      <c r="W76" s="16">
        <v>31.54</v>
      </c>
    </row>
    <row r="77" ht="15.0" customHeight="1">
      <c r="A77" s="13" t="s">
        <v>352</v>
      </c>
      <c r="B77" s="15"/>
      <c r="C77" s="15"/>
      <c r="D77" s="15"/>
      <c r="E77" s="15"/>
      <c r="F77" s="21">
        <v>-2.55</v>
      </c>
      <c r="G77" s="21">
        <v>-0.08</v>
      </c>
      <c r="H77" s="21">
        <v>-3.46</v>
      </c>
      <c r="I77" s="21">
        <v>-8.26</v>
      </c>
      <c r="J77" s="21">
        <v>-0.01</v>
      </c>
      <c r="K77" s="21">
        <v>-35.83</v>
      </c>
      <c r="L77" s="21">
        <v>-59.81</v>
      </c>
      <c r="M77" s="21">
        <v>-32.73</v>
      </c>
      <c r="N77" s="21">
        <v>-32.21</v>
      </c>
      <c r="O77" s="21">
        <v>-40.68</v>
      </c>
      <c r="P77" s="21">
        <v>-70.12</v>
      </c>
      <c r="Q77" s="22">
        <v>-107.84</v>
      </c>
      <c r="R77" s="21">
        <v>-77.74</v>
      </c>
      <c r="S77" s="21">
        <v>-89.66</v>
      </c>
      <c r="T77" s="15"/>
      <c r="U77" s="15"/>
      <c r="V77" s="15"/>
      <c r="W77" s="15"/>
    </row>
    <row r="78" ht="15.0" customHeight="1">
      <c r="A78" s="13" t="s">
        <v>399</v>
      </c>
      <c r="B78" s="21">
        <v>-64.27</v>
      </c>
      <c r="C78" s="21">
        <v>-48.78</v>
      </c>
      <c r="D78" s="21">
        <v>-11.01</v>
      </c>
      <c r="E78" s="15">
        <v>0.0</v>
      </c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</row>
    <row r="79" ht="15.0" customHeight="1">
      <c r="A79" s="13" t="s">
        <v>400</v>
      </c>
      <c r="B79" s="15"/>
      <c r="C79" s="15"/>
      <c r="D79" s="16">
        <v>3.01</v>
      </c>
      <c r="E79" s="16">
        <v>2.09</v>
      </c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</row>
    <row r="80" ht="15.0" customHeight="1">
      <c r="A80" s="13" t="s">
        <v>401</v>
      </c>
      <c r="B80" s="16">
        <v>4.95</v>
      </c>
      <c r="C80" s="16">
        <v>4.32</v>
      </c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</row>
    <row r="81" ht="15.0" customHeight="1">
      <c r="A81" s="13" t="s">
        <v>400</v>
      </c>
      <c r="B81" s="15"/>
      <c r="C81" s="15"/>
      <c r="D81" s="15"/>
      <c r="E81" s="15"/>
      <c r="F81" s="16">
        <v>1.13</v>
      </c>
      <c r="G81" s="16">
        <v>2.83</v>
      </c>
      <c r="H81" s="16">
        <v>2.09</v>
      </c>
      <c r="I81" s="16">
        <v>2.4</v>
      </c>
      <c r="J81" s="15">
        <v>0.0</v>
      </c>
      <c r="K81" s="15"/>
      <c r="L81" s="15"/>
      <c r="M81" s="15"/>
      <c r="N81" s="15">
        <v>0.0</v>
      </c>
      <c r="O81" s="16">
        <v>99.94</v>
      </c>
      <c r="P81" s="16">
        <v>9.37</v>
      </c>
      <c r="Q81" s="16">
        <v>41.51</v>
      </c>
      <c r="R81" s="14">
        <v>231.21</v>
      </c>
      <c r="S81" s="16">
        <v>3.04</v>
      </c>
      <c r="T81" s="15"/>
      <c r="U81" s="14">
        <v>134.63</v>
      </c>
      <c r="V81" s="16">
        <v>94.86</v>
      </c>
      <c r="W81" s="16">
        <v>22.1</v>
      </c>
    </row>
    <row r="82" ht="15.0" customHeight="1">
      <c r="A82" s="13" t="s">
        <v>402</v>
      </c>
      <c r="B82" s="15"/>
      <c r="C82" s="15"/>
      <c r="D82" s="15"/>
      <c r="E82" s="15"/>
      <c r="F82" s="15">
        <v>0.0</v>
      </c>
      <c r="G82" s="15">
        <v>0.0</v>
      </c>
      <c r="H82" s="22">
        <v>-422.45</v>
      </c>
      <c r="I82" s="15"/>
      <c r="J82" s="15"/>
      <c r="K82" s="21">
        <v>-51.86</v>
      </c>
      <c r="L82" s="15">
        <v>0.0</v>
      </c>
      <c r="M82" s="15"/>
      <c r="N82" s="21">
        <v>-86.46</v>
      </c>
      <c r="O82" s="22">
        <v>-134.65</v>
      </c>
      <c r="P82" s="15">
        <v>0.0</v>
      </c>
      <c r="Q82" s="15"/>
      <c r="R82" s="15"/>
      <c r="S82" s="15"/>
      <c r="T82" s="15"/>
      <c r="U82" s="15"/>
      <c r="V82" s="15"/>
      <c r="W82" s="15"/>
    </row>
    <row r="83" ht="15.0" customHeight="1">
      <c r="A83" s="13" t="s">
        <v>403</v>
      </c>
      <c r="B83" s="21">
        <v>-6.06</v>
      </c>
      <c r="C83" s="21">
        <v>-4.89</v>
      </c>
      <c r="D83" s="21">
        <v>-3.54</v>
      </c>
      <c r="E83" s="21">
        <v>-1.72</v>
      </c>
      <c r="F83" s="21">
        <v>-0.99</v>
      </c>
      <c r="G83" s="21">
        <v>-0.84</v>
      </c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</row>
    <row r="84" ht="15.0" customHeight="1">
      <c r="A84" s="13" t="s">
        <v>404</v>
      </c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6">
        <v>0.15</v>
      </c>
      <c r="N84" s="16">
        <v>0.5</v>
      </c>
      <c r="O84" s="21">
        <v>-4.48</v>
      </c>
      <c r="P84" s="15">
        <v>0.0</v>
      </c>
      <c r="Q84" s="15"/>
      <c r="R84" s="15"/>
      <c r="S84" s="15"/>
      <c r="T84" s="15"/>
      <c r="U84" s="15"/>
      <c r="V84" s="15"/>
      <c r="W84" s="15"/>
    </row>
    <row r="85" ht="15.0" customHeight="1">
      <c r="A85" s="13" t="s">
        <v>364</v>
      </c>
      <c r="B85" s="15"/>
      <c r="C85" s="15"/>
      <c r="D85" s="15"/>
      <c r="E85" s="15"/>
      <c r="F85" s="16">
        <v>2.52</v>
      </c>
      <c r="G85" s="16">
        <v>1.51</v>
      </c>
      <c r="H85" s="16">
        <v>7.26</v>
      </c>
      <c r="I85" s="16">
        <v>4.99</v>
      </c>
      <c r="J85" s="16">
        <v>0.74</v>
      </c>
      <c r="K85" s="16">
        <v>4.22</v>
      </c>
      <c r="L85" s="16">
        <v>6.25</v>
      </c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</row>
    <row r="86" ht="15.0" customHeight="1">
      <c r="A86" s="13" t="s">
        <v>405</v>
      </c>
      <c r="B86" s="15"/>
      <c r="C86" s="15"/>
      <c r="D86" s="15"/>
      <c r="E86" s="15"/>
      <c r="F86" s="15">
        <v>0.0</v>
      </c>
      <c r="G86" s="15">
        <v>0.0</v>
      </c>
      <c r="H86" s="22">
        <v>-198.37</v>
      </c>
      <c r="I86" s="21">
        <v>-52.4</v>
      </c>
      <c r="J86" s="21">
        <v>-27.25</v>
      </c>
      <c r="K86" s="21">
        <v>-74.57</v>
      </c>
      <c r="L86" s="21">
        <v>-3.0</v>
      </c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</row>
    <row r="87" ht="15.0" customHeight="1">
      <c r="A87" s="13" t="s">
        <v>406</v>
      </c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>
        <v>0.0</v>
      </c>
      <c r="O87" s="22">
        <v>-852.07</v>
      </c>
      <c r="P87" s="22">
        <v>-191.54</v>
      </c>
      <c r="Q87" s="22">
        <v>-114.71</v>
      </c>
      <c r="R87" s="21">
        <v>-98.09</v>
      </c>
      <c r="S87" s="21">
        <v>-24.98</v>
      </c>
      <c r="T87" s="15"/>
      <c r="U87" s="21">
        <v>-14.38</v>
      </c>
      <c r="V87" s="21">
        <v>-12.71</v>
      </c>
      <c r="W87" s="15">
        <v>0.0</v>
      </c>
    </row>
    <row r="88" ht="15.0" customHeight="1">
      <c r="A88" s="13" t="s">
        <v>407</v>
      </c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>
        <v>0.0</v>
      </c>
      <c r="O88" s="22">
        <v>-363.78</v>
      </c>
      <c r="P88" s="15">
        <v>0.0</v>
      </c>
      <c r="Q88" s="15"/>
      <c r="R88" s="15"/>
      <c r="S88" s="15"/>
      <c r="T88" s="15"/>
      <c r="U88" s="15"/>
      <c r="V88" s="15"/>
      <c r="W88" s="15"/>
    </row>
    <row r="89" ht="15.0" customHeight="1">
      <c r="A89" s="13" t="s">
        <v>408</v>
      </c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>
        <v>0.0</v>
      </c>
      <c r="S89" s="21">
        <v>-32.17</v>
      </c>
      <c r="T89" s="15"/>
      <c r="U89" s="15"/>
      <c r="V89" s="15"/>
      <c r="W89" s="15"/>
    </row>
    <row r="90" ht="15.0" customHeight="1">
      <c r="A90" s="13" t="s">
        <v>409</v>
      </c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21">
        <v>-81.33</v>
      </c>
      <c r="Q90" s="16">
        <v>81.48</v>
      </c>
      <c r="R90" s="14">
        <v>351.7</v>
      </c>
      <c r="S90" s="14">
        <v>181.18</v>
      </c>
      <c r="T90" s="15"/>
      <c r="U90" s="22">
        <v>-117.15</v>
      </c>
      <c r="V90" s="16">
        <v>39.96</v>
      </c>
      <c r="W90" s="21">
        <v>-10.26</v>
      </c>
    </row>
    <row r="91" ht="15.0" customHeight="1">
      <c r="A91" s="13" t="s">
        <v>410</v>
      </c>
      <c r="B91" s="15"/>
      <c r="C91" s="15"/>
      <c r="D91" s="15"/>
      <c r="E91" s="15"/>
      <c r="F91" s="21">
        <v>-1.54</v>
      </c>
      <c r="G91" s="21">
        <v>-4.34</v>
      </c>
      <c r="H91" s="21">
        <v>-3.77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</row>
    <row r="92" ht="15.0" customHeight="1">
      <c r="A92" s="13" t="s">
        <v>411</v>
      </c>
      <c r="B92" s="15"/>
      <c r="C92" s="15"/>
      <c r="D92" s="15"/>
      <c r="E92" s="15"/>
      <c r="F92" s="15">
        <v>0.0</v>
      </c>
      <c r="G92" s="15"/>
      <c r="H92" s="15"/>
      <c r="I92" s="15"/>
      <c r="J92" s="23">
        <v>0.0</v>
      </c>
      <c r="K92" s="15"/>
      <c r="L92" s="15"/>
      <c r="M92" s="15"/>
      <c r="N92" s="23">
        <v>0.0</v>
      </c>
      <c r="O92" s="15"/>
      <c r="P92" s="15"/>
      <c r="Q92" s="15"/>
      <c r="R92" s="15"/>
      <c r="S92" s="15"/>
      <c r="T92" s="15"/>
      <c r="U92" s="15"/>
      <c r="V92" s="15"/>
      <c r="W92" s="15"/>
    </row>
    <row r="93" ht="15.0" customHeight="1">
      <c r="A93" s="17" t="s">
        <v>412</v>
      </c>
      <c r="B93" s="24">
        <v>-71.76</v>
      </c>
      <c r="C93" s="24">
        <v>-49.35</v>
      </c>
      <c r="D93" s="24">
        <v>-11.54</v>
      </c>
      <c r="E93" s="20">
        <v>0.36</v>
      </c>
      <c r="F93" s="24">
        <v>-1.43</v>
      </c>
      <c r="G93" s="24">
        <v>-0.92</v>
      </c>
      <c r="H93" s="25">
        <v>-618.71</v>
      </c>
      <c r="I93" s="24">
        <v>-53.26</v>
      </c>
      <c r="J93" s="24">
        <v>-26.52</v>
      </c>
      <c r="K93" s="25">
        <v>-126.39</v>
      </c>
      <c r="L93" s="20">
        <v>69.37</v>
      </c>
      <c r="M93" s="18">
        <v>113.84</v>
      </c>
      <c r="N93" s="24">
        <v>-3.16</v>
      </c>
      <c r="O93" s="25">
        <v>-1295.71</v>
      </c>
      <c r="P93" s="25">
        <v>-147.63</v>
      </c>
      <c r="Q93" s="24">
        <v>-24.55</v>
      </c>
      <c r="R93" s="18">
        <v>407.08</v>
      </c>
      <c r="S93" s="20">
        <v>37.4</v>
      </c>
      <c r="T93" s="18">
        <v>656.76</v>
      </c>
      <c r="U93" s="18">
        <v>149.13</v>
      </c>
      <c r="V93" s="18">
        <v>173.63</v>
      </c>
      <c r="W93" s="20">
        <v>43.37</v>
      </c>
    </row>
    <row r="94" ht="15.0" customHeight="1">
      <c r="A94" s="13" t="s">
        <v>413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21">
        <v>-76.63</v>
      </c>
      <c r="Q94" s="15"/>
      <c r="R94" s="15"/>
      <c r="S94" s="15"/>
      <c r="T94" s="15"/>
      <c r="U94" s="15"/>
      <c r="V94" s="15"/>
      <c r="W94" s="15"/>
    </row>
    <row r="95" ht="15.0" customHeight="1">
      <c r="A95" s="17" t="s">
        <v>414</v>
      </c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24">
        <v>-76.63</v>
      </c>
      <c r="Q95" s="19"/>
      <c r="R95" s="19"/>
      <c r="S95" s="19"/>
      <c r="T95" s="19"/>
      <c r="U95" s="19"/>
      <c r="V95" s="19"/>
      <c r="W95" s="19"/>
    </row>
    <row r="96" ht="15.0" customHeight="1">
      <c r="A96" s="13" t="s">
        <v>415</v>
      </c>
      <c r="B96" s="14">
        <v>204.94</v>
      </c>
      <c r="C96" s="14">
        <v>194.16</v>
      </c>
      <c r="D96" s="14">
        <v>181.28</v>
      </c>
      <c r="E96" s="14">
        <v>174.5</v>
      </c>
      <c r="F96" s="14">
        <v>355.11</v>
      </c>
      <c r="G96" s="14">
        <v>256.66</v>
      </c>
      <c r="H96" s="14">
        <v>349.45</v>
      </c>
      <c r="I96" s="14">
        <v>261.84</v>
      </c>
      <c r="J96" s="14">
        <v>231.17</v>
      </c>
      <c r="K96" s="14">
        <v>413.21</v>
      </c>
      <c r="L96" s="14">
        <v>130.6</v>
      </c>
      <c r="M96" s="14">
        <v>155.57</v>
      </c>
      <c r="N96" s="14">
        <v>227.67</v>
      </c>
      <c r="O96" s="14">
        <v>511.38</v>
      </c>
      <c r="P96" s="14">
        <v>272.33</v>
      </c>
      <c r="Q96" s="14">
        <v>191.91</v>
      </c>
      <c r="R96" s="14">
        <v>267.23</v>
      </c>
      <c r="S96" s="14">
        <v>353.14</v>
      </c>
      <c r="T96" s="14">
        <v>236.93</v>
      </c>
      <c r="U96" s="16">
        <v>97.81</v>
      </c>
      <c r="V96" s="16">
        <v>52.97</v>
      </c>
      <c r="W96" s="16">
        <v>62.6</v>
      </c>
    </row>
    <row r="97" ht="15.0" customHeight="1">
      <c r="A97" s="13" t="s">
        <v>416</v>
      </c>
      <c r="B97" s="14">
        <v>149.55</v>
      </c>
      <c r="C97" s="14">
        <v>204.94</v>
      </c>
      <c r="D97" s="14">
        <v>194.16</v>
      </c>
      <c r="E97" s="14">
        <v>181.28</v>
      </c>
      <c r="F97" s="14">
        <v>174.5</v>
      </c>
      <c r="G97" s="14">
        <v>355.11</v>
      </c>
      <c r="H97" s="14">
        <v>260.95</v>
      </c>
      <c r="I97" s="14">
        <v>349.45</v>
      </c>
      <c r="J97" s="14">
        <v>261.84</v>
      </c>
      <c r="K97" s="14">
        <v>175.78</v>
      </c>
      <c r="L97" s="14">
        <v>413.21</v>
      </c>
      <c r="M97" s="14">
        <v>130.6</v>
      </c>
      <c r="N97" s="14">
        <v>155.57</v>
      </c>
      <c r="O97" s="14">
        <v>227.67</v>
      </c>
      <c r="P97" s="14">
        <v>434.75</v>
      </c>
      <c r="Q97" s="14">
        <v>272.33</v>
      </c>
      <c r="R97" s="14">
        <v>191.91</v>
      </c>
      <c r="S97" s="14">
        <v>267.23</v>
      </c>
      <c r="T97" s="14">
        <v>353.14</v>
      </c>
      <c r="U97" s="14">
        <v>236.93</v>
      </c>
      <c r="V97" s="16">
        <v>97.81</v>
      </c>
      <c r="W97" s="16">
        <v>52.97</v>
      </c>
    </row>
    <row r="98" ht="15.0" customHeight="1">
      <c r="A98" s="13" t="s">
        <v>417</v>
      </c>
      <c r="B98" s="15"/>
      <c r="C98" s="15"/>
      <c r="D98" s="15"/>
      <c r="E98" s="15"/>
      <c r="F98" s="15"/>
      <c r="G98" s="15"/>
      <c r="H98" s="15"/>
      <c r="I98" s="15"/>
      <c r="J98" s="15"/>
      <c r="K98" s="21">
        <v>-16.57</v>
      </c>
      <c r="L98" s="16">
        <v>17.25</v>
      </c>
      <c r="M98" s="21">
        <v>-3.97</v>
      </c>
      <c r="N98" s="16">
        <v>54.72</v>
      </c>
      <c r="O98" s="21">
        <v>-18.95</v>
      </c>
      <c r="P98" s="15"/>
      <c r="Q98" s="15"/>
      <c r="R98" s="21">
        <v>-13.63</v>
      </c>
      <c r="S98" s="16">
        <v>8.01</v>
      </c>
      <c r="T98" s="15"/>
      <c r="U98" s="15"/>
      <c r="V98" s="15"/>
      <c r="W98" s="15"/>
    </row>
    <row r="99" ht="15.0" customHeight="1">
      <c r="A99" s="13" t="s">
        <v>418</v>
      </c>
      <c r="B99" s="21">
        <v>-55.38</v>
      </c>
      <c r="C99" s="16">
        <v>10.78</v>
      </c>
      <c r="D99" s="16">
        <v>12.88</v>
      </c>
      <c r="E99" s="16">
        <v>6.78</v>
      </c>
      <c r="F99" s="22">
        <v>-180.61</v>
      </c>
      <c r="G99" s="16">
        <v>98.46</v>
      </c>
      <c r="H99" s="21">
        <v>-88.5</v>
      </c>
      <c r="I99" s="16">
        <v>87.6</v>
      </c>
      <c r="J99" s="16">
        <v>30.68</v>
      </c>
      <c r="K99" s="22">
        <v>-220.85</v>
      </c>
      <c r="L99" s="14">
        <v>265.36</v>
      </c>
      <c r="M99" s="21">
        <v>-21.0</v>
      </c>
      <c r="N99" s="14">
        <v>155.57</v>
      </c>
      <c r="O99" s="14">
        <v>227.67</v>
      </c>
      <c r="P99" s="15"/>
      <c r="Q99" s="15"/>
      <c r="R99" s="15"/>
      <c r="S99" s="15"/>
      <c r="T99" s="15"/>
      <c r="U99" s="15"/>
      <c r="V99" s="15"/>
      <c r="W99" s="15"/>
    </row>
    <row r="100" ht="15.0" customHeight="1">
      <c r="A100" s="17" t="s">
        <v>418</v>
      </c>
      <c r="B100" s="19"/>
      <c r="C100" s="20">
        <v>10.78</v>
      </c>
      <c r="D100" s="20">
        <v>12.88</v>
      </c>
      <c r="E100" s="20">
        <v>6.78</v>
      </c>
      <c r="F100" s="25">
        <v>-180.61</v>
      </c>
      <c r="G100" s="20">
        <v>98.46</v>
      </c>
      <c r="H100" s="24">
        <v>-88.5</v>
      </c>
      <c r="I100" s="20">
        <v>87.6</v>
      </c>
      <c r="J100" s="20">
        <v>30.68</v>
      </c>
      <c r="K100" s="25">
        <v>-237.42</v>
      </c>
      <c r="L100" s="18">
        <v>282.61</v>
      </c>
      <c r="M100" s="24">
        <v>-24.97</v>
      </c>
      <c r="N100" s="24">
        <v>-72.09</v>
      </c>
      <c r="O100" s="25">
        <v>-283.71</v>
      </c>
      <c r="P100" s="18">
        <v>162.42</v>
      </c>
      <c r="Q100" s="20">
        <v>80.42</v>
      </c>
      <c r="R100" s="24">
        <v>-75.32</v>
      </c>
      <c r="S100" s="24">
        <v>-85.91</v>
      </c>
      <c r="T100" s="18">
        <v>116.2</v>
      </c>
      <c r="U100" s="18">
        <v>139.12</v>
      </c>
      <c r="V100" s="20">
        <v>44.84</v>
      </c>
      <c r="W100" s="24">
        <v>-9.63</v>
      </c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8" width="15.71"/>
  </cols>
  <sheetData>
    <row r="1" ht="15.0" customHeight="1">
      <c r="A1" s="1" t="s">
        <v>419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46091.385592037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420</v>
      </c>
      <c r="X11" s="7" t="s">
        <v>421</v>
      </c>
      <c r="Y11" s="7" t="s">
        <v>422</v>
      </c>
      <c r="Z11" s="7" t="s">
        <v>423</v>
      </c>
      <c r="AA11" s="7" t="s">
        <v>424</v>
      </c>
      <c r="AB11" s="7" t="s">
        <v>425</v>
      </c>
    </row>
    <row r="12" ht="15.0" customHeight="1" outlineLevel="1">
      <c r="A12" s="8" t="s">
        <v>40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  <c r="AA12" s="9">
        <v>36525.0</v>
      </c>
      <c r="AB12" s="9">
        <v>36160.0</v>
      </c>
    </row>
    <row r="13" ht="15.0" customHeight="1" outlineLevel="1">
      <c r="A13" s="8" t="s">
        <v>41</v>
      </c>
      <c r="B13" s="9">
        <v>45657.0</v>
      </c>
      <c r="C13" s="9">
        <v>45291.0</v>
      </c>
      <c r="D13" s="9">
        <v>45291.0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42369.0</v>
      </c>
      <c r="L13" s="9">
        <v>42185.0</v>
      </c>
      <c r="M13" s="9">
        <v>41639.0</v>
      </c>
      <c r="N13" s="9">
        <v>41639.0</v>
      </c>
      <c r="O13" s="9">
        <v>41274.0</v>
      </c>
      <c r="P13" s="9">
        <v>40543.0</v>
      </c>
      <c r="Q13" s="9">
        <v>40543.0</v>
      </c>
      <c r="R13" s="9">
        <v>39994.0</v>
      </c>
      <c r="S13" s="9">
        <v>39629.0</v>
      </c>
      <c r="T13" s="9">
        <v>39447.0</v>
      </c>
      <c r="U13" s="9">
        <v>38717.0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36891.0</v>
      </c>
      <c r="AA13" s="9">
        <v>36891.0</v>
      </c>
      <c r="AB13" s="9">
        <v>36891.0</v>
      </c>
    </row>
    <row r="14" ht="15.0" customHeight="1" outlineLevel="1">
      <c r="A14" s="8" t="s">
        <v>42</v>
      </c>
      <c r="B14" s="10" t="s">
        <v>43</v>
      </c>
      <c r="C14" s="10" t="s">
        <v>43</v>
      </c>
      <c r="D14" s="10" t="s">
        <v>43</v>
      </c>
      <c r="E14" s="10" t="s">
        <v>43</v>
      </c>
      <c r="F14" s="10" t="s">
        <v>43</v>
      </c>
      <c r="G14" s="10" t="s">
        <v>43</v>
      </c>
      <c r="H14" s="10" t="s">
        <v>43</v>
      </c>
      <c r="I14" s="10" t="s">
        <v>43</v>
      </c>
      <c r="J14" s="10" t="s">
        <v>43</v>
      </c>
      <c r="K14" s="10" t="s">
        <v>43</v>
      </c>
      <c r="L14" s="10" t="s">
        <v>43</v>
      </c>
      <c r="M14" s="10" t="s">
        <v>43</v>
      </c>
      <c r="N14" s="10" t="s">
        <v>43</v>
      </c>
      <c r="O14" s="10" t="s">
        <v>43</v>
      </c>
      <c r="P14" s="10" t="s">
        <v>43</v>
      </c>
      <c r="Q14" s="10" t="s">
        <v>43</v>
      </c>
      <c r="R14" s="10" t="s">
        <v>43</v>
      </c>
      <c r="S14" s="10" t="s">
        <v>43</v>
      </c>
      <c r="T14" s="10" t="s">
        <v>43</v>
      </c>
      <c r="U14" s="10" t="s">
        <v>43</v>
      </c>
      <c r="V14" s="10" t="s">
        <v>43</v>
      </c>
      <c r="W14" s="10" t="s">
        <v>43</v>
      </c>
      <c r="X14" s="10" t="s">
        <v>43</v>
      </c>
      <c r="Y14" s="10" t="s">
        <v>43</v>
      </c>
      <c r="Z14" s="10" t="s">
        <v>43</v>
      </c>
      <c r="AA14" s="10" t="s">
        <v>43</v>
      </c>
      <c r="AB14" s="10" t="s">
        <v>43</v>
      </c>
    </row>
    <row r="15" ht="15.0" customHeight="1" outlineLevel="1">
      <c r="A15" s="8" t="s">
        <v>44</v>
      </c>
      <c r="B15" s="10" t="s">
        <v>45</v>
      </c>
      <c r="C15" s="10" t="s">
        <v>45</v>
      </c>
      <c r="D15" s="10" t="s">
        <v>45</v>
      </c>
      <c r="E15" s="10" t="s">
        <v>45</v>
      </c>
      <c r="F15" s="10" t="s">
        <v>45</v>
      </c>
      <c r="G15" s="10" t="s">
        <v>45</v>
      </c>
      <c r="H15" s="10" t="s">
        <v>45</v>
      </c>
      <c r="I15" s="10" t="s">
        <v>45</v>
      </c>
      <c r="J15" s="10" t="s">
        <v>45</v>
      </c>
      <c r="K15" s="10" t="s">
        <v>45</v>
      </c>
      <c r="L15" s="10" t="s">
        <v>45</v>
      </c>
      <c r="M15" s="10" t="s">
        <v>45</v>
      </c>
      <c r="N15" s="10" t="s">
        <v>45</v>
      </c>
      <c r="O15" s="10" t="s">
        <v>45</v>
      </c>
      <c r="P15" s="10" t="s">
        <v>45</v>
      </c>
      <c r="Q15" s="10" t="s">
        <v>45</v>
      </c>
      <c r="R15" s="10" t="s">
        <v>45</v>
      </c>
      <c r="S15" s="10" t="s">
        <v>45</v>
      </c>
      <c r="T15" s="10" t="s">
        <v>45</v>
      </c>
      <c r="U15" s="10" t="s">
        <v>45</v>
      </c>
      <c r="V15" s="10" t="s">
        <v>45</v>
      </c>
      <c r="W15" s="10" t="s">
        <v>45</v>
      </c>
      <c r="X15" s="10" t="s">
        <v>45</v>
      </c>
      <c r="Y15" s="10" t="s">
        <v>45</v>
      </c>
      <c r="Z15" s="10" t="s">
        <v>45</v>
      </c>
      <c r="AA15" s="10" t="s">
        <v>45</v>
      </c>
      <c r="AB15" s="10" t="s">
        <v>45</v>
      </c>
    </row>
    <row r="17">
      <c r="A17" s="11" t="s">
        <v>426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11" t="s">
        <v>47</v>
      </c>
      <c r="B18" s="12" t="s">
        <v>49</v>
      </c>
      <c r="C18" s="12" t="s">
        <v>50</v>
      </c>
      <c r="D18" s="12" t="s">
        <v>51</v>
      </c>
      <c r="E18" s="12" t="s">
        <v>52</v>
      </c>
      <c r="F18" s="12" t="s">
        <v>53</v>
      </c>
      <c r="G18" s="12" t="s">
        <v>54</v>
      </c>
      <c r="H18" s="12" t="s">
        <v>55</v>
      </c>
      <c r="I18" s="12" t="s">
        <v>56</v>
      </c>
      <c r="J18" s="12" t="s">
        <v>57</v>
      </c>
      <c r="K18" s="12" t="s">
        <v>58</v>
      </c>
      <c r="L18" s="12" t="s">
        <v>59</v>
      </c>
      <c r="M18" s="12" t="s">
        <v>60</v>
      </c>
      <c r="N18" s="12" t="s">
        <v>61</v>
      </c>
      <c r="O18" s="12" t="s">
        <v>62</v>
      </c>
      <c r="P18" s="12" t="s">
        <v>63</v>
      </c>
      <c r="Q18" s="12" t="s">
        <v>64</v>
      </c>
      <c r="R18" s="12" t="s">
        <v>65</v>
      </c>
      <c r="S18" s="12" t="s">
        <v>66</v>
      </c>
      <c r="T18" s="12" t="s">
        <v>67</v>
      </c>
      <c r="U18" s="12" t="s">
        <v>68</v>
      </c>
      <c r="V18" s="12" t="s">
        <v>69</v>
      </c>
      <c r="W18" s="12" t="s">
        <v>427</v>
      </c>
      <c r="X18" s="12" t="s">
        <v>428</v>
      </c>
      <c r="Y18" s="12" t="s">
        <v>429</v>
      </c>
      <c r="Z18" s="12" t="s">
        <v>430</v>
      </c>
      <c r="AA18" s="12" t="s">
        <v>431</v>
      </c>
      <c r="AB18" s="12" t="s">
        <v>432</v>
      </c>
    </row>
    <row r="19" ht="15.0" customHeight="1">
      <c r="A19" s="26" t="s">
        <v>433</v>
      </c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 ht="15.0" customHeight="1">
      <c r="A20" s="28" t="s">
        <v>433</v>
      </c>
      <c r="B20" s="29">
        <v>959.85</v>
      </c>
      <c r="C20" s="29">
        <v>835.45</v>
      </c>
      <c r="D20" s="29">
        <v>494.43</v>
      </c>
      <c r="E20" s="29">
        <v>912.31</v>
      </c>
      <c r="F20" s="29">
        <v>295.62</v>
      </c>
      <c r="G20" s="30">
        <v>-28.38</v>
      </c>
      <c r="H20" s="29">
        <v>331.38</v>
      </c>
      <c r="I20" s="29">
        <v>383.48</v>
      </c>
      <c r="J20" s="29">
        <v>577.45</v>
      </c>
      <c r="K20" s="29">
        <v>432.02</v>
      </c>
      <c r="L20" s="29">
        <v>429.58</v>
      </c>
      <c r="M20" s="29">
        <v>305.34</v>
      </c>
      <c r="N20" s="29">
        <v>228.13</v>
      </c>
      <c r="O20" s="29">
        <v>715.32</v>
      </c>
      <c r="P20" s="29">
        <v>887.12</v>
      </c>
      <c r="Q20" s="29">
        <v>950.26</v>
      </c>
      <c r="R20" s="29">
        <v>632.97</v>
      </c>
      <c r="S20" s="29">
        <v>978.24</v>
      </c>
      <c r="T20" s="29">
        <v>431.97</v>
      </c>
      <c r="U20" s="29">
        <v>140.58</v>
      </c>
      <c r="V20" s="29">
        <v>146.53</v>
      </c>
      <c r="W20" s="31">
        <v>58.65</v>
      </c>
      <c r="X20" s="31">
        <v>43.5</v>
      </c>
      <c r="Y20" s="29">
        <v>102.76</v>
      </c>
      <c r="Z20" s="31">
        <v>38.09</v>
      </c>
      <c r="AA20" s="31">
        <v>55.26</v>
      </c>
      <c r="AB20" s="31">
        <v>75.07</v>
      </c>
    </row>
    <row r="21" ht="15.0" customHeight="1">
      <c r="A21" s="28" t="s">
        <v>434</v>
      </c>
      <c r="B21" s="29">
        <v>699.53</v>
      </c>
      <c r="C21" s="29">
        <v>501.89</v>
      </c>
      <c r="D21" s="29">
        <v>401.07</v>
      </c>
      <c r="E21" s="29">
        <v>378.88</v>
      </c>
      <c r="F21" s="29">
        <v>311.91</v>
      </c>
      <c r="G21" s="29">
        <v>339.19</v>
      </c>
      <c r="H21" s="29">
        <v>430.78</v>
      </c>
      <c r="I21" s="29">
        <v>425.57</v>
      </c>
      <c r="J21" s="29">
        <v>394.5</v>
      </c>
      <c r="K21" s="29">
        <v>422.08</v>
      </c>
      <c r="L21" s="29">
        <v>513.1</v>
      </c>
      <c r="M21" s="29">
        <v>617.23</v>
      </c>
      <c r="N21" s="29">
        <v>682.76</v>
      </c>
      <c r="O21" s="29">
        <v>832.78</v>
      </c>
      <c r="P21" s="29">
        <v>776.11</v>
      </c>
      <c r="Q21" s="29">
        <v>626.8</v>
      </c>
      <c r="R21" s="29">
        <v>466.06</v>
      </c>
      <c r="S21" s="29">
        <v>351.2</v>
      </c>
      <c r="T21" s="29">
        <v>164.25</v>
      </c>
      <c r="U21" s="31">
        <v>98.41</v>
      </c>
      <c r="V21" s="31">
        <v>77.91</v>
      </c>
      <c r="W21" s="31">
        <v>59.65</v>
      </c>
      <c r="X21" s="31">
        <v>62.93</v>
      </c>
      <c r="Y21" s="32"/>
      <c r="Z21" s="32"/>
      <c r="AA21" s="32"/>
      <c r="AB21" s="32"/>
    </row>
    <row r="22" ht="15.0" customHeight="1">
      <c r="A22" s="26" t="s">
        <v>435</v>
      </c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</row>
    <row r="23" ht="15.0" customHeight="1">
      <c r="A23" s="28" t="s">
        <v>435</v>
      </c>
      <c r="B23" s="29">
        <v>1079.64</v>
      </c>
      <c r="C23" s="29">
        <v>993.7</v>
      </c>
      <c r="D23" s="29">
        <v>651.36</v>
      </c>
      <c r="E23" s="29">
        <v>1061.74</v>
      </c>
      <c r="F23" s="29">
        <v>640.09</v>
      </c>
      <c r="G23" s="29">
        <v>216.52</v>
      </c>
      <c r="H23" s="29">
        <v>236.86</v>
      </c>
      <c r="I23" s="29">
        <v>154.09</v>
      </c>
      <c r="J23" s="29">
        <v>138.68</v>
      </c>
      <c r="K23" s="29">
        <v>102.36</v>
      </c>
      <c r="L23" s="29">
        <v>174.27</v>
      </c>
      <c r="M23" s="29">
        <v>227.47</v>
      </c>
      <c r="N23" s="29">
        <v>344.88</v>
      </c>
      <c r="O23" s="29">
        <v>206.7</v>
      </c>
      <c r="P23" s="29">
        <v>163.56</v>
      </c>
      <c r="Q23" s="29">
        <v>111.62</v>
      </c>
      <c r="R23" s="29">
        <v>123.27</v>
      </c>
      <c r="S23" s="29">
        <v>719.94</v>
      </c>
      <c r="T23" s="29">
        <v>454.04</v>
      </c>
      <c r="U23" s="29">
        <v>179.83</v>
      </c>
      <c r="V23" s="31">
        <v>87.98</v>
      </c>
      <c r="W23" s="31">
        <v>42.81</v>
      </c>
      <c r="X23" s="31">
        <v>32.11</v>
      </c>
      <c r="Y23" s="31">
        <v>34.26</v>
      </c>
      <c r="Z23" s="31">
        <v>48.56</v>
      </c>
      <c r="AA23" s="31">
        <v>23.66</v>
      </c>
      <c r="AB23" s="31">
        <v>22.26</v>
      </c>
    </row>
    <row r="24" ht="15.0" customHeight="1">
      <c r="A24" s="28" t="s">
        <v>436</v>
      </c>
      <c r="B24" s="29">
        <v>885.31</v>
      </c>
      <c r="C24" s="29">
        <v>712.68</v>
      </c>
      <c r="D24" s="29">
        <v>561.31</v>
      </c>
      <c r="E24" s="29">
        <v>461.86</v>
      </c>
      <c r="F24" s="29">
        <v>277.25</v>
      </c>
      <c r="G24" s="29">
        <v>169.7</v>
      </c>
      <c r="H24" s="29">
        <v>161.25</v>
      </c>
      <c r="I24" s="29">
        <v>159.38</v>
      </c>
      <c r="J24" s="29">
        <v>197.53</v>
      </c>
      <c r="K24" s="29">
        <v>211.14</v>
      </c>
      <c r="L24" s="29">
        <v>223.38</v>
      </c>
      <c r="M24" s="29">
        <v>210.85</v>
      </c>
      <c r="N24" s="29">
        <v>190.01</v>
      </c>
      <c r="O24" s="29">
        <v>265.02</v>
      </c>
      <c r="P24" s="29">
        <v>314.49</v>
      </c>
      <c r="Q24" s="29">
        <v>317.74</v>
      </c>
      <c r="R24" s="29">
        <v>313.01</v>
      </c>
      <c r="S24" s="29">
        <v>296.92</v>
      </c>
      <c r="T24" s="29">
        <v>159.35</v>
      </c>
      <c r="U24" s="31">
        <v>75.4</v>
      </c>
      <c r="V24" s="31">
        <v>49.14</v>
      </c>
      <c r="W24" s="31">
        <v>36.28</v>
      </c>
      <c r="X24" s="31">
        <v>32.17</v>
      </c>
      <c r="Y24" s="32"/>
      <c r="Z24" s="32"/>
      <c r="AA24" s="32"/>
      <c r="AB24" s="32"/>
    </row>
    <row r="25" ht="15.0" customHeight="1">
      <c r="A25" s="26" t="s">
        <v>437</v>
      </c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ht="15.0" customHeight="1">
      <c r="A26" s="28" t="s">
        <v>438</v>
      </c>
      <c r="B26" s="31">
        <v>10.05</v>
      </c>
      <c r="C26" s="31">
        <v>9.25</v>
      </c>
      <c r="D26" s="31">
        <v>6.1</v>
      </c>
      <c r="E26" s="31">
        <v>9.97</v>
      </c>
      <c r="F26" s="31">
        <v>6.02</v>
      </c>
      <c r="G26" s="31">
        <v>2.05</v>
      </c>
      <c r="H26" s="31">
        <v>2.72</v>
      </c>
      <c r="I26" s="31">
        <v>1.78</v>
      </c>
      <c r="J26" s="31">
        <v>1.6</v>
      </c>
      <c r="K26" s="31">
        <v>1.18</v>
      </c>
      <c r="L26" s="31">
        <v>2.01</v>
      </c>
      <c r="M26" s="31">
        <v>2.63</v>
      </c>
      <c r="N26" s="31">
        <v>3.98</v>
      </c>
      <c r="O26" s="31">
        <v>2.73</v>
      </c>
      <c r="P26" s="31">
        <v>2.19</v>
      </c>
      <c r="Q26" s="31">
        <v>1.64</v>
      </c>
      <c r="R26" s="31">
        <v>3.6</v>
      </c>
      <c r="S26" s="31">
        <v>21.16</v>
      </c>
      <c r="T26" s="31">
        <v>15.25</v>
      </c>
      <c r="U26" s="31">
        <v>6.75</v>
      </c>
      <c r="V26" s="31">
        <v>4.07</v>
      </c>
      <c r="W26" s="31">
        <v>2.18</v>
      </c>
      <c r="X26" s="31">
        <v>1.63</v>
      </c>
      <c r="Y26" s="31">
        <v>3.58</v>
      </c>
      <c r="Z26" s="31">
        <v>5.15</v>
      </c>
      <c r="AA26" s="31">
        <v>2.94</v>
      </c>
      <c r="AB26" s="31">
        <v>3.15</v>
      </c>
    </row>
    <row r="27" ht="15.0" customHeight="1">
      <c r="A27" s="28" t="s">
        <v>439</v>
      </c>
      <c r="B27" s="31">
        <v>8.28</v>
      </c>
      <c r="C27" s="31">
        <v>6.68</v>
      </c>
      <c r="D27" s="31">
        <v>5.37</v>
      </c>
      <c r="E27" s="31">
        <v>4.51</v>
      </c>
      <c r="F27" s="31">
        <v>2.83</v>
      </c>
      <c r="G27" s="31">
        <v>1.87</v>
      </c>
      <c r="H27" s="31">
        <v>1.86</v>
      </c>
      <c r="I27" s="31">
        <v>1.84</v>
      </c>
      <c r="J27" s="31">
        <v>2.28</v>
      </c>
      <c r="K27" s="31">
        <v>2.51</v>
      </c>
      <c r="L27" s="31">
        <v>2.71</v>
      </c>
      <c r="M27" s="31">
        <v>2.63</v>
      </c>
      <c r="N27" s="31">
        <v>2.83</v>
      </c>
      <c r="O27" s="31">
        <v>6.26</v>
      </c>
      <c r="P27" s="31">
        <v>8.77</v>
      </c>
      <c r="Q27" s="31">
        <v>9.68</v>
      </c>
      <c r="R27" s="31">
        <v>10.17</v>
      </c>
      <c r="S27" s="31">
        <v>9.88</v>
      </c>
      <c r="T27" s="31">
        <v>5.98</v>
      </c>
      <c r="U27" s="31">
        <v>3.64</v>
      </c>
      <c r="V27" s="31">
        <v>3.32</v>
      </c>
      <c r="W27" s="31">
        <v>3.1</v>
      </c>
      <c r="X27" s="31">
        <v>3.29</v>
      </c>
      <c r="Y27" s="32"/>
      <c r="Z27" s="32"/>
      <c r="AA27" s="32"/>
      <c r="AB27" s="32"/>
    </row>
    <row r="28" ht="15.0" customHeight="1">
      <c r="A28" s="26" t="s">
        <v>440</v>
      </c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 ht="15.0" customHeight="1">
      <c r="A29" s="28" t="s">
        <v>441</v>
      </c>
      <c r="B29" s="33">
        <v>11.49</v>
      </c>
      <c r="C29" s="33">
        <v>5.8</v>
      </c>
      <c r="D29" s="33">
        <v>0.99</v>
      </c>
      <c r="E29" s="34">
        <v>-7.63</v>
      </c>
      <c r="F29" s="33">
        <v>18.04</v>
      </c>
      <c r="G29" s="33">
        <v>22.24</v>
      </c>
      <c r="H29" s="33">
        <v>48.55</v>
      </c>
      <c r="I29" s="33">
        <v>14.71</v>
      </c>
      <c r="J29" s="34">
        <v>-99.77</v>
      </c>
      <c r="K29" s="34">
        <v>-76.17</v>
      </c>
      <c r="L29" s="34">
        <v>-140.95</v>
      </c>
      <c r="M29" s="34">
        <v>-90.72</v>
      </c>
      <c r="N29" s="34">
        <v>-23.85</v>
      </c>
      <c r="O29" s="33">
        <v>31.83</v>
      </c>
      <c r="P29" s="34">
        <v>-5.67</v>
      </c>
      <c r="Q29" s="34">
        <v>-770.09</v>
      </c>
      <c r="R29" s="34">
        <v>-118.47</v>
      </c>
      <c r="S29" s="33">
        <v>3.45</v>
      </c>
      <c r="T29" s="34">
        <v>-1.62</v>
      </c>
      <c r="U29" s="34">
        <v>-52.59</v>
      </c>
      <c r="V29" s="34">
        <v>-37.39</v>
      </c>
      <c r="W29" s="33">
        <v>18.9</v>
      </c>
      <c r="X29" s="34">
        <v>-150.66</v>
      </c>
      <c r="Y29" s="34">
        <v>-382.27</v>
      </c>
      <c r="Z29" s="33">
        <v>6.22</v>
      </c>
      <c r="AA29" s="33">
        <v>38.21</v>
      </c>
      <c r="AB29" s="34">
        <v>-78.41</v>
      </c>
    </row>
    <row r="30" ht="15.0" customHeight="1">
      <c r="A30" s="28" t="s">
        <v>442</v>
      </c>
      <c r="B30" s="33">
        <v>5.02</v>
      </c>
      <c r="C30" s="33">
        <v>4.13</v>
      </c>
      <c r="D30" s="33">
        <v>8.05</v>
      </c>
      <c r="E30" s="33">
        <v>10.49</v>
      </c>
      <c r="F30" s="33">
        <v>10.77</v>
      </c>
      <c r="G30" s="34">
        <v>-4.93</v>
      </c>
      <c r="H30" s="34">
        <v>-40.37</v>
      </c>
      <c r="I30" s="34">
        <v>-81.03</v>
      </c>
      <c r="J30" s="34">
        <v>-76.0</v>
      </c>
      <c r="K30" s="34">
        <v>-49.46</v>
      </c>
      <c r="L30" s="34">
        <v>-40.05</v>
      </c>
      <c r="M30" s="34">
        <v>-115.72</v>
      </c>
      <c r="N30" s="34">
        <v>-121.06</v>
      </c>
      <c r="O30" s="34">
        <v>-49.32</v>
      </c>
      <c r="P30" s="34">
        <v>-37.78</v>
      </c>
      <c r="Q30" s="34">
        <v>-41.3</v>
      </c>
      <c r="R30" s="34">
        <v>-17.42</v>
      </c>
      <c r="S30" s="34">
        <v>-8.46</v>
      </c>
      <c r="T30" s="34">
        <v>-24.66</v>
      </c>
      <c r="U30" s="34">
        <v>-114.15</v>
      </c>
      <c r="V30" s="34">
        <v>-101.84</v>
      </c>
      <c r="W30" s="34">
        <v>-92.16</v>
      </c>
      <c r="X30" s="34">
        <v>-104.23</v>
      </c>
      <c r="Y30" s="33"/>
      <c r="Z30" s="33"/>
      <c r="AA30" s="33"/>
      <c r="AB30" s="33"/>
    </row>
    <row r="31" ht="15.0" customHeight="1">
      <c r="A31" s="26" t="s">
        <v>443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 ht="15.0" customHeight="1">
      <c r="A32" s="28" t="s">
        <v>444</v>
      </c>
      <c r="B32" s="33">
        <v>0.0</v>
      </c>
      <c r="C32" s="33">
        <v>0.0</v>
      </c>
      <c r="D32" s="33">
        <v>0.0</v>
      </c>
      <c r="E32" s="33">
        <v>0.0</v>
      </c>
      <c r="F32" s="33">
        <v>0.0</v>
      </c>
      <c r="G32" s="33">
        <v>0.0</v>
      </c>
      <c r="H32" s="33">
        <v>0.0</v>
      </c>
      <c r="I32" s="33">
        <v>0.0</v>
      </c>
      <c r="J32" s="33">
        <v>0.0</v>
      </c>
      <c r="K32" s="33">
        <v>0.0</v>
      </c>
      <c r="L32" s="33">
        <v>0.0</v>
      </c>
      <c r="M32" s="33">
        <v>27.41</v>
      </c>
      <c r="N32" s="33">
        <v>0.0</v>
      </c>
      <c r="O32" s="33">
        <v>0.0</v>
      </c>
      <c r="P32" s="33">
        <v>0.0</v>
      </c>
      <c r="Q32" s="33">
        <v>0.0</v>
      </c>
      <c r="R32" s="33">
        <v>18.92</v>
      </c>
      <c r="S32" s="33">
        <v>2.57</v>
      </c>
      <c r="T32" s="33">
        <v>0.0</v>
      </c>
      <c r="U32" s="33">
        <v>0.0</v>
      </c>
      <c r="V32" s="33">
        <v>0.0</v>
      </c>
      <c r="W32" s="33">
        <v>0.0</v>
      </c>
      <c r="X32" s="33">
        <v>0.0</v>
      </c>
      <c r="Y32" s="33">
        <v>0.0</v>
      </c>
      <c r="Z32" s="33">
        <v>0.0</v>
      </c>
      <c r="AA32" s="33">
        <v>0.0</v>
      </c>
      <c r="AB32" s="33">
        <v>0.0</v>
      </c>
    </row>
    <row r="33" ht="15.0" customHeight="1">
      <c r="A33" s="28" t="s">
        <v>445</v>
      </c>
      <c r="B33" s="33">
        <v>0.0</v>
      </c>
      <c r="C33" s="33">
        <v>0.0</v>
      </c>
      <c r="D33" s="33">
        <v>0.0</v>
      </c>
      <c r="E33" s="33">
        <v>0.0</v>
      </c>
      <c r="F33" s="33">
        <v>0.0</v>
      </c>
      <c r="G33" s="33">
        <v>0.0</v>
      </c>
      <c r="H33" s="33">
        <v>0.0</v>
      </c>
      <c r="I33" s="33">
        <v>7.83</v>
      </c>
      <c r="J33" s="33">
        <v>6.31</v>
      </c>
      <c r="K33" s="33">
        <v>5.74</v>
      </c>
      <c r="L33" s="33">
        <v>5.32</v>
      </c>
      <c r="M33" s="33">
        <v>5.46</v>
      </c>
      <c r="N33" s="33">
        <v>4.81</v>
      </c>
      <c r="O33" s="33">
        <v>3.91</v>
      </c>
      <c r="P33" s="33">
        <v>2.79</v>
      </c>
      <c r="Q33" s="33">
        <v>2.53</v>
      </c>
      <c r="R33" s="33">
        <v>2.41</v>
      </c>
      <c r="S33" s="33">
        <v>1.1</v>
      </c>
      <c r="T33" s="33">
        <v>0.0</v>
      </c>
      <c r="U33" s="33">
        <v>0.0</v>
      </c>
      <c r="V33" s="33">
        <v>0.0</v>
      </c>
      <c r="W33" s="33">
        <v>0.0</v>
      </c>
      <c r="X33" s="33">
        <v>0.0</v>
      </c>
      <c r="Y33" s="33"/>
      <c r="Z33" s="33"/>
      <c r="AA33" s="33"/>
      <c r="AB33" s="33"/>
    </row>
    <row r="34" ht="15.0" customHeight="1">
      <c r="A34" s="28" t="s">
        <v>446</v>
      </c>
      <c r="B34" s="33">
        <v>0.0</v>
      </c>
      <c r="C34" s="33">
        <v>0.0</v>
      </c>
      <c r="D34" s="33">
        <v>0.0</v>
      </c>
      <c r="E34" s="33">
        <v>0.0</v>
      </c>
      <c r="F34" s="33">
        <v>0.0</v>
      </c>
      <c r="G34" s="33">
        <v>0.0</v>
      </c>
      <c r="H34" s="33">
        <v>0.0</v>
      </c>
      <c r="I34" s="33">
        <v>0.0</v>
      </c>
      <c r="J34" s="33">
        <v>0.0</v>
      </c>
      <c r="K34" s="33">
        <v>0.0</v>
      </c>
      <c r="L34" s="33">
        <v>0.0</v>
      </c>
      <c r="M34" s="33">
        <v>38.07</v>
      </c>
      <c r="N34" s="33">
        <v>0.0</v>
      </c>
      <c r="O34" s="33">
        <v>0.0</v>
      </c>
      <c r="P34" s="33">
        <v>0.0</v>
      </c>
      <c r="Q34" s="33">
        <v>0.0</v>
      </c>
      <c r="R34" s="33">
        <v>26.27</v>
      </c>
      <c r="S34" s="33">
        <v>3.57</v>
      </c>
      <c r="T34" s="33">
        <v>0.0</v>
      </c>
      <c r="U34" s="33">
        <v>0.0</v>
      </c>
      <c r="V34" s="33">
        <v>0.0</v>
      </c>
      <c r="W34" s="33">
        <v>0.0</v>
      </c>
      <c r="X34" s="33">
        <v>0.0</v>
      </c>
      <c r="Y34" s="33">
        <v>0.0</v>
      </c>
      <c r="Z34" s="33">
        <v>0.0</v>
      </c>
      <c r="AA34" s="33">
        <v>0.0</v>
      </c>
      <c r="AB34" s="33">
        <v>0.0</v>
      </c>
    </row>
    <row r="35" ht="15.0" customHeight="1">
      <c r="A35" s="28" t="s">
        <v>447</v>
      </c>
      <c r="B35" s="33">
        <v>0.0</v>
      </c>
      <c r="C35" s="33">
        <v>0.0</v>
      </c>
      <c r="D35" s="33">
        <v>0.0</v>
      </c>
      <c r="E35" s="33">
        <v>0.0</v>
      </c>
      <c r="F35" s="33">
        <v>0.0</v>
      </c>
      <c r="G35" s="33">
        <v>0.0</v>
      </c>
      <c r="H35" s="33">
        <v>0.0</v>
      </c>
      <c r="I35" s="33">
        <v>10.87</v>
      </c>
      <c r="J35" s="33">
        <v>8.77</v>
      </c>
      <c r="K35" s="33">
        <v>7.98</v>
      </c>
      <c r="L35" s="33">
        <v>7.38</v>
      </c>
      <c r="M35" s="33">
        <v>7.59</v>
      </c>
      <c r="N35" s="33">
        <v>6.68</v>
      </c>
      <c r="O35" s="33">
        <v>5.43</v>
      </c>
      <c r="P35" s="33">
        <v>3.88</v>
      </c>
      <c r="Q35" s="33">
        <v>3.51</v>
      </c>
      <c r="R35" s="33">
        <v>3.35</v>
      </c>
      <c r="S35" s="33">
        <v>1.53</v>
      </c>
      <c r="T35" s="33">
        <v>0.0</v>
      </c>
      <c r="U35" s="33">
        <v>0.0</v>
      </c>
      <c r="V35" s="33">
        <v>0.0</v>
      </c>
      <c r="W35" s="33">
        <v>0.0</v>
      </c>
      <c r="X35" s="33">
        <v>0.0</v>
      </c>
      <c r="Y35" s="33"/>
      <c r="Z35" s="33"/>
      <c r="AA35" s="33"/>
      <c r="AB35" s="33"/>
    </row>
    <row r="36" ht="15.0" customHeight="1">
      <c r="A36" s="26" t="s">
        <v>448</v>
      </c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 ht="15.0" customHeight="1">
      <c r="A37" s="28" t="s">
        <v>449</v>
      </c>
      <c r="B37" s="31">
        <v>2.48</v>
      </c>
      <c r="C37" s="31">
        <v>2.43</v>
      </c>
      <c r="D37" s="31">
        <v>1.97</v>
      </c>
      <c r="E37" s="31">
        <v>3.58</v>
      </c>
      <c r="F37" s="31">
        <v>3.45</v>
      </c>
      <c r="G37" s="31">
        <v>1.0</v>
      </c>
      <c r="H37" s="31">
        <v>0.66</v>
      </c>
      <c r="I37" s="31">
        <v>0.34</v>
      </c>
      <c r="J37" s="31">
        <v>0.29</v>
      </c>
      <c r="K37" s="31">
        <v>0.16</v>
      </c>
      <c r="L37" s="31">
        <v>0.29</v>
      </c>
      <c r="M37" s="31">
        <v>0.4</v>
      </c>
      <c r="N37" s="31">
        <v>0.43</v>
      </c>
      <c r="O37" s="31">
        <v>0.25</v>
      </c>
      <c r="P37" s="31">
        <v>0.2</v>
      </c>
      <c r="Q37" s="31">
        <v>0.12</v>
      </c>
      <c r="R37" s="31">
        <v>0.12</v>
      </c>
      <c r="S37" s="31">
        <v>0.77</v>
      </c>
      <c r="T37" s="31">
        <v>0.76</v>
      </c>
      <c r="U37" s="31">
        <v>0.46</v>
      </c>
      <c r="V37" s="31">
        <v>0.34</v>
      </c>
      <c r="W37" s="31">
        <v>0.19</v>
      </c>
      <c r="X37" s="31">
        <v>0.15</v>
      </c>
      <c r="Y37" s="31">
        <v>0.32</v>
      </c>
      <c r="Z37" s="31">
        <v>0.48</v>
      </c>
      <c r="AA37" s="31">
        <v>0.29</v>
      </c>
      <c r="AB37" s="31">
        <v>0.36</v>
      </c>
    </row>
    <row r="38" ht="15.0" customHeight="1">
      <c r="A38" s="28" t="s">
        <v>450</v>
      </c>
      <c r="B38" s="31">
        <v>2.67</v>
      </c>
      <c r="C38" s="31">
        <v>2.47</v>
      </c>
      <c r="D38" s="31">
        <v>1.95</v>
      </c>
      <c r="E38" s="31">
        <v>1.41</v>
      </c>
      <c r="F38" s="31">
        <v>0.76</v>
      </c>
      <c r="G38" s="31">
        <v>0.39</v>
      </c>
      <c r="H38" s="31">
        <v>0.32</v>
      </c>
      <c r="I38" s="31">
        <v>0.29</v>
      </c>
      <c r="J38" s="31">
        <v>0.32</v>
      </c>
      <c r="K38" s="31">
        <v>0.3</v>
      </c>
      <c r="L38" s="31">
        <v>0.3</v>
      </c>
      <c r="M38" s="31">
        <v>0.26</v>
      </c>
      <c r="N38" s="31">
        <v>0.19</v>
      </c>
      <c r="O38" s="31">
        <v>0.34</v>
      </c>
      <c r="P38" s="31">
        <v>0.43</v>
      </c>
      <c r="Q38" s="31">
        <v>0.46</v>
      </c>
      <c r="R38" s="31">
        <v>0.49</v>
      </c>
      <c r="S38" s="31">
        <v>0.58</v>
      </c>
      <c r="T38" s="31">
        <v>0.43</v>
      </c>
      <c r="U38" s="31">
        <v>0.3</v>
      </c>
      <c r="V38" s="31">
        <v>0.3</v>
      </c>
      <c r="W38" s="31">
        <v>0.29</v>
      </c>
      <c r="X38" s="31">
        <v>0.32</v>
      </c>
      <c r="Y38" s="32"/>
      <c r="Z38" s="32"/>
      <c r="AA38" s="32"/>
      <c r="AB38" s="32"/>
    </row>
    <row r="39" ht="15.0" customHeight="1">
      <c r="A39" s="26" t="s">
        <v>451</v>
      </c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 ht="15.0" customHeight="1">
      <c r="A40" s="28" t="s">
        <v>452</v>
      </c>
      <c r="B40" s="31">
        <v>4.81</v>
      </c>
      <c r="C40" s="31">
        <v>2.91</v>
      </c>
      <c r="D40" s="31">
        <v>2.54</v>
      </c>
      <c r="E40" s="31">
        <v>4.42</v>
      </c>
      <c r="F40" s="31">
        <v>4.5</v>
      </c>
      <c r="G40" s="31">
        <v>1.18</v>
      </c>
      <c r="H40" s="31">
        <v>0.67</v>
      </c>
      <c r="I40" s="31">
        <v>0.34</v>
      </c>
      <c r="J40" s="32"/>
      <c r="K40" s="32"/>
      <c r="L40" s="32"/>
      <c r="M40" s="32"/>
      <c r="N40" s="31">
        <v>1.42</v>
      </c>
      <c r="O40" s="32"/>
      <c r="P40" s="32"/>
      <c r="Q40" s="31">
        <v>1.09</v>
      </c>
      <c r="R40" s="32"/>
      <c r="S40" s="31">
        <v>9.36</v>
      </c>
      <c r="T40" s="31">
        <v>1.56</v>
      </c>
      <c r="U40" s="31">
        <v>0.46</v>
      </c>
      <c r="V40" s="32"/>
      <c r="W40" s="32"/>
      <c r="X40" s="32"/>
      <c r="Y40" s="32"/>
      <c r="Z40" s="31">
        <v>0.48</v>
      </c>
      <c r="AA40" s="31">
        <v>0.42</v>
      </c>
      <c r="AB40" s="31">
        <v>0.58</v>
      </c>
    </row>
    <row r="41" ht="15.0" customHeight="1">
      <c r="A41" s="28" t="s">
        <v>453</v>
      </c>
      <c r="B41" s="31">
        <v>3.67</v>
      </c>
      <c r="C41" s="31">
        <v>3.06</v>
      </c>
      <c r="D41" s="31">
        <v>2.28</v>
      </c>
      <c r="E41" s="31">
        <v>1.55</v>
      </c>
      <c r="F41" s="31">
        <v>1.43</v>
      </c>
      <c r="G41" s="31">
        <v>1.52</v>
      </c>
      <c r="H41" s="31">
        <v>2.24</v>
      </c>
      <c r="I41" s="32"/>
      <c r="J41" s="32"/>
      <c r="K41" s="32"/>
      <c r="L41" s="32"/>
      <c r="M41" s="32"/>
      <c r="N41" s="32"/>
      <c r="O41" s="32"/>
      <c r="P41" s="31">
        <v>6.41</v>
      </c>
      <c r="Q41" s="31">
        <v>2.19</v>
      </c>
      <c r="R41" s="31">
        <v>2.48</v>
      </c>
      <c r="S41" s="31">
        <v>1.87</v>
      </c>
      <c r="T41" s="31">
        <v>1.3</v>
      </c>
      <c r="U41" s="32"/>
      <c r="V41" s="32"/>
      <c r="W41" s="31">
        <v>8.21</v>
      </c>
      <c r="X41" s="31">
        <v>2.17</v>
      </c>
      <c r="Y41" s="32"/>
      <c r="Z41" s="32"/>
      <c r="AA41" s="32"/>
      <c r="AB41" s="32"/>
    </row>
    <row r="42" ht="15.0" customHeight="1">
      <c r="A42" s="26" t="s">
        <v>454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 ht="15.0" customHeight="1">
      <c r="A43" s="28" t="s">
        <v>455</v>
      </c>
      <c r="B43" s="31">
        <v>1.63</v>
      </c>
      <c r="C43" s="31">
        <v>1.68</v>
      </c>
      <c r="D43" s="31">
        <v>1.67</v>
      </c>
      <c r="E43" s="31">
        <v>2.21</v>
      </c>
      <c r="F43" s="31">
        <v>1.77</v>
      </c>
      <c r="G43" s="31">
        <v>0.81</v>
      </c>
      <c r="H43" s="31">
        <v>1.08</v>
      </c>
      <c r="I43" s="31">
        <v>0.73</v>
      </c>
      <c r="J43" s="31">
        <v>0.68</v>
      </c>
      <c r="K43" s="31">
        <v>0.03</v>
      </c>
      <c r="L43" s="31">
        <v>0.07</v>
      </c>
      <c r="M43" s="31">
        <v>0.08</v>
      </c>
      <c r="N43" s="31">
        <v>0.17</v>
      </c>
      <c r="O43" s="31">
        <v>0.09</v>
      </c>
      <c r="P43" s="31">
        <v>0.05</v>
      </c>
      <c r="Q43" s="31">
        <v>0.02</v>
      </c>
      <c r="R43" s="31">
        <v>0.03</v>
      </c>
      <c r="S43" s="31">
        <v>0.28</v>
      </c>
      <c r="T43" s="31">
        <v>0.26</v>
      </c>
      <c r="U43" s="31">
        <v>0.14</v>
      </c>
      <c r="V43" s="31">
        <v>0.1</v>
      </c>
      <c r="W43" s="31">
        <v>0.07</v>
      </c>
      <c r="X43" s="31">
        <v>0.04</v>
      </c>
      <c r="Y43" s="31">
        <v>0.08</v>
      </c>
      <c r="Z43" s="31">
        <v>0.12</v>
      </c>
      <c r="AA43" s="31">
        <v>0.06</v>
      </c>
      <c r="AB43" s="31">
        <v>0.07</v>
      </c>
    </row>
    <row r="44" ht="15.0" customHeight="1">
      <c r="A44" s="28" t="s">
        <v>456</v>
      </c>
      <c r="B44" s="31">
        <v>1.78</v>
      </c>
      <c r="C44" s="31">
        <v>1.7</v>
      </c>
      <c r="D44" s="31">
        <v>1.62</v>
      </c>
      <c r="E44" s="31">
        <v>1.46</v>
      </c>
      <c r="F44" s="31">
        <v>1.07</v>
      </c>
      <c r="G44" s="31">
        <v>0.21</v>
      </c>
      <c r="H44" s="31">
        <v>0.13</v>
      </c>
      <c r="I44" s="31">
        <v>0.09</v>
      </c>
      <c r="J44" s="31">
        <v>0.09</v>
      </c>
      <c r="K44" s="31">
        <v>0.08</v>
      </c>
      <c r="L44" s="31">
        <v>0.09</v>
      </c>
      <c r="M44" s="31">
        <v>0.06</v>
      </c>
      <c r="N44" s="31">
        <v>0.05</v>
      </c>
      <c r="O44" s="31">
        <v>0.09</v>
      </c>
      <c r="P44" s="31">
        <v>0.11</v>
      </c>
      <c r="Q44" s="31">
        <v>0.12</v>
      </c>
      <c r="R44" s="31">
        <v>0.15</v>
      </c>
      <c r="S44" s="31">
        <v>0.2</v>
      </c>
      <c r="T44" s="31">
        <v>0.14</v>
      </c>
      <c r="U44" s="31">
        <v>0.09</v>
      </c>
      <c r="V44" s="31">
        <v>0.08</v>
      </c>
      <c r="W44" s="31">
        <v>0.07</v>
      </c>
      <c r="X44" s="31">
        <v>0.07</v>
      </c>
      <c r="Y44" s="32"/>
      <c r="Z44" s="32"/>
      <c r="AA44" s="32"/>
      <c r="AB44" s="32"/>
    </row>
    <row r="45" ht="15.0" customHeight="1">
      <c r="A45" s="26" t="s">
        <v>457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 ht="15.0" customHeight="1">
      <c r="A46" s="28" t="s">
        <v>458</v>
      </c>
      <c r="B46" s="31">
        <v>8.7</v>
      </c>
      <c r="C46" s="31">
        <v>17.23</v>
      </c>
      <c r="D46" s="29">
        <v>100.87</v>
      </c>
      <c r="E46" s="32"/>
      <c r="F46" s="31">
        <v>5.54</v>
      </c>
      <c r="G46" s="31">
        <v>4.5</v>
      </c>
      <c r="H46" s="31">
        <v>2.06</v>
      </c>
      <c r="I46" s="31">
        <v>6.8</v>
      </c>
      <c r="J46" s="32"/>
      <c r="K46" s="32"/>
      <c r="L46" s="32"/>
      <c r="M46" s="32"/>
      <c r="N46" s="32"/>
      <c r="O46" s="31">
        <v>3.14</v>
      </c>
      <c r="P46" s="32"/>
      <c r="Q46" s="32"/>
      <c r="R46" s="32"/>
      <c r="S46" s="31">
        <v>29.02</v>
      </c>
      <c r="T46" s="32"/>
      <c r="U46" s="32"/>
      <c r="V46" s="32"/>
      <c r="W46" s="31">
        <v>5.29</v>
      </c>
      <c r="X46" s="32"/>
      <c r="Y46" s="32"/>
      <c r="Z46" s="31">
        <v>16.07</v>
      </c>
      <c r="AA46" s="31">
        <v>2.62</v>
      </c>
      <c r="AB46" s="32"/>
    </row>
    <row r="47" ht="15.0" customHeight="1">
      <c r="A47" s="28" t="s">
        <v>459</v>
      </c>
      <c r="B47" s="31">
        <v>19.92</v>
      </c>
      <c r="C47" s="31">
        <v>24.22</v>
      </c>
      <c r="D47" s="31">
        <v>12.42</v>
      </c>
      <c r="E47" s="31">
        <v>9.54</v>
      </c>
      <c r="F47" s="31">
        <v>9.28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ht="15.0" customHeight="1">
      <c r="A48" s="26" t="s">
        <v>460</v>
      </c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 ht="15.0" customHeight="1">
      <c r="A49" s="28" t="s">
        <v>461</v>
      </c>
      <c r="B49" s="31">
        <v>10.39</v>
      </c>
      <c r="C49" s="31">
        <v>10.59</v>
      </c>
      <c r="D49" s="31">
        <v>15.01</v>
      </c>
      <c r="E49" s="31">
        <v>9.04</v>
      </c>
      <c r="F49" s="31">
        <v>8.65</v>
      </c>
      <c r="G49" s="31">
        <v>3.33</v>
      </c>
      <c r="H49" s="31">
        <v>17.29</v>
      </c>
      <c r="I49" s="31">
        <v>3.21</v>
      </c>
      <c r="J49" s="31">
        <v>3.16</v>
      </c>
      <c r="K49" s="31">
        <v>4.49</v>
      </c>
      <c r="L49" s="31">
        <v>7.93</v>
      </c>
      <c r="M49" s="32"/>
      <c r="N49" s="31">
        <v>4.86</v>
      </c>
      <c r="O49" s="31">
        <v>2.4</v>
      </c>
      <c r="P49" s="32"/>
      <c r="Q49" s="32"/>
      <c r="R49" s="31">
        <v>1.83</v>
      </c>
      <c r="S49" s="31">
        <v>7.06</v>
      </c>
      <c r="T49" s="31">
        <v>6.0</v>
      </c>
      <c r="U49" s="31">
        <v>3.45</v>
      </c>
      <c r="V49" s="31">
        <v>2.91</v>
      </c>
      <c r="W49" s="31">
        <v>1.46</v>
      </c>
      <c r="X49" s="31">
        <v>0.72</v>
      </c>
      <c r="Y49" s="31">
        <v>2.54</v>
      </c>
      <c r="Z49" s="31">
        <v>6.94</v>
      </c>
      <c r="AA49" s="31">
        <v>1.8</v>
      </c>
      <c r="AB49" s="31">
        <v>3.08</v>
      </c>
    </row>
    <row r="50" ht="15.0" customHeight="1">
      <c r="A50" s="28" t="s">
        <v>462</v>
      </c>
      <c r="B50" s="31">
        <v>10.23</v>
      </c>
      <c r="C50" s="31">
        <v>9.04</v>
      </c>
      <c r="D50" s="31">
        <v>9.02</v>
      </c>
      <c r="E50" s="31">
        <v>7.21</v>
      </c>
      <c r="F50" s="31">
        <v>5.6</v>
      </c>
      <c r="G50" s="31">
        <v>4.45</v>
      </c>
      <c r="H50" s="31">
        <v>5.35</v>
      </c>
      <c r="I50" s="32"/>
      <c r="J50" s="32"/>
      <c r="K50" s="31">
        <v>33.73</v>
      </c>
      <c r="L50" s="32"/>
      <c r="M50" s="32"/>
      <c r="N50" s="31">
        <v>41.4</v>
      </c>
      <c r="O50" s="31">
        <v>12.44</v>
      </c>
      <c r="P50" s="31">
        <v>11.19</v>
      </c>
      <c r="Q50" s="31">
        <v>6.12</v>
      </c>
      <c r="R50" s="31">
        <v>4.68</v>
      </c>
      <c r="S50" s="31">
        <v>4.76</v>
      </c>
      <c r="T50" s="31">
        <v>3.09</v>
      </c>
      <c r="U50" s="31">
        <v>2.13</v>
      </c>
      <c r="V50" s="31">
        <v>2.27</v>
      </c>
      <c r="W50" s="31">
        <v>2.05</v>
      </c>
      <c r="X50" s="31">
        <v>2.32</v>
      </c>
      <c r="Y50" s="32"/>
      <c r="Z50" s="32"/>
      <c r="AA50" s="32"/>
      <c r="AB50" s="32"/>
    </row>
    <row r="51" ht="15.0" customHeight="1">
      <c r="A51" s="26" t="s">
        <v>463</v>
      </c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 ht="15.0" customHeight="1">
      <c r="A52" s="28" t="s">
        <v>464</v>
      </c>
      <c r="B52" s="31">
        <v>12.26</v>
      </c>
      <c r="C52" s="31">
        <v>11.86</v>
      </c>
      <c r="D52" s="31">
        <v>20.33</v>
      </c>
      <c r="E52" s="31">
        <v>9.62</v>
      </c>
      <c r="F52" s="31">
        <v>9.22</v>
      </c>
      <c r="G52" s="31">
        <v>4.54</v>
      </c>
      <c r="H52" s="32"/>
      <c r="I52" s="32"/>
      <c r="J52" s="32"/>
      <c r="K52" s="32"/>
      <c r="L52" s="32"/>
      <c r="M52" s="32"/>
      <c r="N52" s="31">
        <v>11.15</v>
      </c>
      <c r="O52" s="31">
        <v>6.17</v>
      </c>
      <c r="P52" s="32"/>
      <c r="Q52" s="32"/>
      <c r="R52" s="31">
        <v>3.37</v>
      </c>
      <c r="S52" s="31">
        <v>6.5</v>
      </c>
      <c r="T52" s="31">
        <v>5.25</v>
      </c>
      <c r="U52" s="31">
        <v>4.09</v>
      </c>
      <c r="V52" s="31">
        <v>3.79</v>
      </c>
      <c r="W52" s="31">
        <v>65.14</v>
      </c>
      <c r="X52" s="31">
        <v>2.6</v>
      </c>
      <c r="Y52" s="31">
        <v>7.93</v>
      </c>
      <c r="Z52" s="32"/>
      <c r="AA52" s="31">
        <v>3.86</v>
      </c>
      <c r="AB52" s="29">
        <v>187.44</v>
      </c>
    </row>
    <row r="53" ht="15.0" customHeight="1">
      <c r="A53" s="28" t="s">
        <v>465</v>
      </c>
      <c r="B53" s="31">
        <v>11.53</v>
      </c>
      <c r="C53" s="31">
        <v>10.37</v>
      </c>
      <c r="D53" s="31">
        <v>11.1</v>
      </c>
      <c r="E53" s="31">
        <v>11.07</v>
      </c>
      <c r="F53" s="31">
        <v>15.5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1">
        <v>15.36</v>
      </c>
      <c r="R53" s="31">
        <v>5.11</v>
      </c>
      <c r="S53" s="31">
        <v>5.54</v>
      </c>
      <c r="T53" s="31">
        <v>4.75</v>
      </c>
      <c r="U53" s="31">
        <v>4.75</v>
      </c>
      <c r="V53" s="31">
        <v>8.45</v>
      </c>
      <c r="W53" s="31">
        <v>9.36</v>
      </c>
      <c r="X53" s="31">
        <v>10.05</v>
      </c>
      <c r="Y53" s="32"/>
      <c r="Z53" s="32"/>
      <c r="AA53" s="32"/>
      <c r="AB53" s="32"/>
    </row>
    <row r="54" ht="15.0" customHeight="1">
      <c r="A54" s="26" t="s">
        <v>466</v>
      </c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 ht="15.0" customHeight="1">
      <c r="A55" s="28" t="s">
        <v>467</v>
      </c>
      <c r="B55" s="31">
        <v>9.15</v>
      </c>
      <c r="C55" s="31">
        <v>11.86</v>
      </c>
      <c r="D55" s="31">
        <v>20.33</v>
      </c>
      <c r="E55" s="31">
        <v>9.62</v>
      </c>
      <c r="F55" s="31">
        <v>9.22</v>
      </c>
      <c r="G55" s="31">
        <v>4.54</v>
      </c>
      <c r="H55" s="32"/>
      <c r="I55" s="32"/>
      <c r="J55" s="31">
        <v>1.85</v>
      </c>
      <c r="K55" s="31">
        <v>0.9</v>
      </c>
      <c r="L55" s="32"/>
      <c r="M55" s="32"/>
      <c r="N55" s="31">
        <v>11.15</v>
      </c>
      <c r="O55" s="31">
        <v>6.17</v>
      </c>
      <c r="P55" s="32"/>
      <c r="Q55" s="32"/>
      <c r="R55" s="31">
        <v>3.37</v>
      </c>
      <c r="S55" s="31">
        <v>8.6</v>
      </c>
      <c r="T55" s="31">
        <v>6.94</v>
      </c>
      <c r="U55" s="31">
        <v>4.09</v>
      </c>
      <c r="V55" s="31">
        <v>3.79</v>
      </c>
      <c r="W55" s="32"/>
      <c r="X55" s="31">
        <v>2.6</v>
      </c>
      <c r="Y55" s="31">
        <v>4.75</v>
      </c>
      <c r="Z55" s="32"/>
      <c r="AA55" s="31">
        <v>3.86</v>
      </c>
      <c r="AB55" s="29">
        <v>187.44</v>
      </c>
    </row>
    <row r="56" ht="15.0" customHeight="1">
      <c r="A56" s="28" t="s">
        <v>468</v>
      </c>
      <c r="B56" s="31">
        <v>2.67</v>
      </c>
      <c r="C56" s="31">
        <v>2.47</v>
      </c>
      <c r="D56" s="31">
        <v>1.95</v>
      </c>
      <c r="E56" s="31">
        <v>1.41</v>
      </c>
      <c r="F56" s="31">
        <v>0.76</v>
      </c>
      <c r="G56" s="31">
        <v>0.39</v>
      </c>
      <c r="H56" s="31">
        <v>0.32</v>
      </c>
      <c r="I56" s="31">
        <v>0.29</v>
      </c>
      <c r="J56" s="31">
        <v>0.32</v>
      </c>
      <c r="K56" s="31">
        <v>0.3</v>
      </c>
      <c r="L56" s="31">
        <v>0.3</v>
      </c>
      <c r="M56" s="31">
        <v>0.26</v>
      </c>
      <c r="N56" s="31">
        <v>0.19</v>
      </c>
      <c r="O56" s="31">
        <v>0.34</v>
      </c>
      <c r="P56" s="31">
        <v>0.43</v>
      </c>
      <c r="Q56" s="31">
        <v>0.46</v>
      </c>
      <c r="R56" s="31">
        <v>0.49</v>
      </c>
      <c r="S56" s="31">
        <v>0.58</v>
      </c>
      <c r="T56" s="31">
        <v>0.43</v>
      </c>
      <c r="U56" s="31">
        <v>0.3</v>
      </c>
      <c r="V56" s="31">
        <v>0.3</v>
      </c>
      <c r="W56" s="31">
        <v>0.29</v>
      </c>
      <c r="X56" s="31">
        <v>0.32</v>
      </c>
      <c r="Y56" s="32"/>
      <c r="Z56" s="32"/>
      <c r="AA56" s="32"/>
      <c r="AB56" s="32"/>
    </row>
    <row r="57" ht="15.0" customHeight="1">
      <c r="A57" s="26" t="s">
        <v>469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 ht="15.0" customHeight="1">
      <c r="A58" s="28" t="s">
        <v>470</v>
      </c>
      <c r="B58" s="31">
        <v>2.39</v>
      </c>
      <c r="C58" s="31">
        <v>0.07</v>
      </c>
      <c r="D58" s="30">
        <v>-0.29</v>
      </c>
      <c r="E58" s="31">
        <v>0.16</v>
      </c>
      <c r="F58" s="31">
        <v>0.21</v>
      </c>
      <c r="G58" s="32">
        <v>0.0</v>
      </c>
      <c r="H58" s="32"/>
      <c r="I58" s="32"/>
      <c r="J58" s="32"/>
      <c r="K58" s="32"/>
      <c r="L58" s="32"/>
      <c r="M58" s="32"/>
      <c r="N58" s="30">
        <v>-0.58</v>
      </c>
      <c r="O58" s="31">
        <v>0.05</v>
      </c>
      <c r="P58" s="32"/>
      <c r="Q58" s="32"/>
      <c r="R58" s="30">
        <v>-0.05</v>
      </c>
      <c r="S58" s="31">
        <v>0.54</v>
      </c>
      <c r="T58" s="31">
        <v>0.07</v>
      </c>
      <c r="U58" s="31">
        <v>0.08</v>
      </c>
      <c r="V58" s="32">
        <v>0.0</v>
      </c>
      <c r="W58" s="30">
        <v>-0.69</v>
      </c>
      <c r="X58" s="31">
        <v>0.07</v>
      </c>
      <c r="Y58" s="31">
        <v>0.03</v>
      </c>
      <c r="Z58" s="32"/>
      <c r="AA58" s="32">
        <v>0.0</v>
      </c>
      <c r="AB58" s="32"/>
    </row>
    <row r="59" ht="15.0" customHeight="1">
      <c r="A59" s="28" t="s">
        <v>471</v>
      </c>
      <c r="B59" s="31">
        <v>0.91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1">
        <v>0.05</v>
      </c>
      <c r="S59" s="31">
        <v>0.14</v>
      </c>
      <c r="T59" s="31">
        <v>0.11</v>
      </c>
      <c r="U59" s="32"/>
      <c r="V59" s="31">
        <v>1.19</v>
      </c>
      <c r="W59" s="31">
        <v>0.64</v>
      </c>
      <c r="X59" s="32"/>
      <c r="Y59" s="32"/>
      <c r="Z59" s="32"/>
      <c r="AA59" s="32"/>
      <c r="AB59" s="32"/>
    </row>
    <row r="60" ht="15.0" customHeight="1">
      <c r="A60" s="26" t="s">
        <v>472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 ht="15.0" customHeight="1">
      <c r="A61" s="28" t="s">
        <v>473</v>
      </c>
      <c r="B61" s="31">
        <v>1.54</v>
      </c>
      <c r="C61" s="31">
        <v>1.45</v>
      </c>
      <c r="D61" s="31">
        <v>1.28</v>
      </c>
      <c r="E61" s="31">
        <v>1.9</v>
      </c>
      <c r="F61" s="31">
        <v>0.82</v>
      </c>
      <c r="G61" s="30">
        <v>-0.11</v>
      </c>
      <c r="H61" s="31">
        <v>1.5</v>
      </c>
      <c r="I61" s="31">
        <v>1.82</v>
      </c>
      <c r="J61" s="31">
        <v>2.85</v>
      </c>
      <c r="K61" s="31">
        <v>0.14</v>
      </c>
      <c r="L61" s="31">
        <v>0.18</v>
      </c>
      <c r="M61" s="31">
        <v>0.11</v>
      </c>
      <c r="N61" s="31">
        <v>0.1</v>
      </c>
      <c r="O61" s="31">
        <v>0.28</v>
      </c>
      <c r="P61" s="31">
        <v>0.27</v>
      </c>
      <c r="Q61" s="31">
        <v>0.25</v>
      </c>
      <c r="R61" s="31">
        <v>0.15</v>
      </c>
      <c r="S61" s="31">
        <v>0.4</v>
      </c>
      <c r="T61" s="31">
        <v>0.27</v>
      </c>
      <c r="U61" s="31">
        <v>0.12</v>
      </c>
      <c r="V61" s="31">
        <v>0.19</v>
      </c>
      <c r="W61" s="31">
        <v>0.09</v>
      </c>
      <c r="X61" s="31">
        <v>0.06</v>
      </c>
      <c r="Y61" s="31">
        <v>0.26</v>
      </c>
      <c r="Z61" s="31">
        <v>0.11</v>
      </c>
      <c r="AA61" s="31">
        <v>0.15</v>
      </c>
      <c r="AB61" s="31">
        <v>0.23</v>
      </c>
    </row>
    <row r="62" ht="15.0" customHeight="1">
      <c r="A62" s="28" t="s">
        <v>474</v>
      </c>
      <c r="B62" s="31">
        <v>1.44</v>
      </c>
      <c r="C62" s="31">
        <v>1.21</v>
      </c>
      <c r="D62" s="31">
        <v>1.17</v>
      </c>
      <c r="E62" s="31">
        <v>1.23</v>
      </c>
      <c r="F62" s="31">
        <v>1.24</v>
      </c>
      <c r="G62" s="31">
        <v>0.43</v>
      </c>
      <c r="H62" s="31">
        <v>0.35</v>
      </c>
      <c r="I62" s="31">
        <v>0.25</v>
      </c>
      <c r="J62" s="31">
        <v>0.18</v>
      </c>
      <c r="K62" s="31">
        <v>0.16</v>
      </c>
      <c r="L62" s="31">
        <v>0.19</v>
      </c>
      <c r="M62" s="31">
        <v>0.21</v>
      </c>
      <c r="N62" s="31">
        <v>0.21</v>
      </c>
      <c r="O62" s="31">
        <v>0.26</v>
      </c>
      <c r="P62" s="31">
        <v>0.25</v>
      </c>
      <c r="Q62" s="31">
        <v>0.24</v>
      </c>
      <c r="R62" s="31">
        <v>0.23</v>
      </c>
      <c r="S62" s="31">
        <v>0.27</v>
      </c>
      <c r="T62" s="31">
        <v>0.17</v>
      </c>
      <c r="U62" s="31">
        <v>0.13</v>
      </c>
      <c r="V62" s="31">
        <v>0.13</v>
      </c>
      <c r="W62" s="31">
        <v>0.12</v>
      </c>
      <c r="X62" s="31">
        <v>0.14</v>
      </c>
      <c r="Y62" s="32"/>
      <c r="Z62" s="32"/>
      <c r="AA62" s="32"/>
      <c r="AB62" s="32"/>
    </row>
    <row r="63" ht="15.0" customHeight="1">
      <c r="A63" s="26" t="s">
        <v>475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 ht="15.0" customHeight="1">
      <c r="A64" s="28" t="s">
        <v>476</v>
      </c>
      <c r="B64" s="31">
        <v>10.4</v>
      </c>
      <c r="C64" s="31">
        <v>7.69</v>
      </c>
      <c r="D64" s="31">
        <v>7.35</v>
      </c>
      <c r="E64" s="31">
        <v>6.53</v>
      </c>
      <c r="F64" s="31">
        <v>3.82</v>
      </c>
      <c r="G64" s="30">
        <v>-0.58</v>
      </c>
      <c r="H64" s="31">
        <v>2.08</v>
      </c>
      <c r="I64" s="31">
        <v>7.89</v>
      </c>
      <c r="J64" s="31">
        <v>4.65</v>
      </c>
      <c r="K64" s="31">
        <v>3.07</v>
      </c>
      <c r="L64" s="31">
        <v>4.73</v>
      </c>
      <c r="M64" s="32"/>
      <c r="N64" s="31">
        <v>2.34</v>
      </c>
      <c r="O64" s="31">
        <v>4.57</v>
      </c>
      <c r="P64" s="32"/>
      <c r="Q64" s="32"/>
      <c r="R64" s="31">
        <v>4.95</v>
      </c>
      <c r="S64" s="31">
        <v>7.17</v>
      </c>
      <c r="T64" s="31">
        <v>4.36</v>
      </c>
      <c r="U64" s="31">
        <v>2.09</v>
      </c>
      <c r="V64" s="31">
        <v>3.44</v>
      </c>
      <c r="W64" s="31">
        <v>2.26</v>
      </c>
      <c r="X64" s="31">
        <v>0.99</v>
      </c>
      <c r="Y64" s="31">
        <v>6.64</v>
      </c>
      <c r="Z64" s="31">
        <v>4.63</v>
      </c>
      <c r="AA64" s="31">
        <v>2.54</v>
      </c>
      <c r="AB64" s="31">
        <v>6.23</v>
      </c>
    </row>
    <row r="65" ht="15.0" customHeight="1">
      <c r="A65" s="28" t="s">
        <v>477</v>
      </c>
      <c r="B65" s="31">
        <v>7.21</v>
      </c>
      <c r="C65" s="31">
        <v>5.67</v>
      </c>
      <c r="D65" s="31">
        <v>4.07</v>
      </c>
      <c r="E65" s="31">
        <v>4.0</v>
      </c>
      <c r="F65" s="31">
        <v>3.4</v>
      </c>
      <c r="G65" s="31">
        <v>3.25</v>
      </c>
      <c r="H65" s="31">
        <v>3.82</v>
      </c>
      <c r="I65" s="31">
        <v>7.77</v>
      </c>
      <c r="J65" s="31">
        <v>6.11</v>
      </c>
      <c r="K65" s="31">
        <v>5.95</v>
      </c>
      <c r="L65" s="31">
        <v>12.59</v>
      </c>
      <c r="M65" s="29">
        <v>121.87</v>
      </c>
      <c r="N65" s="31">
        <v>12.04</v>
      </c>
      <c r="O65" s="31">
        <v>12.9</v>
      </c>
      <c r="P65" s="31">
        <v>14.62</v>
      </c>
      <c r="Q65" s="31">
        <v>9.14</v>
      </c>
      <c r="R65" s="31">
        <v>4.93</v>
      </c>
      <c r="S65" s="31">
        <v>4.73</v>
      </c>
      <c r="T65" s="31">
        <v>2.95</v>
      </c>
      <c r="U65" s="31">
        <v>2.52</v>
      </c>
      <c r="V65" s="31">
        <v>2.86</v>
      </c>
      <c r="W65" s="31">
        <v>2.59</v>
      </c>
      <c r="X65" s="31">
        <v>3.11</v>
      </c>
      <c r="Y65" s="32"/>
      <c r="Z65" s="32"/>
      <c r="AA65" s="32"/>
      <c r="AB65" s="32"/>
    </row>
    <row r="66" ht="15.0" customHeight="1">
      <c r="A66" s="26" t="s">
        <v>478</v>
      </c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 ht="15.0" customHeight="1">
      <c r="A67" s="28" t="s">
        <v>479</v>
      </c>
      <c r="B67" s="31">
        <v>6.78</v>
      </c>
      <c r="C67" s="31">
        <v>11.12</v>
      </c>
      <c r="D67" s="31">
        <v>17.16</v>
      </c>
      <c r="E67" s="32"/>
      <c r="F67" s="31">
        <v>2.33</v>
      </c>
      <c r="G67" s="30">
        <v>-0.46</v>
      </c>
      <c r="H67" s="31">
        <v>2.7</v>
      </c>
      <c r="I67" s="31">
        <v>14.54</v>
      </c>
      <c r="J67" s="32"/>
      <c r="K67" s="32"/>
      <c r="L67" s="32"/>
      <c r="M67" s="32"/>
      <c r="N67" s="32"/>
      <c r="O67" s="31">
        <v>8.12</v>
      </c>
      <c r="P67" s="31">
        <v>36.28</v>
      </c>
      <c r="Q67" s="32"/>
      <c r="R67" s="32"/>
      <c r="S67" s="31">
        <v>41.77</v>
      </c>
      <c r="T67" s="29">
        <v>463.99</v>
      </c>
      <c r="U67" s="32"/>
      <c r="V67" s="31">
        <v>20.61</v>
      </c>
      <c r="W67" s="31">
        <v>5.48</v>
      </c>
      <c r="X67" s="32"/>
      <c r="Y67" s="31">
        <v>2.77</v>
      </c>
      <c r="Z67" s="31">
        <v>3.31</v>
      </c>
      <c r="AA67" s="31">
        <v>3.73</v>
      </c>
      <c r="AB67" s="32"/>
    </row>
    <row r="68" ht="15.0" customHeight="1">
      <c r="A68" s="28" t="s">
        <v>480</v>
      </c>
      <c r="B68" s="31">
        <v>11.01</v>
      </c>
      <c r="C68" s="31">
        <v>10.56</v>
      </c>
      <c r="D68" s="31">
        <v>7.03</v>
      </c>
      <c r="E68" s="31">
        <v>6.7</v>
      </c>
      <c r="F68" s="31">
        <v>7.36</v>
      </c>
      <c r="G68" s="31">
        <v>54.39</v>
      </c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1">
        <v>6.9</v>
      </c>
      <c r="W68" s="31">
        <v>4.65</v>
      </c>
      <c r="X68" s="31">
        <v>6.17</v>
      </c>
      <c r="Y68" s="32"/>
      <c r="Z68" s="32"/>
      <c r="AA68" s="32"/>
      <c r="AB68" s="32"/>
    </row>
    <row r="69" ht="15.0" customHeight="1">
      <c r="A69" s="26" t="s">
        <v>481</v>
      </c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 ht="15.0" customHeight="1">
      <c r="A70" s="28" t="s">
        <v>482</v>
      </c>
      <c r="B70" s="31">
        <v>8.24</v>
      </c>
      <c r="C70" s="31">
        <v>14.94</v>
      </c>
      <c r="D70" s="31">
        <v>77.04</v>
      </c>
      <c r="E70" s="32"/>
      <c r="F70" s="31">
        <v>2.58</v>
      </c>
      <c r="G70" s="30">
        <v>-0.59</v>
      </c>
      <c r="H70" s="31">
        <v>2.88</v>
      </c>
      <c r="I70" s="31">
        <v>16.95</v>
      </c>
      <c r="J70" s="32"/>
      <c r="K70" s="32"/>
      <c r="L70" s="32"/>
      <c r="M70" s="32"/>
      <c r="N70" s="32"/>
      <c r="O70" s="31">
        <v>9.7</v>
      </c>
      <c r="P70" s="32"/>
      <c r="Q70" s="32"/>
      <c r="R70" s="32"/>
      <c r="S70" s="31">
        <v>41.77</v>
      </c>
      <c r="T70" s="32"/>
      <c r="U70" s="32"/>
      <c r="V70" s="32"/>
      <c r="W70" s="31">
        <v>7.25</v>
      </c>
      <c r="X70" s="32"/>
      <c r="Y70" s="32"/>
      <c r="Z70" s="31">
        <v>14.09</v>
      </c>
      <c r="AA70" s="31">
        <v>6.61</v>
      </c>
      <c r="AB70" s="32"/>
    </row>
    <row r="71" ht="15.0" customHeight="1">
      <c r="A71" s="28" t="s">
        <v>483</v>
      </c>
      <c r="B71" s="31">
        <v>16.45</v>
      </c>
      <c r="C71" s="31">
        <v>17.38</v>
      </c>
      <c r="D71" s="31">
        <v>9.86</v>
      </c>
      <c r="E71" s="31">
        <v>8.62</v>
      </c>
      <c r="F71" s="31">
        <v>9.61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