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UPYymoe1+rmxJ9zcnEP1Zl54XOhydyk2aTnZyXnKtM="/>
    </ext>
  </extLst>
</workbook>
</file>

<file path=xl/sharedStrings.xml><?xml version="1.0" encoding="utf-8"?>
<sst xmlns="http://schemas.openxmlformats.org/spreadsheetml/2006/main" count="901" uniqueCount="516">
  <si>
    <t>Company Fundamentals - Income Statement</t>
  </si>
  <si>
    <t>Company Name</t>
  </si>
  <si>
    <t>Bluenord ASA (BNOR.OL)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</si>
  <si>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</si>
  <si>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</si>
  <si>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</si>
  <si>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</si>
  <si>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</si>
  <si>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</si>
  <si>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</si>
  <si>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</si>
  <si>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</si>
  <si>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</si>
  <si>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</si>
  <si>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</si>
  <si>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</si>
  <si>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</si>
  <si>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</si>
  <si>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</si>
  <si>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</si>
  <si>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</si>
  <si>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</si>
  <si>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</si>
  <si>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</si>
  <si>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</si>
  <si>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</si>
  <si>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</si>
  <si>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</si>
  <si>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</si>
  <si>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</si>
  <si>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</si>
  <si>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</si>
  <si>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</si>
  <si>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</si>
  <si>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</si>
  <si>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</si>
  <si>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</si>
  <si>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</si>
  <si>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</si>
  <si>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</si>
  <si>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</si>
  <si>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</si>
  <si>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</si>
  <si>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</si>
  <si>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</si>
  <si>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</si>
  <si>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</si>
  <si>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</si>
  <si>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</si>
  <si>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</si>
  <si>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</si>
  <si>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</si>
  <si>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</si>
  <si>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</si>
  <si>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</si>
  <si>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</si>
  <si>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</si>
  <si>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</si>
  <si>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</si>
  <si>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</si>
  <si>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</si>
  <si>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</si>
  <si>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</si>
  <si>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</si>
  <si>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</si>
  <si>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</si>
  <si>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</si>
  <si>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</si>
  <si>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</si>
  <si>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Revenue</t>
  </si>
  <si>
    <t>Other Revenues</t>
  </si>
  <si>
    <t>Total revenues</t>
  </si>
  <si>
    <t>Production expenses</t>
  </si>
  <si>
    <t>Exploration and evaluation expenses</t>
  </si>
  <si>
    <t>Personnel expenses</t>
  </si>
  <si>
    <t>Stock-based Compensation in SGA</t>
  </si>
  <si>
    <t>Other Personell Expenses and Remuneration</t>
  </si>
  <si>
    <t>Selling, General &amp; Admin</t>
  </si>
  <si>
    <t>Other operating expenses</t>
  </si>
  <si>
    <t>Selling, General &amp; Admin (not use)</t>
  </si>
  <si>
    <t>Other Operating Expense</t>
  </si>
  <si>
    <t>Consultant Fees</t>
  </si>
  <si>
    <t>Rental Expense</t>
  </si>
  <si>
    <t>Other (losses) / gains</t>
  </si>
  <si>
    <t>Change in Value</t>
  </si>
  <si>
    <t>Fair Value/Unrealized Adjustments on Derivatives for Hedging</t>
  </si>
  <si>
    <t>Other (losses) / gains - Balancing value</t>
  </si>
  <si>
    <t>Gain/Loss on Sale of Assets</t>
  </si>
  <si>
    <t>Other benefit / (expense) - Balancing value</t>
  </si>
  <si>
    <t>Depreciation/amortisation/impairment</t>
  </si>
  <si>
    <t>Depreciation</t>
  </si>
  <si>
    <t>Other Depreciation of Fixed Assets</t>
  </si>
  <si>
    <t>Write-downs and reversals of write-downs</t>
  </si>
  <si>
    <t>Impairment of Fixed Assets</t>
  </si>
  <si>
    <t>Goodwill Impairment</t>
  </si>
  <si>
    <t>Amortization of Intangibles</t>
  </si>
  <si>
    <t>Operating (Income)/Expense, net</t>
  </si>
  <si>
    <t>Balancing Item - Income from Operations, net</t>
  </si>
  <si>
    <t>Net operating result (EBIT)</t>
  </si>
  <si>
    <t>Financial income</t>
  </si>
  <si>
    <t>Value adjustment derivatives and hedging contracts unrealized</t>
  </si>
  <si>
    <t>Value adjustment of embedded derivatives</t>
  </si>
  <si>
    <t>Value adjustment - FX Contract</t>
  </si>
  <si>
    <t>Hedge Income Realized</t>
  </si>
  <si>
    <t>Interest income</t>
  </si>
  <si>
    <t>Change in fair value of bond debt</t>
  </si>
  <si>
    <t>Currency translation income</t>
  </si>
  <si>
    <t>Other Financial Income</t>
  </si>
  <si>
    <t>Total Financial Income</t>
  </si>
  <si>
    <t>Financial expenses</t>
  </si>
  <si>
    <t>Interest Expense</t>
  </si>
  <si>
    <t>Interest Capitalized</t>
  </si>
  <si>
    <t>Interest expense from bond loans</t>
  </si>
  <si>
    <t>Interest Expense from Convertible Loan</t>
  </si>
  <si>
    <t>TInterest Expense from Bank Loans</t>
  </si>
  <si>
    <t>Interest Expenses Current Liabilities</t>
  </si>
  <si>
    <t>Interest Expense from Exploration Loan</t>
  </si>
  <si>
    <t>Imputed Interest from Abandonment Provisions</t>
  </si>
  <si>
    <t>Accretion - Site Closure &amp; Reclamation Expenses</t>
  </si>
  <si>
    <t>Currency translation expense</t>
  </si>
  <si>
    <t>Utilization of Derivatives- Ineffective</t>
  </si>
  <si>
    <t>Fair value adjustments net of realized Derivatives</t>
  </si>
  <si>
    <t>Changes in fair value of bond debt</t>
  </si>
  <si>
    <t>Changes in fair value cash flow hedge EUA</t>
  </si>
  <si>
    <t>Other Financials</t>
  </si>
  <si>
    <t>Financial expenses - rest</t>
  </si>
  <si>
    <t>Other Financial Expenses</t>
  </si>
  <si>
    <t>Balancing Item - Non Operating Income/(Expense), net</t>
  </si>
  <si>
    <t>Net financial items</t>
  </si>
  <si>
    <t>Balancing Item - Pretax Income</t>
  </si>
  <si>
    <t>Result before tax (EBT)</t>
  </si>
  <si>
    <t>Income tax benefit/(expense)</t>
  </si>
  <si>
    <t>Income Taxes - Total - Current</t>
  </si>
  <si>
    <t>Income Taxes - Total - Deferred</t>
  </si>
  <si>
    <t>Income tax benefit/(expense) - Balancing value</t>
  </si>
  <si>
    <t>Domestic Tax</t>
  </si>
  <si>
    <t>Foreign Tax</t>
  </si>
  <si>
    <t>Other Provision for Income Taxes</t>
  </si>
  <si>
    <t>Other Tax</t>
  </si>
  <si>
    <t>Reported Current Tax - Total</t>
  </si>
  <si>
    <t>Reported Deferred Tax - Total</t>
  </si>
  <si>
    <t>Income Taxes - Total</t>
  </si>
  <si>
    <t>Balancing Item - Net Income After Tax</t>
  </si>
  <si>
    <t>Net result for the period</t>
  </si>
  <si>
    <t>Total comprehensive income for the period (net of tax)</t>
  </si>
  <si>
    <t>Discontinued Operations</t>
  </si>
  <si>
    <t>Other Discontinued Operations</t>
  </si>
  <si>
    <t>Xord discont bus cost</t>
  </si>
  <si>
    <t>Profit (loss) from discontinued operation (net of income tax)</t>
  </si>
  <si>
    <t>Extraordinary Items (after Tax)</t>
  </si>
  <si>
    <t>Balancing Item - Net Income available to Controlling Interest</t>
  </si>
  <si>
    <t>Income Available to Com Excl ExtraOrd</t>
  </si>
  <si>
    <t>Balancing Item - Net Income After Extraordinary Items applicable to Common</t>
  </si>
  <si>
    <t>Realised cash flow hedge revenue</t>
  </si>
  <si>
    <t>Realised cash flow hedge financial items</t>
  </si>
  <si>
    <t>Related tax - realised cash flow hedge</t>
  </si>
  <si>
    <t>Changes in fair value cash flow hedge revenue</t>
  </si>
  <si>
    <t>Related tax - changes in fair value cash flow hedge</t>
  </si>
  <si>
    <t>Currency translation adjustment</t>
  </si>
  <si>
    <t>Other Comprehensive Income - Unrealized Investment Gain/Loss - Net of Tax</t>
  </si>
  <si>
    <t>Balancing Item - Other Comprehensive Income</t>
  </si>
  <si>
    <t>Total other comprehensive income</t>
  </si>
  <si>
    <t>Balancing Item - Total Comprehensive Income</t>
  </si>
  <si>
    <t>Total comprehensive income (net of tax)</t>
  </si>
  <si>
    <t>As Reported Basic Weighted Avg Shares</t>
  </si>
  <si>
    <t>Diluted Weighted Average Shares</t>
  </si>
  <si>
    <t>Basic earnings/(loss) USD per share</t>
  </si>
  <si>
    <t>Basic EPS Excluding ExtraOrdinary Items</t>
  </si>
  <si>
    <t>Dilution Adjustment</t>
  </si>
  <si>
    <t>Diluted Net Income</t>
  </si>
  <si>
    <t>Diluted earnings/(loss) USD per share</t>
  </si>
  <si>
    <t>Diluted EPS Excluding ExtraOrd Items</t>
  </si>
  <si>
    <t>Diluted Net Income excluding Extra Items applicable to Common - (Company Level)</t>
  </si>
  <si>
    <t>Rental Expenses</t>
  </si>
  <si>
    <t>Net financing income/expense</t>
  </si>
  <si>
    <t>Auditor's Fees - Total</t>
  </si>
  <si>
    <t>Audit Fees</t>
  </si>
  <si>
    <t>Audit-Related Fees</t>
  </si>
  <si>
    <t>Other (Non-auditor) Fees</t>
  </si>
  <si>
    <t>Share-Based Payments</t>
  </si>
  <si>
    <t>Other Fees</t>
  </si>
  <si>
    <t>Tax Fees</t>
  </si>
  <si>
    <t>Depreciation - Supplemental</t>
  </si>
  <si>
    <t>Total Depreciation of Fixed Assets</t>
  </si>
  <si>
    <t>Total Amortization of Intangible Assets - Licenses</t>
  </si>
  <si>
    <t>Amortization of Other Intangibles excluding Goodwill - Supplemental</t>
  </si>
  <si>
    <t>Total Depreciation &amp; Amortization (Combined)</t>
  </si>
  <si>
    <t>Amortization of Intangible Assets excluding Goodwill - Total</t>
  </si>
  <si>
    <t>Amortization of Intangible Assets including Goodwill - Total</t>
  </si>
  <si>
    <t>Impairment of Goodwill</t>
  </si>
  <si>
    <t>Legal Provisions &amp; Litigation Expenses</t>
  </si>
  <si>
    <t>Restructuring Charges &amp; Provisions</t>
  </si>
  <si>
    <t>Adjustment</t>
  </si>
  <si>
    <t>Non-GAAP Adjusted EBITDA</t>
  </si>
  <si>
    <t>Acquisition Cost of Group Companies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</si>
  <si>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</si>
  <si>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</si>
  <si>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</si>
  <si>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</si>
  <si>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</si>
  <si>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</si>
  <si>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</si>
  <si>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</si>
  <si>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</si>
  <si>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</si>
  <si>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</si>
  <si>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</si>
  <si>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</si>
  <si>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</si>
  <si>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</si>
  <si>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Trade receivables and other current assets</t>
  </si>
  <si>
    <t>Trade receivables</t>
  </si>
  <si>
    <t>Prepayments</t>
  </si>
  <si>
    <t>Other Trade Receivables and Other Current Receivables</t>
  </si>
  <si>
    <t>Trade receivables and other current assets - other</t>
  </si>
  <si>
    <t>Tax receivables</t>
  </si>
  <si>
    <t>Tax refund</t>
  </si>
  <si>
    <t>Inventories</t>
  </si>
  <si>
    <t>Inventories - Raw Materials -Oil</t>
  </si>
  <si>
    <t>Inventories - Other</t>
  </si>
  <si>
    <t>Derivatives</t>
  </si>
  <si>
    <t>Cash and Cash Equivalents</t>
  </si>
  <si>
    <t>Other Cash and Cash Equivalents</t>
  </si>
  <si>
    <t>Cash at Bank</t>
  </si>
  <si>
    <t>Restricted cash and bank deposits</t>
  </si>
  <si>
    <t>Assets Held for Sale</t>
  </si>
  <si>
    <t>Accounts Receivable, Gross</t>
  </si>
  <si>
    <t>Bad Debts</t>
  </si>
  <si>
    <t>Contingent consideration - volume protection</t>
  </si>
  <si>
    <t>Balancing Item - Current Assets</t>
  </si>
  <si>
    <t>Total Current Assets</t>
  </si>
  <si>
    <t>Total Intangible Assets, Net</t>
  </si>
  <si>
    <t>Acquisition cost 31.03.12 Accumulated de</t>
  </si>
  <si>
    <t>Misc intang FA amortn</t>
  </si>
  <si>
    <t>Licence and capitalised exploration expenditures</t>
  </si>
  <si>
    <t>License and capitalised exploration expenditures - Balancing value</t>
  </si>
  <si>
    <t>Accumulated Intangible Amortization</t>
  </si>
  <si>
    <t>Total Intangible Assets excluding Goodwill, Gross</t>
  </si>
  <si>
    <t>Right of Use asset</t>
  </si>
  <si>
    <t>Intangible assets</t>
  </si>
  <si>
    <t>Goodwill</t>
  </si>
  <si>
    <t>Goodwill, Gross</t>
  </si>
  <si>
    <t>Acc Amort Goodwill</t>
  </si>
  <si>
    <t>Goodwill - Balancing value</t>
  </si>
  <si>
    <t>Licenses Gross</t>
  </si>
  <si>
    <t>Licenses Acc Amort</t>
  </si>
  <si>
    <t>Research &amp; Development Costs - Gross</t>
  </si>
  <si>
    <t>Research &amp; Development Costs - Accumulated Amortization &amp; Impairment</t>
  </si>
  <si>
    <t>Intangible Assets - excluding Goodwill - Net - Total</t>
  </si>
  <si>
    <t>Intangible Assets - Other - Gross</t>
  </si>
  <si>
    <t>Intangible Assets - Other - Accumulated Amortization &amp; Impairment</t>
  </si>
  <si>
    <t>Intangible Assets - excluding Goodwill - Net - Total - Balancing value</t>
  </si>
  <si>
    <t>Accumulated Amortization</t>
  </si>
  <si>
    <t>Receivables</t>
  </si>
  <si>
    <t>Accumulated Depreciation</t>
  </si>
  <si>
    <t>Machinery &amp; Equipment, net</t>
  </si>
  <si>
    <t>Asset under construction</t>
  </si>
  <si>
    <t>Assets Under Construction, Gross</t>
  </si>
  <si>
    <t>Acc Depr/ImpAsset under construction</t>
  </si>
  <si>
    <t>Buildings - Contra Item - Accumulated Depreciation &amp; Impairment</t>
  </si>
  <si>
    <t>Buildings - Contra Item - Gross</t>
  </si>
  <si>
    <t>Buildings-NBV - Balancing val</t>
  </si>
  <si>
    <t>Pipelines - Gross</t>
  </si>
  <si>
    <t>Pipelines - Accumulated Depreciation &amp; Impairment</t>
  </si>
  <si>
    <t>Pipelines - Net - Balancing value</t>
  </si>
  <si>
    <t>Production facilities</t>
  </si>
  <si>
    <t>Production Facilities, Gross</t>
  </si>
  <si>
    <t>Production facilities - acc depn</t>
  </si>
  <si>
    <t>Production facilities - Balancing value</t>
  </si>
  <si>
    <t>Other Machinery &amp; Equipment</t>
  </si>
  <si>
    <t>Machinery and Equipment, Gross</t>
  </si>
  <si>
    <t>Acc Depr Plant &amp; Machinery</t>
  </si>
  <si>
    <t>Machinery and Equipment, Net - Balancing value</t>
  </si>
  <si>
    <t>Other Machinery and Equipment, Net</t>
  </si>
  <si>
    <t>Deferred tax assets</t>
  </si>
  <si>
    <t>Restricted bank deposits</t>
  </si>
  <si>
    <t>MISC ASSETS</t>
  </si>
  <si>
    <t>Buildings &amp; Land</t>
  </si>
  <si>
    <t>Balancing Item - Noncurrent Assets</t>
  </si>
  <si>
    <t>Receivables non-current</t>
  </si>
  <si>
    <t>Total non-current assets</t>
  </si>
  <si>
    <t>Balancing Item - Assets</t>
  </si>
  <si>
    <t>Total Assets</t>
  </si>
  <si>
    <t>Bond Loan</t>
  </si>
  <si>
    <t>Other Interest Bearing Debt</t>
  </si>
  <si>
    <t>Liabilities/debt held for sale</t>
  </si>
  <si>
    <t>Tax payable</t>
  </si>
  <si>
    <t>Trade payables and other current liabilities</t>
  </si>
  <si>
    <t>Trade Payable</t>
  </si>
  <si>
    <t>Liabilities to operators relating to joint ventures licenses</t>
  </si>
  <si>
    <t>Salary Accruals</t>
  </si>
  <si>
    <t>Overlift of oil</t>
  </si>
  <si>
    <t>Accrued Interest</t>
  </si>
  <si>
    <t>Accrued Bonuses</t>
  </si>
  <si>
    <t>Public Duties Payable</t>
  </si>
  <si>
    <t>Other current liabilities</t>
  </si>
  <si>
    <t>Deferred Income - Short-Term</t>
  </si>
  <si>
    <t>Trade payables and other current liabilities - Balancing value</t>
  </si>
  <si>
    <t>Current Liabilities Bookmark</t>
  </si>
  <si>
    <t>Asset retirement obligations</t>
  </si>
  <si>
    <t>Liabilities held for sale</t>
  </si>
  <si>
    <t>Reserve-based lending facility</t>
  </si>
  <si>
    <t>Balancing Item - Current Liabilities</t>
  </si>
  <si>
    <t>Total Current Liabilities</t>
  </si>
  <si>
    <t>Convertible bond loan</t>
  </si>
  <si>
    <t>Bond loan (Do not use)</t>
  </si>
  <si>
    <t>Reported Total Long Term Debt</t>
  </si>
  <si>
    <t>Interest bearing debt</t>
  </si>
  <si>
    <t>Other interest bearing debt</t>
  </si>
  <si>
    <t>Deferred tax</t>
  </si>
  <si>
    <t>Derivative Liabilities</t>
  </si>
  <si>
    <t>Reserve-based lending facility (Do not use)</t>
  </si>
  <si>
    <t>Pension provisions</t>
  </si>
  <si>
    <t>Asset Retirement Obligations</t>
  </si>
  <si>
    <t>Other non-current liabilities</t>
  </si>
  <si>
    <t>License Liability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</si>
  <si>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</si>
  <si>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</si>
  <si>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</si>
  <si>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</si>
  <si>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</si>
  <si>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Equity</t>
  </si>
  <si>
    <t>Share Premium</t>
  </si>
  <si>
    <t>Treasury share reserve</t>
  </si>
  <si>
    <t>Translation Adjustment</t>
  </si>
  <si>
    <t>Hedging Reserves</t>
  </si>
  <si>
    <t>Other Equity - Balancing value</t>
  </si>
  <si>
    <t>New Issuance in Progress</t>
  </si>
  <si>
    <t>Retained Earnings/Accumulated Loss</t>
  </si>
  <si>
    <t>Balancing Item - Shareholders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</si>
  <si>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</si>
  <si>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</si>
  <si>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</si>
  <si>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</si>
  <si>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</si>
  <si>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</si>
  <si>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Deferred Revenue</t>
  </si>
  <si>
    <t>Brands/patents, gross</t>
  </si>
  <si>
    <t>Brands, patents, net</t>
  </si>
  <si>
    <t>Accrued expenses</t>
  </si>
  <si>
    <t>Reported Total LT Debt, Supplemental</t>
  </si>
  <si>
    <t>LT Debt Mat Within 1 Year</t>
  </si>
  <si>
    <t>LT Debt Mat Within 2 Years</t>
  </si>
  <si>
    <t>LT Debt Mat Within 3 Years</t>
  </si>
  <si>
    <t>LT Debt Mat Within 4 Years</t>
  </si>
  <si>
    <t>LT Debt Rem. Mat.</t>
  </si>
  <si>
    <t>LT Debt Mat Within 5 Years</t>
  </si>
  <si>
    <t>Other Reported Total LT Debt, Supplemental</t>
  </si>
  <si>
    <t>S/O-A-Shares/Shares</t>
  </si>
  <si>
    <t>T/S-A-Shares/Shares</t>
  </si>
  <si>
    <t>Asset Allocation Factor - (Instrument Level)</t>
  </si>
  <si>
    <t>Common Shares Issued - (Instrument Level)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</si>
  <si>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</si>
  <si>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</si>
  <si>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</si>
  <si>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</si>
  <si>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</si>
  <si>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</si>
  <si>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</si>
  <si>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</si>
  <si>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</si>
  <si>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</si>
  <si>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</si>
  <si>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</si>
  <si>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Income tax (benefit)/expense</t>
  </si>
  <si>
    <t>Tax Refundable</t>
  </si>
  <si>
    <t>Depreciation and Amortization</t>
  </si>
  <si>
    <t>Depreciation/impairment</t>
  </si>
  <si>
    <t>Depreciation (negative)</t>
  </si>
  <si>
    <t>Write-downs and reversal of write-downs</t>
  </si>
  <si>
    <t>Expensed exploration expenditures previously capitalised</t>
  </si>
  <si>
    <t>Share-based payments expenses</t>
  </si>
  <si>
    <t>Net gain sale of asset</t>
  </si>
  <si>
    <t>change in fair value of bonds</t>
  </si>
  <si>
    <t>Change in FV of Bonds Own Credit Risks</t>
  </si>
  <si>
    <t>Impact from termination of defined benefit pension plan</t>
  </si>
  <si>
    <t>Loss related to discontinued cash flow hedge</t>
  </si>
  <si>
    <t>Unrealised loss / (gain) related to financial instruments</t>
  </si>
  <si>
    <t>Interests received</t>
  </si>
  <si>
    <t>Gain on extinguishment of debt</t>
  </si>
  <si>
    <t>Paid/received interests and borrowing cost - net</t>
  </si>
  <si>
    <t>Effect of changes in exchange rates</t>
  </si>
  <si>
    <t>Paid Abandonment Cost</t>
  </si>
  <si>
    <t>Reversal of Siri Claim</t>
  </si>
  <si>
    <t>Loss on repurchase of bonds</t>
  </si>
  <si>
    <t>Amortisation of borrowing costs</t>
  </si>
  <si>
    <t>Accretion expense related to asset retirement obligations</t>
  </si>
  <si>
    <t>Other items with no cash impact</t>
  </si>
  <si>
    <t>Reclassification of Currency Translation Adjustment upon Disposal of Subsidiary</t>
  </si>
  <si>
    <t>Payment in kind interest with no cash effect</t>
  </si>
  <si>
    <t>Interest received</t>
  </si>
  <si>
    <t>Other financial items paid</t>
  </si>
  <si>
    <t>Trade receivable</t>
  </si>
  <si>
    <t>Trade payables</t>
  </si>
  <si>
    <t>Calc Interest on Aband Liab</t>
  </si>
  <si>
    <t>Result from Sale of Assets</t>
  </si>
  <si>
    <t>Interest on Provision</t>
  </si>
  <si>
    <t>Inventories and spare parts</t>
  </si>
  <si>
    <t>Over/(under-lift)</t>
  </si>
  <si>
    <t>Other current balance sheet items</t>
  </si>
  <si>
    <t>Balancing Item - Operating (Indirect)</t>
  </si>
  <si>
    <t>Tax paid</t>
  </si>
  <si>
    <t>Net cash flow from operating activities</t>
  </si>
  <si>
    <t>Acquisition of Business - Cash Flow</t>
  </si>
  <si>
    <t>Long-term loan provided</t>
  </si>
  <si>
    <t>Acquisition/Sale of Business - Net - Cash Flow</t>
  </si>
  <si>
    <t>Post completion payment</t>
  </si>
  <si>
    <t>Consideration sale of asset</t>
  </si>
  <si>
    <t>Deferred consideration</t>
  </si>
  <si>
    <t>Locked box interest</t>
  </si>
  <si>
    <t>Tax Paid</t>
  </si>
  <si>
    <t>Proceeds from Sale of Discontinued Oper</t>
  </si>
  <si>
    <t>Payments for decommissioning of oil and gas fields</t>
  </si>
  <si>
    <t>Investment in oil and gas assets</t>
  </si>
  <si>
    <t>Investment in exploration assets</t>
  </si>
  <si>
    <t>Changes in restricted cash accounts</t>
  </si>
  <si>
    <t>Investment in land</t>
  </si>
  <si>
    <t>Sale of Intangible Assets</t>
  </si>
  <si>
    <t>Proceeds from sale of fixed assets</t>
  </si>
  <si>
    <t>Purchase of tangible assets</t>
  </si>
  <si>
    <t>Establishment of security account for abandonment obligation in Denmark</t>
  </si>
  <si>
    <t>Purch of Shares</t>
  </si>
  <si>
    <t>Compensation</t>
  </si>
  <si>
    <t>Net cash outflow from divestment of assets</t>
  </si>
  <si>
    <t>Sale of Assets held for Sale</t>
  </si>
  <si>
    <t>Balancing Item - Investing</t>
  </si>
  <si>
    <t>Net cash flow from investing activities</t>
  </si>
  <si>
    <t>Repayment long-term liability</t>
  </si>
  <si>
    <t>Issue of long-term loans</t>
  </si>
  <si>
    <t>Abandonment spent</t>
  </si>
  <si>
    <t>Lease payments</t>
  </si>
  <si>
    <t>Share Buyback</t>
  </si>
  <si>
    <t>Sale of shares</t>
  </si>
  <si>
    <t>Hybrid Financial Instruments (Liabilities) - Increase/Decrease - Cash-Flow</t>
  </si>
  <si>
    <t>Transaction costs related to financing</t>
  </si>
  <si>
    <t>Transaction costs related to equity issue</t>
  </si>
  <si>
    <t>Drawdown long-term liability</t>
  </si>
  <si>
    <t>Repurchase own bonds</t>
  </si>
  <si>
    <t>Interests and fees external loan</t>
  </si>
  <si>
    <t>Settled hedges</t>
  </si>
  <si>
    <t>Other financial items</t>
  </si>
  <si>
    <t>Dividends - Common - Cash Paid</t>
  </si>
  <si>
    <t>Proceeds from sale of bonds</t>
  </si>
  <si>
    <t>Proceeds from issuance of bonds</t>
  </si>
  <si>
    <t>Proceeds from utilisation of exploration facility</t>
  </si>
  <si>
    <t>Proceeds from utilisation of reserve based facility/owner</t>
  </si>
  <si>
    <t>Proceeds from short-term loan</t>
  </si>
  <si>
    <t>Repayment of bonds</t>
  </si>
  <si>
    <t>Repayment of exploration facility</t>
  </si>
  <si>
    <t>Repayment of reserve based facility</t>
  </si>
  <si>
    <t>ST Debt</t>
  </si>
  <si>
    <t>Paid borrowing costs</t>
  </si>
  <si>
    <t>Balancing Item - Financing</t>
  </si>
  <si>
    <t>Issue of shares</t>
  </si>
  <si>
    <t>Net cash flow from financing activities</t>
  </si>
  <si>
    <t>Foreign Exchange Effects</t>
  </si>
  <si>
    <t>Cash and cash equivalents at the start of the period</t>
  </si>
  <si>
    <t>Cash and cash equivalents at end of the period</t>
  </si>
  <si>
    <t>Balancing Item - Change in Cash</t>
  </si>
  <si>
    <t>Net change in cash and cash equivalents</t>
  </si>
  <si>
    <t>Change in working capita</t>
  </si>
  <si>
    <t>Net inc adj-non cash</t>
  </si>
  <si>
    <t>Cash Taxes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</si>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</sst>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46090.447269294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10686.83</v>
      </c>
      <c r="C20" s="16">
        <v>7545.36</v>
      </c>
      <c r="D20" s="16">
        <v>8388.33</v>
      </c>
      <c r="E20" s="16">
        <v>9289.42</v>
      </c>
      <c r="F20" s="16">
        <v>4855.99</v>
      </c>
      <c r="G20" s="16">
        <v>5326.54</v>
      </c>
      <c r="H20" s="16">
        <v>2929.76</v>
      </c>
      <c r="I20" s="17">
        <v>16.0</v>
      </c>
      <c r="J20" s="17">
        <v>10.0</v>
      </c>
      <c r="K20" s="17">
        <v>11.0</v>
      </c>
      <c r="L20" s="17">
        <v>13.0</v>
      </c>
      <c r="M20" s="17">
        <v>37.0</v>
      </c>
      <c r="N20" s="16">
        <v>894.0</v>
      </c>
      <c r="O20" s="16">
        <v>832.0</v>
      </c>
      <c r="P20" s="16">
        <v>1616.01</v>
      </c>
      <c r="Q20" s="16">
        <v>624.67</v>
      </c>
      <c r="R20" s="16">
        <v>1431.2</v>
      </c>
      <c r="S20" s="16">
        <v>2423.53</v>
      </c>
      <c r="T20" s="16">
        <v>835.97</v>
      </c>
      <c r="U20" s="15">
        <v>0.0</v>
      </c>
      <c r="V20" s="15">
        <v>0.0</v>
      </c>
    </row>
    <row r="21" ht="15.0" customHeight="1">
      <c r="A21" s="14" t="s">
        <v>70</v>
      </c>
      <c r="B21" s="17">
        <v>93.35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7">
        <v>14.87</v>
      </c>
      <c r="R21" s="16">
        <v>115.31</v>
      </c>
      <c r="S21" s="15">
        <v>0.0</v>
      </c>
      <c r="T21" s="15"/>
      <c r="U21" s="15"/>
      <c r="V21" s="15"/>
    </row>
    <row r="22" ht="15.0" customHeight="1">
      <c r="A22" s="18" t="s">
        <v>71</v>
      </c>
      <c r="B22" s="19">
        <v>10780.18</v>
      </c>
      <c r="C22" s="20">
        <v>7545.36</v>
      </c>
      <c r="D22" s="20">
        <v>8388.33</v>
      </c>
      <c r="E22" s="20">
        <v>9289.42</v>
      </c>
      <c r="F22" s="20">
        <v>4855.99</v>
      </c>
      <c r="G22" s="20">
        <v>5326.54</v>
      </c>
      <c r="H22" s="20">
        <v>2929.76</v>
      </c>
      <c r="I22" s="21">
        <v>16.0</v>
      </c>
      <c r="J22" s="21">
        <v>10.0</v>
      </c>
      <c r="K22" s="21">
        <v>11.0</v>
      </c>
      <c r="L22" s="21">
        <v>13.0</v>
      </c>
      <c r="M22" s="21">
        <v>37.0</v>
      </c>
      <c r="N22" s="20">
        <v>894.0</v>
      </c>
      <c r="O22" s="20">
        <v>832.0</v>
      </c>
      <c r="P22" s="20">
        <v>1616.01</v>
      </c>
      <c r="Q22" s="20">
        <v>639.54</v>
      </c>
      <c r="R22" s="20">
        <v>1546.52</v>
      </c>
      <c r="S22" s="20">
        <v>2423.53</v>
      </c>
      <c r="T22" s="20">
        <v>835.97</v>
      </c>
      <c r="U22" s="19">
        <v>0.0</v>
      </c>
      <c r="V22" s="19">
        <v>0.0</v>
      </c>
    </row>
    <row r="23" ht="15.0" customHeight="1">
      <c r="A23" s="14" t="s">
        <v>72</v>
      </c>
      <c r="B23" s="16">
        <v>4789.0</v>
      </c>
      <c r="C23" s="16">
        <v>3334.87</v>
      </c>
      <c r="D23" s="16">
        <v>3588.52</v>
      </c>
      <c r="E23" s="16">
        <v>3107.04</v>
      </c>
      <c r="F23" s="16">
        <v>2518.24</v>
      </c>
      <c r="G23" s="16">
        <v>2776.2</v>
      </c>
      <c r="H23" s="16">
        <v>1504.47</v>
      </c>
      <c r="I23" s="17">
        <v>3.0</v>
      </c>
      <c r="J23" s="16">
        <v>386.0</v>
      </c>
      <c r="K23" s="17">
        <v>5.0</v>
      </c>
      <c r="L23" s="17">
        <v>6.0</v>
      </c>
      <c r="M23" s="17">
        <v>9.0</v>
      </c>
      <c r="N23" s="16">
        <v>430.0</v>
      </c>
      <c r="O23" s="16">
        <v>244.0</v>
      </c>
      <c r="P23" s="16">
        <v>451.56</v>
      </c>
      <c r="Q23" s="16">
        <v>178.98</v>
      </c>
      <c r="R23" s="16">
        <v>451.98</v>
      </c>
      <c r="S23" s="16">
        <v>414.89</v>
      </c>
      <c r="T23" s="16">
        <v>214.14</v>
      </c>
      <c r="U23" s="15"/>
      <c r="V23" s="15"/>
    </row>
    <row r="24" ht="15.0" customHeight="1">
      <c r="A24" s="14" t="s">
        <v>73</v>
      </c>
      <c r="B24" s="16">
        <v>154.55</v>
      </c>
      <c r="C24" s="17">
        <v>63.39</v>
      </c>
      <c r="D24" s="17">
        <v>14.77</v>
      </c>
      <c r="E24" s="17">
        <v>6.73</v>
      </c>
      <c r="F24" s="17">
        <v>8.59</v>
      </c>
      <c r="G24" s="17">
        <v>18.82</v>
      </c>
      <c r="H24" s="17">
        <v>8.8</v>
      </c>
      <c r="I24" s="15">
        <v>0.0</v>
      </c>
      <c r="J24" s="15">
        <v>0.0</v>
      </c>
      <c r="K24" s="15">
        <v>0.0</v>
      </c>
      <c r="L24" s="17">
        <v>1.0</v>
      </c>
      <c r="M24" s="15">
        <v>0.0</v>
      </c>
      <c r="N24" s="16">
        <v>666.0</v>
      </c>
      <c r="O24" s="16">
        <v>1188.0</v>
      </c>
      <c r="P24" s="16">
        <v>1000.66</v>
      </c>
      <c r="Q24" s="16">
        <v>596.17</v>
      </c>
      <c r="R24" s="16">
        <v>525.05</v>
      </c>
      <c r="S24" s="16">
        <v>258.66</v>
      </c>
      <c r="T24" s="16">
        <v>143.28</v>
      </c>
      <c r="U24" s="17">
        <v>25.74</v>
      </c>
      <c r="V24" s="17">
        <v>7.81</v>
      </c>
    </row>
    <row r="25" ht="15.0" customHeight="1">
      <c r="A25" s="14" t="s">
        <v>74</v>
      </c>
      <c r="B25" s="16">
        <v>167.0</v>
      </c>
      <c r="C25" s="16">
        <v>211.65</v>
      </c>
      <c r="D25" s="16">
        <v>189.92</v>
      </c>
      <c r="E25" s="16">
        <v>120.09</v>
      </c>
      <c r="F25" s="17">
        <v>94.54</v>
      </c>
      <c r="G25" s="16">
        <v>112.93</v>
      </c>
      <c r="H25" s="16">
        <v>140.77</v>
      </c>
      <c r="I25" s="17">
        <v>19.0</v>
      </c>
      <c r="J25" s="17">
        <v>29.0</v>
      </c>
      <c r="K25" s="17">
        <v>20.0</v>
      </c>
      <c r="L25" s="17">
        <v>18.0</v>
      </c>
      <c r="M25" s="17">
        <v>14.0</v>
      </c>
      <c r="N25" s="16">
        <v>127.0</v>
      </c>
      <c r="O25" s="16">
        <v>134.0</v>
      </c>
      <c r="P25" s="16">
        <v>163.4</v>
      </c>
      <c r="Q25" s="16">
        <v>158.46</v>
      </c>
      <c r="R25" s="16">
        <v>125.69</v>
      </c>
      <c r="S25" s="16">
        <v>114.14</v>
      </c>
      <c r="T25" s="16">
        <v>103.25</v>
      </c>
      <c r="U25" s="15"/>
      <c r="V25" s="17">
        <v>3.19</v>
      </c>
    </row>
    <row r="26" ht="15.0" customHeight="1">
      <c r="A26" s="14" t="s">
        <v>75</v>
      </c>
      <c r="B26" s="15"/>
      <c r="C26" s="15"/>
      <c r="D26" s="15"/>
      <c r="E26" s="15"/>
      <c r="F26" s="15">
        <v>0.0</v>
      </c>
      <c r="G26" s="15"/>
      <c r="H26" s="15"/>
      <c r="I26" s="15"/>
      <c r="J26" s="15"/>
      <c r="K26" s="15"/>
      <c r="L26" s="15"/>
      <c r="M26" s="15"/>
      <c r="N26" s="17">
        <v>13.0</v>
      </c>
      <c r="O26" s="17">
        <v>11.0</v>
      </c>
      <c r="P26" s="17">
        <v>11.33</v>
      </c>
      <c r="Q26" s="15"/>
      <c r="R26" s="15"/>
      <c r="S26" s="15"/>
      <c r="T26" s="15"/>
      <c r="U26" s="15"/>
      <c r="V26" s="15"/>
    </row>
    <row r="27" ht="15.0" customHeight="1">
      <c r="A27" s="14" t="s">
        <v>76</v>
      </c>
      <c r="B27" s="15"/>
      <c r="C27" s="15"/>
      <c r="D27" s="15"/>
      <c r="E27" s="15"/>
      <c r="F27" s="17">
        <v>94.54</v>
      </c>
      <c r="G27" s="15"/>
      <c r="H27" s="15"/>
      <c r="I27" s="15"/>
      <c r="J27" s="15"/>
      <c r="K27" s="15"/>
      <c r="L27" s="15"/>
      <c r="M27" s="15"/>
      <c r="N27" s="16">
        <v>114.0</v>
      </c>
      <c r="O27" s="16">
        <v>123.0</v>
      </c>
      <c r="P27" s="16">
        <v>152.07</v>
      </c>
      <c r="Q27" s="15"/>
      <c r="R27" s="15"/>
      <c r="S27" s="15"/>
      <c r="T27" s="15"/>
      <c r="U27" s="15"/>
      <c r="V27" s="15"/>
    </row>
    <row r="28" ht="15.0" customHeight="1">
      <c r="A28" s="14" t="s">
        <v>77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6">
        <v>125.99</v>
      </c>
      <c r="R28" s="15"/>
      <c r="S28" s="15"/>
      <c r="T28" s="15"/>
      <c r="U28" s="15"/>
      <c r="V28" s="15"/>
    </row>
    <row r="29" ht="15.0" customHeight="1">
      <c r="A29" s="14" t="s">
        <v>78</v>
      </c>
      <c r="B29" s="16">
        <v>175.3</v>
      </c>
      <c r="C29" s="16">
        <v>133.22</v>
      </c>
      <c r="D29" s="16">
        <v>148.77</v>
      </c>
      <c r="E29" s="16">
        <v>183.5</v>
      </c>
      <c r="F29" s="17">
        <v>94.54</v>
      </c>
      <c r="G29" s="17">
        <v>75.29</v>
      </c>
      <c r="H29" s="16">
        <v>167.16</v>
      </c>
      <c r="I29" s="16">
        <v>156.0</v>
      </c>
      <c r="J29" s="17">
        <v>33.0</v>
      </c>
      <c r="K29" s="17">
        <v>11.0</v>
      </c>
      <c r="L29" s="17">
        <v>8.0</v>
      </c>
      <c r="M29" s="17">
        <v>48.0</v>
      </c>
      <c r="N29" s="17">
        <v>95.0</v>
      </c>
      <c r="O29" s="16">
        <v>114.0</v>
      </c>
      <c r="P29" s="16">
        <v>133.96</v>
      </c>
      <c r="Q29" s="17">
        <v>7.3</v>
      </c>
      <c r="R29" s="16">
        <v>103.57</v>
      </c>
      <c r="S29" s="17">
        <v>95.48</v>
      </c>
      <c r="T29" s="17">
        <v>47.27</v>
      </c>
      <c r="U29" s="17">
        <v>60.81</v>
      </c>
      <c r="V29" s="17">
        <v>13.85</v>
      </c>
    </row>
    <row r="30" ht="15.0" customHeight="1">
      <c r="A30" s="22" t="s">
        <v>79</v>
      </c>
      <c r="B30" s="15"/>
      <c r="C30" s="15"/>
      <c r="D30" s="15"/>
      <c r="E30" s="15"/>
      <c r="F30" s="15"/>
      <c r="G30" s="15"/>
      <c r="H30" s="15"/>
      <c r="I30" s="16">
        <v>151.0</v>
      </c>
      <c r="J30" s="17">
        <v>30.0</v>
      </c>
      <c r="K30" s="17">
        <v>10.0</v>
      </c>
      <c r="L30" s="17">
        <v>7.0</v>
      </c>
      <c r="M30" s="17">
        <v>47.0</v>
      </c>
      <c r="N30" s="17">
        <v>15.0</v>
      </c>
      <c r="O30" s="23">
        <v>-1.0</v>
      </c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80</v>
      </c>
      <c r="B31" s="15"/>
      <c r="C31" s="17">
        <v>42.98</v>
      </c>
      <c r="D31" s="17">
        <v>49.59</v>
      </c>
      <c r="E31" s="17">
        <v>36.51</v>
      </c>
      <c r="F31" s="17">
        <v>25.78</v>
      </c>
      <c r="G31" s="15"/>
      <c r="H31" s="15"/>
      <c r="I31" s="17">
        <v>2.0</v>
      </c>
      <c r="J31" s="17">
        <v>2.0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81</v>
      </c>
      <c r="B32" s="15"/>
      <c r="C32" s="17">
        <v>90.25</v>
      </c>
      <c r="D32" s="17">
        <v>99.18</v>
      </c>
      <c r="E32" s="16">
        <v>146.99</v>
      </c>
      <c r="F32" s="17">
        <v>68.76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82</v>
      </c>
      <c r="B33" s="15"/>
      <c r="C33" s="15"/>
      <c r="D33" s="15"/>
      <c r="E33" s="15"/>
      <c r="F33" s="15"/>
      <c r="G33" s="15"/>
      <c r="H33" s="15"/>
      <c r="I33" s="17">
        <v>3.0</v>
      </c>
      <c r="J33" s="17">
        <v>1.0</v>
      </c>
      <c r="K33" s="17">
        <v>1.0</v>
      </c>
      <c r="L33" s="17">
        <v>1.0</v>
      </c>
      <c r="M33" s="17">
        <v>1.0</v>
      </c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83</v>
      </c>
      <c r="B34" s="15"/>
      <c r="C34" s="15"/>
      <c r="D34" s="15"/>
      <c r="E34" s="15"/>
      <c r="F34" s="15"/>
      <c r="G34" s="15"/>
      <c r="H34" s="15"/>
      <c r="I34" s="15"/>
      <c r="J34" s="15"/>
      <c r="K34" s="23">
        <v>-1.0</v>
      </c>
      <c r="L34" s="23">
        <v>-7.0</v>
      </c>
      <c r="M34" s="17">
        <v>5.0</v>
      </c>
      <c r="N34" s="17">
        <v>15.0</v>
      </c>
      <c r="O34" s="23">
        <v>-32.0</v>
      </c>
      <c r="P34" s="16">
        <v>863.18</v>
      </c>
      <c r="Q34" s="15"/>
      <c r="R34" s="15"/>
      <c r="S34" s="15"/>
      <c r="T34" s="15"/>
      <c r="U34" s="15"/>
      <c r="V34" s="15"/>
    </row>
    <row r="35" ht="15.0" customHeight="1">
      <c r="A35" s="14" t="s">
        <v>84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7">
        <v>23.0</v>
      </c>
      <c r="P35" s="17">
        <v>18.28</v>
      </c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15"/>
      <c r="C36" s="15"/>
      <c r="D36" s="15"/>
      <c r="E36" s="15"/>
      <c r="F36" s="15"/>
      <c r="G36" s="15"/>
      <c r="H36" s="15"/>
      <c r="I36" s="15"/>
      <c r="J36" s="15"/>
      <c r="K36" s="23">
        <v>-1.0</v>
      </c>
      <c r="L36" s="23">
        <v>-2.0</v>
      </c>
      <c r="M36" s="17">
        <v>5.0</v>
      </c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23">
        <v>-21.0</v>
      </c>
      <c r="M37" s="17">
        <v>5.0</v>
      </c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87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7">
        <v>16.0</v>
      </c>
      <c r="M38" s="15">
        <v>0.0</v>
      </c>
      <c r="N38" s="15">
        <v>0.0</v>
      </c>
      <c r="O38" s="23">
        <v>-54.0</v>
      </c>
      <c r="P38" s="16">
        <v>844.9</v>
      </c>
      <c r="Q38" s="15"/>
      <c r="R38" s="17">
        <v>55.59</v>
      </c>
      <c r="S38" s="15">
        <v>0.0</v>
      </c>
      <c r="T38" s="15"/>
      <c r="U38" s="15"/>
      <c r="V38" s="15"/>
    </row>
    <row r="39" ht="15.0" customHeight="1">
      <c r="A39" s="14" t="s">
        <v>88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3">
        <v>-5.0</v>
      </c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89</v>
      </c>
      <c r="B40" s="16">
        <v>2585.87</v>
      </c>
      <c r="C40" s="16">
        <v>1454.71</v>
      </c>
      <c r="D40" s="16">
        <v>1082.57</v>
      </c>
      <c r="E40" s="16">
        <v>1282.59</v>
      </c>
      <c r="F40" s="16">
        <v>962.6</v>
      </c>
      <c r="G40" s="16">
        <v>1816.29</v>
      </c>
      <c r="H40" s="16">
        <v>985.38</v>
      </c>
      <c r="I40" s="17">
        <v>1.0</v>
      </c>
      <c r="J40" s="17">
        <v>1.0</v>
      </c>
      <c r="K40" s="17">
        <v>1.0</v>
      </c>
      <c r="L40" s="17">
        <f t="shared" ref="L40:M40" si="1">L41</f>
        <v>71</v>
      </c>
      <c r="M40" s="17">
        <f t="shared" si="1"/>
        <v>407</v>
      </c>
      <c r="N40" s="16">
        <v>319.0</v>
      </c>
      <c r="O40" s="16">
        <v>269.0</v>
      </c>
      <c r="P40" s="16">
        <v>387.79</v>
      </c>
      <c r="Q40" s="16">
        <v>261.65</v>
      </c>
      <c r="R40" s="16">
        <v>514.03</v>
      </c>
      <c r="S40" s="16">
        <v>716.8</v>
      </c>
      <c r="T40" s="16">
        <v>269.12</v>
      </c>
      <c r="U40" s="17">
        <v>0.69</v>
      </c>
      <c r="V40" s="17">
        <v>0.06</v>
      </c>
    </row>
    <row r="41" ht="15.0" customHeight="1">
      <c r="A41" s="14" t="s">
        <v>90</v>
      </c>
      <c r="B41" s="15"/>
      <c r="C41" s="15"/>
      <c r="D41" s="15"/>
      <c r="E41" s="15"/>
      <c r="F41" s="15"/>
      <c r="G41" s="15"/>
      <c r="H41" s="15"/>
      <c r="I41" s="15"/>
      <c r="J41" s="15"/>
      <c r="K41" s="17">
        <v>1.0</v>
      </c>
      <c r="L41" s="17">
        <v>71.0</v>
      </c>
      <c r="M41" s="16">
        <v>407.0</v>
      </c>
      <c r="N41" s="15"/>
      <c r="O41" s="15"/>
      <c r="P41" s="15"/>
      <c r="Q41" s="16">
        <v>601.31</v>
      </c>
      <c r="R41" s="15"/>
      <c r="S41" s="15"/>
      <c r="T41" s="16">
        <v>269.12</v>
      </c>
      <c r="U41" s="15"/>
      <c r="V41" s="15"/>
    </row>
    <row r="42" ht="15.0" customHeight="1">
      <c r="A42" s="14" t="s">
        <v>91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24">
        <v>-339.66</v>
      </c>
      <c r="R42" s="15"/>
      <c r="S42" s="15"/>
      <c r="T42" s="15"/>
      <c r="U42" s="15"/>
      <c r="V42" s="15"/>
    </row>
    <row r="43" ht="15.0" customHeight="1">
      <c r="A43" s="14" t="s">
        <v>92</v>
      </c>
      <c r="B43" s="15"/>
      <c r="C43" s="15"/>
      <c r="D43" s="15"/>
      <c r="E43" s="15"/>
      <c r="F43" s="15"/>
      <c r="G43" s="15"/>
      <c r="H43" s="15"/>
      <c r="I43" s="15">
        <v>0.0</v>
      </c>
      <c r="J43" s="15">
        <v>0.0</v>
      </c>
      <c r="K43" s="15">
        <v>0.0</v>
      </c>
      <c r="L43" s="17">
        <v>11.0</v>
      </c>
      <c r="M43" s="23">
        <v>-1.0</v>
      </c>
      <c r="N43" s="16">
        <v>1211.0</v>
      </c>
      <c r="O43" s="16">
        <v>421.0</v>
      </c>
      <c r="P43" s="16">
        <v>529.59</v>
      </c>
      <c r="Q43" s="17">
        <v>36.5</v>
      </c>
      <c r="R43" s="16">
        <v>125.7</v>
      </c>
      <c r="S43" s="15">
        <v>0.0</v>
      </c>
      <c r="T43" s="15"/>
      <c r="U43" s="15"/>
      <c r="V43" s="15"/>
    </row>
    <row r="44" ht="15.0" customHeight="1">
      <c r="A44" s="14" t="s">
        <v>93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>
        <v>235.51</v>
      </c>
      <c r="Q44" s="15"/>
      <c r="R44" s="15"/>
      <c r="S44" s="15"/>
      <c r="T44" s="15"/>
      <c r="U44" s="15"/>
      <c r="V44" s="15"/>
    </row>
    <row r="45" ht="15.0" customHeight="1">
      <c r="A45" s="14" t="s">
        <v>94</v>
      </c>
      <c r="B45" s="15"/>
      <c r="C45" s="15"/>
      <c r="D45" s="15"/>
      <c r="E45" s="15"/>
      <c r="F45" s="15"/>
      <c r="G45" s="15">
        <v>0.0</v>
      </c>
      <c r="H45" s="16">
        <v>2340.29</v>
      </c>
      <c r="I45" s="15"/>
      <c r="J45" s="15"/>
      <c r="K45" s="15"/>
      <c r="L45" s="15"/>
      <c r="M45" s="15"/>
      <c r="N45" s="15"/>
      <c r="O45" s="15"/>
      <c r="P45" s="16">
        <v>294.08</v>
      </c>
      <c r="Q45" s="15"/>
      <c r="R45" s="15"/>
      <c r="S45" s="15"/>
      <c r="T45" s="15"/>
      <c r="U45" s="15"/>
      <c r="V45" s="15"/>
    </row>
    <row r="46" ht="15.0" customHeight="1">
      <c r="A46" s="14" t="s">
        <v>95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0.0</v>
      </c>
      <c r="T46" s="15"/>
      <c r="U46" s="15"/>
      <c r="V46" s="15">
        <v>0.0</v>
      </c>
    </row>
    <row r="47" ht="15.0" customHeight="1">
      <c r="A47" s="18" t="s">
        <v>96</v>
      </c>
      <c r="B47" s="20">
        <v>7871.72</v>
      </c>
      <c r="C47" s="20">
        <v>5197.84</v>
      </c>
      <c r="D47" s="20">
        <v>5024.56</v>
      </c>
      <c r="E47" s="20">
        <v>4699.95</v>
      </c>
      <c r="F47" s="20">
        <v>3678.52</v>
      </c>
      <c r="G47" s="20">
        <v>4799.53</v>
      </c>
      <c r="H47" s="20">
        <v>5146.87</v>
      </c>
      <c r="I47" s="20">
        <v>179.0</v>
      </c>
      <c r="J47" s="20">
        <v>449.0</v>
      </c>
      <c r="K47" s="21">
        <v>36.0</v>
      </c>
      <c r="L47" s="21">
        <v>39.0</v>
      </c>
      <c r="M47" s="21">
        <v>81.0</v>
      </c>
      <c r="N47" s="20">
        <v>2863.0</v>
      </c>
      <c r="O47" s="20">
        <v>2338.0</v>
      </c>
      <c r="P47" s="20">
        <v>3530.13</v>
      </c>
      <c r="Q47" s="20">
        <v>1365.05</v>
      </c>
      <c r="R47" s="20">
        <v>1901.61</v>
      </c>
      <c r="S47" s="20">
        <v>1599.97</v>
      </c>
      <c r="T47" s="20">
        <v>777.06</v>
      </c>
      <c r="U47" s="21">
        <v>87.24</v>
      </c>
      <c r="V47" s="21">
        <v>24.9</v>
      </c>
    </row>
    <row r="48" ht="15.0" customHeight="1">
      <c r="A48" s="14" t="s">
        <v>97</v>
      </c>
      <c r="B48" s="17">
        <v>1.04</v>
      </c>
      <c r="C48" s="15"/>
      <c r="D48" s="15"/>
      <c r="E48" s="15"/>
      <c r="F48" s="15"/>
      <c r="G48" s="17">
        <v>9.41</v>
      </c>
      <c r="H48" s="17">
        <v>8.8</v>
      </c>
      <c r="I48" s="15"/>
      <c r="J48" s="23">
        <v>-1.0</v>
      </c>
      <c r="K48" s="17">
        <v>1.0</v>
      </c>
      <c r="L48" s="17">
        <v>1.0</v>
      </c>
      <c r="M48" s="17">
        <v>1.0</v>
      </c>
      <c r="N48" s="15"/>
      <c r="O48" s="23">
        <v>-2.0</v>
      </c>
      <c r="P48" s="15"/>
      <c r="Q48" s="15"/>
      <c r="R48" s="15"/>
      <c r="S48" s="15"/>
      <c r="T48" s="15"/>
      <c r="U48" s="15"/>
      <c r="V48" s="15"/>
    </row>
    <row r="49" ht="15.0" customHeight="1">
      <c r="A49" s="18" t="s">
        <v>98</v>
      </c>
      <c r="B49" s="20">
        <v>2909.5</v>
      </c>
      <c r="C49" s="20">
        <v>2347.52</v>
      </c>
      <c r="D49" s="20">
        <v>3363.77</v>
      </c>
      <c r="E49" s="20">
        <v>4589.47</v>
      </c>
      <c r="F49" s="20">
        <v>1177.47</v>
      </c>
      <c r="G49" s="20">
        <v>536.42</v>
      </c>
      <c r="H49" s="25">
        <v>-2208.32</v>
      </c>
      <c r="I49" s="25">
        <v>-163.0</v>
      </c>
      <c r="J49" s="25">
        <v>-440.0</v>
      </c>
      <c r="K49" s="26">
        <v>-24.0</v>
      </c>
      <c r="L49" s="26">
        <v>-25.0</v>
      </c>
      <c r="M49" s="26">
        <v>-43.0</v>
      </c>
      <c r="N49" s="25">
        <v>-1969.0</v>
      </c>
      <c r="O49" s="25">
        <v>-1508.0</v>
      </c>
      <c r="P49" s="25">
        <v>-1914.12</v>
      </c>
      <c r="Q49" s="25">
        <v>-725.51</v>
      </c>
      <c r="R49" s="25">
        <v>-355.1</v>
      </c>
      <c r="S49" s="20">
        <v>823.56</v>
      </c>
      <c r="T49" s="21">
        <v>58.91</v>
      </c>
      <c r="U49" s="26">
        <v>-87.23</v>
      </c>
      <c r="V49" s="26">
        <v>-24.9</v>
      </c>
    </row>
    <row r="50" ht="15.0" customHeight="1">
      <c r="A50" s="14" t="s">
        <v>99</v>
      </c>
      <c r="B50" s="16">
        <v>774.83</v>
      </c>
      <c r="C50" s="16">
        <v>279.34</v>
      </c>
      <c r="D50" s="16">
        <v>243.74</v>
      </c>
      <c r="E50" s="16">
        <v>588.94</v>
      </c>
      <c r="F50" s="16">
        <v>240.65</v>
      </c>
      <c r="G50" s="16">
        <v>969.32</v>
      </c>
      <c r="H50" s="16">
        <v>1337.31</v>
      </c>
      <c r="I50" s="16">
        <v>179.0</v>
      </c>
      <c r="J50" s="16">
        <v>180.0</v>
      </c>
      <c r="K50" s="17">
        <v>82.0</v>
      </c>
      <c r="L50" s="16">
        <v>2431.0</v>
      </c>
      <c r="M50" s="16">
        <v>158.0</v>
      </c>
      <c r="N50" s="16">
        <v>570.0</v>
      </c>
      <c r="O50" s="17">
        <v>76.0</v>
      </c>
      <c r="P50" s="16">
        <v>132.76</v>
      </c>
      <c r="Q50" s="17">
        <v>73.13</v>
      </c>
      <c r="R50" s="16">
        <v>151.87</v>
      </c>
      <c r="S50" s="16">
        <v>161.68</v>
      </c>
      <c r="T50" s="15"/>
      <c r="U50" s="15"/>
      <c r="V50" s="15"/>
    </row>
    <row r="51" ht="15.0" customHeight="1">
      <c r="A51" s="14" t="s">
        <v>100</v>
      </c>
      <c r="B51" s="15"/>
      <c r="C51" s="15"/>
      <c r="D51" s="15">
        <v>0.0</v>
      </c>
      <c r="E51" s="16">
        <v>122.01</v>
      </c>
      <c r="F51" s="17">
        <v>8.59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101</v>
      </c>
      <c r="B52" s="15"/>
      <c r="C52" s="15"/>
      <c r="D52" s="15"/>
      <c r="E52" s="15"/>
      <c r="F52" s="17">
        <v>51.57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102</v>
      </c>
      <c r="B53" s="15"/>
      <c r="C53" s="15"/>
      <c r="D53" s="15"/>
      <c r="E53" s="15"/>
      <c r="F53" s="15">
        <v>0.0</v>
      </c>
      <c r="G53" s="17">
        <v>28.23</v>
      </c>
      <c r="H53" s="15"/>
      <c r="I53" s="15"/>
      <c r="J53" s="15"/>
      <c r="K53" s="15"/>
      <c r="L53" s="16">
        <v>2176.0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103</v>
      </c>
      <c r="B54" s="15"/>
      <c r="C54" s="15"/>
      <c r="D54" s="15"/>
      <c r="E54" s="15"/>
      <c r="F54" s="15">
        <v>0.0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104</v>
      </c>
      <c r="B55" s="15"/>
      <c r="C55" s="16">
        <v>169.75</v>
      </c>
      <c r="D55" s="16">
        <v>187.81</v>
      </c>
      <c r="E55" s="17">
        <v>38.43</v>
      </c>
      <c r="F55" s="15">
        <v>0.0</v>
      </c>
      <c r="G55" s="15"/>
      <c r="H55" s="15"/>
      <c r="I55" s="17">
        <v>5.0</v>
      </c>
      <c r="J55" s="17">
        <v>74.0</v>
      </c>
      <c r="K55" s="17">
        <v>3.0</v>
      </c>
      <c r="L55" s="17">
        <v>16.0</v>
      </c>
      <c r="M55" s="17">
        <v>23.0</v>
      </c>
      <c r="N55" s="17">
        <v>24.0</v>
      </c>
      <c r="O55" s="17">
        <v>24.0</v>
      </c>
      <c r="P55" s="17">
        <v>31.08</v>
      </c>
      <c r="Q55" s="17">
        <v>19.28</v>
      </c>
      <c r="R55" s="17">
        <v>28.31</v>
      </c>
      <c r="S55" s="17">
        <v>66.31</v>
      </c>
      <c r="T55" s="17">
        <v>43.78</v>
      </c>
      <c r="U55" s="15"/>
      <c r="V55" s="17">
        <v>0.15</v>
      </c>
    </row>
    <row r="56" ht="15.0" customHeight="1">
      <c r="A56" s="14" t="s">
        <v>105</v>
      </c>
      <c r="B56" s="15"/>
      <c r="C56" s="15"/>
      <c r="D56" s="17">
        <v>10.55</v>
      </c>
      <c r="E56" s="16">
        <v>323.77</v>
      </c>
      <c r="F56" s="15">
        <v>0.0</v>
      </c>
      <c r="G56" s="15">
        <v>0.0</v>
      </c>
      <c r="H56" s="15"/>
      <c r="I56" s="15">
        <v>0.0</v>
      </c>
      <c r="J56" s="17">
        <v>2.0</v>
      </c>
      <c r="K56" s="15"/>
      <c r="L56" s="17">
        <v>75.0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106</v>
      </c>
      <c r="B57" s="15"/>
      <c r="C57" s="16">
        <v>109.59</v>
      </c>
      <c r="D57" s="17">
        <v>39.04</v>
      </c>
      <c r="E57" s="16">
        <v>105.68</v>
      </c>
      <c r="F57" s="16">
        <v>180.49</v>
      </c>
      <c r="G57" s="15"/>
      <c r="H57" s="15"/>
      <c r="I57" s="16">
        <v>174.0</v>
      </c>
      <c r="J57" s="16">
        <v>104.0</v>
      </c>
      <c r="K57" s="17">
        <v>79.0</v>
      </c>
      <c r="L57" s="16">
        <v>161.0</v>
      </c>
      <c r="M57" s="16">
        <v>134.0</v>
      </c>
      <c r="N57" s="17">
        <v>22.0</v>
      </c>
      <c r="O57" s="17">
        <v>51.0</v>
      </c>
      <c r="P57" s="15"/>
      <c r="Q57" s="23">
        <v>-21.93</v>
      </c>
      <c r="R57" s="15"/>
      <c r="S57" s="15"/>
      <c r="T57" s="15"/>
      <c r="U57" s="15"/>
      <c r="V57" s="15"/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>
        <v>0.0</v>
      </c>
      <c r="J58" s="15">
        <v>0.0</v>
      </c>
      <c r="K58" s="15"/>
      <c r="L58" s="17">
        <v>3.0</v>
      </c>
      <c r="M58" s="17">
        <v>95.0</v>
      </c>
      <c r="N58" s="16">
        <v>524.0</v>
      </c>
      <c r="O58" s="17">
        <v>1.0</v>
      </c>
      <c r="P58" s="16">
        <v>101.68</v>
      </c>
      <c r="Q58" s="17">
        <v>2.78</v>
      </c>
      <c r="R58" s="16">
        <v>123.56</v>
      </c>
      <c r="S58" s="17">
        <v>95.37</v>
      </c>
      <c r="T58" s="16">
        <v>130.65</v>
      </c>
      <c r="U58" s="15"/>
      <c r="V58" s="15"/>
    </row>
    <row r="59" ht="15.0" customHeight="1">
      <c r="A59" s="14" t="s">
        <v>108</v>
      </c>
      <c r="B59" s="15"/>
      <c r="C59" s="15"/>
      <c r="D59" s="17">
        <v>6.33</v>
      </c>
      <c r="E59" s="23">
        <v>-0.96</v>
      </c>
      <c r="F59" s="15"/>
      <c r="G59" s="15"/>
      <c r="H59" s="15"/>
      <c r="I59" s="15"/>
      <c r="J59" s="15"/>
      <c r="K59" s="15"/>
      <c r="L59" s="15"/>
      <c r="M59" s="23">
        <v>-94.0</v>
      </c>
      <c r="N59" s="15"/>
      <c r="O59" s="15"/>
      <c r="P59" s="15">
        <v>0.0</v>
      </c>
      <c r="Q59" s="17">
        <v>51.07</v>
      </c>
      <c r="R59" s="27">
        <v>0.0</v>
      </c>
      <c r="S59" s="15"/>
      <c r="T59" s="15"/>
      <c r="U59" s="15"/>
      <c r="V59" s="15"/>
    </row>
    <row r="60" ht="15.0" customHeight="1">
      <c r="A60" s="14" t="s">
        <v>109</v>
      </c>
      <c r="B60" s="24">
        <v>-2610.77</v>
      </c>
      <c r="C60" s="24">
        <v>-2757.93</v>
      </c>
      <c r="D60" s="24">
        <v>-1037.2</v>
      </c>
      <c r="E60" s="24">
        <v>-2209.71</v>
      </c>
      <c r="F60" s="24">
        <v>-1375.15</v>
      </c>
      <c r="G60" s="24">
        <v>-1665.72</v>
      </c>
      <c r="H60" s="24">
        <v>-879.81</v>
      </c>
      <c r="I60" s="24">
        <v>-159.0</v>
      </c>
      <c r="J60" s="24">
        <v>-149.0</v>
      </c>
      <c r="K60" s="24">
        <v>-138.0</v>
      </c>
      <c r="L60" s="24">
        <v>-428.0</v>
      </c>
      <c r="M60" s="24">
        <v>-775.0</v>
      </c>
      <c r="N60" s="24">
        <v>-556.0</v>
      </c>
      <c r="O60" s="24">
        <v>-562.0</v>
      </c>
      <c r="P60" s="24">
        <v>-599.78</v>
      </c>
      <c r="Q60" s="16">
        <v>516.88</v>
      </c>
      <c r="R60" s="16">
        <v>732.65</v>
      </c>
      <c r="S60" s="16">
        <v>717.27</v>
      </c>
      <c r="T60" s="15"/>
      <c r="U60" s="15"/>
      <c r="V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4">
        <v>-367.8</v>
      </c>
      <c r="Q61" s="24">
        <v>-453.04</v>
      </c>
      <c r="R61" s="24">
        <v>-515.29</v>
      </c>
      <c r="S61" s="24">
        <v>-581.11</v>
      </c>
      <c r="T61" s="24">
        <v>-270.56</v>
      </c>
      <c r="U61" s="15"/>
      <c r="V61" s="27">
        <v>0.0</v>
      </c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>
        <v>0.0</v>
      </c>
      <c r="O62" s="17">
        <v>11.0</v>
      </c>
      <c r="P62" s="17">
        <v>38.11</v>
      </c>
      <c r="Q62" s="17">
        <v>19.16</v>
      </c>
      <c r="R62" s="17">
        <v>2.14</v>
      </c>
      <c r="S62" s="15">
        <v>0.0</v>
      </c>
      <c r="T62" s="15"/>
      <c r="U62" s="15"/>
      <c r="V62" s="15"/>
    </row>
    <row r="63" ht="15.0" customHeight="1">
      <c r="A63" s="14" t="s">
        <v>112</v>
      </c>
      <c r="B63" s="24">
        <v>-497.88</v>
      </c>
      <c r="C63" s="24">
        <v>-603.8</v>
      </c>
      <c r="D63" s="24">
        <v>-473.76</v>
      </c>
      <c r="E63" s="24">
        <v>-446.75</v>
      </c>
      <c r="F63" s="24">
        <v>-378.17</v>
      </c>
      <c r="G63" s="24">
        <v>-367.02</v>
      </c>
      <c r="H63" s="24">
        <v>-114.37</v>
      </c>
      <c r="I63" s="23">
        <v>-23.0</v>
      </c>
      <c r="J63" s="23">
        <v>-31.0</v>
      </c>
      <c r="K63" s="23">
        <v>-45.0</v>
      </c>
      <c r="L63" s="23">
        <v>-91.0</v>
      </c>
      <c r="M63" s="24">
        <v>-820.0</v>
      </c>
      <c r="N63" s="24">
        <v>-407.0</v>
      </c>
      <c r="O63" s="24">
        <v>-365.0</v>
      </c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113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3">
        <v>-23.07</v>
      </c>
      <c r="Q64" s="15"/>
      <c r="R64" s="15"/>
      <c r="S64" s="15"/>
      <c r="T64" s="15"/>
      <c r="U64" s="15"/>
      <c r="V64" s="15"/>
    </row>
    <row r="65" ht="15.0" customHeight="1">
      <c r="A65" s="14" t="s">
        <v>114</v>
      </c>
      <c r="B65" s="24">
        <v>-956.35</v>
      </c>
      <c r="C65" s="24">
        <v>-825.12</v>
      </c>
      <c r="D65" s="24">
        <v>-547.62</v>
      </c>
      <c r="E65" s="24">
        <v>-493.82</v>
      </c>
      <c r="F65" s="24">
        <v>-395.36</v>
      </c>
      <c r="G65" s="24">
        <v>-442.31</v>
      </c>
      <c r="H65" s="24">
        <v>-211.15</v>
      </c>
      <c r="I65" s="15"/>
      <c r="J65" s="15"/>
      <c r="K65" s="15"/>
      <c r="L65" s="15"/>
      <c r="M65" s="15"/>
      <c r="N65" s="23">
        <v>-33.0</v>
      </c>
      <c r="O65" s="23">
        <v>-39.0</v>
      </c>
      <c r="P65" s="23">
        <v>-50.95</v>
      </c>
      <c r="Q65" s="15"/>
      <c r="R65" s="15"/>
      <c r="S65" s="15"/>
      <c r="T65" s="15"/>
      <c r="U65" s="15"/>
      <c r="V65" s="15"/>
    </row>
    <row r="66" ht="15.0" customHeight="1">
      <c r="A66" s="14" t="s">
        <v>115</v>
      </c>
      <c r="B66" s="23">
        <v>-5.19</v>
      </c>
      <c r="C66" s="23">
        <v>-5.37</v>
      </c>
      <c r="D66" s="15"/>
      <c r="E66" s="15"/>
      <c r="F66" s="15">
        <v>0.0</v>
      </c>
      <c r="G66" s="15">
        <v>0.0</v>
      </c>
      <c r="H66" s="15">
        <v>0.0</v>
      </c>
      <c r="I66" s="15"/>
      <c r="J66" s="15"/>
      <c r="K66" s="15"/>
      <c r="L66" s="23">
        <v>-22.0</v>
      </c>
      <c r="M66" s="23">
        <v>-1.0</v>
      </c>
      <c r="N66" s="23">
        <v>-3.0</v>
      </c>
      <c r="O66" s="23">
        <v>-8.0</v>
      </c>
      <c r="P66" s="23">
        <v>-5.83</v>
      </c>
      <c r="Q66" s="15"/>
      <c r="R66" s="15"/>
      <c r="S66" s="15"/>
      <c r="T66" s="15"/>
      <c r="U66" s="15"/>
      <c r="V66" s="15"/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3">
        <v>-32.0</v>
      </c>
      <c r="O67" s="23">
        <v>-42.0</v>
      </c>
      <c r="P67" s="23">
        <v>-51.85</v>
      </c>
      <c r="Q67" s="15"/>
      <c r="R67" s="15"/>
      <c r="S67" s="15"/>
      <c r="T67" s="15"/>
      <c r="U67" s="15"/>
      <c r="V67" s="15"/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3">
        <v>-54.88</v>
      </c>
      <c r="Q68" s="15"/>
      <c r="R68" s="15"/>
      <c r="S68" s="15"/>
      <c r="T68" s="15"/>
      <c r="U68" s="15"/>
      <c r="V68" s="15"/>
    </row>
    <row r="69" ht="15.0" customHeight="1">
      <c r="A69" s="14" t="s">
        <v>118</v>
      </c>
      <c r="B69" s="24">
        <v>-549.74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119</v>
      </c>
      <c r="B70" s="24">
        <v>-181.52</v>
      </c>
      <c r="C70" s="23">
        <v>-59.09</v>
      </c>
      <c r="D70" s="24">
        <v>-129.78</v>
      </c>
      <c r="E70" s="23">
        <v>-81.66</v>
      </c>
      <c r="F70" s="24">
        <v>-128.92</v>
      </c>
      <c r="G70" s="15"/>
      <c r="H70" s="15"/>
      <c r="I70" s="24">
        <v>-130.0</v>
      </c>
      <c r="J70" s="24">
        <v>-126.0</v>
      </c>
      <c r="K70" s="23">
        <v>-80.0</v>
      </c>
      <c r="L70" s="23">
        <v>-77.0</v>
      </c>
      <c r="M70" s="23">
        <v>-48.0</v>
      </c>
      <c r="N70" s="23">
        <v>-36.0</v>
      </c>
      <c r="O70" s="23">
        <v>-59.0</v>
      </c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120</v>
      </c>
      <c r="B71" s="15"/>
      <c r="C71" s="23">
        <v>-7.52</v>
      </c>
      <c r="D71" s="23">
        <v>-1.06</v>
      </c>
      <c r="E71" s="15">
        <v>0.0</v>
      </c>
      <c r="F71" s="23">
        <v>-34.38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121</v>
      </c>
      <c r="B72" s="15"/>
      <c r="C72" s="24">
        <v>-344.88</v>
      </c>
      <c r="D72" s="24">
        <v>-148.77</v>
      </c>
      <c r="E72" s="24">
        <v>-1271.06</v>
      </c>
      <c r="F72" s="23">
        <v>-68.76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122</v>
      </c>
      <c r="B73" s="15"/>
      <c r="C73" s="15"/>
      <c r="D73" s="15"/>
      <c r="E73" s="15"/>
      <c r="F73" s="15"/>
      <c r="G73" s="15"/>
      <c r="H73" s="15"/>
      <c r="I73" s="15">
        <v>0.0</v>
      </c>
      <c r="J73" s="23">
        <v>-5.0</v>
      </c>
      <c r="K73" s="23">
        <v>-14.0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123</v>
      </c>
      <c r="B74" s="15"/>
      <c r="C74" s="23">
        <v>-61.24</v>
      </c>
      <c r="D74" s="23">
        <v>-7.39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124</v>
      </c>
      <c r="B75" s="15"/>
      <c r="C75" s="15"/>
      <c r="D75" s="15"/>
      <c r="E75" s="23">
        <v>-32.67</v>
      </c>
      <c r="F75" s="23">
        <v>-34.38</v>
      </c>
      <c r="G75" s="24">
        <v>-404.67</v>
      </c>
      <c r="H75" s="15"/>
      <c r="I75" s="23">
        <v>-5.0</v>
      </c>
      <c r="J75" s="17">
        <v>14.0</v>
      </c>
      <c r="K75" s="17">
        <v>1.0</v>
      </c>
      <c r="L75" s="24">
        <v>-238.0</v>
      </c>
      <c r="M75" s="17">
        <v>94.0</v>
      </c>
      <c r="N75" s="23">
        <v>-45.0</v>
      </c>
      <c r="O75" s="23">
        <v>-60.0</v>
      </c>
      <c r="P75" s="27">
        <v>0.0</v>
      </c>
      <c r="Q75" s="15"/>
      <c r="R75" s="15"/>
      <c r="S75" s="15"/>
      <c r="T75" s="15"/>
      <c r="U75" s="15"/>
      <c r="V75" s="15"/>
    </row>
    <row r="76" ht="15.0" customHeight="1">
      <c r="A76" s="14" t="s">
        <v>125</v>
      </c>
      <c r="B76" s="24">
        <v>-420.09</v>
      </c>
      <c r="C76" s="24">
        <v>-850.91</v>
      </c>
      <c r="D76" s="16">
        <v>271.17</v>
      </c>
      <c r="E76" s="16">
        <v>116.25</v>
      </c>
      <c r="F76" s="24">
        <v>-335.19</v>
      </c>
      <c r="G76" s="24">
        <v>-856.39</v>
      </c>
      <c r="H76" s="24">
        <v>-554.28</v>
      </c>
      <c r="I76" s="23">
        <v>-1.0</v>
      </c>
      <c r="J76" s="23">
        <v>-1.0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126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3">
        <v>-83.52</v>
      </c>
      <c r="Q77" s="23">
        <v>-10.0</v>
      </c>
      <c r="R77" s="24">
        <v>-219.49</v>
      </c>
      <c r="S77" s="24">
        <v>-136.17</v>
      </c>
      <c r="T77" s="15"/>
      <c r="U77" s="15"/>
      <c r="V77" s="27">
        <v>0.0</v>
      </c>
    </row>
    <row r="78" ht="15.0" customHeight="1">
      <c r="A78" s="14" t="s">
        <v>126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6">
        <v>960.76</v>
      </c>
      <c r="R78" s="16">
        <v>1465.29</v>
      </c>
      <c r="S78" s="16">
        <v>1434.55</v>
      </c>
      <c r="T78" s="24">
        <v>-167.7</v>
      </c>
      <c r="U78" s="15"/>
      <c r="V78" s="15"/>
    </row>
    <row r="79" ht="15.0" customHeight="1">
      <c r="A79" s="14" t="s">
        <v>127</v>
      </c>
      <c r="B79" s="15"/>
      <c r="C79" s="17">
        <v>1.07</v>
      </c>
      <c r="D79" s="15"/>
      <c r="E79" s="15"/>
      <c r="F79" s="15"/>
      <c r="G79" s="23">
        <v>-9.41</v>
      </c>
      <c r="H79" s="15"/>
      <c r="I79" s="15"/>
      <c r="J79" s="15"/>
      <c r="K79" s="15"/>
      <c r="L79" s="15"/>
      <c r="M79" s="15"/>
      <c r="N79" s="17">
        <v>1.0</v>
      </c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8" t="s">
        <v>128</v>
      </c>
      <c r="B80" s="25">
        <v>-1835.94</v>
      </c>
      <c r="C80" s="25">
        <v>-2477.52</v>
      </c>
      <c r="D80" s="25">
        <v>-793.46</v>
      </c>
      <c r="E80" s="25">
        <v>-1620.77</v>
      </c>
      <c r="F80" s="25">
        <v>-1134.5</v>
      </c>
      <c r="G80" s="25">
        <v>-705.81</v>
      </c>
      <c r="H80" s="20">
        <v>457.5</v>
      </c>
      <c r="I80" s="21">
        <v>20.0</v>
      </c>
      <c r="J80" s="21">
        <v>31.0</v>
      </c>
      <c r="K80" s="26">
        <v>-56.0</v>
      </c>
      <c r="L80" s="20">
        <v>2003.0</v>
      </c>
      <c r="M80" s="25">
        <v>-617.0</v>
      </c>
      <c r="N80" s="21">
        <v>15.0</v>
      </c>
      <c r="O80" s="25">
        <v>-486.0</v>
      </c>
      <c r="P80" s="25">
        <v>-467.03</v>
      </c>
      <c r="Q80" s="20">
        <v>590.01</v>
      </c>
      <c r="R80" s="20">
        <v>884.52</v>
      </c>
      <c r="S80" s="20">
        <v>878.95</v>
      </c>
      <c r="T80" s="25">
        <v>-263.82</v>
      </c>
      <c r="U80" s="26">
        <v>-0.83</v>
      </c>
      <c r="V80" s="21">
        <v>0.15</v>
      </c>
    </row>
    <row r="81" ht="15.0" customHeight="1">
      <c r="A81" s="14" t="s">
        <v>129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7">
        <v>0.0</v>
      </c>
      <c r="Q81" s="24">
        <v>-1033.76</v>
      </c>
      <c r="R81" s="24">
        <v>-1465.29</v>
      </c>
      <c r="S81" s="24">
        <v>-1434.55</v>
      </c>
      <c r="T81" s="15"/>
      <c r="U81" s="15"/>
      <c r="V81" s="15"/>
    </row>
    <row r="82" ht="15.0" customHeight="1">
      <c r="A82" s="18" t="s">
        <v>130</v>
      </c>
      <c r="B82" s="20">
        <v>1073.56</v>
      </c>
      <c r="C82" s="25">
        <v>-130.0</v>
      </c>
      <c r="D82" s="20">
        <v>2570.31</v>
      </c>
      <c r="E82" s="20">
        <v>2968.7</v>
      </c>
      <c r="F82" s="21">
        <v>42.97</v>
      </c>
      <c r="G82" s="25">
        <v>-169.4</v>
      </c>
      <c r="H82" s="25">
        <v>-1750.82</v>
      </c>
      <c r="I82" s="25">
        <v>-143.0</v>
      </c>
      <c r="J82" s="25">
        <v>-409.0</v>
      </c>
      <c r="K82" s="26">
        <v>-80.0</v>
      </c>
      <c r="L82" s="20">
        <v>1978.0</v>
      </c>
      <c r="M82" s="25">
        <v>-660.0</v>
      </c>
      <c r="N82" s="25">
        <v>-1954.0</v>
      </c>
      <c r="O82" s="25">
        <v>-1994.0</v>
      </c>
      <c r="P82" s="25">
        <v>-2381.15</v>
      </c>
      <c r="Q82" s="25">
        <v>-1169.26</v>
      </c>
      <c r="R82" s="25">
        <v>-935.87</v>
      </c>
      <c r="S82" s="20">
        <v>267.97</v>
      </c>
      <c r="T82" s="25">
        <v>-204.91</v>
      </c>
      <c r="U82" s="26">
        <v>-88.06</v>
      </c>
      <c r="V82" s="26">
        <v>-24.75</v>
      </c>
    </row>
    <row r="83" ht="15.0" customHeight="1">
      <c r="A83" s="14" t="s">
        <v>131</v>
      </c>
      <c r="B83" s="17">
        <v>62.24</v>
      </c>
      <c r="C83" s="16">
        <v>630.66</v>
      </c>
      <c r="D83" s="16">
        <v>1410.72</v>
      </c>
      <c r="E83" s="16">
        <v>3053.24</v>
      </c>
      <c r="F83" s="16">
        <v>498.49</v>
      </c>
      <c r="G83" s="24">
        <v>-329.38</v>
      </c>
      <c r="H83" s="24">
        <v>-3642.4</v>
      </c>
      <c r="I83" s="15">
        <v>0.0</v>
      </c>
      <c r="J83" s="17">
        <v>9.0</v>
      </c>
      <c r="K83" s="23">
        <v>-65.0</v>
      </c>
      <c r="L83" s="23">
        <v>-2.0</v>
      </c>
      <c r="M83" s="23">
        <v>-54.0</v>
      </c>
      <c r="N83" s="24">
        <v>-947.0</v>
      </c>
      <c r="O83" s="24">
        <v>-1401.0</v>
      </c>
      <c r="P83" s="24">
        <v>-939.42</v>
      </c>
      <c r="Q83" s="24">
        <v>-735.17</v>
      </c>
      <c r="R83" s="24">
        <v>-567.88</v>
      </c>
      <c r="S83" s="16">
        <v>147.75</v>
      </c>
      <c r="T83" s="23">
        <v>-14.22</v>
      </c>
      <c r="U83" s="23">
        <v>-68.2</v>
      </c>
      <c r="V83" s="23">
        <v>-19.27</v>
      </c>
    </row>
    <row r="84" ht="15.0" customHeight="1">
      <c r="A84" s="14" t="s">
        <v>132</v>
      </c>
      <c r="B84" s="15"/>
      <c r="C84" s="24">
        <v>-673.64</v>
      </c>
      <c r="D84" s="16">
        <v>1535.22</v>
      </c>
      <c r="E84" s="16">
        <v>1965.68</v>
      </c>
      <c r="F84" s="23">
        <v>-34.38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133</v>
      </c>
      <c r="B85" s="15"/>
      <c r="C85" s="16">
        <v>1304.3</v>
      </c>
      <c r="D85" s="24">
        <v>-124.51</v>
      </c>
      <c r="E85" s="16">
        <v>1086.6</v>
      </c>
      <c r="F85" s="16">
        <v>532.87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134</v>
      </c>
      <c r="B86" s="15"/>
      <c r="C86" s="15"/>
      <c r="D86" s="15"/>
      <c r="E86" s="17">
        <v>0.96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24">
        <v>-592.0</v>
      </c>
      <c r="O87" s="24">
        <v>-1097.0</v>
      </c>
      <c r="P87" s="15"/>
      <c r="Q87" s="15"/>
      <c r="R87" s="16">
        <v>547.23</v>
      </c>
      <c r="S87" s="23">
        <v>-1.39</v>
      </c>
      <c r="T87" s="15"/>
      <c r="U87" s="15"/>
      <c r="V87" s="15"/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24">
        <v>-354.0</v>
      </c>
      <c r="O88" s="24">
        <v>-304.0</v>
      </c>
      <c r="P88" s="15"/>
      <c r="Q88" s="15"/>
      <c r="R88" s="17">
        <v>20.66</v>
      </c>
      <c r="S88" s="24">
        <v>-146.36</v>
      </c>
      <c r="T88" s="15"/>
      <c r="U88" s="15"/>
      <c r="V88" s="15"/>
    </row>
    <row r="89" ht="15.0" customHeight="1">
      <c r="A89" s="14" t="s">
        <v>137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23">
        <v>-1.0</v>
      </c>
      <c r="O89" s="15"/>
      <c r="P89" s="15"/>
      <c r="Q89" s="15"/>
      <c r="R89" s="15"/>
      <c r="S89" s="16">
        <v>295.51</v>
      </c>
      <c r="T89" s="15"/>
      <c r="U89" s="15"/>
      <c r="V89" s="15"/>
    </row>
    <row r="90" ht="15.0" customHeight="1">
      <c r="A90" s="14" t="s">
        <v>138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4">
        <v>-146.82</v>
      </c>
      <c r="S90" s="17">
        <v>49.47</v>
      </c>
      <c r="T90" s="15"/>
      <c r="U90" s="15"/>
      <c r="V90" s="15"/>
    </row>
    <row r="91" ht="15.0" customHeight="1">
      <c r="A91" s="14" t="s">
        <v>139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6">
        <v>284.96</v>
      </c>
      <c r="S91" s="24">
        <v>-206.33</v>
      </c>
      <c r="T91" s="15"/>
      <c r="U91" s="15"/>
      <c r="V91" s="15"/>
    </row>
    <row r="92" ht="15.0" customHeight="1">
      <c r="A92" s="14" t="s">
        <v>140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6">
        <v>429.75</v>
      </c>
      <c r="S92" s="17">
        <v>9.11</v>
      </c>
      <c r="T92" s="15"/>
      <c r="U92" s="15"/>
      <c r="V92" s="15"/>
    </row>
    <row r="93" ht="15.0" customHeight="1">
      <c r="A93" s="18" t="s">
        <v>141</v>
      </c>
      <c r="B93" s="21">
        <v>62.24</v>
      </c>
      <c r="C93" s="20">
        <v>630.66</v>
      </c>
      <c r="D93" s="20">
        <v>1410.72</v>
      </c>
      <c r="E93" s="20">
        <v>3053.24</v>
      </c>
      <c r="F93" s="20">
        <v>498.49</v>
      </c>
      <c r="G93" s="25">
        <v>-329.38</v>
      </c>
      <c r="H93" s="25">
        <v>-3642.4</v>
      </c>
      <c r="I93" s="19">
        <v>0.0</v>
      </c>
      <c r="J93" s="21">
        <v>9.0</v>
      </c>
      <c r="K93" s="26">
        <v>-65.0</v>
      </c>
      <c r="L93" s="26">
        <v>-2.0</v>
      </c>
      <c r="M93" s="26">
        <v>-54.0</v>
      </c>
      <c r="N93" s="25">
        <v>-947.0</v>
      </c>
      <c r="O93" s="25">
        <v>-1401.0</v>
      </c>
      <c r="P93" s="25">
        <v>-939.42</v>
      </c>
      <c r="Q93" s="25">
        <v>-735.17</v>
      </c>
      <c r="R93" s="25">
        <v>-567.88</v>
      </c>
      <c r="S93" s="20">
        <v>147.75</v>
      </c>
      <c r="T93" s="26">
        <v>-14.22</v>
      </c>
      <c r="U93" s="26">
        <v>-68.2</v>
      </c>
      <c r="V93" s="26">
        <v>-19.27</v>
      </c>
    </row>
    <row r="94" ht="15.0" customHeight="1">
      <c r="A94" s="14" t="s">
        <v>142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0.0</v>
      </c>
      <c r="Q94" s="27">
        <v>0.0</v>
      </c>
      <c r="R94" s="15"/>
      <c r="S94" s="15"/>
      <c r="T94" s="15"/>
      <c r="U94" s="15"/>
      <c r="V94" s="15"/>
    </row>
    <row r="95" ht="15.0" customHeight="1">
      <c r="A95" s="18" t="s">
        <v>143</v>
      </c>
      <c r="B95" s="20">
        <v>1011.32</v>
      </c>
      <c r="C95" s="25">
        <v>-760.66</v>
      </c>
      <c r="D95" s="20">
        <v>1159.59</v>
      </c>
      <c r="E95" s="26">
        <v>-84.55</v>
      </c>
      <c r="F95" s="25">
        <v>-455.52</v>
      </c>
      <c r="G95" s="20">
        <v>159.98</v>
      </c>
      <c r="H95" s="20">
        <v>1891.59</v>
      </c>
      <c r="I95" s="25">
        <v>-143.0</v>
      </c>
      <c r="J95" s="25">
        <v>-418.0</v>
      </c>
      <c r="K95" s="26">
        <v>-15.0</v>
      </c>
      <c r="L95" s="20">
        <v>1980.0</v>
      </c>
      <c r="M95" s="25">
        <v>-606.0</v>
      </c>
      <c r="N95" s="25">
        <v>-1007.0</v>
      </c>
      <c r="O95" s="25">
        <v>-593.0</v>
      </c>
      <c r="P95" s="25">
        <v>-1441.73</v>
      </c>
      <c r="Q95" s="25">
        <v>-434.09</v>
      </c>
      <c r="R95" s="25">
        <v>-367.99</v>
      </c>
      <c r="S95" s="20">
        <v>120.21</v>
      </c>
      <c r="T95" s="25">
        <v>-190.7</v>
      </c>
      <c r="U95" s="26">
        <v>-19.86</v>
      </c>
      <c r="V95" s="26">
        <v>-5.49</v>
      </c>
    </row>
    <row r="96" ht="15.0" customHeight="1">
      <c r="A96" s="18" t="s">
        <v>144</v>
      </c>
      <c r="B96" s="20">
        <v>1011.32</v>
      </c>
      <c r="C96" s="25">
        <v>-760.66</v>
      </c>
      <c r="D96" s="20">
        <v>1159.59</v>
      </c>
      <c r="E96" s="26">
        <v>-84.55</v>
      </c>
      <c r="F96" s="25">
        <v>-455.52</v>
      </c>
      <c r="G96" s="20">
        <v>159.98</v>
      </c>
      <c r="H96" s="20">
        <v>1891.59</v>
      </c>
      <c r="I96" s="25">
        <v>-143.0</v>
      </c>
      <c r="J96" s="25">
        <v>-418.0</v>
      </c>
      <c r="K96" s="26">
        <v>-15.0</v>
      </c>
      <c r="L96" s="20">
        <v>1980.0</v>
      </c>
      <c r="M96" s="25">
        <v>-606.0</v>
      </c>
      <c r="N96" s="25">
        <v>-1007.0</v>
      </c>
      <c r="O96" s="25">
        <v>-593.0</v>
      </c>
      <c r="P96" s="25">
        <v>-1441.73</v>
      </c>
      <c r="Q96" s="25">
        <v>-434.09</v>
      </c>
      <c r="R96" s="25">
        <v>-367.99</v>
      </c>
      <c r="S96" s="20">
        <v>120.21</v>
      </c>
      <c r="T96" s="25">
        <v>-190.7</v>
      </c>
      <c r="U96" s="26">
        <v>-19.86</v>
      </c>
      <c r="V96" s="26">
        <v>-5.49</v>
      </c>
    </row>
    <row r="97" ht="15.0" customHeight="1">
      <c r="A97" s="14" t="s">
        <v>145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6">
        <v>438.62</v>
      </c>
      <c r="R97" s="15"/>
      <c r="S97" s="15"/>
      <c r="T97" s="15"/>
      <c r="U97" s="15"/>
      <c r="V97" s="15"/>
    </row>
    <row r="98" ht="15.0" customHeight="1">
      <c r="A98" s="14" t="s">
        <v>146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239.53</v>
      </c>
      <c r="R98" s="15"/>
      <c r="S98" s="15"/>
      <c r="T98" s="15"/>
      <c r="U98" s="15"/>
      <c r="V98" s="15"/>
    </row>
    <row r="99" ht="15.0" customHeight="1">
      <c r="A99" s="14" t="s">
        <v>147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>
        <v>199.08</v>
      </c>
      <c r="R99" s="15"/>
      <c r="S99" s="15"/>
      <c r="T99" s="15"/>
      <c r="U99" s="15"/>
      <c r="V99" s="15"/>
    </row>
    <row r="100" ht="15.0" customHeight="1">
      <c r="A100" s="14" t="s">
        <v>148</v>
      </c>
      <c r="B100" s="15"/>
      <c r="C100" s="15"/>
      <c r="D100" s="15"/>
      <c r="E100" s="15"/>
      <c r="F100" s="15"/>
      <c r="G100" s="15"/>
      <c r="H100" s="15"/>
      <c r="I100" s="15">
        <v>0.0</v>
      </c>
      <c r="J100" s="16">
        <v>102.0</v>
      </c>
      <c r="K100" s="16">
        <v>304.0</v>
      </c>
      <c r="L100" s="24">
        <v>-1344.0</v>
      </c>
      <c r="M100" s="24">
        <v>-2306.0</v>
      </c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8" t="s">
        <v>149</v>
      </c>
      <c r="B101" s="19"/>
      <c r="C101" s="19"/>
      <c r="D101" s="19"/>
      <c r="E101" s="19"/>
      <c r="F101" s="19"/>
      <c r="G101" s="19"/>
      <c r="H101" s="19"/>
      <c r="I101" s="19">
        <v>0.0</v>
      </c>
      <c r="J101" s="20">
        <v>102.0</v>
      </c>
      <c r="K101" s="20">
        <v>304.0</v>
      </c>
      <c r="L101" s="25">
        <v>-1344.0</v>
      </c>
      <c r="M101" s="25">
        <v>-2306.0</v>
      </c>
      <c r="N101" s="19"/>
      <c r="O101" s="19"/>
      <c r="P101" s="19"/>
      <c r="Q101" s="20">
        <v>438.62</v>
      </c>
      <c r="R101" s="19"/>
      <c r="S101" s="19"/>
      <c r="T101" s="19"/>
      <c r="U101" s="19"/>
      <c r="V101" s="19"/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7">
        <v>1.0</v>
      </c>
      <c r="L102" s="15"/>
      <c r="M102" s="15"/>
      <c r="N102" s="23">
        <v>-1.0</v>
      </c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8" t="s">
        <v>143</v>
      </c>
      <c r="B103" s="20">
        <v>1011.32</v>
      </c>
      <c r="C103" s="25">
        <v>-760.66</v>
      </c>
      <c r="D103" s="20">
        <v>1159.59</v>
      </c>
      <c r="E103" s="26">
        <v>-84.55</v>
      </c>
      <c r="F103" s="25">
        <v>-455.52</v>
      </c>
      <c r="G103" s="20">
        <v>159.98</v>
      </c>
      <c r="H103" s="20">
        <v>1891.59</v>
      </c>
      <c r="I103" s="25">
        <v>-143.0</v>
      </c>
      <c r="J103" s="25">
        <v>-316.0</v>
      </c>
      <c r="K103" s="20">
        <v>290.0</v>
      </c>
      <c r="L103" s="20">
        <v>636.0</v>
      </c>
      <c r="M103" s="25">
        <v>-2912.0</v>
      </c>
      <c r="N103" s="25">
        <v>-1008.0</v>
      </c>
      <c r="O103" s="25">
        <v>-593.0</v>
      </c>
      <c r="P103" s="25">
        <v>-1441.73</v>
      </c>
      <c r="Q103" s="21">
        <v>4.53</v>
      </c>
      <c r="R103" s="25">
        <v>-367.99</v>
      </c>
      <c r="S103" s="20">
        <v>120.21</v>
      </c>
      <c r="T103" s="25">
        <v>-190.7</v>
      </c>
      <c r="U103" s="26">
        <v>-19.86</v>
      </c>
      <c r="V103" s="26">
        <v>-5.49</v>
      </c>
    </row>
    <row r="104" ht="15.0" customHeight="1">
      <c r="A104" s="18" t="s">
        <v>151</v>
      </c>
      <c r="B104" s="20">
        <v>1011.32</v>
      </c>
      <c r="C104" s="25">
        <v>-760.66</v>
      </c>
      <c r="D104" s="20">
        <v>1159.59</v>
      </c>
      <c r="E104" s="26">
        <v>-84.55</v>
      </c>
      <c r="F104" s="25">
        <v>-455.52</v>
      </c>
      <c r="G104" s="20">
        <v>159.98</v>
      </c>
      <c r="H104" s="20">
        <v>1891.59</v>
      </c>
      <c r="I104" s="25">
        <v>-143.0</v>
      </c>
      <c r="J104" s="25">
        <v>-418.0</v>
      </c>
      <c r="K104" s="26">
        <v>-15.0</v>
      </c>
      <c r="L104" s="20">
        <v>1980.0</v>
      </c>
      <c r="M104" s="25">
        <v>-606.0</v>
      </c>
      <c r="N104" s="25">
        <v>-1008.0</v>
      </c>
      <c r="O104" s="25">
        <v>-593.0</v>
      </c>
      <c r="P104" s="25">
        <v>-1441.73</v>
      </c>
      <c r="Q104" s="25">
        <v>-434.09</v>
      </c>
      <c r="R104" s="25">
        <v>-367.99</v>
      </c>
      <c r="S104" s="20">
        <v>120.21</v>
      </c>
      <c r="T104" s="25">
        <v>-190.7</v>
      </c>
      <c r="U104" s="26">
        <v>-19.86</v>
      </c>
      <c r="V104" s="26">
        <v>-5.49</v>
      </c>
    </row>
    <row r="105" ht="15.0" customHeight="1">
      <c r="A105" s="14" t="s">
        <v>152</v>
      </c>
      <c r="B105" s="15"/>
      <c r="C105" s="15"/>
      <c r="D105" s="23">
        <v>-1.06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8" t="s">
        <v>144</v>
      </c>
      <c r="B106" s="20">
        <v>1011.32</v>
      </c>
      <c r="C106" s="25">
        <v>-760.66</v>
      </c>
      <c r="D106" s="20">
        <v>1158.54</v>
      </c>
      <c r="E106" s="26">
        <v>-84.55</v>
      </c>
      <c r="F106" s="25">
        <v>-455.52</v>
      </c>
      <c r="G106" s="20">
        <v>159.98</v>
      </c>
      <c r="H106" s="20">
        <v>1891.59</v>
      </c>
      <c r="I106" s="25">
        <v>-143.0</v>
      </c>
      <c r="J106" s="25">
        <v>-316.0</v>
      </c>
      <c r="K106" s="20">
        <v>290.0</v>
      </c>
      <c r="L106" s="20">
        <v>636.0</v>
      </c>
      <c r="M106" s="25">
        <v>-2912.0</v>
      </c>
      <c r="N106" s="25">
        <v>-1008.0</v>
      </c>
      <c r="O106" s="25">
        <v>-593.0</v>
      </c>
      <c r="P106" s="25">
        <v>-1441.73</v>
      </c>
      <c r="Q106" s="21">
        <v>4.53</v>
      </c>
      <c r="R106" s="25">
        <v>-367.99</v>
      </c>
      <c r="S106" s="20">
        <v>120.21</v>
      </c>
      <c r="T106" s="25">
        <v>-190.7</v>
      </c>
      <c r="U106" s="26">
        <v>-19.86</v>
      </c>
      <c r="V106" s="26">
        <v>-5.49</v>
      </c>
    </row>
    <row r="107" ht="15.0" customHeight="1">
      <c r="A107" s="14" t="s">
        <v>143</v>
      </c>
      <c r="B107" s="15"/>
      <c r="C107" s="24">
        <v>-760.66</v>
      </c>
      <c r="D107" s="16">
        <v>1158.54</v>
      </c>
      <c r="E107" s="23">
        <v>-84.55</v>
      </c>
      <c r="F107" s="24">
        <v>-455.52</v>
      </c>
      <c r="G107" s="15"/>
      <c r="H107" s="15"/>
      <c r="I107" s="24">
        <v>-143.0</v>
      </c>
      <c r="J107" s="24">
        <v>-316.0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153</v>
      </c>
      <c r="B108" s="15"/>
      <c r="C108" s="17">
        <v>17.19</v>
      </c>
      <c r="D108" s="24">
        <v>-518.07</v>
      </c>
      <c r="E108" s="16">
        <v>2158.79</v>
      </c>
      <c r="F108" s="16">
        <v>1160.28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154</v>
      </c>
      <c r="B109" s="15"/>
      <c r="C109" s="24">
        <v>-217.02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122</v>
      </c>
      <c r="B110" s="15"/>
      <c r="C110" s="15"/>
      <c r="D110" s="15"/>
      <c r="E110" s="15"/>
      <c r="F110" s="15"/>
      <c r="G110" s="15"/>
      <c r="H110" s="15"/>
      <c r="I110" s="23">
        <v>-3.0</v>
      </c>
      <c r="J110" s="23">
        <v>-17.0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155</v>
      </c>
      <c r="B111" s="15"/>
      <c r="C111" s="17">
        <v>33.31</v>
      </c>
      <c r="D111" s="16">
        <v>201.53</v>
      </c>
      <c r="E111" s="24">
        <v>-1452.64</v>
      </c>
      <c r="F111" s="24">
        <v>-739.14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156</v>
      </c>
      <c r="B112" s="15"/>
      <c r="C112" s="24">
        <v>-1078.68</v>
      </c>
      <c r="D112" s="16">
        <v>1137.44</v>
      </c>
      <c r="E112" s="24">
        <v>-388.14</v>
      </c>
      <c r="F112" s="24">
        <v>-3197.22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157</v>
      </c>
      <c r="B113" s="15"/>
      <c r="C113" s="16">
        <v>688.68</v>
      </c>
      <c r="D113" s="24">
        <v>-704.83</v>
      </c>
      <c r="E113" s="16">
        <v>463.08</v>
      </c>
      <c r="F113" s="16">
        <v>2079.91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158</v>
      </c>
      <c r="B114" s="15"/>
      <c r="C114" s="23">
        <v>-32.23</v>
      </c>
      <c r="D114" s="17">
        <v>14.77</v>
      </c>
      <c r="E114" s="23">
        <v>-19.21</v>
      </c>
      <c r="F114" s="23">
        <v>-25.78</v>
      </c>
      <c r="G114" s="15"/>
      <c r="H114" s="15"/>
      <c r="I114" s="23">
        <v>-31.0</v>
      </c>
      <c r="J114" s="17">
        <v>20.0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159</v>
      </c>
      <c r="B115" s="15"/>
      <c r="C115" s="17">
        <v>6.45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0" customHeight="1">
      <c r="A116" s="14" t="s">
        <v>160</v>
      </c>
      <c r="B116" s="15"/>
      <c r="C116" s="15"/>
      <c r="D116" s="15"/>
      <c r="E116" s="15"/>
      <c r="F116" s="23">
        <v>-8.59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8" t="s">
        <v>161</v>
      </c>
      <c r="B117" s="19"/>
      <c r="C117" s="25">
        <v>-582.31</v>
      </c>
      <c r="D117" s="20">
        <v>130.84</v>
      </c>
      <c r="E117" s="20">
        <v>761.87</v>
      </c>
      <c r="F117" s="25">
        <v>-730.55</v>
      </c>
      <c r="G117" s="19"/>
      <c r="H117" s="19"/>
      <c r="I117" s="26">
        <v>-34.0</v>
      </c>
      <c r="J117" s="21">
        <v>3.0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0" customHeight="1">
      <c r="A118" s="14" t="s">
        <v>162</v>
      </c>
      <c r="B118" s="15"/>
      <c r="C118" s="15"/>
      <c r="D118" s="24">
        <v>-295.44</v>
      </c>
      <c r="E118" s="24">
        <v>-208.48</v>
      </c>
      <c r="F118" s="23">
        <v>-8.59</v>
      </c>
      <c r="G118" s="15"/>
      <c r="H118" s="15"/>
      <c r="I118" s="15"/>
      <c r="J118" s="17">
        <v>1.0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ht="15.0" customHeight="1">
      <c r="A119" s="18" t="s">
        <v>163</v>
      </c>
      <c r="B119" s="19"/>
      <c r="C119" s="25">
        <v>-1342.97</v>
      </c>
      <c r="D119" s="20">
        <v>993.94</v>
      </c>
      <c r="E119" s="20">
        <v>468.84</v>
      </c>
      <c r="F119" s="25">
        <v>-1186.07</v>
      </c>
      <c r="G119" s="19"/>
      <c r="H119" s="19"/>
      <c r="I119" s="25">
        <v>-177.0</v>
      </c>
      <c r="J119" s="25">
        <v>-312.0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0" customHeight="1">
      <c r="A120" s="14" t="s">
        <v>164</v>
      </c>
      <c r="B120" s="17">
        <v>26.1</v>
      </c>
      <c r="C120" s="17">
        <v>26.32</v>
      </c>
      <c r="D120" s="17">
        <v>26.04</v>
      </c>
      <c r="E120" s="17">
        <v>25.0</v>
      </c>
      <c r="F120" s="17">
        <v>24.11</v>
      </c>
      <c r="G120" s="17">
        <v>24.18</v>
      </c>
      <c r="H120" s="17">
        <v>14.74</v>
      </c>
      <c r="I120" s="17">
        <v>7.19</v>
      </c>
      <c r="J120" s="17">
        <v>7.14</v>
      </c>
      <c r="K120" s="17">
        <v>7.09</v>
      </c>
      <c r="L120" s="17">
        <v>5.64</v>
      </c>
      <c r="M120" s="17">
        <v>0.56</v>
      </c>
      <c r="N120" s="17">
        <v>0.07</v>
      </c>
      <c r="O120" s="17">
        <v>0.06</v>
      </c>
      <c r="P120" s="17">
        <v>0.06</v>
      </c>
      <c r="Q120" s="17">
        <v>0.06</v>
      </c>
      <c r="R120" s="17">
        <v>0.04</v>
      </c>
      <c r="S120" s="17">
        <v>0.03</v>
      </c>
      <c r="T120" s="17">
        <v>0.01</v>
      </c>
      <c r="U120" s="17">
        <v>0.03</v>
      </c>
      <c r="V120" s="17">
        <v>0.03</v>
      </c>
    </row>
    <row r="121" ht="15.0" customHeight="1">
      <c r="A121" s="14" t="s">
        <v>165</v>
      </c>
      <c r="B121" s="17">
        <v>26.1</v>
      </c>
      <c r="C121" s="17">
        <v>26.32</v>
      </c>
      <c r="D121" s="17">
        <v>26.04</v>
      </c>
      <c r="E121" s="17">
        <v>25.0</v>
      </c>
      <c r="F121" s="17">
        <v>24.11</v>
      </c>
      <c r="G121" s="17">
        <v>35.11</v>
      </c>
      <c r="H121" s="17">
        <v>17.34</v>
      </c>
      <c r="I121" s="17">
        <v>7.19</v>
      </c>
      <c r="J121" s="17">
        <v>7.14</v>
      </c>
      <c r="K121" s="17">
        <v>7.09</v>
      </c>
      <c r="L121" s="17">
        <v>5.64</v>
      </c>
      <c r="M121" s="17">
        <v>0.56</v>
      </c>
      <c r="N121" s="17">
        <v>0.07</v>
      </c>
      <c r="O121" s="17">
        <v>0.06</v>
      </c>
      <c r="P121" s="17">
        <v>0.06</v>
      </c>
      <c r="Q121" s="17">
        <v>0.06</v>
      </c>
      <c r="R121" s="17">
        <v>0.04</v>
      </c>
      <c r="S121" s="17">
        <v>0.03</v>
      </c>
      <c r="T121" s="17">
        <v>0.01</v>
      </c>
      <c r="U121" s="17">
        <v>0.03</v>
      </c>
      <c r="V121" s="17">
        <v>0.03</v>
      </c>
    </row>
    <row r="122" ht="15.0" customHeight="1">
      <c r="A122" s="14" t="s">
        <v>166</v>
      </c>
      <c r="B122" s="17">
        <v>32.15</v>
      </c>
      <c r="C122" s="23">
        <v>-29.01</v>
      </c>
      <c r="D122" s="17">
        <v>44.32</v>
      </c>
      <c r="E122" s="23">
        <v>-3.84</v>
      </c>
      <c r="F122" s="23">
        <v>-18.91</v>
      </c>
      <c r="G122" s="17">
        <v>6.59</v>
      </c>
      <c r="H122" s="16">
        <v>128.45</v>
      </c>
      <c r="I122" s="23">
        <v>-19.8</v>
      </c>
      <c r="J122" s="23">
        <v>-43.9</v>
      </c>
      <c r="K122" s="17">
        <v>41.0</v>
      </c>
      <c r="L122" s="17">
        <v>90.0</v>
      </c>
      <c r="M122" s="24">
        <v>-5196.95</v>
      </c>
      <c r="N122" s="27">
        <v>-14935.7</v>
      </c>
      <c r="O122" s="24">
        <v>-9998.0</v>
      </c>
      <c r="P122" s="27">
        <v>-26148.79</v>
      </c>
      <c r="Q122" s="15">
        <v>0.0</v>
      </c>
      <c r="R122" s="15">
        <v>0.0</v>
      </c>
      <c r="S122" s="15">
        <v>0.0</v>
      </c>
      <c r="T122" s="15">
        <v>0.0</v>
      </c>
      <c r="U122" s="24">
        <v>-773.08</v>
      </c>
      <c r="V122" s="15">
        <v>0.0</v>
      </c>
    </row>
    <row r="123" ht="15.0" customHeight="1">
      <c r="A123" s="14" t="s">
        <v>167</v>
      </c>
      <c r="B123" s="17">
        <v>32.15</v>
      </c>
      <c r="C123" s="23">
        <v>-29.01</v>
      </c>
      <c r="D123" s="17">
        <v>44.32</v>
      </c>
      <c r="E123" s="23">
        <v>-3.84</v>
      </c>
      <c r="F123" s="23">
        <v>-18.91</v>
      </c>
      <c r="G123" s="17">
        <v>6.59</v>
      </c>
      <c r="H123" s="16">
        <v>128.45</v>
      </c>
      <c r="I123" s="23">
        <v>-19.8</v>
      </c>
      <c r="J123" s="23">
        <v>-58.1</v>
      </c>
      <c r="K123" s="23">
        <v>-2.0</v>
      </c>
      <c r="L123" s="16">
        <v>279.0</v>
      </c>
      <c r="M123" s="24">
        <v>-1081.51</v>
      </c>
      <c r="N123" s="27">
        <v>-14935.7</v>
      </c>
      <c r="O123" s="24">
        <v>-9998.0</v>
      </c>
      <c r="P123" s="27">
        <v>-26148.79</v>
      </c>
      <c r="Q123" s="24">
        <v>-7747.92</v>
      </c>
      <c r="R123" s="15">
        <v>0.0</v>
      </c>
      <c r="S123" s="15">
        <v>0.0</v>
      </c>
      <c r="T123" s="15">
        <v>0.0</v>
      </c>
      <c r="U123" s="24">
        <v>-773.08</v>
      </c>
      <c r="V123" s="15">
        <v>0.0</v>
      </c>
    </row>
    <row r="124" ht="15.0" customHeight="1">
      <c r="A124" s="14" t="s">
        <v>168</v>
      </c>
      <c r="B124" s="15"/>
      <c r="C124" s="15"/>
      <c r="D124" s="15"/>
      <c r="E124" s="15"/>
      <c r="F124" s="15"/>
      <c r="G124" s="15"/>
      <c r="H124" s="23">
        <v>-8.8</v>
      </c>
      <c r="I124" s="15"/>
      <c r="J124" s="15"/>
      <c r="K124" s="15"/>
      <c r="L124" s="15"/>
      <c r="M124" s="15"/>
      <c r="N124" s="15"/>
      <c r="O124" s="15"/>
      <c r="P124" s="15"/>
      <c r="Q124" s="15">
        <v>0.0</v>
      </c>
      <c r="R124" s="15">
        <v>0.0</v>
      </c>
      <c r="S124" s="27">
        <v>0.0</v>
      </c>
      <c r="T124" s="15">
        <v>0.0</v>
      </c>
      <c r="U124" s="15">
        <v>0.0</v>
      </c>
      <c r="V124" s="15">
        <v>0.0</v>
      </c>
    </row>
    <row r="125" ht="15.0" customHeight="1">
      <c r="A125" s="14" t="s">
        <v>169</v>
      </c>
      <c r="B125" s="16">
        <v>1011.32</v>
      </c>
      <c r="C125" s="24">
        <v>-760.66</v>
      </c>
      <c r="D125" s="16">
        <v>1158.54</v>
      </c>
      <c r="E125" s="23">
        <v>-84.55</v>
      </c>
      <c r="F125" s="24">
        <v>-455.52</v>
      </c>
      <c r="G125" s="16">
        <v>159.98</v>
      </c>
      <c r="H125" s="16">
        <v>1882.79</v>
      </c>
      <c r="I125" s="24">
        <v>-143.0</v>
      </c>
      <c r="J125" s="24">
        <v>-316.0</v>
      </c>
      <c r="K125" s="16">
        <v>290.0</v>
      </c>
      <c r="L125" s="16">
        <v>636.0</v>
      </c>
      <c r="M125" s="24">
        <v>-2912.0</v>
      </c>
      <c r="N125" s="24">
        <v>-1008.0</v>
      </c>
      <c r="O125" s="24">
        <v>-593.0</v>
      </c>
      <c r="P125" s="24">
        <v>-1441.73</v>
      </c>
      <c r="Q125" s="17">
        <v>4.53</v>
      </c>
      <c r="R125" s="24">
        <v>-367.99</v>
      </c>
      <c r="S125" s="16">
        <v>120.21</v>
      </c>
      <c r="T125" s="24">
        <v>-190.7</v>
      </c>
      <c r="U125" s="23">
        <v>-19.86</v>
      </c>
      <c r="V125" s="23">
        <v>-5.49</v>
      </c>
    </row>
    <row r="126" ht="15.0" customHeight="1">
      <c r="A126" s="14" t="s">
        <v>170</v>
      </c>
      <c r="B126" s="17">
        <v>32.15</v>
      </c>
      <c r="C126" s="23">
        <v>-29.01</v>
      </c>
      <c r="D126" s="17">
        <v>44.32</v>
      </c>
      <c r="E126" s="23">
        <v>-3.84</v>
      </c>
      <c r="F126" s="23">
        <v>-18.91</v>
      </c>
      <c r="G126" s="17">
        <v>3.76</v>
      </c>
      <c r="H126" s="16">
        <v>108.22</v>
      </c>
      <c r="I126" s="23">
        <v>-19.8</v>
      </c>
      <c r="J126" s="23">
        <v>-43.9</v>
      </c>
      <c r="K126" s="17">
        <v>40.0</v>
      </c>
      <c r="L126" s="17">
        <v>90.0</v>
      </c>
      <c r="M126" s="24">
        <v>-5196.95</v>
      </c>
      <c r="N126" s="27">
        <v>-14935.7</v>
      </c>
      <c r="O126" s="24">
        <v>-9998.0</v>
      </c>
      <c r="P126" s="27">
        <v>-26148.79</v>
      </c>
      <c r="Q126" s="15">
        <v>0.0</v>
      </c>
      <c r="R126" s="15">
        <v>0.0</v>
      </c>
      <c r="S126" s="15">
        <v>0.0</v>
      </c>
      <c r="T126" s="15">
        <v>0.0</v>
      </c>
      <c r="U126" s="24">
        <v>-773.08</v>
      </c>
      <c r="V126" s="15">
        <v>0.0</v>
      </c>
    </row>
    <row r="127" ht="15.0" customHeight="1">
      <c r="A127" s="14" t="s">
        <v>171</v>
      </c>
      <c r="B127" s="17">
        <v>32.15</v>
      </c>
      <c r="C127" s="23">
        <v>-29.01</v>
      </c>
      <c r="D127" s="16">
        <v>1158.54</v>
      </c>
      <c r="E127" s="23">
        <v>-3.84</v>
      </c>
      <c r="F127" s="23">
        <v>-18.91</v>
      </c>
      <c r="G127" s="17">
        <v>3.76</v>
      </c>
      <c r="H127" s="16">
        <v>108.22</v>
      </c>
      <c r="I127" s="23">
        <v>-19.8</v>
      </c>
      <c r="J127" s="23">
        <v>-58.1</v>
      </c>
      <c r="K127" s="23">
        <v>-2.0</v>
      </c>
      <c r="L127" s="16">
        <v>279.0</v>
      </c>
      <c r="M127" s="24">
        <v>-1081.51</v>
      </c>
      <c r="N127" s="27">
        <v>-14935.7</v>
      </c>
      <c r="O127" s="24">
        <v>-9998.0</v>
      </c>
      <c r="P127" s="27">
        <v>-26148.79</v>
      </c>
      <c r="Q127" s="24">
        <v>-7747.92</v>
      </c>
      <c r="R127" s="15">
        <v>0.0</v>
      </c>
      <c r="S127" s="15">
        <v>0.0</v>
      </c>
      <c r="T127" s="15">
        <v>0.0</v>
      </c>
      <c r="U127" s="24">
        <v>-773.08</v>
      </c>
      <c r="V127" s="15">
        <v>0.0</v>
      </c>
    </row>
    <row r="128" ht="15.0" customHeight="1">
      <c r="A128" s="14" t="s">
        <v>172</v>
      </c>
      <c r="B128" s="16">
        <v>1011.32</v>
      </c>
      <c r="C128" s="24">
        <v>-760.66</v>
      </c>
      <c r="D128" s="16">
        <v>1158.54</v>
      </c>
      <c r="E128" s="23">
        <v>-84.55</v>
      </c>
      <c r="F128" s="24">
        <v>-455.52</v>
      </c>
      <c r="G128" s="16">
        <v>159.98</v>
      </c>
      <c r="H128" s="16">
        <v>1882.79</v>
      </c>
      <c r="I128" s="24">
        <v>-143.0</v>
      </c>
      <c r="J128" s="24">
        <v>-418.0</v>
      </c>
      <c r="K128" s="23">
        <v>-15.0</v>
      </c>
      <c r="L128" s="16">
        <v>1980.0</v>
      </c>
      <c r="M128" s="24">
        <v>-606.0</v>
      </c>
      <c r="N128" s="24">
        <v>-1008.0</v>
      </c>
      <c r="O128" s="24">
        <v>-593.0</v>
      </c>
      <c r="P128" s="24">
        <v>-1441.73</v>
      </c>
      <c r="Q128" s="24">
        <v>-434.09</v>
      </c>
      <c r="R128" s="24">
        <v>-367.99</v>
      </c>
      <c r="S128" s="16">
        <v>120.21</v>
      </c>
      <c r="T128" s="24">
        <v>-190.7</v>
      </c>
      <c r="U128" s="23">
        <v>-19.86</v>
      </c>
      <c r="V128" s="23">
        <v>-5.49</v>
      </c>
    </row>
    <row r="129" ht="15.0" customHeight="1">
      <c r="A129" s="14" t="s">
        <v>173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6">
        <v>110.0</v>
      </c>
      <c r="N129" s="17">
        <v>58.0</v>
      </c>
      <c r="O129" s="17">
        <v>22.0</v>
      </c>
      <c r="P129" s="17">
        <v>33.1</v>
      </c>
      <c r="Q129" s="17">
        <v>22.14</v>
      </c>
      <c r="R129" s="17">
        <v>14.14</v>
      </c>
      <c r="S129" s="17">
        <v>8.5</v>
      </c>
      <c r="T129" s="15"/>
      <c r="U129" s="15"/>
      <c r="V129" s="17">
        <v>0.25</v>
      </c>
    </row>
    <row r="130" ht="15.0" customHeight="1">
      <c r="A130" s="14" t="s">
        <v>174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6">
        <v>443.75</v>
      </c>
      <c r="R130" s="16">
        <v>580.77</v>
      </c>
      <c r="S130" s="16">
        <v>555.59</v>
      </c>
      <c r="T130" s="15"/>
      <c r="U130" s="15"/>
      <c r="V130" s="24">
        <v>-150.11</v>
      </c>
    </row>
    <row r="131" ht="15.0" customHeight="1">
      <c r="A131" s="14" t="s">
        <v>95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>
        <v>0.0</v>
      </c>
      <c r="R131" s="15">
        <v>0.0</v>
      </c>
      <c r="S131" s="15"/>
      <c r="T131" s="15"/>
      <c r="U131" s="15"/>
      <c r="V131" s="15"/>
    </row>
    <row r="132" ht="15.0" customHeight="1">
      <c r="A132" s="14" t="s">
        <v>110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6">
        <v>433.88</v>
      </c>
      <c r="R132" s="16">
        <v>513.16</v>
      </c>
      <c r="S132" s="16">
        <v>581.11</v>
      </c>
      <c r="T132" s="16">
        <v>270.56</v>
      </c>
      <c r="U132" s="15"/>
      <c r="V132" s="15">
        <v>0.0</v>
      </c>
    </row>
    <row r="133" ht="15.0" customHeight="1">
      <c r="A133" s="14" t="s">
        <v>111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23">
        <v>-19.16</v>
      </c>
      <c r="R133" s="23">
        <v>-2.14</v>
      </c>
      <c r="S133" s="15">
        <v>0.0</v>
      </c>
      <c r="T133" s="15"/>
      <c r="U133" s="15"/>
      <c r="V133" s="15"/>
    </row>
    <row r="134" ht="15.0" customHeight="1">
      <c r="A134" s="14" t="s">
        <v>175</v>
      </c>
      <c r="B134" s="15"/>
      <c r="C134" s="17">
        <v>7.34</v>
      </c>
      <c r="D134" s="17">
        <v>7.1</v>
      </c>
      <c r="E134" s="17">
        <v>6.83</v>
      </c>
      <c r="F134" s="17">
        <v>4.98</v>
      </c>
      <c r="G134" s="15"/>
      <c r="H134" s="15"/>
      <c r="I134" s="17">
        <v>3.0</v>
      </c>
      <c r="J134" s="17">
        <v>2.0</v>
      </c>
      <c r="K134" s="17">
        <v>3.0</v>
      </c>
      <c r="L134" s="17">
        <v>2.0</v>
      </c>
      <c r="M134" s="17">
        <v>4.0</v>
      </c>
      <c r="N134" s="17">
        <v>5.0</v>
      </c>
      <c r="O134" s="17">
        <v>5.0</v>
      </c>
      <c r="P134" s="17">
        <v>3.29</v>
      </c>
      <c r="Q134" s="17">
        <v>3.08</v>
      </c>
      <c r="R134" s="17">
        <v>3.52</v>
      </c>
      <c r="S134" s="17">
        <v>3.04</v>
      </c>
      <c r="T134" s="15"/>
      <c r="U134" s="15"/>
      <c r="V134" s="17">
        <v>0.06</v>
      </c>
    </row>
    <row r="135" ht="15.0" customHeight="1">
      <c r="A135" s="14" t="s">
        <v>176</v>
      </c>
      <c r="B135" s="15"/>
      <c r="C135" s="17">
        <v>6.34</v>
      </c>
      <c r="D135" s="17">
        <v>6.12</v>
      </c>
      <c r="E135" s="17">
        <v>6.01</v>
      </c>
      <c r="F135" s="17">
        <v>4.94</v>
      </c>
      <c r="G135" s="15"/>
      <c r="H135" s="15"/>
      <c r="I135" s="17">
        <v>2.0</v>
      </c>
      <c r="J135" s="17">
        <v>2.0</v>
      </c>
      <c r="K135" s="17">
        <v>2.0</v>
      </c>
      <c r="L135" s="17">
        <v>1.0</v>
      </c>
      <c r="M135" s="17">
        <v>3.0</v>
      </c>
      <c r="N135" s="17">
        <v>2.0</v>
      </c>
      <c r="O135" s="17">
        <v>2.0</v>
      </c>
      <c r="P135" s="17">
        <v>2.18</v>
      </c>
      <c r="Q135" s="17">
        <v>2.22</v>
      </c>
      <c r="R135" s="17">
        <v>2.13</v>
      </c>
      <c r="S135" s="17">
        <v>1.32</v>
      </c>
      <c r="T135" s="15"/>
      <c r="U135" s="15"/>
      <c r="V135" s="17">
        <v>0.01</v>
      </c>
    </row>
    <row r="136" ht="15.0" customHeight="1">
      <c r="A136" s="14" t="s">
        <v>177</v>
      </c>
      <c r="B136" s="15"/>
      <c r="C136" s="15">
        <v>0.0</v>
      </c>
      <c r="D136" s="17">
        <v>0.07</v>
      </c>
      <c r="E136" s="15">
        <v>0.0</v>
      </c>
      <c r="F136" s="17">
        <v>0.04</v>
      </c>
      <c r="G136" s="15"/>
      <c r="H136" s="15"/>
      <c r="I136" s="15">
        <v>0.0</v>
      </c>
      <c r="J136" s="15">
        <v>0.0</v>
      </c>
      <c r="K136" s="15"/>
      <c r="L136" s="15">
        <v>0.0</v>
      </c>
      <c r="M136" s="17">
        <v>1.0</v>
      </c>
      <c r="N136" s="15">
        <v>0.0</v>
      </c>
      <c r="O136" s="17">
        <v>1.0</v>
      </c>
      <c r="P136" s="17">
        <v>0.07</v>
      </c>
      <c r="Q136" s="17">
        <v>0.86</v>
      </c>
      <c r="R136" s="17">
        <v>0.13</v>
      </c>
      <c r="S136" s="17">
        <v>0.18</v>
      </c>
      <c r="T136" s="15"/>
      <c r="U136" s="15"/>
      <c r="V136" s="15">
        <v>0.0</v>
      </c>
    </row>
    <row r="137" ht="15.0" customHeight="1">
      <c r="A137" s="14" t="s">
        <v>178</v>
      </c>
      <c r="B137" s="15"/>
      <c r="C137" s="17">
        <v>1.0</v>
      </c>
      <c r="D137" s="15"/>
      <c r="E137" s="15"/>
      <c r="F137" s="15"/>
      <c r="G137" s="15"/>
      <c r="H137" s="15"/>
      <c r="I137" s="17">
        <v>1.0</v>
      </c>
      <c r="J137" s="15">
        <v>0.0</v>
      </c>
      <c r="K137" s="15">
        <v>0.0</v>
      </c>
      <c r="L137" s="15">
        <v>0.0</v>
      </c>
      <c r="M137" s="15">
        <v>0.0</v>
      </c>
      <c r="N137" s="17">
        <v>2.0</v>
      </c>
      <c r="O137" s="17">
        <v>2.0</v>
      </c>
      <c r="P137" s="17">
        <v>1.04</v>
      </c>
      <c r="Q137" s="15"/>
      <c r="R137" s="15"/>
      <c r="S137" s="15"/>
      <c r="T137" s="15"/>
      <c r="U137" s="15"/>
      <c r="V137" s="15"/>
    </row>
    <row r="138" ht="15.0" customHeight="1">
      <c r="A138" s="14" t="s">
        <v>179</v>
      </c>
      <c r="B138" s="15"/>
      <c r="C138" s="17">
        <v>17.19</v>
      </c>
      <c r="D138" s="17">
        <v>54.87</v>
      </c>
      <c r="E138" s="17">
        <v>13.45</v>
      </c>
      <c r="F138" s="17">
        <v>2.58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7">
        <v>15.45</v>
      </c>
      <c r="R138" s="17">
        <v>7.86</v>
      </c>
      <c r="S138" s="17">
        <v>2.13</v>
      </c>
      <c r="T138" s="15"/>
      <c r="U138" s="15"/>
      <c r="V138" s="15"/>
    </row>
    <row r="139" ht="15.0" customHeight="1">
      <c r="A139" s="14" t="s">
        <v>180</v>
      </c>
      <c r="B139" s="15"/>
      <c r="C139" s="15"/>
      <c r="D139" s="17">
        <v>0.91</v>
      </c>
      <c r="E139" s="17">
        <v>0.81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7">
        <v>1.26</v>
      </c>
      <c r="S139" s="17">
        <v>1.16</v>
      </c>
      <c r="T139" s="15"/>
      <c r="U139" s="15"/>
      <c r="V139" s="17">
        <v>0.04</v>
      </c>
    </row>
    <row r="140" ht="15.0" customHeight="1">
      <c r="A140" s="14" t="s">
        <v>181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>
        <v>0.0</v>
      </c>
      <c r="S140" s="17">
        <v>0.38</v>
      </c>
      <c r="T140" s="15"/>
      <c r="U140" s="15"/>
      <c r="V140" s="15">
        <v>0.0</v>
      </c>
    </row>
    <row r="141" ht="15.0" customHeight="1">
      <c r="A141" s="14" t="s">
        <v>182</v>
      </c>
      <c r="B141" s="16">
        <v>2360.79</v>
      </c>
      <c r="C141" s="16">
        <v>1366.61</v>
      </c>
      <c r="D141" s="16">
        <v>1003.43</v>
      </c>
      <c r="E141" s="16">
        <v>1201.89</v>
      </c>
      <c r="F141" s="16">
        <v>893.85</v>
      </c>
      <c r="G141" s="16">
        <v>922.26</v>
      </c>
      <c r="H141" s="16">
        <v>580.67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183</v>
      </c>
      <c r="B142" s="16">
        <v>2360.79</v>
      </c>
      <c r="C142" s="16">
        <v>1366.61</v>
      </c>
      <c r="D142" s="16">
        <v>1003.43</v>
      </c>
      <c r="E142" s="16">
        <v>1201.89</v>
      </c>
      <c r="F142" s="16">
        <v>893.85</v>
      </c>
      <c r="G142" s="16">
        <v>922.26</v>
      </c>
      <c r="H142" s="16">
        <v>985.38</v>
      </c>
      <c r="I142" s="15"/>
      <c r="J142" s="15"/>
      <c r="K142" s="17">
        <v>1.0</v>
      </c>
      <c r="L142" s="17">
        <v>71.0</v>
      </c>
      <c r="M142" s="16">
        <v>407.0</v>
      </c>
      <c r="N142" s="15"/>
      <c r="O142" s="15"/>
      <c r="P142" s="15"/>
      <c r="Q142" s="16">
        <v>601.31</v>
      </c>
      <c r="R142" s="15"/>
      <c r="S142" s="15"/>
      <c r="T142" s="16">
        <v>269.12</v>
      </c>
      <c r="U142" s="15"/>
      <c r="V142" s="15"/>
    </row>
    <row r="143" ht="15.0" customHeight="1">
      <c r="A143" s="14" t="s">
        <v>184</v>
      </c>
      <c r="B143" s="17">
        <v>98.54</v>
      </c>
      <c r="C143" s="17">
        <v>73.06</v>
      </c>
      <c r="D143" s="17">
        <v>72.8</v>
      </c>
      <c r="E143" s="17">
        <v>76.86</v>
      </c>
      <c r="F143" s="17">
        <v>68.76</v>
      </c>
      <c r="G143" s="17">
        <v>75.29</v>
      </c>
      <c r="H143" s="17">
        <v>43.99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ht="15.0" customHeight="1">
      <c r="A144" s="14" t="s">
        <v>185</v>
      </c>
      <c r="B144" s="15"/>
      <c r="C144" s="15"/>
      <c r="D144" s="15"/>
      <c r="E144" s="15"/>
      <c r="F144" s="15">
        <v>0.0</v>
      </c>
      <c r="G144" s="16">
        <v>809.33</v>
      </c>
      <c r="H144" s="16">
        <v>369.52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0" customHeight="1">
      <c r="A145" s="14" t="s">
        <v>186</v>
      </c>
      <c r="B145" s="16">
        <v>2459.33</v>
      </c>
      <c r="C145" s="16">
        <v>1439.67</v>
      </c>
      <c r="D145" s="16">
        <v>1076.24</v>
      </c>
      <c r="E145" s="16">
        <v>1278.75</v>
      </c>
      <c r="F145" s="16">
        <v>962.6</v>
      </c>
      <c r="G145" s="16">
        <v>1816.29</v>
      </c>
      <c r="H145" s="16">
        <v>985.38</v>
      </c>
      <c r="I145" s="17">
        <v>1.0</v>
      </c>
      <c r="J145" s="17">
        <v>1.0</v>
      </c>
      <c r="K145" s="17">
        <v>1.0</v>
      </c>
      <c r="L145" s="17">
        <v>72.0</v>
      </c>
      <c r="M145" s="16">
        <v>407.0</v>
      </c>
      <c r="N145" s="16">
        <v>319.0</v>
      </c>
      <c r="O145" s="16">
        <v>269.0</v>
      </c>
      <c r="P145" s="16">
        <v>917.38</v>
      </c>
      <c r="Q145" s="16">
        <v>637.81</v>
      </c>
      <c r="R145" s="16">
        <v>514.03</v>
      </c>
      <c r="S145" s="16">
        <v>716.8</v>
      </c>
      <c r="T145" s="16">
        <v>269.12</v>
      </c>
      <c r="U145" s="17">
        <v>0.69</v>
      </c>
      <c r="V145" s="17">
        <v>0.06</v>
      </c>
    </row>
    <row r="146" ht="15.0" customHeight="1">
      <c r="A146" s="14" t="s">
        <v>187</v>
      </c>
      <c r="B146" s="17">
        <v>98.54</v>
      </c>
      <c r="C146" s="17">
        <v>73.06</v>
      </c>
      <c r="D146" s="17">
        <v>72.8</v>
      </c>
      <c r="E146" s="17">
        <v>76.86</v>
      </c>
      <c r="F146" s="17">
        <v>68.76</v>
      </c>
      <c r="G146" s="16">
        <v>884.62</v>
      </c>
      <c r="H146" s="16">
        <v>413.51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4" t="s">
        <v>188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>
        <v>0.0</v>
      </c>
      <c r="R147" s="15">
        <v>0.0</v>
      </c>
      <c r="S147" s="15">
        <v>0.0</v>
      </c>
      <c r="T147" s="15"/>
      <c r="U147" s="15"/>
      <c r="V147" s="15">
        <v>0.0</v>
      </c>
    </row>
    <row r="148" ht="15.0" customHeight="1">
      <c r="A148" s="14" t="s">
        <v>93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7">
        <v>1.0</v>
      </c>
      <c r="L148" s="24">
        <v>-419.0</v>
      </c>
      <c r="M148" s="24">
        <v>-2722.0</v>
      </c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0" customHeight="1">
      <c r="A149" s="14" t="s">
        <v>189</v>
      </c>
      <c r="B149" s="23">
        <v>-22.82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23">
        <v>-13.0</v>
      </c>
      <c r="M149" s="24">
        <v>-164.0</v>
      </c>
      <c r="N149" s="15"/>
      <c r="O149" s="15"/>
      <c r="P149" s="15"/>
      <c r="Q149" s="15"/>
      <c r="R149" s="15"/>
      <c r="S149" s="15"/>
      <c r="T149" s="15"/>
      <c r="U149" s="15"/>
      <c r="V149" s="15"/>
    </row>
    <row r="150" ht="15.0" customHeight="1">
      <c r="A150" s="14" t="s">
        <v>190</v>
      </c>
      <c r="B150" s="24">
        <v>-279.02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4" t="s">
        <v>191</v>
      </c>
      <c r="B151" s="23">
        <v>-16.6</v>
      </c>
      <c r="C151" s="15"/>
      <c r="D151" s="15"/>
      <c r="E151" s="15"/>
      <c r="F151" s="15"/>
      <c r="G151" s="23">
        <v>-9.41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ht="15.0" customHeight="1">
      <c r="A152" s="14" t="s">
        <v>192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>
        <v>0.0</v>
      </c>
      <c r="T152" s="15"/>
      <c r="U152" s="15"/>
      <c r="V152" s="15"/>
    </row>
    <row r="153" ht="15.0" customHeight="1">
      <c r="A153" s="14" t="s">
        <v>193</v>
      </c>
      <c r="B153" s="16">
        <v>5868.78</v>
      </c>
      <c r="C153" s="15"/>
      <c r="D153" s="16">
        <v>4513.87</v>
      </c>
      <c r="E153" s="16">
        <v>5918.18</v>
      </c>
      <c r="F153" s="16">
        <v>2208.83</v>
      </c>
      <c r="G153" s="16">
        <v>3369.08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ht="15.0" customHeight="1">
      <c r="A154" s="14" t="s">
        <v>194</v>
      </c>
      <c r="B154" s="15"/>
      <c r="C154" s="15"/>
      <c r="D154" s="15"/>
      <c r="E154" s="15"/>
      <c r="F154" s="15"/>
      <c r="G154" s="15"/>
      <c r="H154" s="24">
        <v>-9801.06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ht="15.0" customHeight="1">
      <c r="A155" s="14" t="s">
        <v>195</v>
      </c>
      <c r="B155" s="17">
        <v>32.15</v>
      </c>
      <c r="C155" s="23">
        <v>-29.01</v>
      </c>
      <c r="D155" s="17">
        <v>44.32</v>
      </c>
      <c r="E155" s="23">
        <v>-3.84</v>
      </c>
      <c r="F155" s="23">
        <v>-18.91</v>
      </c>
      <c r="G155" s="17">
        <v>6.59</v>
      </c>
      <c r="H155" s="16">
        <v>128.45</v>
      </c>
      <c r="I155" s="23">
        <v>-19.8</v>
      </c>
      <c r="J155" s="23">
        <v>-43.9</v>
      </c>
      <c r="K155" s="17">
        <v>41.0</v>
      </c>
      <c r="L155" s="17">
        <v>90.0</v>
      </c>
      <c r="M155" s="24">
        <v>-5196.95</v>
      </c>
      <c r="N155" s="27">
        <v>-14935.7</v>
      </c>
      <c r="O155" s="24">
        <v>-9998.0</v>
      </c>
      <c r="P155" s="27">
        <v>-26148.79</v>
      </c>
      <c r="Q155" s="15"/>
      <c r="R155" s="15"/>
      <c r="S155" s="15"/>
      <c r="T155" s="15"/>
      <c r="U155" s="15"/>
      <c r="V155" s="15"/>
    </row>
    <row r="156" ht="15.0" customHeight="1">
      <c r="A156" s="14" t="s">
        <v>170</v>
      </c>
      <c r="B156" s="17">
        <v>32.15</v>
      </c>
      <c r="C156" s="23">
        <v>-29.01</v>
      </c>
      <c r="D156" s="17">
        <v>44.32</v>
      </c>
      <c r="E156" s="23">
        <v>-3.84</v>
      </c>
      <c r="F156" s="23">
        <v>-18.91</v>
      </c>
      <c r="G156" s="17">
        <v>3.76</v>
      </c>
      <c r="H156" s="16">
        <v>108.22</v>
      </c>
      <c r="I156" s="23">
        <v>-19.8</v>
      </c>
      <c r="J156" s="23">
        <v>-43.9</v>
      </c>
      <c r="K156" s="17">
        <v>40.0</v>
      </c>
      <c r="L156" s="17">
        <v>90.0</v>
      </c>
      <c r="M156" s="24">
        <v>-5196.95</v>
      </c>
      <c r="N156" s="27">
        <v>-14935.7</v>
      </c>
      <c r="O156" s="24">
        <v>-9998.0</v>
      </c>
      <c r="P156" s="27">
        <v>-26148.79</v>
      </c>
      <c r="Q156" s="15"/>
      <c r="R156" s="15"/>
      <c r="S156" s="15"/>
      <c r="T156" s="15"/>
      <c r="U156" s="15"/>
      <c r="V156" s="15"/>
    </row>
    <row r="157" ht="15.0" customHeight="1">
      <c r="A157" s="14" t="s">
        <v>196</v>
      </c>
      <c r="B157" s="17">
        <v>32.15</v>
      </c>
      <c r="C157" s="23">
        <v>-29.01</v>
      </c>
      <c r="D157" s="17">
        <v>44.32</v>
      </c>
      <c r="E157" s="23">
        <v>-3.84</v>
      </c>
      <c r="F157" s="23">
        <v>-18.91</v>
      </c>
      <c r="G157" s="17">
        <v>6.59</v>
      </c>
      <c r="H157" s="16">
        <v>128.45</v>
      </c>
      <c r="I157" s="23">
        <v>-19.8</v>
      </c>
      <c r="J157" s="23">
        <v>-58.1</v>
      </c>
      <c r="K157" s="23">
        <v>-2.0</v>
      </c>
      <c r="L157" s="16">
        <v>279.0</v>
      </c>
      <c r="M157" s="24">
        <v>-1081.51</v>
      </c>
      <c r="N157" s="27">
        <v>-14935.7</v>
      </c>
      <c r="O157" s="24">
        <v>-9998.0</v>
      </c>
      <c r="P157" s="27">
        <v>-26148.79</v>
      </c>
      <c r="Q157" s="15"/>
      <c r="R157" s="15"/>
      <c r="S157" s="15"/>
      <c r="T157" s="15"/>
      <c r="U157" s="15"/>
      <c r="V157" s="15"/>
    </row>
    <row r="158" ht="15.0" customHeight="1">
      <c r="A158" s="14" t="s">
        <v>197</v>
      </c>
      <c r="B158" s="17">
        <v>32.15</v>
      </c>
      <c r="C158" s="23">
        <v>-29.01</v>
      </c>
      <c r="D158" s="17">
        <v>44.32</v>
      </c>
      <c r="E158" s="23">
        <v>-3.84</v>
      </c>
      <c r="F158" s="23">
        <v>-18.91</v>
      </c>
      <c r="G158" s="17">
        <v>3.76</v>
      </c>
      <c r="H158" s="16">
        <v>108.22</v>
      </c>
      <c r="I158" s="23">
        <v>-19.8</v>
      </c>
      <c r="J158" s="23">
        <v>-58.1</v>
      </c>
      <c r="K158" s="23">
        <v>-2.0</v>
      </c>
      <c r="L158" s="16">
        <v>279.0</v>
      </c>
      <c r="M158" s="24">
        <v>-1081.51</v>
      </c>
      <c r="N158" s="27">
        <v>-14935.7</v>
      </c>
      <c r="O158" s="24">
        <v>-9998.0</v>
      </c>
      <c r="P158" s="27">
        <v>-26148.79</v>
      </c>
      <c r="Q158" s="15"/>
      <c r="R158" s="15"/>
      <c r="S158" s="15"/>
      <c r="T158" s="15"/>
      <c r="U158" s="15"/>
      <c r="V158" s="15"/>
    </row>
    <row r="159" ht="15.0" customHeight="1">
      <c r="A159" s="14" t="s">
        <v>198</v>
      </c>
      <c r="B159" s="17">
        <v>26.1</v>
      </c>
      <c r="C159" s="17">
        <v>26.32</v>
      </c>
      <c r="D159" s="17">
        <v>26.04</v>
      </c>
      <c r="E159" s="17">
        <v>25.0</v>
      </c>
      <c r="F159" s="17">
        <v>24.11</v>
      </c>
      <c r="G159" s="17">
        <v>24.18</v>
      </c>
      <c r="H159" s="17">
        <v>14.74</v>
      </c>
      <c r="I159" s="17">
        <v>7.19</v>
      </c>
      <c r="J159" s="17">
        <v>7.14</v>
      </c>
      <c r="K159" s="17">
        <v>7.09</v>
      </c>
      <c r="L159" s="17">
        <v>5.64</v>
      </c>
      <c r="M159" s="17">
        <v>0.56</v>
      </c>
      <c r="N159" s="17">
        <v>0.07</v>
      </c>
      <c r="O159" s="17">
        <v>0.06</v>
      </c>
      <c r="P159" s="17">
        <v>0.06</v>
      </c>
      <c r="Q159" s="15"/>
      <c r="R159" s="15"/>
      <c r="S159" s="15"/>
      <c r="T159" s="15"/>
      <c r="U159" s="15"/>
      <c r="V159" s="15"/>
    </row>
    <row r="160" ht="15.0" customHeight="1">
      <c r="A160" s="14" t="s">
        <v>199</v>
      </c>
      <c r="B160" s="17">
        <v>26.1</v>
      </c>
      <c r="C160" s="17">
        <v>26.32</v>
      </c>
      <c r="D160" s="17">
        <v>26.04</v>
      </c>
      <c r="E160" s="17">
        <v>25.0</v>
      </c>
      <c r="F160" s="17">
        <v>24.11</v>
      </c>
      <c r="G160" s="17">
        <v>35.11</v>
      </c>
      <c r="H160" s="17">
        <v>17.34</v>
      </c>
      <c r="I160" s="17">
        <v>7.19</v>
      </c>
      <c r="J160" s="17">
        <v>7.14</v>
      </c>
      <c r="K160" s="17">
        <v>7.09</v>
      </c>
      <c r="L160" s="17">
        <v>5.64</v>
      </c>
      <c r="M160" s="17">
        <v>0.56</v>
      </c>
      <c r="N160" s="17">
        <v>0.07</v>
      </c>
      <c r="O160" s="17">
        <v>0.06</v>
      </c>
      <c r="P160" s="17">
        <v>0.06</v>
      </c>
      <c r="Q160" s="15"/>
      <c r="R160" s="15"/>
      <c r="S160" s="15"/>
      <c r="T160" s="15"/>
      <c r="U160" s="15"/>
      <c r="V160" s="15"/>
    </row>
    <row r="161" ht="15.0" customHeight="1">
      <c r="A161" s="14" t="s">
        <v>200</v>
      </c>
      <c r="B161" s="16">
        <v>1011.32</v>
      </c>
      <c r="C161" s="24">
        <v>-760.66</v>
      </c>
      <c r="D161" s="16">
        <v>1158.54</v>
      </c>
      <c r="E161" s="23">
        <v>-84.55</v>
      </c>
      <c r="F161" s="24">
        <v>-455.52</v>
      </c>
      <c r="G161" s="16">
        <v>159.98</v>
      </c>
      <c r="H161" s="16">
        <v>1882.79</v>
      </c>
      <c r="I161" s="24">
        <v>-143.0</v>
      </c>
      <c r="J161" s="24">
        <v>-418.0</v>
      </c>
      <c r="K161" s="23">
        <v>-15.0</v>
      </c>
      <c r="L161" s="16">
        <v>1980.0</v>
      </c>
      <c r="M161" s="24">
        <v>-606.0</v>
      </c>
      <c r="N161" s="24">
        <v>-1008.0</v>
      </c>
      <c r="O161" s="24">
        <v>-593.0</v>
      </c>
      <c r="P161" s="24">
        <v>-1441.73</v>
      </c>
      <c r="Q161" s="15"/>
      <c r="R161" s="15"/>
      <c r="S161" s="15"/>
      <c r="T161" s="15"/>
      <c r="U161" s="15"/>
      <c r="V161" s="15"/>
    </row>
    <row r="162" ht="15.0" customHeight="1">
      <c r="A162" s="14" t="s">
        <v>201</v>
      </c>
      <c r="B162" s="17">
        <v>1.0</v>
      </c>
      <c r="C162" s="17">
        <v>1.0</v>
      </c>
      <c r="D162" s="17">
        <v>1.0</v>
      </c>
      <c r="E162" s="17">
        <v>1.0</v>
      </c>
      <c r="F162" s="17">
        <v>1.0</v>
      </c>
      <c r="G162" s="17">
        <v>1.0</v>
      </c>
      <c r="H162" s="17">
        <v>1.0</v>
      </c>
      <c r="I162" s="17">
        <v>1.0</v>
      </c>
      <c r="J162" s="17">
        <v>1.0</v>
      </c>
      <c r="K162" s="17">
        <v>1.0</v>
      </c>
      <c r="L162" s="17">
        <v>1.0</v>
      </c>
      <c r="M162" s="17">
        <v>1.0</v>
      </c>
      <c r="N162" s="17">
        <v>1.0</v>
      </c>
      <c r="O162" s="17">
        <v>1.0</v>
      </c>
      <c r="P162" s="17">
        <v>1.0</v>
      </c>
      <c r="Q162" s="15"/>
      <c r="R162" s="15"/>
      <c r="S162" s="15"/>
      <c r="T162" s="15"/>
      <c r="U162" s="15"/>
      <c r="V162" s="15"/>
    </row>
    <row r="163" ht="15.0" customHeight="1">
      <c r="A163" s="14" t="s">
        <v>202</v>
      </c>
      <c r="B163" s="16">
        <v>1011.32</v>
      </c>
      <c r="C163" s="24">
        <v>-760.66</v>
      </c>
      <c r="D163" s="16">
        <v>1158.54</v>
      </c>
      <c r="E163" s="23">
        <v>-84.55</v>
      </c>
      <c r="F163" s="24">
        <v>-455.52</v>
      </c>
      <c r="G163" s="16">
        <v>159.98</v>
      </c>
      <c r="H163" s="16">
        <v>1891.59</v>
      </c>
      <c r="I163" s="24">
        <v>-143.0</v>
      </c>
      <c r="J163" s="24">
        <v>-316.0</v>
      </c>
      <c r="K163" s="16">
        <v>290.0</v>
      </c>
      <c r="L163" s="16">
        <v>636.0</v>
      </c>
      <c r="M163" s="24">
        <v>-2912.0</v>
      </c>
      <c r="N163" s="24">
        <v>-1008.0</v>
      </c>
      <c r="O163" s="24">
        <v>-593.0</v>
      </c>
      <c r="P163" s="24">
        <v>-1441.73</v>
      </c>
      <c r="Q163" s="15"/>
      <c r="R163" s="15"/>
      <c r="S163" s="15"/>
      <c r="T163" s="15"/>
      <c r="U163" s="15"/>
      <c r="V163" s="15"/>
    </row>
    <row r="164" ht="15.0" customHeight="1">
      <c r="A164" s="14" t="s">
        <v>203</v>
      </c>
      <c r="B164" s="16">
        <v>1011.32</v>
      </c>
      <c r="C164" s="24">
        <v>-760.66</v>
      </c>
      <c r="D164" s="16">
        <v>1158.54</v>
      </c>
      <c r="E164" s="23">
        <v>-84.55</v>
      </c>
      <c r="F164" s="24">
        <v>-455.52</v>
      </c>
      <c r="G164" s="16">
        <v>159.98</v>
      </c>
      <c r="H164" s="16">
        <v>1882.79</v>
      </c>
      <c r="I164" s="24">
        <v>-143.0</v>
      </c>
      <c r="J164" s="24">
        <v>-316.0</v>
      </c>
      <c r="K164" s="16">
        <v>290.0</v>
      </c>
      <c r="L164" s="16">
        <v>636.0</v>
      </c>
      <c r="M164" s="24">
        <v>-2912.0</v>
      </c>
      <c r="N164" s="24">
        <v>-1008.0</v>
      </c>
      <c r="O164" s="24">
        <v>-593.0</v>
      </c>
      <c r="P164" s="24">
        <v>-1441.73</v>
      </c>
      <c r="Q164" s="15"/>
      <c r="R164" s="15"/>
      <c r="S164" s="15"/>
      <c r="T164" s="15"/>
      <c r="U164" s="15"/>
      <c r="V164" s="15"/>
    </row>
    <row r="165" ht="15.0" customHeight="1">
      <c r="A165" s="14" t="s">
        <v>204</v>
      </c>
      <c r="B165" s="16">
        <v>1011.32</v>
      </c>
      <c r="C165" s="24">
        <v>-760.66</v>
      </c>
      <c r="D165" s="16">
        <v>1158.54</v>
      </c>
      <c r="E165" s="23">
        <v>-84.55</v>
      </c>
      <c r="F165" s="24">
        <v>-455.52</v>
      </c>
      <c r="G165" s="16">
        <v>159.98</v>
      </c>
      <c r="H165" s="16">
        <v>1891.59</v>
      </c>
      <c r="I165" s="24">
        <v>-143.0</v>
      </c>
      <c r="J165" s="24">
        <v>-418.0</v>
      </c>
      <c r="K165" s="23">
        <v>-15.0</v>
      </c>
      <c r="L165" s="16">
        <v>1980.0</v>
      </c>
      <c r="M165" s="24">
        <v>-606.0</v>
      </c>
      <c r="N165" s="24">
        <v>-1008.0</v>
      </c>
      <c r="O165" s="24">
        <v>-593.0</v>
      </c>
      <c r="P165" s="24">
        <v>-1441.73</v>
      </c>
      <c r="Q165" s="15"/>
      <c r="R165" s="15"/>
      <c r="S165" s="15"/>
      <c r="T165" s="15"/>
      <c r="U165" s="15"/>
      <c r="V165" s="15"/>
    </row>
    <row r="166" ht="15.0" customHeight="1">
      <c r="A166" s="14" t="s">
        <v>205</v>
      </c>
      <c r="B166" s="17">
        <v>1.0</v>
      </c>
      <c r="C166" s="17">
        <v>1.0</v>
      </c>
      <c r="D166" s="17">
        <v>1.0</v>
      </c>
      <c r="E166" s="17">
        <v>1.0</v>
      </c>
      <c r="F166" s="17">
        <v>1.0</v>
      </c>
      <c r="G166" s="17">
        <v>1.0</v>
      </c>
      <c r="H166" s="17">
        <v>1.0</v>
      </c>
      <c r="I166" s="17">
        <v>1.0</v>
      </c>
      <c r="J166" s="17">
        <v>1.0</v>
      </c>
      <c r="K166" s="17">
        <v>1.0</v>
      </c>
      <c r="L166" s="17">
        <v>1.0</v>
      </c>
      <c r="M166" s="17">
        <v>1.0</v>
      </c>
      <c r="N166" s="17">
        <v>1.0</v>
      </c>
      <c r="O166" s="17">
        <v>1.0</v>
      </c>
      <c r="P166" s="17">
        <v>1.0</v>
      </c>
      <c r="Q166" s="15"/>
      <c r="R166" s="15"/>
      <c r="S166" s="15"/>
      <c r="T166" s="15"/>
      <c r="U166" s="15"/>
      <c r="V166" s="15"/>
    </row>
    <row r="167" ht="15.0" customHeight="1">
      <c r="A167" s="14" t="s">
        <v>206</v>
      </c>
      <c r="B167" s="15"/>
      <c r="C167" s="15"/>
      <c r="D167" s="15"/>
      <c r="E167" s="15"/>
      <c r="F167" s="15"/>
      <c r="G167" s="15"/>
      <c r="H167" s="23">
        <v>-8.8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46090.4472699074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44104.0</v>
      </c>
      <c r="I13" s="9">
        <v>43465.0</v>
      </c>
      <c r="J13" s="9">
        <v>43190.0</v>
      </c>
      <c r="K13" s="9">
        <v>42916.0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41364.0</v>
      </c>
      <c r="Q13" s="9">
        <v>41274.0</v>
      </c>
      <c r="R13" s="9">
        <v>40178.0</v>
      </c>
      <c r="S13" s="9">
        <v>40178.0</v>
      </c>
      <c r="T13" s="9">
        <v>39629.0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208</v>
      </c>
      <c r="C15" s="10" t="s">
        <v>208</v>
      </c>
      <c r="D15" s="10" t="s">
        <v>208</v>
      </c>
      <c r="E15" s="10" t="s">
        <v>208</v>
      </c>
      <c r="F15" s="10" t="s">
        <v>208</v>
      </c>
      <c r="G15" s="10" t="s">
        <v>208</v>
      </c>
      <c r="H15" s="10" t="s">
        <v>208</v>
      </c>
      <c r="I15" s="10" t="s">
        <v>208</v>
      </c>
      <c r="J15" s="10" t="s">
        <v>208</v>
      </c>
      <c r="K15" s="10" t="s">
        <v>208</v>
      </c>
      <c r="L15" s="10" t="s">
        <v>208</v>
      </c>
      <c r="M15" s="10" t="s">
        <v>208</v>
      </c>
      <c r="N15" s="10" t="s">
        <v>208</v>
      </c>
      <c r="O15" s="10" t="s">
        <v>208</v>
      </c>
      <c r="P15" s="10" t="s">
        <v>208</v>
      </c>
      <c r="Q15" s="10" t="s">
        <v>208</v>
      </c>
      <c r="R15" s="10" t="s">
        <v>208</v>
      </c>
      <c r="S15" s="10" t="s">
        <v>208</v>
      </c>
      <c r="T15" s="10" t="s">
        <v>208</v>
      </c>
      <c r="U15" s="10" t="s">
        <v>208</v>
      </c>
      <c r="V15" s="10" t="s">
        <v>208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209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210</v>
      </c>
      <c r="B20" s="16">
        <v>1079.31</v>
      </c>
      <c r="C20" s="16">
        <v>443.26</v>
      </c>
      <c r="D20" s="16">
        <v>898.98</v>
      </c>
      <c r="E20" s="16">
        <v>1259.83</v>
      </c>
      <c r="F20" s="16">
        <v>959.93</v>
      </c>
      <c r="G20" s="16">
        <v>694.81</v>
      </c>
      <c r="H20" s="16">
        <v>1167.53</v>
      </c>
      <c r="I20" s="16">
        <v>471.0</v>
      </c>
      <c r="J20" s="16">
        <v>174.0</v>
      </c>
      <c r="K20" s="17">
        <v>8.0</v>
      </c>
      <c r="L20" s="17">
        <v>21.0</v>
      </c>
      <c r="M20" s="16">
        <v>189.0</v>
      </c>
      <c r="N20" s="16">
        <v>551.0</v>
      </c>
      <c r="O20" s="16">
        <v>564.0</v>
      </c>
      <c r="P20" s="16">
        <v>833.79</v>
      </c>
      <c r="Q20" s="16">
        <v>779.31</v>
      </c>
      <c r="R20" s="15"/>
      <c r="S20" s="15"/>
      <c r="T20" s="15"/>
      <c r="U20" s="15"/>
      <c r="V20" s="15"/>
    </row>
    <row r="21" ht="15.0" customHeight="1">
      <c r="A21" s="14" t="s">
        <v>211</v>
      </c>
      <c r="B21" s="15"/>
      <c r="C21" s="16">
        <v>317.1</v>
      </c>
      <c r="D21" s="16">
        <v>607.09</v>
      </c>
      <c r="E21" s="16">
        <v>924.79</v>
      </c>
      <c r="F21" s="16">
        <v>352.27</v>
      </c>
      <c r="G21" s="15"/>
      <c r="H21" s="17">
        <v>17.56</v>
      </c>
      <c r="I21" s="17">
        <v>3.0</v>
      </c>
      <c r="J21" s="17">
        <v>2.0</v>
      </c>
      <c r="K21" s="17">
        <v>6.0</v>
      </c>
      <c r="L21" s="17">
        <v>2.0</v>
      </c>
      <c r="M21" s="17">
        <v>86.0</v>
      </c>
      <c r="N21" s="16">
        <v>106.0</v>
      </c>
      <c r="O21" s="16">
        <v>139.0</v>
      </c>
      <c r="P21" s="15"/>
      <c r="Q21" s="15"/>
      <c r="R21" s="16">
        <v>133.62</v>
      </c>
      <c r="S21" s="16">
        <v>219.49</v>
      </c>
      <c r="T21" s="17">
        <v>89.85</v>
      </c>
      <c r="U21" s="15"/>
      <c r="V21" s="15"/>
    </row>
    <row r="22" ht="15.0" customHeight="1">
      <c r="A22" s="14" t="s">
        <v>212</v>
      </c>
      <c r="B22" s="15"/>
      <c r="C22" s="16">
        <v>107.97</v>
      </c>
      <c r="D22" s="16">
        <v>251.35</v>
      </c>
      <c r="E22" s="16">
        <v>237.08</v>
      </c>
      <c r="F22" s="16">
        <v>176.13</v>
      </c>
      <c r="G22" s="15"/>
      <c r="H22" s="16">
        <v>272.13</v>
      </c>
      <c r="I22" s="16">
        <v>406.0</v>
      </c>
      <c r="J22" s="15">
        <v>0.0</v>
      </c>
      <c r="K22" s="15"/>
      <c r="L22" s="17">
        <v>1.0</v>
      </c>
      <c r="M22" s="17">
        <v>12.0</v>
      </c>
      <c r="N22" s="17">
        <v>2.0</v>
      </c>
      <c r="O22" s="15">
        <v>0.0</v>
      </c>
      <c r="P22" s="15"/>
      <c r="Q22" s="15"/>
      <c r="R22" s="15"/>
      <c r="S22" s="15"/>
      <c r="T22" s="15"/>
      <c r="U22" s="15"/>
      <c r="V22" s="15"/>
    </row>
    <row r="23" ht="15.0" customHeight="1">
      <c r="A23" s="14" t="s">
        <v>213</v>
      </c>
      <c r="B23" s="15"/>
      <c r="C23" s="17">
        <v>18.19</v>
      </c>
      <c r="D23" s="17">
        <v>40.54</v>
      </c>
      <c r="E23" s="17">
        <v>97.97</v>
      </c>
      <c r="F23" s="16">
        <v>422.72</v>
      </c>
      <c r="G23" s="15"/>
      <c r="H23" s="16">
        <v>553.04</v>
      </c>
      <c r="I23" s="17">
        <v>52.0</v>
      </c>
      <c r="J23" s="16">
        <v>170.0</v>
      </c>
      <c r="K23" s="15"/>
      <c r="L23" s="15"/>
      <c r="M23" s="17">
        <v>68.0</v>
      </c>
      <c r="N23" s="16">
        <v>428.0</v>
      </c>
      <c r="O23" s="16">
        <v>424.0</v>
      </c>
      <c r="P23" s="15"/>
      <c r="Q23" s="15"/>
      <c r="R23" s="16">
        <v>446.02</v>
      </c>
      <c r="S23" s="16">
        <v>202.64</v>
      </c>
      <c r="T23" s="16">
        <v>255.18</v>
      </c>
      <c r="U23" s="17">
        <v>4.53</v>
      </c>
      <c r="V23" s="17">
        <v>1.91</v>
      </c>
    </row>
    <row r="24" ht="15.0" customHeight="1">
      <c r="A24" s="14" t="s">
        <v>214</v>
      </c>
      <c r="B24" s="15"/>
      <c r="C24" s="15"/>
      <c r="D24" s="15"/>
      <c r="E24" s="15"/>
      <c r="F24" s="17">
        <v>8.81</v>
      </c>
      <c r="G24" s="15"/>
      <c r="H24" s="17">
        <v>8.78</v>
      </c>
      <c r="I24" s="17">
        <v>10.0</v>
      </c>
      <c r="J24" s="17">
        <v>2.0</v>
      </c>
      <c r="K24" s="17">
        <v>2.0</v>
      </c>
      <c r="L24" s="17">
        <v>18.0</v>
      </c>
      <c r="M24" s="17">
        <v>23.0</v>
      </c>
      <c r="N24" s="15"/>
      <c r="O24" s="17">
        <v>1.0</v>
      </c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215</v>
      </c>
      <c r="B25" s="15"/>
      <c r="C25" s="17">
        <v>25.0</v>
      </c>
      <c r="D25" s="15"/>
      <c r="E25" s="15"/>
      <c r="F25" s="15"/>
      <c r="G25" s="15"/>
      <c r="H25" s="15"/>
      <c r="I25" s="15"/>
      <c r="J25" s="15"/>
      <c r="K25" s="15"/>
      <c r="L25" s="15"/>
      <c r="M25" s="15">
        <v>0.0</v>
      </c>
      <c r="N25" s="17">
        <v>15.0</v>
      </c>
      <c r="O25" s="15">
        <v>0.0</v>
      </c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216</v>
      </c>
      <c r="B26" s="15"/>
      <c r="C26" s="15"/>
      <c r="D26" s="15"/>
      <c r="E26" s="15"/>
      <c r="F26" s="15"/>
      <c r="G26" s="15"/>
      <c r="H26" s="15"/>
      <c r="I26" s="15">
        <v>0.0</v>
      </c>
      <c r="J26" s="15">
        <v>0.0</v>
      </c>
      <c r="K26" s="16">
        <v>397.0</v>
      </c>
      <c r="L26" s="16">
        <v>119.0</v>
      </c>
      <c r="M26" s="16">
        <v>315.0</v>
      </c>
      <c r="N26" s="16">
        <v>378.0</v>
      </c>
      <c r="O26" s="16">
        <v>1339.0</v>
      </c>
      <c r="P26" s="16">
        <v>506.06</v>
      </c>
      <c r="Q26" s="16">
        <v>730.89</v>
      </c>
      <c r="R26" s="16">
        <v>631.26</v>
      </c>
      <c r="S26" s="16">
        <v>542.64</v>
      </c>
      <c r="T26" s="16">
        <v>265.87</v>
      </c>
      <c r="U26" s="17">
        <v>77.46</v>
      </c>
      <c r="V26" s="17">
        <v>19.44</v>
      </c>
    </row>
    <row r="27" ht="15.0" customHeight="1">
      <c r="A27" s="14" t="s">
        <v>217</v>
      </c>
      <c r="B27" s="16">
        <v>681.99</v>
      </c>
      <c r="C27" s="16">
        <v>634.21</v>
      </c>
      <c r="D27" s="16">
        <v>554.39</v>
      </c>
      <c r="E27" s="16">
        <v>547.62</v>
      </c>
      <c r="F27" s="16">
        <v>449.14</v>
      </c>
      <c r="G27" s="16">
        <v>343.12</v>
      </c>
      <c r="H27" s="16">
        <v>316.02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218</v>
      </c>
      <c r="B28" s="15"/>
      <c r="C28" s="16">
        <v>155.71</v>
      </c>
      <c r="D28" s="16">
        <v>152.03</v>
      </c>
      <c r="E28" s="16">
        <v>211.6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219</v>
      </c>
      <c r="B29" s="15"/>
      <c r="C29" s="16">
        <v>478.5</v>
      </c>
      <c r="D29" s="16">
        <v>402.36</v>
      </c>
      <c r="E29" s="16">
        <v>336.02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220</v>
      </c>
      <c r="B30" s="16">
        <v>814.76</v>
      </c>
      <c r="C30" s="16">
        <v>107.97</v>
      </c>
      <c r="D30" s="16">
        <v>726.69</v>
      </c>
      <c r="E30" s="16">
        <v>1282.36</v>
      </c>
      <c r="F30" s="15">
        <v>0.0</v>
      </c>
      <c r="G30" s="16">
        <v>291.65</v>
      </c>
      <c r="H30" s="15">
        <v>0.0</v>
      </c>
      <c r="I30" s="15"/>
      <c r="J30" s="15"/>
      <c r="K30" s="15"/>
      <c r="L30" s="15">
        <v>0.0</v>
      </c>
      <c r="M30" s="17">
        <v>28.0</v>
      </c>
      <c r="N30" s="17">
        <v>1.0</v>
      </c>
      <c r="O30" s="17">
        <v>7.0</v>
      </c>
      <c r="P30" s="17">
        <v>26.75</v>
      </c>
      <c r="Q30" s="17">
        <v>8.83</v>
      </c>
      <c r="R30" s="17">
        <v>58.23</v>
      </c>
      <c r="S30" s="16">
        <v>546.67</v>
      </c>
      <c r="T30" s="15"/>
      <c r="U30" s="15">
        <v>0.0</v>
      </c>
      <c r="V30" s="15">
        <v>0.0</v>
      </c>
    </row>
    <row r="31" ht="15.0" customHeight="1">
      <c r="A31" s="14" t="s">
        <v>221</v>
      </c>
      <c r="B31" s="16">
        <v>1435.39</v>
      </c>
      <c r="C31" s="16">
        <v>2848.24</v>
      </c>
      <c r="D31" s="16">
        <v>1689.52</v>
      </c>
      <c r="E31" s="16">
        <v>2629.38</v>
      </c>
      <c r="F31" s="16">
        <v>1083.22</v>
      </c>
      <c r="G31" s="16">
        <v>2221.68</v>
      </c>
      <c r="H31" s="16">
        <v>2510.62</v>
      </c>
      <c r="I31" s="17">
        <v>22.0</v>
      </c>
      <c r="J31" s="16">
        <v>133.0</v>
      </c>
      <c r="K31" s="17">
        <v>89.0</v>
      </c>
      <c r="L31" s="16">
        <v>452.0</v>
      </c>
      <c r="M31" s="16">
        <v>644.0</v>
      </c>
      <c r="N31" s="16">
        <v>403.0</v>
      </c>
      <c r="O31" s="16">
        <v>584.0</v>
      </c>
      <c r="P31" s="16">
        <v>688.71</v>
      </c>
      <c r="Q31" s="16">
        <v>892.48</v>
      </c>
      <c r="R31" s="15">
        <f t="shared" ref="R31:S31" si="1">SUM(R33:R34)</f>
        <v>659.82</v>
      </c>
      <c r="S31" s="15">
        <f t="shared" si="1"/>
        <v>867.35</v>
      </c>
      <c r="T31" s="16">
        <v>973.66</v>
      </c>
      <c r="U31" s="17">
        <v>11.97</v>
      </c>
      <c r="V31" s="17">
        <v>41.62</v>
      </c>
    </row>
    <row r="32" ht="15.0" customHeight="1">
      <c r="A32" s="14" t="s">
        <v>222</v>
      </c>
      <c r="B32" s="15"/>
      <c r="C32" s="15"/>
      <c r="D32" s="15"/>
      <c r="E32" s="15"/>
      <c r="F32" s="16">
        <v>1083.22</v>
      </c>
      <c r="G32" s="15"/>
      <c r="H32" s="16">
        <v>2510.62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223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6">
        <v>623.23</v>
      </c>
      <c r="S33" s="16">
        <v>812.01</v>
      </c>
      <c r="T33" s="15"/>
      <c r="U33" s="15"/>
      <c r="V33" s="15"/>
    </row>
    <row r="34" ht="15.0" customHeight="1">
      <c r="A34" s="14" t="s">
        <v>224</v>
      </c>
      <c r="B34" s="17">
        <v>1.01</v>
      </c>
      <c r="C34" s="16">
        <v>1787.82</v>
      </c>
      <c r="D34" s="15"/>
      <c r="E34" s="15"/>
      <c r="F34" s="15">
        <v>0.0</v>
      </c>
      <c r="G34" s="15"/>
      <c r="H34" s="15">
        <v>0.0</v>
      </c>
      <c r="I34" s="17">
        <v>1.0</v>
      </c>
      <c r="J34" s="17">
        <v>2.0</v>
      </c>
      <c r="K34" s="17">
        <v>4.0</v>
      </c>
      <c r="L34" s="16">
        <v>178.0</v>
      </c>
      <c r="M34" s="17">
        <v>33.0</v>
      </c>
      <c r="N34" s="17">
        <v>74.0</v>
      </c>
      <c r="O34" s="17">
        <v>20.0</v>
      </c>
      <c r="P34" s="15"/>
      <c r="Q34" s="15"/>
      <c r="R34" s="17">
        <v>36.59</v>
      </c>
      <c r="S34" s="17">
        <v>55.34</v>
      </c>
      <c r="T34" s="15"/>
      <c r="U34" s="15"/>
      <c r="V34" s="15"/>
    </row>
    <row r="35" ht="15.0" customHeight="1">
      <c r="A35" s="14" t="s">
        <v>225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7">
        <v>12.0</v>
      </c>
      <c r="M35" s="15"/>
      <c r="N35" s="15"/>
      <c r="O35" s="15"/>
      <c r="P35" s="15"/>
      <c r="Q35" s="16">
        <v>590.39</v>
      </c>
      <c r="R35" s="15"/>
      <c r="S35" s="15"/>
      <c r="T35" s="15"/>
      <c r="U35" s="15"/>
      <c r="V35" s="15"/>
    </row>
    <row r="36" ht="15.0" customHeight="1">
      <c r="A36" s="14" t="s">
        <v>226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7">
        <v>0.31</v>
      </c>
      <c r="V36" s="15">
        <v>0.0</v>
      </c>
    </row>
    <row r="37" ht="15.0" customHeight="1">
      <c r="A37" s="14" t="s">
        <v>227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>
        <v>0.0</v>
      </c>
      <c r="V37" s="15">
        <v>0.0</v>
      </c>
    </row>
    <row r="38" ht="15.0" customHeight="1">
      <c r="A38" s="14" t="s">
        <v>228</v>
      </c>
      <c r="B38" s="15"/>
      <c r="C38" s="15"/>
      <c r="D38" s="15"/>
      <c r="E38" s="15"/>
      <c r="F38" s="15">
        <v>0.0</v>
      </c>
      <c r="G38" s="16">
        <v>128.67</v>
      </c>
      <c r="H38" s="16">
        <v>912.95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229</v>
      </c>
      <c r="B39" s="15"/>
      <c r="C39" s="23">
        <v>-1.14</v>
      </c>
      <c r="D39" s="17">
        <v>1.01</v>
      </c>
      <c r="E39" s="17">
        <v>0.98</v>
      </c>
      <c r="F39" s="15"/>
      <c r="G39" s="15"/>
      <c r="H39" s="15"/>
      <c r="I39" s="15"/>
      <c r="J39" s="17">
        <v>1.0</v>
      </c>
      <c r="K39" s="15"/>
      <c r="L39" s="17">
        <v>1.0</v>
      </c>
      <c r="M39" s="15"/>
      <c r="N39" s="17">
        <v>1.0</v>
      </c>
      <c r="O39" s="17">
        <v>1.0</v>
      </c>
      <c r="P39" s="15">
        <v>0.0</v>
      </c>
      <c r="Q39" s="15"/>
      <c r="R39" s="15"/>
      <c r="S39" s="15"/>
      <c r="T39" s="15"/>
      <c r="U39" s="15"/>
      <c r="V39" s="15"/>
    </row>
    <row r="40" ht="15.0" customHeight="1">
      <c r="A40" s="18" t="s">
        <v>230</v>
      </c>
      <c r="B40" s="20">
        <v>4012.46</v>
      </c>
      <c r="C40" s="20">
        <v>5845.38</v>
      </c>
      <c r="D40" s="20">
        <v>3870.59</v>
      </c>
      <c r="E40" s="20">
        <v>5720.18</v>
      </c>
      <c r="F40" s="20">
        <v>2492.3</v>
      </c>
      <c r="G40" s="20">
        <v>3679.92</v>
      </c>
      <c r="H40" s="20">
        <v>4591.1</v>
      </c>
      <c r="I40" s="20">
        <v>494.0</v>
      </c>
      <c r="J40" s="20">
        <v>310.0</v>
      </c>
      <c r="K40" s="20">
        <v>498.0</v>
      </c>
      <c r="L40" s="20">
        <v>783.0</v>
      </c>
      <c r="M40" s="20">
        <v>1209.0</v>
      </c>
      <c r="N40" s="20">
        <v>1408.0</v>
      </c>
      <c r="O40" s="20">
        <v>2515.0</v>
      </c>
      <c r="P40" s="20">
        <v>2055.3</v>
      </c>
      <c r="Q40" s="20">
        <v>3001.9</v>
      </c>
      <c r="R40" s="20">
        <v>1928.94</v>
      </c>
      <c r="S40" s="20">
        <v>2378.79</v>
      </c>
      <c r="T40" s="20">
        <v>1584.55</v>
      </c>
      <c r="U40" s="21">
        <v>94.28</v>
      </c>
      <c r="V40" s="21">
        <v>62.97</v>
      </c>
    </row>
    <row r="41" ht="15.0" customHeight="1">
      <c r="A41" s="14" t="s">
        <v>220</v>
      </c>
      <c r="B41" s="16">
        <v>315.85</v>
      </c>
      <c r="C41" s="17">
        <v>54.56</v>
      </c>
      <c r="D41" s="16">
        <v>141.89</v>
      </c>
      <c r="E41" s="16">
        <v>330.14</v>
      </c>
      <c r="F41" s="17">
        <v>88.07</v>
      </c>
      <c r="G41" s="16">
        <v>223.03</v>
      </c>
      <c r="H41" s="17">
        <v>52.67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231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>
        <v>5390.03</v>
      </c>
      <c r="S42" s="16">
        <v>6136.19</v>
      </c>
      <c r="T42" s="15"/>
      <c r="U42" s="15"/>
      <c r="V42" s="15"/>
    </row>
    <row r="43" ht="15.0" customHeight="1">
      <c r="A43" s="14" t="s">
        <v>232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6">
        <v>3957.13</v>
      </c>
      <c r="S43" s="16">
        <v>4539.07</v>
      </c>
      <c r="T43" s="15"/>
      <c r="U43" s="15"/>
      <c r="V43" s="15"/>
    </row>
    <row r="44" ht="15.0" customHeight="1">
      <c r="A44" s="14" t="s">
        <v>233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24">
        <v>-125.7</v>
      </c>
      <c r="S44" s="15">
        <v>0.0</v>
      </c>
      <c r="T44" s="15">
        <v>0.0</v>
      </c>
      <c r="U44" s="15"/>
      <c r="V44" s="15"/>
    </row>
    <row r="45" ht="15.0" customHeight="1">
      <c r="A45" s="14" t="s">
        <v>234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>
        <v>0.0</v>
      </c>
      <c r="M45" s="16">
        <v>325.0</v>
      </c>
      <c r="N45" s="16">
        <v>743.0</v>
      </c>
      <c r="O45" s="16">
        <v>819.0</v>
      </c>
      <c r="P45" s="16">
        <v>1249.84</v>
      </c>
      <c r="Q45" s="16">
        <v>2290.13</v>
      </c>
      <c r="R45" s="15"/>
      <c r="S45" s="15"/>
      <c r="T45" s="16">
        <v>4396.57</v>
      </c>
      <c r="U45" s="17">
        <v>8.88</v>
      </c>
      <c r="V45" s="15">
        <v>0.0</v>
      </c>
    </row>
    <row r="46" ht="15.0" customHeight="1">
      <c r="A46" s="14" t="s">
        <v>235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7">
        <v>1.0</v>
      </c>
      <c r="P46" s="15"/>
      <c r="Q46" s="15"/>
      <c r="R46" s="15"/>
      <c r="S46" s="15"/>
      <c r="T46" s="15"/>
      <c r="U46" s="15"/>
      <c r="V46" s="15"/>
    </row>
    <row r="47" ht="15.0" customHeight="1">
      <c r="A47" s="14" t="s">
        <v>236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0.0</v>
      </c>
      <c r="N47" s="15">
        <v>0.0</v>
      </c>
      <c r="O47" s="24">
        <v>-126.0</v>
      </c>
      <c r="P47" s="15"/>
      <c r="Q47" s="15"/>
      <c r="R47" s="24">
        <v>-125.7</v>
      </c>
      <c r="S47" s="15">
        <v>0.0</v>
      </c>
      <c r="T47" s="15"/>
      <c r="U47" s="15">
        <v>0.0</v>
      </c>
      <c r="V47" s="15">
        <v>0.0</v>
      </c>
    </row>
    <row r="48" ht="15.0" customHeight="1">
      <c r="A48" s="14" t="s">
        <v>237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6">
        <v>325.0</v>
      </c>
      <c r="N48" s="16">
        <v>743.0</v>
      </c>
      <c r="O48" s="16">
        <v>944.0</v>
      </c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238</v>
      </c>
      <c r="B49" s="17">
        <v>15.09</v>
      </c>
      <c r="C49" s="17">
        <v>17.05</v>
      </c>
      <c r="D49" s="17">
        <v>14.19</v>
      </c>
      <c r="E49" s="17">
        <v>8.82</v>
      </c>
      <c r="F49" s="17">
        <v>8.81</v>
      </c>
      <c r="G49" s="17">
        <v>8.58</v>
      </c>
      <c r="H49" s="17">
        <v>8.78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239</v>
      </c>
      <c r="B50" s="16">
        <v>1362.97</v>
      </c>
      <c r="C50" s="16">
        <v>1670.76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240</v>
      </c>
      <c r="B51" s="15"/>
      <c r="C51" s="17">
        <v>23.87</v>
      </c>
      <c r="D51" s="15"/>
      <c r="E51" s="15"/>
      <c r="F51" s="15"/>
      <c r="G51" s="15"/>
      <c r="H51" s="15"/>
      <c r="I51" s="15"/>
      <c r="J51" s="15"/>
      <c r="K51" s="15"/>
      <c r="L51" s="15">
        <v>0.0</v>
      </c>
      <c r="M51" s="17">
        <v>23.0</v>
      </c>
      <c r="N51" s="16">
        <v>174.0</v>
      </c>
      <c r="O51" s="16">
        <v>497.0</v>
      </c>
      <c r="P51" s="16">
        <v>656.4</v>
      </c>
      <c r="Q51" s="16">
        <v>1492.6</v>
      </c>
      <c r="R51" s="16">
        <v>1540.8</v>
      </c>
      <c r="S51" s="16">
        <v>1540.8</v>
      </c>
      <c r="T51" s="16">
        <v>1483.98</v>
      </c>
      <c r="U51" s="15"/>
      <c r="V51" s="15"/>
    </row>
    <row r="52" ht="15.0" customHeight="1">
      <c r="A52" s="14" t="s">
        <v>241</v>
      </c>
      <c r="B52" s="15"/>
      <c r="C52" s="17">
        <v>23.87</v>
      </c>
      <c r="D52" s="15"/>
      <c r="E52" s="15"/>
      <c r="F52" s="15"/>
      <c r="G52" s="15"/>
      <c r="H52" s="15"/>
      <c r="I52" s="15"/>
      <c r="J52" s="15"/>
      <c r="K52" s="15"/>
      <c r="L52" s="16">
        <v>1095.0</v>
      </c>
      <c r="M52" s="16">
        <v>1228.0</v>
      </c>
      <c r="N52" s="16">
        <v>1025.0</v>
      </c>
      <c r="O52" s="16">
        <v>947.0</v>
      </c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242</v>
      </c>
      <c r="B53" s="15"/>
      <c r="C53" s="15">
        <v>0.0</v>
      </c>
      <c r="D53" s="15"/>
      <c r="E53" s="15"/>
      <c r="F53" s="15"/>
      <c r="G53" s="15"/>
      <c r="H53" s="15"/>
      <c r="I53" s="15"/>
      <c r="J53" s="15"/>
      <c r="K53" s="15"/>
      <c r="L53" s="24">
        <v>-1095.0</v>
      </c>
      <c r="M53" s="24">
        <v>-1206.0</v>
      </c>
      <c r="N53" s="24">
        <v>-852.0</v>
      </c>
      <c r="O53" s="24">
        <v>-451.0</v>
      </c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243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7">
        <v>1.0</v>
      </c>
      <c r="N54" s="17">
        <v>1.0</v>
      </c>
      <c r="O54" s="17">
        <v>1.0</v>
      </c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244</v>
      </c>
      <c r="B55" s="15"/>
      <c r="C55" s="16">
        <v>2114.02</v>
      </c>
      <c r="D55" s="16">
        <v>1885.13</v>
      </c>
      <c r="E55" s="16">
        <v>1822.15</v>
      </c>
      <c r="F55" s="16">
        <v>2774.11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7">
        <v>17.8</v>
      </c>
      <c r="S55" s="17">
        <v>56.31</v>
      </c>
      <c r="T55" s="15"/>
      <c r="U55" s="15"/>
      <c r="V55" s="15"/>
    </row>
    <row r="56" ht="15.0" customHeight="1">
      <c r="A56" s="14" t="s">
        <v>245</v>
      </c>
      <c r="B56" s="15"/>
      <c r="C56" s="24">
        <v>-488.73</v>
      </c>
      <c r="D56" s="24">
        <v>-367.9</v>
      </c>
      <c r="E56" s="24">
        <v>-288.02</v>
      </c>
      <c r="F56" s="24">
        <v>-1312.2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246</v>
      </c>
      <c r="B57" s="15"/>
      <c r="C57" s="17">
        <v>21.59</v>
      </c>
      <c r="D57" s="17">
        <v>19.26</v>
      </c>
      <c r="E57" s="17">
        <v>17.63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247</v>
      </c>
      <c r="B58" s="15"/>
      <c r="C58" s="15">
        <v>0.0</v>
      </c>
      <c r="D58" s="15">
        <v>0.0</v>
      </c>
      <c r="E58" s="15">
        <v>0.0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248</v>
      </c>
      <c r="B59" s="15"/>
      <c r="C59" s="15"/>
      <c r="D59" s="16">
        <v>1536.48</v>
      </c>
      <c r="E59" s="16">
        <v>1571.36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249</v>
      </c>
      <c r="B60" s="15"/>
      <c r="C60" s="15"/>
      <c r="D60" s="15"/>
      <c r="E60" s="17">
        <v>18.61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250</v>
      </c>
      <c r="B61" s="15"/>
      <c r="C61" s="15"/>
      <c r="D61" s="15"/>
      <c r="E61" s="15">
        <v>0.0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251</v>
      </c>
      <c r="B62" s="15"/>
      <c r="C62" s="15"/>
      <c r="D62" s="15"/>
      <c r="E62" s="17">
        <v>0.98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239</v>
      </c>
      <c r="B63" s="15"/>
      <c r="C63" s="15"/>
      <c r="D63" s="15"/>
      <c r="E63" s="15"/>
      <c r="F63" s="16">
        <v>1461.91</v>
      </c>
      <c r="G63" s="16">
        <v>1501.13</v>
      </c>
      <c r="H63" s="16">
        <v>2352.61</v>
      </c>
      <c r="I63" s="15"/>
      <c r="J63" s="15"/>
      <c r="K63" s="15"/>
      <c r="L63" s="15"/>
      <c r="M63" s="15"/>
      <c r="N63" s="15"/>
      <c r="O63" s="15"/>
      <c r="P63" s="15"/>
      <c r="Q63" s="15"/>
      <c r="R63" s="17">
        <v>17.8</v>
      </c>
      <c r="S63" s="15"/>
      <c r="T63" s="15"/>
      <c r="U63" s="15"/>
      <c r="V63" s="15"/>
    </row>
    <row r="64" ht="15.0" customHeight="1">
      <c r="A64" s="14" t="s">
        <v>252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24">
        <v>-125.7</v>
      </c>
      <c r="S64" s="15">
        <v>0.0</v>
      </c>
      <c r="T64" s="15"/>
      <c r="U64" s="15"/>
      <c r="V64" s="15"/>
    </row>
    <row r="65" ht="15.0" customHeight="1">
      <c r="A65" s="14" t="s">
        <v>253</v>
      </c>
      <c r="B65" s="15"/>
      <c r="C65" s="15"/>
      <c r="D65" s="15"/>
      <c r="E65" s="15"/>
      <c r="F65" s="15"/>
      <c r="G65" s="15">
        <v>0.0</v>
      </c>
      <c r="H65" s="16">
        <v>149.23</v>
      </c>
      <c r="I65" s="15"/>
      <c r="J65" s="15"/>
      <c r="K65" s="16">
        <v>510.0</v>
      </c>
      <c r="L65" s="16">
        <v>521.0</v>
      </c>
      <c r="M65" s="16">
        <v>440.0</v>
      </c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254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24">
        <v>-1470.98</v>
      </c>
      <c r="S66" s="24">
        <v>-1099.34</v>
      </c>
      <c r="T66" s="15"/>
      <c r="U66" s="23">
        <v>-0.75</v>
      </c>
      <c r="V66" s="23">
        <v>-0.06</v>
      </c>
    </row>
    <row r="67" ht="15.0" customHeight="1">
      <c r="A67" s="14" t="s">
        <v>255</v>
      </c>
      <c r="B67" s="15">
        <v>25658.99</v>
      </c>
      <c r="C67" s="15">
        <v>29243.95</v>
      </c>
      <c r="D67" s="15">
        <v>24607.01</v>
      </c>
      <c r="E67" s="15">
        <v>20409.05</v>
      </c>
      <c r="F67" s="15">
        <v>16723.92</v>
      </c>
      <c r="G67" s="15">
        <v>14616.74</v>
      </c>
      <c r="H67" s="15">
        <v>13606.52</v>
      </c>
      <c r="I67" s="17">
        <v>10.0</v>
      </c>
      <c r="J67" s="17">
        <v>11.0</v>
      </c>
      <c r="K67" s="17">
        <v>12.0</v>
      </c>
      <c r="L67" s="17">
        <v>2.0</v>
      </c>
      <c r="M67" s="16">
        <v>428.0</v>
      </c>
      <c r="N67" s="16">
        <v>3087.0</v>
      </c>
      <c r="O67" s="16">
        <v>3991.0</v>
      </c>
      <c r="P67" s="16">
        <v>4296.79</v>
      </c>
      <c r="Q67" s="16">
        <v>5233.58</v>
      </c>
      <c r="R67" s="16">
        <v>4099.71</v>
      </c>
      <c r="S67" s="16">
        <v>4456.75</v>
      </c>
      <c r="T67" s="16">
        <v>2843.71</v>
      </c>
      <c r="U67" s="16">
        <v>1803.51</v>
      </c>
      <c r="V67" s="15">
        <f>SUM(V82,V66)</f>
        <v>1.25</v>
      </c>
    </row>
    <row r="68" ht="15.0" customHeight="1">
      <c r="A68" s="14" t="s">
        <v>256</v>
      </c>
      <c r="B68" s="15"/>
      <c r="C68" s="16">
        <v>597.84</v>
      </c>
      <c r="D68" s="15">
        <v>14420.22</v>
      </c>
      <c r="E68" s="15">
        <v>11974.26</v>
      </c>
      <c r="F68" s="16">
        <v>7212.69</v>
      </c>
      <c r="G68" s="15"/>
      <c r="H68" s="15"/>
      <c r="I68" s="15"/>
      <c r="J68" s="15"/>
      <c r="K68" s="15"/>
      <c r="L68" s="15"/>
      <c r="M68" s="15"/>
      <c r="N68" s="15">
        <v>0.0</v>
      </c>
      <c r="O68" s="16">
        <v>2257.0</v>
      </c>
      <c r="P68" s="15"/>
      <c r="Q68" s="15"/>
      <c r="R68" s="16">
        <v>1232.22</v>
      </c>
      <c r="S68" s="15"/>
      <c r="T68" s="15"/>
      <c r="U68" s="15"/>
      <c r="V68" s="15"/>
    </row>
    <row r="69" ht="15.0" customHeight="1">
      <c r="A69" s="14" t="s">
        <v>257</v>
      </c>
      <c r="B69" s="15"/>
      <c r="C69" s="16">
        <v>597.84</v>
      </c>
      <c r="D69" s="15">
        <v>14420.22</v>
      </c>
      <c r="E69" s="15">
        <v>11974.26</v>
      </c>
      <c r="F69" s="16">
        <v>7212.69</v>
      </c>
      <c r="G69" s="15"/>
      <c r="H69" s="15"/>
      <c r="I69" s="15"/>
      <c r="J69" s="15"/>
      <c r="K69" s="15"/>
      <c r="L69" s="15"/>
      <c r="M69" s="15"/>
      <c r="N69" s="15"/>
      <c r="O69" s="16">
        <v>2257.0</v>
      </c>
      <c r="P69" s="15"/>
      <c r="Q69" s="15"/>
      <c r="R69" s="16">
        <v>1232.22</v>
      </c>
      <c r="S69" s="16">
        <v>176.67</v>
      </c>
      <c r="T69" s="15"/>
      <c r="U69" s="15"/>
      <c r="V69" s="15"/>
    </row>
    <row r="70" ht="15.0" customHeight="1">
      <c r="A70" s="14" t="s">
        <v>258</v>
      </c>
      <c r="B70" s="15"/>
      <c r="C70" s="15">
        <v>0.0</v>
      </c>
      <c r="D70" s="15">
        <v>0.0</v>
      </c>
      <c r="E70" s="15">
        <v>0.0</v>
      </c>
      <c r="F70" s="15">
        <v>0.0</v>
      </c>
      <c r="G70" s="15"/>
      <c r="H70" s="15"/>
      <c r="I70" s="15"/>
      <c r="J70" s="15"/>
      <c r="K70" s="15"/>
      <c r="L70" s="15"/>
      <c r="M70" s="15"/>
      <c r="N70" s="15"/>
      <c r="O70" s="15">
        <v>0.0</v>
      </c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259</v>
      </c>
      <c r="B71" s="15"/>
      <c r="C71" s="15"/>
      <c r="D71" s="15"/>
      <c r="E71" s="15"/>
      <c r="F71" s="15"/>
      <c r="G71" s="15"/>
      <c r="H71" s="15"/>
      <c r="I71" s="23">
        <v>-20.0</v>
      </c>
      <c r="J71" s="23">
        <v>-18.0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260</v>
      </c>
      <c r="B72" s="15"/>
      <c r="C72" s="15"/>
      <c r="D72" s="15"/>
      <c r="E72" s="15"/>
      <c r="F72" s="15"/>
      <c r="G72" s="15"/>
      <c r="H72" s="15"/>
      <c r="I72" s="17">
        <v>29.0</v>
      </c>
      <c r="J72" s="17">
        <v>27.0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261</v>
      </c>
      <c r="B73" s="15"/>
      <c r="C73" s="15"/>
      <c r="D73" s="15"/>
      <c r="E73" s="15"/>
      <c r="F73" s="15"/>
      <c r="G73" s="15"/>
      <c r="H73" s="15"/>
      <c r="I73" s="15"/>
      <c r="J73" s="17">
        <v>1.0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262</v>
      </c>
      <c r="B74" s="15"/>
      <c r="C74" s="17">
        <v>35.23</v>
      </c>
      <c r="D74" s="17">
        <v>31.42</v>
      </c>
      <c r="E74" s="17">
        <v>30.37</v>
      </c>
      <c r="F74" s="17">
        <v>8.81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263</v>
      </c>
      <c r="B75" s="15"/>
      <c r="C75" s="23">
        <v>-21.59</v>
      </c>
      <c r="D75" s="23">
        <v>-17.23</v>
      </c>
      <c r="E75" s="23">
        <v>-16.65</v>
      </c>
      <c r="F75" s="15">
        <v>0.0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264</v>
      </c>
      <c r="B76" s="15"/>
      <c r="C76" s="17">
        <v>1.14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265</v>
      </c>
      <c r="B77" s="15"/>
      <c r="C77" s="15">
        <v>28631.33</v>
      </c>
      <c r="D77" s="15">
        <v>10172.6</v>
      </c>
      <c r="E77" s="16">
        <v>8421.07</v>
      </c>
      <c r="F77" s="16">
        <v>9493.62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7">
        <v>0.24</v>
      </c>
      <c r="V77" s="15"/>
    </row>
    <row r="78" ht="15.0" customHeight="1">
      <c r="A78" s="14" t="s">
        <v>266</v>
      </c>
      <c r="B78" s="15"/>
      <c r="C78" s="15">
        <v>35631.47</v>
      </c>
      <c r="D78" s="15">
        <v>15116.5</v>
      </c>
      <c r="E78" s="15">
        <v>12270.12</v>
      </c>
      <c r="F78" s="15">
        <v>11862.62</v>
      </c>
      <c r="G78" s="15"/>
      <c r="H78" s="15"/>
      <c r="I78" s="15"/>
      <c r="J78" s="15"/>
      <c r="K78" s="15"/>
      <c r="L78" s="16">
        <v>3790.0</v>
      </c>
      <c r="M78" s="16">
        <v>6668.0</v>
      </c>
      <c r="N78" s="16">
        <v>5514.0</v>
      </c>
      <c r="O78" s="16">
        <v>2632.0</v>
      </c>
      <c r="P78" s="15"/>
      <c r="Q78" s="15"/>
      <c r="R78" s="16">
        <v>4330.26</v>
      </c>
      <c r="S78" s="16">
        <v>4456.75</v>
      </c>
      <c r="T78" s="15"/>
      <c r="U78" s="15"/>
      <c r="V78" s="15"/>
    </row>
    <row r="79" ht="15.0" customHeight="1">
      <c r="A79" s="14" t="s">
        <v>267</v>
      </c>
      <c r="B79" s="15"/>
      <c r="C79" s="24">
        <v>-7000.13</v>
      </c>
      <c r="D79" s="24">
        <v>-4944.92</v>
      </c>
      <c r="E79" s="24">
        <v>-3849.04</v>
      </c>
      <c r="F79" s="24">
        <v>-2360.2</v>
      </c>
      <c r="G79" s="15"/>
      <c r="H79" s="15"/>
      <c r="I79" s="15"/>
      <c r="J79" s="15"/>
      <c r="K79" s="15"/>
      <c r="L79" s="24">
        <v>-3788.0</v>
      </c>
      <c r="M79" s="24">
        <v>-6241.0</v>
      </c>
      <c r="N79" s="24">
        <v>-2427.0</v>
      </c>
      <c r="O79" s="24">
        <v>-898.0</v>
      </c>
      <c r="P79" s="15"/>
      <c r="Q79" s="15"/>
      <c r="R79" s="24">
        <v>-1463.43</v>
      </c>
      <c r="S79" s="15"/>
      <c r="T79" s="15"/>
      <c r="U79" s="23">
        <v>-0.06</v>
      </c>
      <c r="V79" s="15"/>
    </row>
    <row r="80" ht="15.0" customHeight="1">
      <c r="A80" s="14" t="s">
        <v>268</v>
      </c>
      <c r="B80" s="15"/>
      <c r="C80" s="15"/>
      <c r="D80" s="17">
        <v>1.01</v>
      </c>
      <c r="E80" s="15"/>
      <c r="F80" s="23">
        <v>-8.81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269</v>
      </c>
      <c r="B81" s="15"/>
      <c r="C81" s="15"/>
      <c r="D81" s="15"/>
      <c r="E81" s="15"/>
      <c r="F81" s="17">
        <v>8.81</v>
      </c>
      <c r="G81" s="15"/>
      <c r="H81" s="15"/>
      <c r="I81" s="15"/>
      <c r="J81" s="15"/>
      <c r="K81" s="15"/>
      <c r="L81" s="15"/>
      <c r="M81" s="17">
        <v>1.0</v>
      </c>
      <c r="N81" s="15"/>
      <c r="O81" s="15"/>
      <c r="P81" s="15"/>
      <c r="Q81" s="15"/>
      <c r="R81" s="15"/>
      <c r="S81" s="15"/>
      <c r="T81" s="16">
        <v>2843.71</v>
      </c>
      <c r="U81" s="15"/>
      <c r="V81" s="15"/>
    </row>
    <row r="82" ht="15.0" customHeight="1">
      <c r="A82" s="14" t="s">
        <v>270</v>
      </c>
      <c r="B82" s="15"/>
      <c r="C82" s="15"/>
      <c r="D82" s="15"/>
      <c r="E82" s="15"/>
      <c r="F82" s="17">
        <v>17.61</v>
      </c>
      <c r="G82" s="15"/>
      <c r="H82" s="15"/>
      <c r="I82" s="17">
        <v>7.0</v>
      </c>
      <c r="J82" s="17">
        <v>6.0</v>
      </c>
      <c r="K82" s="15"/>
      <c r="L82" s="17">
        <v>6.0</v>
      </c>
      <c r="M82" s="17">
        <v>5.0</v>
      </c>
      <c r="N82" s="17">
        <v>4.0</v>
      </c>
      <c r="O82" s="17">
        <v>4.0</v>
      </c>
      <c r="P82" s="15"/>
      <c r="Q82" s="15"/>
      <c r="R82" s="17">
        <v>8.2</v>
      </c>
      <c r="S82" s="17">
        <v>8.31</v>
      </c>
      <c r="T82" s="15"/>
      <c r="U82" s="17">
        <v>2.32</v>
      </c>
      <c r="V82" s="17">
        <v>1.31</v>
      </c>
    </row>
    <row r="83" ht="15.0" customHeight="1">
      <c r="A83" s="14" t="s">
        <v>271</v>
      </c>
      <c r="B83" s="15"/>
      <c r="C83" s="15"/>
      <c r="D83" s="15"/>
      <c r="E83" s="15"/>
      <c r="F83" s="23">
        <v>-8.81</v>
      </c>
      <c r="G83" s="15"/>
      <c r="H83" s="15"/>
      <c r="I83" s="23">
        <v>-6.0</v>
      </c>
      <c r="J83" s="23">
        <v>-5.0</v>
      </c>
      <c r="K83" s="15"/>
      <c r="L83" s="23">
        <v>-6.0</v>
      </c>
      <c r="M83" s="23">
        <v>-5.0</v>
      </c>
      <c r="N83" s="23">
        <v>-4.0</v>
      </c>
      <c r="O83" s="23">
        <v>-4.0</v>
      </c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272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23">
        <v>-7.55</v>
      </c>
      <c r="S84" s="15"/>
      <c r="T84" s="15"/>
      <c r="U84" s="16">
        <v>1801.02</v>
      </c>
      <c r="V84" s="15"/>
    </row>
    <row r="85" ht="15.0" customHeight="1">
      <c r="A85" s="14" t="s">
        <v>273</v>
      </c>
      <c r="B85" s="15"/>
      <c r="C85" s="15"/>
      <c r="D85" s="15"/>
      <c r="E85" s="15"/>
      <c r="F85" s="23">
        <v>-8.81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274</v>
      </c>
      <c r="B86" s="16">
        <v>1322.73</v>
      </c>
      <c r="C86" s="16">
        <v>1816.24</v>
      </c>
      <c r="D86" s="16">
        <v>2214.52</v>
      </c>
      <c r="E86" s="16">
        <v>2342.34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274</v>
      </c>
      <c r="B87" s="15"/>
      <c r="C87" s="15"/>
      <c r="D87" s="15"/>
      <c r="E87" s="15"/>
      <c r="F87" s="16">
        <v>4632.32</v>
      </c>
      <c r="G87" s="16">
        <v>3705.65</v>
      </c>
      <c r="H87" s="16">
        <v>3994.17</v>
      </c>
      <c r="I87" s="15">
        <v>0.0</v>
      </c>
      <c r="J87" s="15"/>
      <c r="K87" s="17">
        <v>9.0</v>
      </c>
      <c r="L87" s="16">
        <v>351.0</v>
      </c>
      <c r="M87" s="16">
        <v>633.0</v>
      </c>
      <c r="N87" s="16">
        <v>293.0</v>
      </c>
      <c r="O87" s="16">
        <v>105.0</v>
      </c>
      <c r="P87" s="16">
        <v>609.73</v>
      </c>
      <c r="Q87" s="16">
        <v>594.8</v>
      </c>
      <c r="R87" s="16">
        <v>429.52</v>
      </c>
      <c r="S87" s="16">
        <v>230.42</v>
      </c>
      <c r="T87" s="16">
        <v>111.39</v>
      </c>
      <c r="U87" s="17">
        <v>5.15</v>
      </c>
      <c r="V87" s="17">
        <v>1.21</v>
      </c>
    </row>
    <row r="88" ht="15.0" customHeight="1">
      <c r="A88" s="14" t="s">
        <v>275</v>
      </c>
      <c r="B88" s="16">
        <v>701.1</v>
      </c>
      <c r="C88" s="16">
        <v>698.99</v>
      </c>
      <c r="D88" s="16">
        <v>2167.9</v>
      </c>
      <c r="E88" s="16">
        <v>1995.55</v>
      </c>
      <c r="F88" s="16">
        <v>1805.37</v>
      </c>
      <c r="G88" s="16">
        <v>1681.27</v>
      </c>
      <c r="H88" s="16">
        <v>1009.52</v>
      </c>
      <c r="I88" s="16">
        <v>578.0</v>
      </c>
      <c r="J88" s="16">
        <v>598.0</v>
      </c>
      <c r="K88" s="16">
        <v>591.0</v>
      </c>
      <c r="L88" s="16">
        <v>620.0</v>
      </c>
      <c r="M88" s="16">
        <v>576.0</v>
      </c>
      <c r="N88" s="16">
        <v>500.0</v>
      </c>
      <c r="O88" s="15">
        <v>0.0</v>
      </c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276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>
        <v>0.0</v>
      </c>
      <c r="U89" s="15"/>
      <c r="V89" s="15"/>
    </row>
    <row r="90" ht="15.0" customHeight="1">
      <c r="A90" s="14" t="s">
        <v>277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7">
        <v>0.24</v>
      </c>
      <c r="V90" s="17">
        <v>0.22</v>
      </c>
    </row>
    <row r="91" ht="15.0" customHeight="1">
      <c r="A91" s="14" t="s">
        <v>278</v>
      </c>
      <c r="B91" s="15"/>
      <c r="C91" s="23">
        <v>-1.14</v>
      </c>
      <c r="D91" s="15"/>
      <c r="E91" s="23">
        <v>-0.98</v>
      </c>
      <c r="F91" s="15"/>
      <c r="G91" s="23">
        <v>-8.58</v>
      </c>
      <c r="H91" s="17">
        <v>8.78</v>
      </c>
      <c r="I91" s="23">
        <v>-30.0</v>
      </c>
      <c r="J91" s="15"/>
      <c r="K91" s="15"/>
      <c r="L91" s="15"/>
      <c r="M91" s="15"/>
      <c r="N91" s="15"/>
      <c r="O91" s="23">
        <v>-1.0</v>
      </c>
      <c r="P91" s="15"/>
      <c r="Q91" s="15">
        <v>0.0</v>
      </c>
      <c r="R91" s="15"/>
      <c r="S91" s="15"/>
      <c r="T91" s="15"/>
      <c r="U91" s="15"/>
      <c r="V91" s="15"/>
    </row>
    <row r="92" ht="15.0" customHeight="1">
      <c r="A92" s="14" t="s">
        <v>279</v>
      </c>
      <c r="B92" s="15"/>
      <c r="C92" s="15">
        <v>0.0</v>
      </c>
      <c r="D92" s="17">
        <v>37.5</v>
      </c>
      <c r="E92" s="17">
        <v>7.84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8" t="s">
        <v>280</v>
      </c>
      <c r="B93" s="19">
        <v>29376.73</v>
      </c>
      <c r="C93" s="19">
        <v>33500.4</v>
      </c>
      <c r="D93" s="19">
        <v>30719.49</v>
      </c>
      <c r="E93" s="19">
        <v>26664.11</v>
      </c>
      <c r="F93" s="19">
        <v>24720.41</v>
      </c>
      <c r="G93" s="19">
        <v>21727.82</v>
      </c>
      <c r="H93" s="19">
        <v>21182.28</v>
      </c>
      <c r="I93" s="20">
        <v>558.0</v>
      </c>
      <c r="J93" s="20">
        <v>609.0</v>
      </c>
      <c r="K93" s="20">
        <v>1122.0</v>
      </c>
      <c r="L93" s="20">
        <v>1494.0</v>
      </c>
      <c r="M93" s="20">
        <v>2425.0</v>
      </c>
      <c r="N93" s="20">
        <v>4797.0</v>
      </c>
      <c r="O93" s="20">
        <v>5411.0</v>
      </c>
      <c r="P93" s="20">
        <v>6812.76</v>
      </c>
      <c r="Q93" s="20">
        <v>9611.11</v>
      </c>
      <c r="R93" s="20">
        <v>9919.26</v>
      </c>
      <c r="S93" s="19">
        <v>11008.33</v>
      </c>
      <c r="T93" s="20">
        <v>5998.59</v>
      </c>
      <c r="U93" s="20">
        <v>1817.78</v>
      </c>
      <c r="V93" s="21">
        <v>2.73</v>
      </c>
    </row>
    <row r="94" ht="15.0" customHeight="1">
      <c r="A94" s="14" t="s">
        <v>281</v>
      </c>
      <c r="B94" s="15"/>
      <c r="C94" s="15"/>
      <c r="D94" s="15"/>
      <c r="E94" s="15"/>
      <c r="F94" s="15"/>
      <c r="G94" s="15"/>
      <c r="H94" s="23">
        <v>-8.78</v>
      </c>
      <c r="I94" s="17">
        <v>30.0</v>
      </c>
      <c r="J94" s="15"/>
      <c r="K94" s="15"/>
      <c r="L94" s="15"/>
      <c r="M94" s="15"/>
      <c r="N94" s="15"/>
      <c r="O94" s="15"/>
      <c r="P94" s="15"/>
      <c r="Q94" s="15"/>
      <c r="R94" s="15"/>
      <c r="S94" s="24">
        <v>-1099.34</v>
      </c>
      <c r="T94" s="16">
        <v>2843.71</v>
      </c>
      <c r="U94" s="24">
        <v>-1801.95</v>
      </c>
      <c r="V94" s="23">
        <v>-0.06</v>
      </c>
    </row>
    <row r="95" ht="15.0" customHeight="1">
      <c r="A95" s="18" t="s">
        <v>282</v>
      </c>
      <c r="B95" s="19">
        <v>33389.18</v>
      </c>
      <c r="C95" s="19">
        <v>39345.78</v>
      </c>
      <c r="D95" s="19">
        <v>34590.08</v>
      </c>
      <c r="E95" s="19">
        <v>32384.29</v>
      </c>
      <c r="F95" s="19">
        <v>27212.7</v>
      </c>
      <c r="G95" s="19">
        <v>25407.74</v>
      </c>
      <c r="H95" s="19">
        <v>25764.6</v>
      </c>
      <c r="I95" s="20">
        <v>1082.0</v>
      </c>
      <c r="J95" s="20">
        <v>919.0</v>
      </c>
      <c r="K95" s="20">
        <v>1620.0</v>
      </c>
      <c r="L95" s="20">
        <v>2277.0</v>
      </c>
      <c r="M95" s="20">
        <v>3634.0</v>
      </c>
      <c r="N95" s="20">
        <v>6205.0</v>
      </c>
      <c r="O95" s="20">
        <v>7926.0</v>
      </c>
      <c r="P95" s="20">
        <v>8868.06</v>
      </c>
      <c r="Q95" s="19">
        <v>12613.01</v>
      </c>
      <c r="R95" s="19">
        <v>11848.2</v>
      </c>
      <c r="S95" s="19">
        <v>12287.78</v>
      </c>
      <c r="T95" s="19">
        <v>10426.85</v>
      </c>
      <c r="U95" s="20">
        <v>110.11</v>
      </c>
      <c r="V95" s="21">
        <v>65.65</v>
      </c>
    </row>
    <row r="96" ht="15.0" customHeight="1">
      <c r="A96" s="14" t="s">
        <v>283</v>
      </c>
      <c r="B96" s="15">
        <v>0.0</v>
      </c>
      <c r="C96" s="16">
        <v>2649.34</v>
      </c>
      <c r="D96" s="15"/>
      <c r="E96" s="15"/>
      <c r="F96" s="15"/>
      <c r="G96" s="15"/>
      <c r="H96" s="15"/>
      <c r="I96" s="16">
        <v>160.0</v>
      </c>
      <c r="J96" s="16">
        <v>155.0</v>
      </c>
      <c r="K96" s="16">
        <v>377.0</v>
      </c>
      <c r="L96" s="16">
        <v>331.0</v>
      </c>
      <c r="M96" s="16">
        <v>3051.0</v>
      </c>
      <c r="N96" s="16">
        <v>541.0</v>
      </c>
      <c r="O96" s="16">
        <v>2779.0</v>
      </c>
      <c r="P96" s="16">
        <v>643.34</v>
      </c>
      <c r="Q96" s="15"/>
      <c r="R96" s="15"/>
      <c r="S96" s="15"/>
      <c r="T96" s="15"/>
      <c r="U96" s="15"/>
      <c r="V96" s="15"/>
    </row>
    <row r="97" ht="15.0" customHeight="1">
      <c r="A97" s="14" t="s">
        <v>284</v>
      </c>
      <c r="B97" s="15"/>
      <c r="C97" s="15"/>
      <c r="D97" s="15"/>
      <c r="E97" s="15"/>
      <c r="F97" s="15"/>
      <c r="G97" s="15"/>
      <c r="H97" s="15"/>
      <c r="I97" s="16">
        <v>312.0</v>
      </c>
      <c r="J97" s="15"/>
      <c r="K97" s="15"/>
      <c r="L97" s="16">
        <v>110.0</v>
      </c>
      <c r="M97" s="16">
        <v>284.0</v>
      </c>
      <c r="N97" s="16">
        <v>333.0</v>
      </c>
      <c r="O97" s="16">
        <v>862.0</v>
      </c>
      <c r="P97" s="16">
        <v>420.98</v>
      </c>
      <c r="Q97" s="16">
        <v>1085.3</v>
      </c>
      <c r="R97" s="16">
        <v>906.96</v>
      </c>
      <c r="S97" s="16">
        <v>533.37</v>
      </c>
      <c r="T97" s="16">
        <v>222.0</v>
      </c>
      <c r="U97" s="17">
        <v>35.0</v>
      </c>
      <c r="V97" s="15">
        <v>0.0</v>
      </c>
    </row>
    <row r="98" ht="15.0" customHeight="1">
      <c r="A98" s="14" t="s">
        <v>285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231.54</v>
      </c>
      <c r="R98" s="15"/>
      <c r="S98" s="15"/>
      <c r="T98" s="15">
        <v>0.0</v>
      </c>
      <c r="U98" s="15"/>
      <c r="V98" s="15"/>
    </row>
    <row r="99" ht="15.0" customHeight="1">
      <c r="A99" s="14" t="s">
        <v>220</v>
      </c>
      <c r="B99" s="17">
        <v>19.11</v>
      </c>
      <c r="C99" s="16">
        <v>1699.17</v>
      </c>
      <c r="D99" s="16">
        <v>363.85</v>
      </c>
      <c r="E99" s="16">
        <v>1227.5</v>
      </c>
      <c r="F99" s="16">
        <v>1021.58</v>
      </c>
      <c r="G99" s="17">
        <v>42.89</v>
      </c>
      <c r="H99" s="17">
        <v>79.01</v>
      </c>
      <c r="I99" s="15"/>
      <c r="J99" s="15"/>
      <c r="K99" s="15"/>
      <c r="L99" s="17">
        <v>1.0</v>
      </c>
      <c r="M99" s="17">
        <v>3.0</v>
      </c>
      <c r="N99" s="17">
        <v>4.0</v>
      </c>
      <c r="O99" s="17">
        <v>11.0</v>
      </c>
      <c r="P99" s="15"/>
      <c r="Q99" s="15">
        <v>0.0</v>
      </c>
      <c r="R99" s="15"/>
      <c r="S99" s="15"/>
      <c r="T99" s="15"/>
      <c r="U99" s="15"/>
      <c r="V99" s="15"/>
    </row>
    <row r="100" ht="15.0" customHeight="1">
      <c r="A100" s="14" t="s">
        <v>286</v>
      </c>
      <c r="B100" s="16">
        <v>671.93</v>
      </c>
      <c r="C100" s="17">
        <v>1.14</v>
      </c>
      <c r="D100" s="16">
        <v>1418.91</v>
      </c>
      <c r="E100" s="16">
        <v>2047.47</v>
      </c>
      <c r="F100" s="16">
        <v>140.91</v>
      </c>
      <c r="G100" s="16">
        <v>231.6</v>
      </c>
      <c r="H100" s="16">
        <v>930.51</v>
      </c>
      <c r="I100" s="15"/>
      <c r="J100" s="15"/>
      <c r="K100" s="15"/>
      <c r="L100" s="17">
        <v>37.0</v>
      </c>
      <c r="M100" s="17">
        <v>28.0</v>
      </c>
      <c r="N100" s="17">
        <v>13.0</v>
      </c>
      <c r="O100" s="17">
        <v>51.0</v>
      </c>
      <c r="P100" s="16">
        <v>180.41</v>
      </c>
      <c r="Q100" s="16">
        <v>114.72</v>
      </c>
      <c r="R100" s="16">
        <v>208.54</v>
      </c>
      <c r="S100" s="16">
        <v>564.91</v>
      </c>
      <c r="T100" s="17">
        <v>69.85</v>
      </c>
      <c r="U100" s="15"/>
      <c r="V100" s="15"/>
    </row>
    <row r="101" ht="15.0" customHeight="1">
      <c r="A101" s="14" t="s">
        <v>287</v>
      </c>
      <c r="B101" s="16">
        <v>774.53</v>
      </c>
      <c r="C101" s="16">
        <v>1129.75</v>
      </c>
      <c r="D101" s="16">
        <v>1269.93</v>
      </c>
      <c r="E101" s="16">
        <v>1377.39</v>
      </c>
      <c r="F101" s="16">
        <v>1144.87</v>
      </c>
      <c r="G101" s="16">
        <v>2453.28</v>
      </c>
      <c r="H101" s="16">
        <v>1676.67</v>
      </c>
      <c r="I101" s="17">
        <v>66.0</v>
      </c>
      <c r="J101" s="17">
        <v>30.0</v>
      </c>
      <c r="K101" s="17">
        <v>67.0</v>
      </c>
      <c r="L101" s="16">
        <v>162.0</v>
      </c>
      <c r="M101" s="16">
        <v>458.0</v>
      </c>
      <c r="N101" s="16">
        <v>343.0</v>
      </c>
      <c r="O101" s="16">
        <v>376.0</v>
      </c>
      <c r="P101" s="16">
        <v>281.06</v>
      </c>
      <c r="Q101" s="16">
        <v>496.87</v>
      </c>
      <c r="R101" s="17">
        <v>35.94</v>
      </c>
      <c r="S101" s="16">
        <v>138.06</v>
      </c>
      <c r="T101" s="17">
        <v>68.98</v>
      </c>
      <c r="U101" s="17">
        <v>5.85</v>
      </c>
      <c r="V101" s="17">
        <v>10.42</v>
      </c>
    </row>
    <row r="102" ht="15.0" customHeight="1">
      <c r="A102" s="14" t="s">
        <v>288</v>
      </c>
      <c r="B102" s="15"/>
      <c r="C102" s="17">
        <v>50.01</v>
      </c>
      <c r="D102" s="16">
        <v>177.36</v>
      </c>
      <c r="E102" s="16">
        <v>166.54</v>
      </c>
      <c r="F102" s="17">
        <v>44.03</v>
      </c>
      <c r="G102" s="15"/>
      <c r="H102" s="16">
        <v>465.26</v>
      </c>
      <c r="I102" s="17">
        <v>26.0</v>
      </c>
      <c r="J102" s="17">
        <v>5.0</v>
      </c>
      <c r="K102" s="15"/>
      <c r="L102" s="17">
        <v>3.0</v>
      </c>
      <c r="M102" s="17">
        <v>17.0</v>
      </c>
      <c r="N102" s="17">
        <v>58.0</v>
      </c>
      <c r="O102" s="17">
        <v>29.0</v>
      </c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289</v>
      </c>
      <c r="B103" s="15"/>
      <c r="C103" s="16">
        <v>353.47</v>
      </c>
      <c r="D103" s="16">
        <v>718.58</v>
      </c>
      <c r="E103" s="16">
        <v>654.41</v>
      </c>
      <c r="F103" s="16">
        <v>642.89</v>
      </c>
      <c r="G103" s="15"/>
      <c r="H103" s="16">
        <v>667.16</v>
      </c>
      <c r="I103" s="15"/>
      <c r="J103" s="15">
        <v>0.0</v>
      </c>
      <c r="K103" s="15"/>
      <c r="L103" s="16">
        <v>101.0</v>
      </c>
      <c r="M103" s="16">
        <v>224.0</v>
      </c>
      <c r="N103" s="16">
        <v>190.0</v>
      </c>
      <c r="O103" s="16">
        <v>186.0</v>
      </c>
      <c r="P103" s="15"/>
      <c r="Q103" s="15"/>
      <c r="R103" s="16">
        <v>159.99</v>
      </c>
      <c r="S103" s="16">
        <v>116.78</v>
      </c>
      <c r="T103" s="16">
        <v>524.79</v>
      </c>
      <c r="U103" s="17">
        <v>9.08</v>
      </c>
      <c r="V103" s="17">
        <v>5.28</v>
      </c>
    </row>
    <row r="104" ht="15.0" customHeight="1">
      <c r="A104" s="14" t="s">
        <v>290</v>
      </c>
      <c r="B104" s="15"/>
      <c r="C104" s="17">
        <v>26.14</v>
      </c>
      <c r="D104" s="17">
        <v>24.32</v>
      </c>
      <c r="E104" s="17">
        <v>24.49</v>
      </c>
      <c r="F104" s="17">
        <v>17.61</v>
      </c>
      <c r="G104" s="15"/>
      <c r="H104" s="17">
        <v>8.78</v>
      </c>
      <c r="I104" s="17">
        <v>21.0</v>
      </c>
      <c r="J104" s="15">
        <v>0.0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291</v>
      </c>
      <c r="B105" s="15"/>
      <c r="C105" s="17">
        <v>71.6</v>
      </c>
      <c r="D105" s="15"/>
      <c r="E105" s="15"/>
      <c r="F105" s="15">
        <v>0.0</v>
      </c>
      <c r="G105" s="15"/>
      <c r="H105" s="16">
        <v>105.34</v>
      </c>
      <c r="I105" s="15"/>
      <c r="J105" s="15">
        <v>0.0</v>
      </c>
      <c r="K105" s="15"/>
      <c r="L105" s="15">
        <v>0.0</v>
      </c>
      <c r="M105" s="17">
        <v>4.0</v>
      </c>
      <c r="N105" s="17">
        <v>16.0</v>
      </c>
      <c r="O105" s="17">
        <v>45.0</v>
      </c>
      <c r="P105" s="15"/>
      <c r="Q105" s="15"/>
      <c r="R105" s="15"/>
      <c r="S105" s="15"/>
      <c r="T105" s="15"/>
      <c r="U105" s="27">
        <v>0.0</v>
      </c>
      <c r="V105" s="15">
        <v>0.0</v>
      </c>
    </row>
    <row r="106" ht="15.0" customHeight="1">
      <c r="A106" s="14" t="s">
        <v>292</v>
      </c>
      <c r="B106" s="15"/>
      <c r="C106" s="17">
        <v>38.64</v>
      </c>
      <c r="D106" s="17">
        <v>13.18</v>
      </c>
      <c r="E106" s="17">
        <v>32.33</v>
      </c>
      <c r="F106" s="17">
        <v>17.61</v>
      </c>
      <c r="G106" s="15"/>
      <c r="H106" s="17">
        <v>43.89</v>
      </c>
      <c r="I106" s="17">
        <v>5.0</v>
      </c>
      <c r="J106" s="17">
        <v>3.0</v>
      </c>
      <c r="K106" s="15"/>
      <c r="L106" s="17">
        <v>17.0</v>
      </c>
      <c r="M106" s="16">
        <v>114.0</v>
      </c>
      <c r="N106" s="17">
        <v>11.0</v>
      </c>
      <c r="O106" s="17">
        <v>52.0</v>
      </c>
      <c r="P106" s="15"/>
      <c r="Q106" s="15"/>
      <c r="R106" s="17">
        <v>61.3</v>
      </c>
      <c r="S106" s="16">
        <v>148.25</v>
      </c>
      <c r="T106" s="15"/>
      <c r="U106" s="15"/>
      <c r="V106" s="15"/>
    </row>
    <row r="107" ht="15.0" customHeight="1">
      <c r="A107" s="14" t="s">
        <v>293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>
        <v>0.0</v>
      </c>
      <c r="M107" s="17">
        <v>11.0</v>
      </c>
      <c r="N107" s="17">
        <v>33.0</v>
      </c>
      <c r="O107" s="17">
        <v>33.0</v>
      </c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294</v>
      </c>
      <c r="B108" s="15"/>
      <c r="C108" s="16">
        <v>258.0</v>
      </c>
      <c r="D108" s="16">
        <v>129.73</v>
      </c>
      <c r="E108" s="17">
        <v>81.31</v>
      </c>
      <c r="F108" s="16">
        <v>123.29</v>
      </c>
      <c r="G108" s="15"/>
      <c r="H108" s="16">
        <v>228.24</v>
      </c>
      <c r="I108" s="15">
        <v>0.0</v>
      </c>
      <c r="J108" s="17">
        <v>1.0</v>
      </c>
      <c r="K108" s="15"/>
      <c r="L108" s="17">
        <v>1.0</v>
      </c>
      <c r="M108" s="17">
        <v>8.0</v>
      </c>
      <c r="N108" s="17">
        <v>8.0</v>
      </c>
      <c r="O108" s="17">
        <v>8.0</v>
      </c>
      <c r="P108" s="15"/>
      <c r="Q108" s="15"/>
      <c r="R108" s="17">
        <v>34.28</v>
      </c>
      <c r="S108" s="17">
        <v>29.37</v>
      </c>
      <c r="T108" s="17">
        <v>33.12</v>
      </c>
      <c r="U108" s="17">
        <v>4.2</v>
      </c>
      <c r="V108" s="15">
        <v>0.0</v>
      </c>
    </row>
    <row r="109" ht="15.0" customHeight="1">
      <c r="A109" s="14" t="s">
        <v>295</v>
      </c>
      <c r="B109" s="15"/>
      <c r="C109" s="16">
        <v>206.86</v>
      </c>
      <c r="D109" s="16">
        <v>205.74</v>
      </c>
      <c r="E109" s="16">
        <v>173.4</v>
      </c>
      <c r="F109" s="16">
        <v>290.62</v>
      </c>
      <c r="G109" s="15"/>
      <c r="H109" s="16">
        <v>158.01</v>
      </c>
      <c r="I109" s="17">
        <v>14.0</v>
      </c>
      <c r="J109" s="17">
        <v>20.0</v>
      </c>
      <c r="K109" s="15"/>
      <c r="L109" s="17">
        <v>39.0</v>
      </c>
      <c r="M109" s="17">
        <v>79.0</v>
      </c>
      <c r="N109" s="17">
        <v>27.0</v>
      </c>
      <c r="O109" s="17">
        <v>24.0</v>
      </c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296</v>
      </c>
      <c r="B110" s="15"/>
      <c r="C110" s="15"/>
      <c r="D110" s="15">
        <v>0.0</v>
      </c>
      <c r="E110" s="16">
        <v>244.91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297</v>
      </c>
      <c r="B111" s="15"/>
      <c r="C111" s="16">
        <v>125.02</v>
      </c>
      <c r="D111" s="17">
        <v>1.01</v>
      </c>
      <c r="E111" s="15"/>
      <c r="F111" s="17">
        <v>8.81</v>
      </c>
      <c r="G111" s="15"/>
      <c r="H111" s="15"/>
      <c r="I111" s="15"/>
      <c r="J111" s="17">
        <v>1.0</v>
      </c>
      <c r="K111" s="15"/>
      <c r="L111" s="17">
        <v>1.0</v>
      </c>
      <c r="M111" s="17">
        <v>1.0</v>
      </c>
      <c r="N111" s="15"/>
      <c r="O111" s="23">
        <v>-1.0</v>
      </c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298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6">
        <v>221.29</v>
      </c>
      <c r="S112" s="16">
        <v>265.03</v>
      </c>
      <c r="T112" s="16">
        <v>524.79</v>
      </c>
      <c r="U112" s="17">
        <v>9.08</v>
      </c>
      <c r="V112" s="17">
        <v>5.28</v>
      </c>
    </row>
    <row r="113" ht="15.0" customHeight="1">
      <c r="A113" s="14" t="s">
        <v>299</v>
      </c>
      <c r="B113" s="17">
        <v>53.31</v>
      </c>
      <c r="C113" s="16">
        <v>129.57</v>
      </c>
      <c r="D113" s="16">
        <v>156.08</v>
      </c>
      <c r="E113" s="17">
        <v>96.01</v>
      </c>
      <c r="F113" s="16">
        <v>228.97</v>
      </c>
      <c r="G113" s="16">
        <v>205.87</v>
      </c>
      <c r="H113" s="16">
        <v>456.48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300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6">
        <v>107.0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301</v>
      </c>
      <c r="B115" s="15"/>
      <c r="C115" s="15">
        <v>0.0</v>
      </c>
      <c r="D115" s="16">
        <v>1266.89</v>
      </c>
      <c r="E115" s="15">
        <v>0.0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ht="15.0" customHeight="1">
      <c r="A116" s="14" t="s">
        <v>302</v>
      </c>
      <c r="B116" s="15"/>
      <c r="C116" s="15"/>
      <c r="D116" s="15"/>
      <c r="E116" s="15"/>
      <c r="F116" s="17">
        <v>8.81</v>
      </c>
      <c r="G116" s="23">
        <v>-8.58</v>
      </c>
      <c r="H116" s="15"/>
      <c r="I116" s="23">
        <v>-1.0</v>
      </c>
      <c r="J116" s="15"/>
      <c r="K116" s="15"/>
      <c r="L116" s="15"/>
      <c r="M116" s="17">
        <v>1.0</v>
      </c>
      <c r="N116" s="17">
        <v>1.0</v>
      </c>
      <c r="O116" s="17">
        <v>1.0</v>
      </c>
      <c r="P116" s="27">
        <v>0.0</v>
      </c>
      <c r="Q116" s="15"/>
      <c r="R116" s="15"/>
      <c r="S116" s="15"/>
      <c r="T116" s="27">
        <v>0.0</v>
      </c>
      <c r="U116" s="15">
        <v>0.0</v>
      </c>
      <c r="V116" s="27">
        <v>0.0</v>
      </c>
    </row>
    <row r="117" ht="15.0" customHeight="1">
      <c r="A117" s="18" t="s">
        <v>303</v>
      </c>
      <c r="B117" s="20">
        <v>1518.88</v>
      </c>
      <c r="C117" s="20">
        <v>5608.97</v>
      </c>
      <c r="D117" s="20">
        <v>4475.66</v>
      </c>
      <c r="E117" s="20">
        <v>4748.36</v>
      </c>
      <c r="F117" s="20">
        <v>2545.14</v>
      </c>
      <c r="G117" s="20">
        <v>2925.06</v>
      </c>
      <c r="H117" s="20">
        <v>3142.67</v>
      </c>
      <c r="I117" s="20">
        <v>537.0</v>
      </c>
      <c r="J117" s="20">
        <v>185.0</v>
      </c>
      <c r="K117" s="20">
        <v>444.0</v>
      </c>
      <c r="L117" s="20">
        <v>748.0</v>
      </c>
      <c r="M117" s="20">
        <v>3825.0</v>
      </c>
      <c r="N117" s="20">
        <v>1235.0</v>
      </c>
      <c r="O117" s="20">
        <v>4080.0</v>
      </c>
      <c r="P117" s="20">
        <v>1525.8</v>
      </c>
      <c r="Q117" s="20">
        <v>1928.43</v>
      </c>
      <c r="R117" s="20">
        <v>1407.02</v>
      </c>
      <c r="S117" s="20">
        <v>1530.73</v>
      </c>
      <c r="T117" s="20">
        <v>918.74</v>
      </c>
      <c r="U117" s="21">
        <v>54.13</v>
      </c>
      <c r="V117" s="21">
        <v>15.7</v>
      </c>
    </row>
    <row r="118" ht="15.0" customHeight="1">
      <c r="A118" s="14" t="s">
        <v>304</v>
      </c>
      <c r="B118" s="15"/>
      <c r="C118" s="15"/>
      <c r="D118" s="16">
        <v>2044.25</v>
      </c>
      <c r="E118" s="16">
        <v>1848.6</v>
      </c>
      <c r="F118" s="16">
        <v>1382.65</v>
      </c>
      <c r="G118" s="16">
        <v>1123.7</v>
      </c>
      <c r="H118" s="16">
        <v>948.07</v>
      </c>
      <c r="I118" s="15"/>
      <c r="J118" s="15"/>
      <c r="K118" s="15"/>
      <c r="L118" s="15"/>
      <c r="M118" s="15"/>
      <c r="N118" s="15"/>
      <c r="O118" s="15"/>
      <c r="P118" s="15"/>
      <c r="Q118" s="16">
        <v>205.95</v>
      </c>
      <c r="R118" s="16">
        <v>196.54</v>
      </c>
      <c r="S118" s="16">
        <v>187.13</v>
      </c>
      <c r="T118" s="16">
        <v>349.23</v>
      </c>
      <c r="U118" s="15"/>
      <c r="V118" s="15"/>
    </row>
    <row r="119" ht="15.0" customHeight="1">
      <c r="A119" s="22" t="s">
        <v>305</v>
      </c>
      <c r="B119" s="16">
        <v>3072.96</v>
      </c>
      <c r="C119" s="16">
        <v>3449.49</v>
      </c>
      <c r="D119" s="16">
        <v>1713.85</v>
      </c>
      <c r="E119" s="16">
        <v>1635.04</v>
      </c>
      <c r="F119" s="16">
        <v>1453.11</v>
      </c>
      <c r="G119" s="16">
        <v>1449.67</v>
      </c>
      <c r="H119" s="16">
        <v>1474.77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ht="15.0" customHeight="1">
      <c r="A120" s="14" t="s">
        <v>306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6">
        <v>3484.53</v>
      </c>
      <c r="S120" s="16">
        <v>4181.83</v>
      </c>
      <c r="T120" s="15"/>
      <c r="U120" s="15"/>
      <c r="V120" s="15"/>
    </row>
    <row r="121" ht="15.0" customHeight="1">
      <c r="A121" s="14" t="s">
        <v>307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>
        <v>0.0</v>
      </c>
      <c r="L121" s="15"/>
      <c r="M121" s="15">
        <v>0.0</v>
      </c>
      <c r="N121" s="15">
        <v>0.0</v>
      </c>
      <c r="O121" s="16">
        <v>243.0</v>
      </c>
      <c r="P121" s="16">
        <v>292.8</v>
      </c>
      <c r="Q121" s="16">
        <v>943.61</v>
      </c>
      <c r="R121" s="16">
        <v>1026.6</v>
      </c>
      <c r="S121" s="16">
        <v>1463.72</v>
      </c>
      <c r="T121" s="16">
        <v>523.84</v>
      </c>
      <c r="U121" s="15"/>
      <c r="V121" s="15"/>
    </row>
    <row r="122" ht="15.0" customHeight="1">
      <c r="A122" s="14" t="s">
        <v>308</v>
      </c>
      <c r="B122" s="15"/>
      <c r="C122" s="15"/>
      <c r="D122" s="15"/>
      <c r="E122" s="15"/>
      <c r="F122" s="15"/>
      <c r="G122" s="15"/>
      <c r="H122" s="15"/>
      <c r="I122" s="15"/>
      <c r="J122" s="15">
        <v>0.0</v>
      </c>
      <c r="K122" s="16">
        <v>153.0</v>
      </c>
      <c r="L122" s="16">
        <v>501.0</v>
      </c>
      <c r="M122" s="15">
        <v>0.0</v>
      </c>
      <c r="N122" s="16">
        <v>1939.0</v>
      </c>
      <c r="O122" s="15">
        <v>0.0</v>
      </c>
      <c r="P122" s="16">
        <v>2317.82</v>
      </c>
      <c r="Q122" s="16">
        <v>2658.58</v>
      </c>
      <c r="R122" s="16">
        <v>2261.39</v>
      </c>
      <c r="S122" s="16">
        <v>2530.98</v>
      </c>
      <c r="T122" s="16">
        <v>3730.87</v>
      </c>
      <c r="U122" s="15"/>
      <c r="V122" s="15"/>
    </row>
    <row r="123" ht="15.0" customHeight="1">
      <c r="A123" s="14" t="s">
        <v>309</v>
      </c>
      <c r="B123" s="15"/>
      <c r="C123" s="15"/>
      <c r="D123" s="15"/>
      <c r="E123" s="15"/>
      <c r="F123" s="15"/>
      <c r="G123" s="15"/>
      <c r="H123" s="15"/>
      <c r="I123" s="15">
        <v>0.0</v>
      </c>
      <c r="J123" s="15">
        <v>0.0</v>
      </c>
      <c r="K123" s="17">
        <v>23.0</v>
      </c>
      <c r="L123" s="17">
        <v>47.0</v>
      </c>
      <c r="M123" s="15">
        <v>0.0</v>
      </c>
      <c r="N123" s="16">
        <v>953.0</v>
      </c>
      <c r="O123" s="16">
        <v>1245.0</v>
      </c>
      <c r="P123" s="16">
        <v>1991.19</v>
      </c>
      <c r="Q123" s="16">
        <v>2368.03</v>
      </c>
      <c r="R123" s="16">
        <v>2495.23</v>
      </c>
      <c r="S123" s="16">
        <v>2725.88</v>
      </c>
      <c r="T123" s="16">
        <v>2406.89</v>
      </c>
      <c r="U123" s="15"/>
      <c r="V123" s="15"/>
    </row>
    <row r="124" ht="15.0" customHeight="1">
      <c r="A124" s="14" t="s">
        <v>310</v>
      </c>
      <c r="B124" s="17">
        <v>1.01</v>
      </c>
      <c r="C124" s="16">
        <v>261.41</v>
      </c>
      <c r="D124" s="16">
        <v>570.61</v>
      </c>
      <c r="E124" s="16">
        <v>885.6</v>
      </c>
      <c r="F124" s="16">
        <v>889.48</v>
      </c>
      <c r="G124" s="16">
        <v>171.56</v>
      </c>
      <c r="H124" s="16">
        <v>561.82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22" t="s">
        <v>311</v>
      </c>
      <c r="B125" s="16">
        <v>7679.89</v>
      </c>
      <c r="C125" s="16">
        <v>9482.4</v>
      </c>
      <c r="D125" s="16">
        <v>7052.0</v>
      </c>
      <c r="E125" s="16">
        <v>7484.53</v>
      </c>
      <c r="F125" s="16">
        <v>7547.34</v>
      </c>
      <c r="G125" s="16">
        <v>6167.51</v>
      </c>
      <c r="H125" s="16">
        <v>6206.33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312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0.0</v>
      </c>
      <c r="O126" s="17">
        <v>7.0</v>
      </c>
      <c r="P126" s="17">
        <v>15.65</v>
      </c>
      <c r="Q126" s="17">
        <v>4.52</v>
      </c>
      <c r="R126" s="17">
        <v>4.36</v>
      </c>
      <c r="S126" s="17">
        <v>0.81</v>
      </c>
      <c r="T126" s="15"/>
      <c r="U126" s="17">
        <v>0.25</v>
      </c>
      <c r="V126" s="15">
        <v>0.0</v>
      </c>
    </row>
    <row r="127" ht="15.0" customHeight="1">
      <c r="A127" s="14" t="s">
        <v>313</v>
      </c>
      <c r="B127" s="15">
        <v>13519.03</v>
      </c>
      <c r="C127" s="15">
        <v>12622.75</v>
      </c>
      <c r="D127" s="15">
        <v>10476.65</v>
      </c>
      <c r="E127" s="16">
        <v>9268.47</v>
      </c>
      <c r="F127" s="16">
        <v>8833.12</v>
      </c>
      <c r="G127" s="16">
        <v>7951.71</v>
      </c>
      <c r="H127" s="16">
        <v>8032.24</v>
      </c>
      <c r="I127" s="16">
        <v>594.0</v>
      </c>
      <c r="J127" s="16">
        <v>593.0</v>
      </c>
      <c r="K127" s="16">
        <v>563.0</v>
      </c>
      <c r="L127" s="16">
        <v>837.0</v>
      </c>
      <c r="M127" s="16">
        <v>612.0</v>
      </c>
      <c r="N127" s="16">
        <v>327.0</v>
      </c>
      <c r="O127" s="16">
        <v>323.0</v>
      </c>
      <c r="P127" s="16">
        <v>298.13</v>
      </c>
      <c r="Q127" s="16">
        <v>829.04</v>
      </c>
      <c r="R127" s="15"/>
      <c r="S127" s="15"/>
      <c r="T127" s="16">
        <v>713.03</v>
      </c>
      <c r="U127" s="15"/>
      <c r="V127" s="15"/>
    </row>
    <row r="128" ht="15.0" customHeight="1">
      <c r="A128" s="14" t="s">
        <v>314</v>
      </c>
      <c r="B128" s="17">
        <v>17.1</v>
      </c>
      <c r="C128" s="17">
        <v>12.5</v>
      </c>
      <c r="D128" s="17">
        <v>11.15</v>
      </c>
      <c r="E128" s="17">
        <v>6.86</v>
      </c>
      <c r="F128" s="16">
        <v>220.17</v>
      </c>
      <c r="G128" s="16">
        <v>223.03</v>
      </c>
      <c r="H128" s="16">
        <v>228.24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315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6">
        <v>734.84</v>
      </c>
      <c r="S129" s="16">
        <v>852.04</v>
      </c>
      <c r="T129" s="15"/>
      <c r="U129" s="15">
        <v>0.0</v>
      </c>
      <c r="V129" s="15">
        <v>0.0</v>
      </c>
    </row>
    <row r="130" ht="15.0" customHeight="1">
      <c r="A130" s="14" t="s">
        <v>316</v>
      </c>
      <c r="B130" s="23">
        <v>-1.01</v>
      </c>
      <c r="C130" s="17">
        <v>2.27</v>
      </c>
      <c r="D130" s="15"/>
      <c r="E130" s="15"/>
      <c r="F130" s="17">
        <v>8.81</v>
      </c>
      <c r="G130" s="23">
        <v>-8.58</v>
      </c>
      <c r="H130" s="15"/>
      <c r="I130" s="15"/>
      <c r="J130" s="15"/>
      <c r="K130" s="17">
        <v>1.0</v>
      </c>
      <c r="L130" s="15"/>
      <c r="M130" s="15"/>
      <c r="N130" s="17">
        <v>1.0</v>
      </c>
      <c r="O130" s="15"/>
      <c r="P130" s="15">
        <v>0.0</v>
      </c>
      <c r="Q130" s="15"/>
      <c r="R130" s="24">
        <v>-2537.13</v>
      </c>
      <c r="S130" s="24">
        <v>-3578.73</v>
      </c>
      <c r="T130" s="15"/>
      <c r="U130" s="15"/>
      <c r="V130" s="15"/>
    </row>
    <row r="131" ht="15.0" customHeight="1">
      <c r="A131" s="18" t="s">
        <v>317</v>
      </c>
      <c r="B131" s="19">
        <v>24288.98</v>
      </c>
      <c r="C131" s="19">
        <v>25830.83</v>
      </c>
      <c r="D131" s="19">
        <v>21868.51</v>
      </c>
      <c r="E131" s="19">
        <v>21129.09</v>
      </c>
      <c r="F131" s="19">
        <v>20334.67</v>
      </c>
      <c r="G131" s="19">
        <v>17078.6</v>
      </c>
      <c r="H131" s="19">
        <v>17451.46</v>
      </c>
      <c r="I131" s="20">
        <v>594.0</v>
      </c>
      <c r="J131" s="20">
        <v>593.0</v>
      </c>
      <c r="K131" s="20">
        <v>740.0</v>
      </c>
      <c r="L131" s="20">
        <v>1385.0</v>
      </c>
      <c r="M131" s="20">
        <v>612.0</v>
      </c>
      <c r="N131" s="20">
        <v>3220.0</v>
      </c>
      <c r="O131" s="20">
        <v>1818.0</v>
      </c>
      <c r="P131" s="20">
        <v>4915.6</v>
      </c>
      <c r="Q131" s="20">
        <v>7009.73</v>
      </c>
      <c r="R131" s="20">
        <v>4181.83</v>
      </c>
      <c r="S131" s="20">
        <v>4181.83</v>
      </c>
      <c r="T131" s="20">
        <v>7723.86</v>
      </c>
      <c r="U131" s="21">
        <v>0.25</v>
      </c>
      <c r="V131" s="19">
        <v>0.0</v>
      </c>
    </row>
    <row r="132" ht="15.0" customHeight="1">
      <c r="A132" s="14" t="s">
        <v>318</v>
      </c>
      <c r="B132" s="15"/>
      <c r="C132" s="23">
        <v>-1.14</v>
      </c>
      <c r="D132" s="15"/>
      <c r="E132" s="15"/>
      <c r="F132" s="15"/>
      <c r="G132" s="15"/>
      <c r="H132" s="15"/>
      <c r="I132" s="17">
        <v>1.0</v>
      </c>
      <c r="J132" s="15"/>
      <c r="K132" s="23">
        <v>-1.0</v>
      </c>
      <c r="L132" s="15"/>
      <c r="M132" s="15"/>
      <c r="N132" s="15"/>
      <c r="O132" s="15"/>
      <c r="P132" s="15"/>
      <c r="Q132" s="15"/>
      <c r="R132" s="15"/>
      <c r="S132" s="16">
        <v>3578.73</v>
      </c>
      <c r="T132" s="15">
        <v>0.0</v>
      </c>
      <c r="U132" s="15"/>
      <c r="V132" s="15"/>
    </row>
    <row r="133" ht="15.0" customHeight="1">
      <c r="A133" s="18" t="s">
        <v>319</v>
      </c>
      <c r="B133" s="19">
        <v>25807.86</v>
      </c>
      <c r="C133" s="19">
        <v>31438.66</v>
      </c>
      <c r="D133" s="19">
        <v>26344.17</v>
      </c>
      <c r="E133" s="19">
        <v>25877.45</v>
      </c>
      <c r="F133" s="19">
        <v>22879.81</v>
      </c>
      <c r="G133" s="19">
        <v>20003.66</v>
      </c>
      <c r="H133" s="19">
        <v>20594.13</v>
      </c>
      <c r="I133" s="20">
        <v>1132.0</v>
      </c>
      <c r="J133" s="20">
        <v>778.0</v>
      </c>
      <c r="K133" s="20">
        <v>1183.0</v>
      </c>
      <c r="L133" s="20">
        <v>2133.0</v>
      </c>
      <c r="M133" s="20">
        <v>4437.0</v>
      </c>
      <c r="N133" s="20">
        <v>4455.0</v>
      </c>
      <c r="O133" s="20">
        <v>5898.0</v>
      </c>
      <c r="P133" s="20">
        <v>6441.4</v>
      </c>
      <c r="Q133" s="20">
        <v>8938.15</v>
      </c>
      <c r="R133" s="20">
        <v>5588.85</v>
      </c>
      <c r="S133" s="20">
        <v>9291.3</v>
      </c>
      <c r="T133" s="20">
        <v>8642.6</v>
      </c>
      <c r="U133" s="21">
        <v>54.38</v>
      </c>
      <c r="V133" s="21">
        <v>15.7</v>
      </c>
    </row>
    <row r="134" ht="15.0" customHeight="1">
      <c r="A134" s="14" t="s">
        <v>320</v>
      </c>
      <c r="B134" s="17">
        <v>16.09</v>
      </c>
      <c r="C134" s="17">
        <v>19.32</v>
      </c>
      <c r="D134" s="17">
        <v>17.23</v>
      </c>
      <c r="E134" s="17">
        <v>16.65</v>
      </c>
      <c r="F134" s="16">
        <v>264.2</v>
      </c>
      <c r="G134" s="16">
        <v>257.34</v>
      </c>
      <c r="H134" s="16">
        <v>263.35</v>
      </c>
      <c r="I134" s="17">
        <v>72.0</v>
      </c>
      <c r="J134" s="17">
        <v>72.0</v>
      </c>
      <c r="K134" s="17">
        <v>71.0</v>
      </c>
      <c r="L134" s="17">
        <v>71.0</v>
      </c>
      <c r="M134" s="16">
        <v>568.0</v>
      </c>
      <c r="N134" s="16">
        <v>466.0</v>
      </c>
      <c r="O134" s="16">
        <v>1097.0</v>
      </c>
      <c r="P134" s="16">
        <v>755.91</v>
      </c>
      <c r="Q134" s="16">
        <v>753.42</v>
      </c>
      <c r="R134" s="16">
        <v>751.55</v>
      </c>
      <c r="S134" s="16">
        <v>444.43</v>
      </c>
      <c r="T134" s="16">
        <v>345.39</v>
      </c>
      <c r="U134" s="17">
        <v>31.42</v>
      </c>
      <c r="V134" s="17">
        <v>2.13</v>
      </c>
    </row>
    <row r="135" ht="15.0" customHeight="1">
      <c r="A135" s="14" t="s">
        <v>321</v>
      </c>
      <c r="B135" s="16">
        <v>7565.22</v>
      </c>
      <c r="C135" s="16">
        <v>7886.66</v>
      </c>
      <c r="D135" s="16">
        <v>8228.69</v>
      </c>
      <c r="E135" s="16">
        <v>6490.18</v>
      </c>
      <c r="F135" s="16">
        <v>4077.5</v>
      </c>
      <c r="G135" s="16">
        <v>5146.74</v>
      </c>
      <c r="H135" s="16">
        <v>4915.9</v>
      </c>
      <c r="I135" s="24">
        <v>-122.0</v>
      </c>
      <c r="J135" s="17">
        <v>69.0</v>
      </c>
      <c r="K135" s="16">
        <v>366.0</v>
      </c>
      <c r="L135" s="17">
        <v>73.0</v>
      </c>
      <c r="M135" s="24">
        <v>-1371.0</v>
      </c>
      <c r="N135" s="16">
        <v>1084.0</v>
      </c>
      <c r="O135" s="16">
        <v>1005.0</v>
      </c>
      <c r="P135" s="16">
        <v>1670.75</v>
      </c>
      <c r="Q135" s="16">
        <v>452.0</v>
      </c>
      <c r="R135" s="16">
        <v>487.62</v>
      </c>
      <c r="S135" s="16">
        <v>682.86</v>
      </c>
      <c r="T135" s="16">
        <v>1438.87</v>
      </c>
      <c r="U135" s="15"/>
      <c r="V135" s="15"/>
    </row>
    <row r="136" ht="15.0" customHeight="1">
      <c r="A136" s="14" t="s">
        <v>322</v>
      </c>
      <c r="B136" s="15"/>
      <c r="C136" s="16">
        <v>8947.08</v>
      </c>
      <c r="D136" s="16">
        <v>7934.77</v>
      </c>
      <c r="E136" s="16">
        <v>7527.63</v>
      </c>
      <c r="F136" s="16">
        <v>6226.34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2492.5</v>
      </c>
      <c r="R136" s="16">
        <v>2483.05</v>
      </c>
      <c r="S136" s="16">
        <v>1869.2</v>
      </c>
      <c r="T136" s="15"/>
      <c r="U136" s="15"/>
      <c r="V136" s="15"/>
    </row>
    <row r="137" ht="15.0" customHeight="1">
      <c r="A137" s="14" t="s">
        <v>323</v>
      </c>
      <c r="B137" s="15"/>
      <c r="C137" s="15">
        <v>0.0</v>
      </c>
      <c r="D137" s="23">
        <v>-1.01</v>
      </c>
      <c r="E137" s="23">
        <v>-0.98</v>
      </c>
      <c r="F137" s="15">
        <v>0.0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ht="15.0" customHeight="1">
      <c r="A138" s="14" t="s">
        <v>324</v>
      </c>
      <c r="B138" s="15"/>
      <c r="C138" s="23">
        <v>-11.37</v>
      </c>
      <c r="D138" s="17">
        <v>20.27</v>
      </c>
      <c r="E138" s="17">
        <v>4.9</v>
      </c>
      <c r="F138" s="17">
        <v>26.42</v>
      </c>
      <c r="G138" s="15"/>
      <c r="H138" s="15"/>
      <c r="I138" s="16">
        <v>462.0</v>
      </c>
      <c r="J138" s="16">
        <v>493.0</v>
      </c>
      <c r="K138" s="16">
        <v>462.0</v>
      </c>
      <c r="L138" s="16">
        <v>465.0</v>
      </c>
      <c r="M138" s="16">
        <v>449.0</v>
      </c>
      <c r="N138" s="16">
        <v>200.0</v>
      </c>
      <c r="O138" s="23">
        <v>-64.0</v>
      </c>
      <c r="P138" s="15"/>
      <c r="Q138" s="23">
        <v>-23.06</v>
      </c>
      <c r="R138" s="15"/>
      <c r="S138" s="15"/>
      <c r="T138" s="15"/>
      <c r="U138" s="15"/>
      <c r="V138" s="15"/>
    </row>
    <row r="139" ht="15.0" customHeight="1">
      <c r="A139" s="14" t="s">
        <v>325</v>
      </c>
      <c r="B139" s="15"/>
      <c r="C139" s="24">
        <v>-298.92</v>
      </c>
      <c r="D139" s="16">
        <v>252.36</v>
      </c>
      <c r="E139" s="16">
        <v>136.17</v>
      </c>
      <c r="F139" s="24">
        <v>-590.05</v>
      </c>
      <c r="G139" s="15"/>
      <c r="H139" s="15"/>
      <c r="I139" s="15"/>
      <c r="J139" s="15"/>
      <c r="K139" s="15"/>
      <c r="L139" s="15"/>
      <c r="M139" s="15"/>
      <c r="N139" s="15">
        <v>0.0</v>
      </c>
      <c r="O139" s="23">
        <v>-11.0</v>
      </c>
      <c r="P139" s="15"/>
      <c r="Q139" s="15"/>
      <c r="R139" s="15"/>
      <c r="S139" s="15"/>
      <c r="T139" s="15"/>
      <c r="U139" s="15"/>
      <c r="V139" s="15"/>
    </row>
    <row r="140" ht="15.0" customHeight="1">
      <c r="A140" s="14" t="s">
        <v>321</v>
      </c>
      <c r="B140" s="15"/>
      <c r="C140" s="24">
        <v>-749.0</v>
      </c>
      <c r="D140" s="17">
        <v>22.3</v>
      </c>
      <c r="E140" s="24">
        <v>-1176.56</v>
      </c>
      <c r="F140" s="24">
        <v>-1576.4</v>
      </c>
      <c r="G140" s="15"/>
      <c r="H140" s="15"/>
      <c r="I140" s="24">
        <v>-584.0</v>
      </c>
      <c r="J140" s="24">
        <v>-424.0</v>
      </c>
      <c r="K140" s="23">
        <v>-96.0</v>
      </c>
      <c r="L140" s="24">
        <v>-392.0</v>
      </c>
      <c r="M140" s="24">
        <v>-1820.0</v>
      </c>
      <c r="N140" s="15"/>
      <c r="O140" s="15"/>
      <c r="P140" s="15"/>
      <c r="Q140" s="15"/>
      <c r="R140" s="15"/>
      <c r="S140" s="15"/>
      <c r="T140" s="15"/>
      <c r="U140" s="15"/>
      <c r="V140" s="15"/>
    </row>
    <row r="141" ht="15.0" customHeight="1">
      <c r="A141" s="14" t="s">
        <v>326</v>
      </c>
      <c r="B141" s="15"/>
      <c r="C141" s="23">
        <v>-1.14</v>
      </c>
      <c r="D141" s="15"/>
      <c r="E141" s="23">
        <v>-0.98</v>
      </c>
      <c r="F141" s="23">
        <v>-8.81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327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7">
        <v>48.26</v>
      </c>
      <c r="V142" s="17">
        <v>51.91</v>
      </c>
    </row>
    <row r="143" ht="15.0" customHeight="1">
      <c r="A143" s="14" t="s">
        <v>328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23">
        <v>-23.96</v>
      </c>
      <c r="V143" s="23">
        <v>-4.1</v>
      </c>
    </row>
    <row r="144" ht="15.0" customHeight="1">
      <c r="A144" s="14" t="s">
        <v>329</v>
      </c>
      <c r="B144" s="15"/>
      <c r="C144" s="15"/>
      <c r="D144" s="15"/>
      <c r="E144" s="15"/>
      <c r="F144" s="23">
        <v>-8.81</v>
      </c>
      <c r="G144" s="15"/>
      <c r="H144" s="23">
        <v>-8.78</v>
      </c>
      <c r="I144" s="15"/>
      <c r="J144" s="15"/>
      <c r="K144" s="15"/>
      <c r="L144" s="15"/>
      <c r="M144" s="15"/>
      <c r="N144" s="15"/>
      <c r="O144" s="17">
        <v>1.0</v>
      </c>
      <c r="P144" s="15"/>
      <c r="Q144" s="15"/>
      <c r="R144" s="15"/>
      <c r="S144" s="15"/>
      <c r="T144" s="15"/>
      <c r="U144" s="15"/>
      <c r="V144" s="15"/>
    </row>
    <row r="145" ht="15.0" customHeight="1">
      <c r="A145" s="18" t="s">
        <v>330</v>
      </c>
      <c r="B145" s="20">
        <v>7581.32</v>
      </c>
      <c r="C145" s="20">
        <v>7905.98</v>
      </c>
      <c r="D145" s="20">
        <v>8245.92</v>
      </c>
      <c r="E145" s="20">
        <v>6506.84</v>
      </c>
      <c r="F145" s="20">
        <v>4332.9</v>
      </c>
      <c r="G145" s="20">
        <v>5404.08</v>
      </c>
      <c r="H145" s="20">
        <v>5170.48</v>
      </c>
      <c r="I145" s="26">
        <v>-50.0</v>
      </c>
      <c r="J145" s="20">
        <v>141.0</v>
      </c>
      <c r="K145" s="20">
        <v>437.0</v>
      </c>
      <c r="L145" s="20">
        <v>144.0</v>
      </c>
      <c r="M145" s="25">
        <v>-803.0</v>
      </c>
      <c r="N145" s="20">
        <v>1750.0</v>
      </c>
      <c r="O145" s="20">
        <v>2028.0</v>
      </c>
      <c r="P145" s="20">
        <v>2426.66</v>
      </c>
      <c r="Q145" s="20">
        <v>3674.86</v>
      </c>
      <c r="R145" s="20">
        <v>3722.22</v>
      </c>
      <c r="S145" s="20">
        <v>2996.49</v>
      </c>
      <c r="T145" s="20">
        <v>1784.26</v>
      </c>
      <c r="U145" s="21">
        <v>55.72</v>
      </c>
      <c r="V145" s="21">
        <v>49.94</v>
      </c>
    </row>
    <row r="146" ht="15.0" customHeight="1">
      <c r="A146" s="18" t="s">
        <v>330</v>
      </c>
      <c r="B146" s="20">
        <v>7581.32</v>
      </c>
      <c r="C146" s="20">
        <v>7905.98</v>
      </c>
      <c r="D146" s="20">
        <v>8245.92</v>
      </c>
      <c r="E146" s="20">
        <v>6506.84</v>
      </c>
      <c r="F146" s="20">
        <v>4332.9</v>
      </c>
      <c r="G146" s="20">
        <v>5404.08</v>
      </c>
      <c r="H146" s="20">
        <v>5170.48</v>
      </c>
      <c r="I146" s="26">
        <v>-50.0</v>
      </c>
      <c r="J146" s="20">
        <v>141.0</v>
      </c>
      <c r="K146" s="20">
        <v>437.0</v>
      </c>
      <c r="L146" s="20">
        <v>144.0</v>
      </c>
      <c r="M146" s="25">
        <v>-803.0</v>
      </c>
      <c r="N146" s="20">
        <v>1750.0</v>
      </c>
      <c r="O146" s="20">
        <v>2028.0</v>
      </c>
      <c r="P146" s="20">
        <v>2426.66</v>
      </c>
      <c r="Q146" s="20">
        <v>3674.86</v>
      </c>
      <c r="R146" s="20">
        <v>3722.22</v>
      </c>
      <c r="S146" s="20">
        <v>2996.49</v>
      </c>
      <c r="T146" s="20">
        <v>1784.26</v>
      </c>
      <c r="U146" s="21">
        <v>55.72</v>
      </c>
      <c r="V146" s="21">
        <v>49.94</v>
      </c>
    </row>
    <row r="147" ht="15.0" customHeight="1">
      <c r="A147" s="14" t="s">
        <v>331</v>
      </c>
      <c r="B147" s="15"/>
      <c r="C147" s="17">
        <v>1.14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6">
        <v>2537.13</v>
      </c>
      <c r="S147" s="15"/>
      <c r="T147" s="27">
        <v>0.0</v>
      </c>
      <c r="U147" s="15"/>
      <c r="V147" s="15"/>
    </row>
    <row r="148" ht="15.0" customHeight="1">
      <c r="A148" s="18" t="s">
        <v>332</v>
      </c>
      <c r="B148" s="19">
        <v>33389.18</v>
      </c>
      <c r="C148" s="19">
        <v>39345.78</v>
      </c>
      <c r="D148" s="19">
        <v>34590.08</v>
      </c>
      <c r="E148" s="19">
        <v>32384.29</v>
      </c>
      <c r="F148" s="19">
        <v>27212.7</v>
      </c>
      <c r="G148" s="19">
        <v>25407.74</v>
      </c>
      <c r="H148" s="19">
        <v>25764.6</v>
      </c>
      <c r="I148" s="20">
        <v>1082.0</v>
      </c>
      <c r="J148" s="20">
        <v>919.0</v>
      </c>
      <c r="K148" s="20">
        <v>1620.0</v>
      </c>
      <c r="L148" s="20">
        <v>2277.0</v>
      </c>
      <c r="M148" s="20">
        <v>3634.0</v>
      </c>
      <c r="N148" s="20">
        <v>6205.0</v>
      </c>
      <c r="O148" s="20">
        <v>7926.0</v>
      </c>
      <c r="P148" s="20">
        <v>8868.06</v>
      </c>
      <c r="Q148" s="19">
        <v>12613.01</v>
      </c>
      <c r="R148" s="19">
        <v>11848.2</v>
      </c>
      <c r="S148" s="19">
        <v>12287.78</v>
      </c>
      <c r="T148" s="19">
        <v>10426.85</v>
      </c>
      <c r="U148" s="20">
        <v>110.11</v>
      </c>
      <c r="V148" s="21">
        <v>65.64</v>
      </c>
    </row>
    <row r="149" ht="15.0" customHeight="1">
      <c r="A149" s="14" t="s">
        <v>333</v>
      </c>
      <c r="B149" s="17">
        <v>25.57</v>
      </c>
      <c r="C149" s="17">
        <v>26.5</v>
      </c>
      <c r="D149" s="17">
        <v>26.11</v>
      </c>
      <c r="E149" s="17">
        <v>25.57</v>
      </c>
      <c r="F149" s="17">
        <v>24.11</v>
      </c>
      <c r="G149" s="17">
        <v>24.11</v>
      </c>
      <c r="H149" s="17">
        <v>24.55</v>
      </c>
      <c r="I149" s="17">
        <v>7.19</v>
      </c>
      <c r="J149" s="17">
        <v>7.19</v>
      </c>
      <c r="K149" s="17">
        <v>7.09</v>
      </c>
      <c r="L149" s="17">
        <v>7.09</v>
      </c>
      <c r="M149" s="17">
        <v>0.57</v>
      </c>
      <c r="N149" s="17">
        <v>0.47</v>
      </c>
      <c r="O149" s="17">
        <v>0.08</v>
      </c>
      <c r="P149" s="17">
        <v>0.06</v>
      </c>
      <c r="Q149" s="17">
        <v>0.05</v>
      </c>
      <c r="R149" s="17">
        <v>0.05</v>
      </c>
      <c r="S149" s="17">
        <v>0.03</v>
      </c>
      <c r="T149" s="17">
        <v>0.03</v>
      </c>
      <c r="U149" s="17">
        <v>0.03</v>
      </c>
      <c r="V149" s="17">
        <v>0.03</v>
      </c>
    </row>
    <row r="150" ht="15.0" customHeight="1">
      <c r="A150" s="14" t="s">
        <v>334</v>
      </c>
      <c r="B150" s="15">
        <v>0.0</v>
      </c>
      <c r="C150" s="15">
        <v>0.0</v>
      </c>
      <c r="D150" s="17">
        <v>0.1</v>
      </c>
      <c r="E150" s="17">
        <v>0.14</v>
      </c>
      <c r="F150" s="17">
        <v>0.44</v>
      </c>
      <c r="G150" s="17">
        <v>0.44</v>
      </c>
      <c r="H150" s="15">
        <v>0.0</v>
      </c>
      <c r="I150" s="15">
        <v>0.0</v>
      </c>
      <c r="J150" s="15">
        <v>0.0</v>
      </c>
      <c r="K150" s="15">
        <v>0.0</v>
      </c>
      <c r="L150" s="15">
        <v>0.0</v>
      </c>
      <c r="M150" s="15">
        <v>0.0</v>
      </c>
      <c r="N150" s="15">
        <v>0.0</v>
      </c>
      <c r="O150" s="15">
        <v>0.0</v>
      </c>
      <c r="P150" s="15">
        <v>0.0</v>
      </c>
      <c r="Q150" s="15">
        <v>0.0</v>
      </c>
      <c r="R150" s="15">
        <v>0.0</v>
      </c>
      <c r="S150" s="15">
        <v>0.0</v>
      </c>
      <c r="T150" s="15">
        <v>0.0</v>
      </c>
      <c r="U150" s="15">
        <v>0.0</v>
      </c>
      <c r="V150" s="15">
        <v>0.0</v>
      </c>
    </row>
    <row r="151" ht="15.0" customHeight="1">
      <c r="A151" s="14" t="s">
        <v>335</v>
      </c>
      <c r="B151" s="17">
        <v>25.57</v>
      </c>
      <c r="C151" s="17">
        <v>26.5</v>
      </c>
      <c r="D151" s="17">
        <v>26.21</v>
      </c>
      <c r="E151" s="17">
        <v>25.71</v>
      </c>
      <c r="F151" s="17">
        <v>24.55</v>
      </c>
      <c r="G151" s="17">
        <v>24.55</v>
      </c>
      <c r="H151" s="17">
        <v>24.55</v>
      </c>
      <c r="I151" s="17">
        <v>7.19</v>
      </c>
      <c r="J151" s="17">
        <v>7.19</v>
      </c>
      <c r="K151" s="17">
        <v>7.09</v>
      </c>
      <c r="L151" s="17">
        <v>7.09</v>
      </c>
      <c r="M151" s="17">
        <v>0.57</v>
      </c>
      <c r="N151" s="17">
        <v>0.47</v>
      </c>
      <c r="O151" s="17">
        <v>0.08</v>
      </c>
      <c r="P151" s="17">
        <v>0.06</v>
      </c>
      <c r="Q151" s="17">
        <v>0.05</v>
      </c>
      <c r="R151" s="17">
        <v>0.06</v>
      </c>
      <c r="S151" s="17">
        <v>0.03</v>
      </c>
      <c r="T151" s="17">
        <v>0.03</v>
      </c>
      <c r="U151" s="17">
        <v>0.03</v>
      </c>
      <c r="V151" s="17">
        <v>0.03</v>
      </c>
    </row>
    <row r="152" ht="15.0" customHeight="1">
      <c r="A152" s="14" t="s">
        <v>336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7">
        <v>1.19</v>
      </c>
      <c r="V152" s="15">
        <v>0.0</v>
      </c>
    </row>
    <row r="153" ht="15.0" customHeight="1">
      <c r="A153" s="14" t="s">
        <v>337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7">
        <v>17.8</v>
      </c>
      <c r="S153" s="17">
        <v>56.31</v>
      </c>
      <c r="T153" s="15"/>
      <c r="U153" s="15"/>
      <c r="V153" s="15"/>
    </row>
    <row r="154" ht="15.0" customHeight="1">
      <c r="A154" s="14" t="s">
        <v>338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7">
        <v>17.8</v>
      </c>
      <c r="S154" s="15"/>
      <c r="T154" s="15"/>
      <c r="U154" s="15"/>
      <c r="V154" s="15"/>
    </row>
    <row r="155" ht="15.0" customHeight="1">
      <c r="A155" s="14" t="s">
        <v>339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7">
        <v>9.08</v>
      </c>
      <c r="V155" s="15"/>
    </row>
    <row r="156" ht="15.0" customHeight="1">
      <c r="A156" s="14" t="s">
        <v>340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6">
        <v>3572.37</v>
      </c>
      <c r="S156" s="15"/>
      <c r="T156" s="15"/>
      <c r="U156" s="15">
        <v>0.0</v>
      </c>
      <c r="V156" s="15"/>
    </row>
    <row r="157" ht="15.0" customHeight="1">
      <c r="A157" s="14" t="s">
        <v>341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>
        <v>0.0</v>
      </c>
      <c r="S157" s="15"/>
      <c r="T157" s="15"/>
      <c r="U157" s="15">
        <v>0.0</v>
      </c>
      <c r="V157" s="15"/>
    </row>
    <row r="158" ht="15.0" customHeight="1">
      <c r="A158" s="14" t="s">
        <v>342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6">
        <v>775.42</v>
      </c>
      <c r="S158" s="15"/>
      <c r="T158" s="15"/>
      <c r="U158" s="15">
        <v>0.0</v>
      </c>
      <c r="V158" s="15"/>
    </row>
    <row r="159" ht="15.0" customHeight="1">
      <c r="A159" s="14" t="s">
        <v>343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6">
        <v>1274.09</v>
      </c>
      <c r="S159" s="15"/>
      <c r="T159" s="15"/>
      <c r="U159" s="15">
        <v>0.0</v>
      </c>
      <c r="V159" s="15"/>
    </row>
    <row r="160" ht="15.0" customHeight="1">
      <c r="A160" s="14" t="s">
        <v>344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6">
        <v>220.67</v>
      </c>
      <c r="S160" s="15"/>
      <c r="T160" s="15"/>
      <c r="U160" s="15">
        <v>0.0</v>
      </c>
      <c r="V160" s="15"/>
    </row>
    <row r="161" ht="15.0" customHeight="1">
      <c r="A161" s="14" t="s">
        <v>345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>
        <v>0.0</v>
      </c>
      <c r="S161" s="15"/>
      <c r="T161" s="15"/>
      <c r="U161" s="15">
        <v>0.0</v>
      </c>
      <c r="V161" s="15"/>
    </row>
    <row r="162" ht="15.0" customHeight="1">
      <c r="A162" s="14" t="s">
        <v>346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6">
        <v>1302.19</v>
      </c>
      <c r="S162" s="15"/>
      <c r="T162" s="15"/>
      <c r="U162" s="15"/>
      <c r="V162" s="15"/>
    </row>
    <row r="163" ht="15.0" customHeight="1">
      <c r="A163" s="14" t="s">
        <v>347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>
        <v>0.0</v>
      </c>
      <c r="S163" s="15"/>
      <c r="T163" s="15"/>
      <c r="U163" s="15"/>
      <c r="V163" s="15"/>
    </row>
    <row r="164" ht="15.0" customHeight="1">
      <c r="A164" s="14" t="s">
        <v>348</v>
      </c>
      <c r="B164" s="17">
        <v>25.57</v>
      </c>
      <c r="C164" s="17">
        <v>26.5</v>
      </c>
      <c r="D164" s="17">
        <v>26.11</v>
      </c>
      <c r="E164" s="17">
        <v>25.57</v>
      </c>
      <c r="F164" s="17">
        <v>24.11</v>
      </c>
      <c r="G164" s="17">
        <v>24.11</v>
      </c>
      <c r="H164" s="17">
        <v>24.55</v>
      </c>
      <c r="I164" s="17">
        <v>7.19</v>
      </c>
      <c r="J164" s="17">
        <v>7.19</v>
      </c>
      <c r="K164" s="17">
        <v>7.09</v>
      </c>
      <c r="L164" s="17">
        <v>7.09</v>
      </c>
      <c r="M164" s="17">
        <v>0.57</v>
      </c>
      <c r="N164" s="17">
        <v>0.47</v>
      </c>
      <c r="O164" s="17">
        <v>0.08</v>
      </c>
      <c r="P164" s="17">
        <v>0.06</v>
      </c>
      <c r="Q164" s="17">
        <v>0.05</v>
      </c>
      <c r="R164" s="17">
        <v>0.06</v>
      </c>
      <c r="S164" s="17">
        <v>0.03</v>
      </c>
      <c r="T164" s="17">
        <v>0.03</v>
      </c>
      <c r="U164" s="17">
        <v>0.03</v>
      </c>
      <c r="V164" s="17">
        <v>0.03</v>
      </c>
    </row>
    <row r="165" ht="15.0" customHeight="1">
      <c r="A165" s="14" t="s">
        <v>349</v>
      </c>
      <c r="B165" s="15">
        <v>0.0</v>
      </c>
      <c r="C165" s="15">
        <v>0.0</v>
      </c>
      <c r="D165" s="17">
        <v>0.1</v>
      </c>
      <c r="E165" s="17">
        <v>0.14</v>
      </c>
      <c r="F165" s="17">
        <v>0.44</v>
      </c>
      <c r="G165" s="17">
        <v>0.44</v>
      </c>
      <c r="H165" s="15">
        <v>0.0</v>
      </c>
      <c r="I165" s="15">
        <v>0.0</v>
      </c>
      <c r="J165" s="15">
        <v>0.0</v>
      </c>
      <c r="K165" s="15">
        <v>0.0</v>
      </c>
      <c r="L165" s="15">
        <v>0.0</v>
      </c>
      <c r="M165" s="15">
        <v>0.0</v>
      </c>
      <c r="N165" s="15">
        <v>0.0</v>
      </c>
      <c r="O165" s="15">
        <v>0.0</v>
      </c>
      <c r="P165" s="15">
        <v>0.0</v>
      </c>
      <c r="Q165" s="15">
        <v>0.0</v>
      </c>
      <c r="R165" s="15">
        <v>0.0</v>
      </c>
      <c r="S165" s="15">
        <v>0.0</v>
      </c>
      <c r="T165" s="15">
        <v>0.0</v>
      </c>
      <c r="U165" s="15">
        <v>0.0</v>
      </c>
      <c r="V165" s="15">
        <v>0.0</v>
      </c>
    </row>
    <row r="166" ht="15.0" customHeight="1">
      <c r="A166" s="14" t="s">
        <v>350</v>
      </c>
      <c r="B166" s="17">
        <v>1.0</v>
      </c>
      <c r="C166" s="17">
        <v>1.0</v>
      </c>
      <c r="D166" s="17">
        <v>1.0</v>
      </c>
      <c r="E166" s="17">
        <v>1.0</v>
      </c>
      <c r="F166" s="17">
        <v>1.0</v>
      </c>
      <c r="G166" s="17">
        <v>1.0</v>
      </c>
      <c r="H166" s="17">
        <v>1.0</v>
      </c>
      <c r="I166" s="17">
        <v>1.0</v>
      </c>
      <c r="J166" s="17">
        <v>1.0</v>
      </c>
      <c r="K166" s="17">
        <v>1.0</v>
      </c>
      <c r="L166" s="17">
        <v>1.0</v>
      </c>
      <c r="M166" s="17">
        <v>1.0</v>
      </c>
      <c r="N166" s="17">
        <v>1.0</v>
      </c>
      <c r="O166" s="17">
        <v>1.0</v>
      </c>
      <c r="P166" s="17">
        <v>1.0</v>
      </c>
      <c r="Q166" s="17">
        <v>1.0</v>
      </c>
      <c r="R166" s="17">
        <v>1.0</v>
      </c>
      <c r="S166" s="17">
        <v>1.0</v>
      </c>
      <c r="T166" s="17">
        <v>1.0</v>
      </c>
      <c r="U166" s="17">
        <v>1.0</v>
      </c>
      <c r="V166" s="17">
        <v>1.0</v>
      </c>
    </row>
    <row r="167" ht="15.0" customHeight="1">
      <c r="A167" s="14" t="s">
        <v>351</v>
      </c>
      <c r="B167" s="17">
        <v>25.57</v>
      </c>
      <c r="C167" s="17">
        <v>26.5</v>
      </c>
      <c r="D167" s="17">
        <v>26.21</v>
      </c>
      <c r="E167" s="17">
        <v>25.71</v>
      </c>
      <c r="F167" s="17">
        <v>24.55</v>
      </c>
      <c r="G167" s="17">
        <v>24.55</v>
      </c>
      <c r="H167" s="17">
        <v>24.55</v>
      </c>
      <c r="I167" s="17">
        <v>7.19</v>
      </c>
      <c r="J167" s="17">
        <v>7.19</v>
      </c>
      <c r="K167" s="17">
        <v>7.09</v>
      </c>
      <c r="L167" s="17">
        <v>7.09</v>
      </c>
      <c r="M167" s="17">
        <v>0.57</v>
      </c>
      <c r="N167" s="17">
        <v>0.47</v>
      </c>
      <c r="O167" s="17">
        <v>0.08</v>
      </c>
      <c r="P167" s="17">
        <v>0.06</v>
      </c>
      <c r="Q167" s="17">
        <v>0.05</v>
      </c>
      <c r="R167" s="17">
        <v>0.06</v>
      </c>
      <c r="S167" s="17">
        <v>0.03</v>
      </c>
      <c r="T167" s="17">
        <v>0.03</v>
      </c>
      <c r="U167" s="17">
        <v>0.03</v>
      </c>
      <c r="V167" s="17">
        <v>0.03</v>
      </c>
    </row>
    <row r="168" ht="15.0" customHeight="1">
      <c r="A168" s="14" t="s">
        <v>352</v>
      </c>
      <c r="B168" s="17">
        <v>53.0</v>
      </c>
      <c r="C168" s="17">
        <v>44.0</v>
      </c>
      <c r="D168" s="17">
        <v>40.0</v>
      </c>
      <c r="E168" s="17">
        <v>33.0</v>
      </c>
      <c r="F168" s="17">
        <v>26.0</v>
      </c>
      <c r="G168" s="15"/>
      <c r="H168" s="17">
        <v>25.0</v>
      </c>
      <c r="I168" s="17">
        <v>8.0</v>
      </c>
      <c r="J168" s="17">
        <v>8.0</v>
      </c>
      <c r="K168" s="17">
        <v>6.0</v>
      </c>
      <c r="L168" s="17">
        <v>27.0</v>
      </c>
      <c r="M168" s="17">
        <v>27.0</v>
      </c>
      <c r="N168" s="17">
        <v>54.0</v>
      </c>
      <c r="O168" s="17">
        <v>69.0</v>
      </c>
      <c r="P168" s="15"/>
      <c r="Q168" s="15"/>
      <c r="R168" s="17">
        <v>82.0</v>
      </c>
      <c r="S168" s="17">
        <v>74.0</v>
      </c>
      <c r="T168" s="15"/>
      <c r="U168" s="17">
        <v>18.0</v>
      </c>
      <c r="V168" s="17">
        <v>6.0</v>
      </c>
    </row>
    <row r="169" ht="15.0" customHeight="1">
      <c r="A169" s="14" t="s">
        <v>353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6">
        <v>107.0</v>
      </c>
      <c r="O169" s="17">
        <v>93.81</v>
      </c>
      <c r="P169" s="15"/>
      <c r="Q169" s="15"/>
      <c r="R169" s="17">
        <v>15.46</v>
      </c>
      <c r="S169" s="15"/>
      <c r="T169" s="15"/>
      <c r="U169" s="15">
        <v>0.0</v>
      </c>
      <c r="V169" s="15"/>
    </row>
    <row r="170" ht="15.0" customHeight="1">
      <c r="A170" s="14" t="s">
        <v>354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7">
        <v>96.0</v>
      </c>
      <c r="O170" s="16">
        <v>102.89</v>
      </c>
      <c r="P170" s="15"/>
      <c r="Q170" s="15"/>
      <c r="R170" s="17">
        <v>13.23</v>
      </c>
      <c r="S170" s="15"/>
      <c r="T170" s="15"/>
      <c r="U170" s="15">
        <v>0.0</v>
      </c>
      <c r="V170" s="15"/>
    </row>
    <row r="171" ht="15.0" customHeight="1">
      <c r="A171" s="14" t="s">
        <v>355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7">
        <v>86.0</v>
      </c>
      <c r="O171" s="17">
        <v>88.15</v>
      </c>
      <c r="P171" s="15"/>
      <c r="Q171" s="15"/>
      <c r="R171" s="17">
        <v>9.12</v>
      </c>
      <c r="S171" s="15"/>
      <c r="T171" s="15"/>
      <c r="U171" s="15">
        <v>0.0</v>
      </c>
      <c r="V171" s="15"/>
    </row>
    <row r="172" ht="15.0" customHeight="1">
      <c r="A172" s="14" t="s">
        <v>356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7">
        <v>83.0</v>
      </c>
      <c r="O172" s="17">
        <v>81.93</v>
      </c>
      <c r="P172" s="15"/>
      <c r="Q172" s="15"/>
      <c r="R172" s="17">
        <v>5.63</v>
      </c>
      <c r="S172" s="15"/>
      <c r="T172" s="15"/>
      <c r="U172" s="15">
        <v>0.0</v>
      </c>
      <c r="V172" s="15"/>
    </row>
    <row r="173" ht="15.0" customHeight="1">
      <c r="A173" s="14" t="s">
        <v>357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7">
        <v>0.01</v>
      </c>
      <c r="V173" s="15"/>
    </row>
    <row r="174" ht="15.0" customHeight="1">
      <c r="A174" s="14" t="s">
        <v>358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7">
        <v>23.0</v>
      </c>
      <c r="O174" s="16">
        <v>158.86</v>
      </c>
      <c r="P174" s="15"/>
      <c r="Q174" s="15"/>
      <c r="R174" s="17">
        <v>16.37</v>
      </c>
      <c r="S174" s="15"/>
      <c r="T174" s="15"/>
      <c r="U174" s="15"/>
      <c r="V174" s="15"/>
    </row>
    <row r="175" ht="15.0" customHeight="1">
      <c r="A175" s="14" t="s">
        <v>359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6">
        <v>394.0</v>
      </c>
      <c r="O175" s="16">
        <v>525.63</v>
      </c>
      <c r="P175" s="15"/>
      <c r="Q175" s="15"/>
      <c r="R175" s="17">
        <v>59.8</v>
      </c>
      <c r="S175" s="15"/>
      <c r="T175" s="15"/>
      <c r="U175" s="17">
        <v>0.02</v>
      </c>
      <c r="V175" s="15"/>
    </row>
    <row r="176" ht="15.0" customHeight="1">
      <c r="A176" s="14" t="s">
        <v>360</v>
      </c>
      <c r="B176" s="15"/>
      <c r="C176" s="16">
        <v>2500.0</v>
      </c>
      <c r="D176" s="16">
        <v>2600.0</v>
      </c>
      <c r="E176" s="16">
        <v>2500.0</v>
      </c>
      <c r="F176" s="16">
        <v>2500.0</v>
      </c>
      <c r="G176" s="15"/>
      <c r="H176" s="16">
        <v>1900.0</v>
      </c>
      <c r="I176" s="16">
        <v>2300.0</v>
      </c>
      <c r="J176" s="16">
        <v>2700.0</v>
      </c>
      <c r="K176" s="16">
        <v>3000.0</v>
      </c>
      <c r="L176" s="16">
        <v>3500.0</v>
      </c>
      <c r="M176" s="15"/>
      <c r="N176" s="16">
        <v>5860.0</v>
      </c>
      <c r="O176" s="16">
        <v>3300.0</v>
      </c>
      <c r="P176" s="15"/>
      <c r="Q176" s="15"/>
      <c r="R176" s="16">
        <v>2630.0</v>
      </c>
      <c r="S176" s="15"/>
      <c r="T176" s="15"/>
      <c r="U176" s="15"/>
      <c r="V176" s="15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46090.4472705903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362</v>
      </c>
      <c r="C15" s="10" t="s">
        <v>362</v>
      </c>
      <c r="D15" s="10" t="s">
        <v>362</v>
      </c>
      <c r="E15" s="10" t="s">
        <v>362</v>
      </c>
      <c r="F15" s="10" t="s">
        <v>362</v>
      </c>
      <c r="G15" s="10" t="s">
        <v>362</v>
      </c>
      <c r="H15" s="10" t="s">
        <v>362</v>
      </c>
      <c r="I15" s="10" t="s">
        <v>362</v>
      </c>
      <c r="J15" s="10" t="s">
        <v>362</v>
      </c>
      <c r="K15" s="10" t="s">
        <v>362</v>
      </c>
      <c r="L15" s="10" t="s">
        <v>362</v>
      </c>
      <c r="M15" s="10" t="s">
        <v>362</v>
      </c>
      <c r="N15" s="10" t="s">
        <v>362</v>
      </c>
      <c r="O15" s="10" t="s">
        <v>362</v>
      </c>
      <c r="P15" s="10" t="s">
        <v>362</v>
      </c>
      <c r="Q15" s="10" t="s">
        <v>362</v>
      </c>
      <c r="R15" s="10" t="s">
        <v>362</v>
      </c>
      <c r="S15" s="10" t="s">
        <v>362</v>
      </c>
      <c r="T15" s="10" t="s">
        <v>362</v>
      </c>
      <c r="U15" s="10" t="s">
        <v>362</v>
      </c>
      <c r="V15" s="10" t="s">
        <v>362</v>
      </c>
    </row>
    <row r="16" ht="15.0" customHeight="1" outlineLevel="1">
      <c r="A16" s="8" t="s">
        <v>45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363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143</v>
      </c>
      <c r="B20" s="16">
        <v>1011.32</v>
      </c>
      <c r="C20" s="24">
        <v>-760.66</v>
      </c>
      <c r="D20" s="16">
        <v>1158.54</v>
      </c>
      <c r="E20" s="24">
        <v>-293.03</v>
      </c>
      <c r="F20" s="24">
        <v>-455.52</v>
      </c>
      <c r="G20" s="16">
        <v>159.98</v>
      </c>
      <c r="H20" s="16">
        <v>1891.59</v>
      </c>
      <c r="I20" s="24">
        <v>-143.0</v>
      </c>
      <c r="J20" s="24">
        <v>-316.0</v>
      </c>
      <c r="K20" s="16">
        <v>281.0</v>
      </c>
      <c r="L20" s="16">
        <v>665.0</v>
      </c>
      <c r="M20" s="24">
        <v>-2912.0</v>
      </c>
      <c r="N20" s="24">
        <v>-1008.0</v>
      </c>
      <c r="O20" s="24">
        <v>-593.0</v>
      </c>
      <c r="P20" s="24">
        <v>-1441.73</v>
      </c>
      <c r="Q20" s="17">
        <v>4.53</v>
      </c>
      <c r="R20" s="24">
        <v>-935.87</v>
      </c>
      <c r="S20" s="16">
        <v>267.96</v>
      </c>
      <c r="T20" s="24">
        <v>-208.21</v>
      </c>
      <c r="U20" s="23">
        <v>-88.06</v>
      </c>
      <c r="V20" s="23">
        <v>-24.75</v>
      </c>
    </row>
    <row r="21" ht="15.0" customHeight="1">
      <c r="A21" s="14" t="s">
        <v>364</v>
      </c>
      <c r="B21" s="17">
        <v>62.24</v>
      </c>
      <c r="C21" s="16">
        <v>630.66</v>
      </c>
      <c r="D21" s="16">
        <v>1410.72</v>
      </c>
      <c r="E21" s="16">
        <v>2682.39</v>
      </c>
      <c r="F21" s="16">
        <v>498.49</v>
      </c>
      <c r="G21" s="24">
        <v>-329.38</v>
      </c>
      <c r="H21" s="24">
        <v>-3642.4</v>
      </c>
      <c r="I21" s="15">
        <v>0.0</v>
      </c>
      <c r="J21" s="23">
        <v>-6.0</v>
      </c>
      <c r="K21" s="23">
        <v>-76.0</v>
      </c>
      <c r="L21" s="16">
        <v>315.0</v>
      </c>
      <c r="M21" s="24">
        <v>-1609.0</v>
      </c>
      <c r="N21" s="24">
        <v>-947.0</v>
      </c>
      <c r="O21" s="24">
        <v>-1401.0</v>
      </c>
      <c r="P21" s="24">
        <v>-939.42</v>
      </c>
      <c r="Q21" s="24">
        <v>-428.34</v>
      </c>
      <c r="R21" s="15"/>
      <c r="S21" s="15"/>
      <c r="T21" s="15"/>
      <c r="U21" s="15"/>
      <c r="V21" s="15"/>
    </row>
    <row r="22" ht="15.0" customHeight="1">
      <c r="A22" s="14" t="s">
        <v>365</v>
      </c>
      <c r="B22" s="15"/>
      <c r="C22" s="15"/>
      <c r="D22" s="15"/>
      <c r="E22" s="15"/>
      <c r="F22" s="15"/>
      <c r="G22" s="15"/>
      <c r="H22" s="15"/>
      <c r="I22" s="15">
        <v>0.0</v>
      </c>
      <c r="J22" s="16">
        <v>401.0</v>
      </c>
      <c r="K22" s="16">
        <v>119.0</v>
      </c>
      <c r="L22" s="15"/>
      <c r="M22" s="16">
        <v>378.0</v>
      </c>
      <c r="N22" s="16">
        <v>1351.0</v>
      </c>
      <c r="O22" s="16">
        <v>516.0</v>
      </c>
      <c r="P22" s="16">
        <v>708.3</v>
      </c>
      <c r="Q22" s="15"/>
      <c r="R22" s="15"/>
      <c r="S22" s="15"/>
      <c r="T22" s="15"/>
      <c r="U22" s="15"/>
      <c r="V22" s="15"/>
    </row>
    <row r="23" ht="15.0" customHeight="1">
      <c r="A23" s="14" t="s">
        <v>90</v>
      </c>
      <c r="B23" s="15"/>
      <c r="C23" s="15"/>
      <c r="D23" s="15"/>
      <c r="E23" s="15"/>
      <c r="F23" s="15"/>
      <c r="G23" s="15"/>
      <c r="H23" s="15"/>
      <c r="I23" s="15"/>
      <c r="J23" s="15">
        <v>0.0</v>
      </c>
      <c r="K23" s="17">
        <v>1.0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366</v>
      </c>
      <c r="B24" s="15"/>
      <c r="C24" s="16">
        <v>1454.71</v>
      </c>
      <c r="D24" s="16">
        <v>1082.57</v>
      </c>
      <c r="E24" s="16">
        <v>1282.59</v>
      </c>
      <c r="F24" s="16">
        <v>962.6</v>
      </c>
      <c r="G24" s="16">
        <v>1816.29</v>
      </c>
      <c r="H24" s="16">
        <v>985.38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367</v>
      </c>
      <c r="B25" s="16">
        <v>2585.87</v>
      </c>
      <c r="C25" s="15"/>
      <c r="D25" s="15"/>
      <c r="E25" s="15"/>
      <c r="F25" s="15"/>
      <c r="G25" s="15"/>
      <c r="H25" s="15"/>
      <c r="I25" s="15"/>
      <c r="J25" s="15"/>
      <c r="K25" s="15"/>
      <c r="L25" s="17">
        <v>72.0</v>
      </c>
      <c r="M25" s="16">
        <v>407.0</v>
      </c>
      <c r="N25" s="16">
        <v>319.0</v>
      </c>
      <c r="O25" s="16">
        <v>269.0</v>
      </c>
      <c r="P25" s="16">
        <v>917.38</v>
      </c>
      <c r="Q25" s="16">
        <v>637.81</v>
      </c>
      <c r="R25" s="16">
        <v>639.73</v>
      </c>
      <c r="S25" s="16">
        <v>716.8</v>
      </c>
      <c r="T25" s="16">
        <v>269.12</v>
      </c>
      <c r="U25" s="17">
        <v>0.69</v>
      </c>
      <c r="V25" s="17">
        <v>0.06</v>
      </c>
    </row>
    <row r="26" ht="15.0" customHeight="1">
      <c r="A26" s="14" t="s">
        <v>189</v>
      </c>
      <c r="B26" s="15"/>
      <c r="C26" s="15"/>
      <c r="D26" s="15"/>
      <c r="E26" s="15"/>
      <c r="F26" s="15"/>
      <c r="G26" s="15">
        <v>0.0</v>
      </c>
      <c r="H26" s="16">
        <v>2340.29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368</v>
      </c>
      <c r="B27" s="15"/>
      <c r="C27" s="15"/>
      <c r="D27" s="15"/>
      <c r="E27" s="15"/>
      <c r="F27" s="15"/>
      <c r="G27" s="15"/>
      <c r="H27" s="15"/>
      <c r="I27" s="23">
        <v>-1.0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369</v>
      </c>
      <c r="B28" s="15"/>
      <c r="C28" s="15"/>
      <c r="D28" s="15"/>
      <c r="E28" s="15"/>
      <c r="F28" s="15"/>
      <c r="G28" s="15"/>
      <c r="H28" s="15"/>
      <c r="I28" s="15"/>
      <c r="J28" s="15"/>
      <c r="K28" s="24">
        <v>-245.0</v>
      </c>
      <c r="L28" s="16">
        <v>431.0</v>
      </c>
      <c r="M28" s="16">
        <v>2885.0</v>
      </c>
      <c r="N28" s="16">
        <v>1211.0</v>
      </c>
      <c r="O28" s="16">
        <v>421.0</v>
      </c>
      <c r="P28" s="15"/>
      <c r="Q28" s="16">
        <v>359.93</v>
      </c>
      <c r="R28" s="15"/>
      <c r="S28" s="15"/>
      <c r="T28" s="15"/>
      <c r="U28" s="15"/>
      <c r="V28" s="15"/>
    </row>
    <row r="29" ht="15.0" customHeight="1">
      <c r="A29" s="14" t="s">
        <v>370</v>
      </c>
      <c r="B29" s="15"/>
      <c r="C29" s="15"/>
      <c r="D29" s="15"/>
      <c r="E29" s="15"/>
      <c r="F29" s="15"/>
      <c r="G29" s="15"/>
      <c r="H29" s="15"/>
      <c r="I29" s="15"/>
      <c r="J29" s="15"/>
      <c r="K29" s="17">
        <v>6.0</v>
      </c>
      <c r="L29" s="16">
        <v>505.0</v>
      </c>
      <c r="M29" s="16">
        <v>758.0</v>
      </c>
      <c r="N29" s="16">
        <v>556.0</v>
      </c>
      <c r="O29" s="16">
        <v>995.0</v>
      </c>
      <c r="P29" s="16">
        <v>784.17</v>
      </c>
      <c r="Q29" s="15"/>
      <c r="R29" s="15"/>
      <c r="S29" s="15"/>
      <c r="T29" s="15"/>
      <c r="U29" s="15"/>
      <c r="V29" s="15"/>
    </row>
    <row r="30" ht="15.0" customHeight="1">
      <c r="A30" s="14" t="s">
        <v>371</v>
      </c>
      <c r="B30" s="17">
        <v>10.37</v>
      </c>
      <c r="C30" s="17">
        <v>17.19</v>
      </c>
      <c r="D30" s="17">
        <v>54.87</v>
      </c>
      <c r="E30" s="17">
        <v>13.45</v>
      </c>
      <c r="F30" s="15">
        <v>0.0</v>
      </c>
      <c r="G30" s="17">
        <v>18.82</v>
      </c>
      <c r="H30" s="17">
        <v>70.38</v>
      </c>
      <c r="I30" s="17">
        <v>5.0</v>
      </c>
      <c r="J30" s="17">
        <v>13.0</v>
      </c>
      <c r="K30" s="17">
        <v>7.0</v>
      </c>
      <c r="L30" s="17">
        <v>11.0</v>
      </c>
      <c r="M30" s="17">
        <v>7.0</v>
      </c>
      <c r="N30" s="17">
        <v>13.0</v>
      </c>
      <c r="O30" s="17">
        <v>14.0</v>
      </c>
      <c r="P30" s="17">
        <v>10.36</v>
      </c>
      <c r="Q30" s="15"/>
      <c r="R30" s="15"/>
      <c r="S30" s="15"/>
      <c r="T30" s="15"/>
      <c r="U30" s="15"/>
      <c r="V30" s="15"/>
    </row>
    <row r="31" ht="15.0" customHeight="1">
      <c r="A31" s="14" t="s">
        <v>372</v>
      </c>
      <c r="B31" s="15"/>
      <c r="C31" s="15"/>
      <c r="D31" s="15">
        <v>0.0</v>
      </c>
      <c r="E31" s="23">
        <v>-1.92</v>
      </c>
      <c r="F31" s="15"/>
      <c r="G31" s="15"/>
      <c r="H31" s="15"/>
      <c r="I31" s="15"/>
      <c r="J31" s="15"/>
      <c r="K31" s="23">
        <v>-66.0</v>
      </c>
      <c r="L31" s="16">
        <v>106.0</v>
      </c>
      <c r="M31" s="15"/>
      <c r="N31" s="15">
        <v>0.0</v>
      </c>
      <c r="O31" s="23">
        <v>-54.0</v>
      </c>
      <c r="P31" s="16">
        <v>844.9</v>
      </c>
      <c r="Q31" s="15">
        <v>0.0</v>
      </c>
      <c r="R31" s="15"/>
      <c r="S31" s="15"/>
      <c r="T31" s="15"/>
      <c r="U31" s="15"/>
      <c r="V31" s="15"/>
    </row>
    <row r="32" ht="15.0" customHeight="1">
      <c r="A32" s="14" t="s">
        <v>373</v>
      </c>
      <c r="B32" s="15"/>
      <c r="C32" s="15"/>
      <c r="D32" s="15"/>
      <c r="E32" s="15"/>
      <c r="F32" s="15"/>
      <c r="G32" s="15"/>
      <c r="H32" s="15"/>
      <c r="I32" s="15">
        <v>0.0</v>
      </c>
      <c r="J32" s="17">
        <v>22.0</v>
      </c>
      <c r="K32" s="17">
        <v>34.0</v>
      </c>
      <c r="L32" s="16">
        <v>379.0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374</v>
      </c>
      <c r="B33" s="15"/>
      <c r="C33" s="15"/>
      <c r="D33" s="15"/>
      <c r="E33" s="15"/>
      <c r="F33" s="15"/>
      <c r="G33" s="15"/>
      <c r="H33" s="15"/>
      <c r="I33" s="23">
        <v>-3.0</v>
      </c>
      <c r="J33" s="23">
        <v>-17.0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375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>
        <v>0.0</v>
      </c>
      <c r="N34" s="23">
        <v>-7.0</v>
      </c>
      <c r="O34" s="15">
        <v>0.0</v>
      </c>
      <c r="P34" s="15"/>
      <c r="Q34" s="15"/>
      <c r="R34" s="15"/>
      <c r="S34" s="15"/>
      <c r="T34" s="15"/>
      <c r="U34" s="17">
        <v>0.25</v>
      </c>
      <c r="V34" s="15">
        <v>0.0</v>
      </c>
    </row>
    <row r="35" ht="15.0" customHeight="1">
      <c r="A35" s="14" t="s">
        <v>376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>
        <v>0.0</v>
      </c>
      <c r="N35" s="17">
        <v>4.0</v>
      </c>
      <c r="O35" s="15">
        <v>0.0</v>
      </c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377</v>
      </c>
      <c r="B36" s="15"/>
      <c r="C36" s="15"/>
      <c r="D36" s="15"/>
      <c r="E36" s="15"/>
      <c r="F36" s="15"/>
      <c r="G36" s="15"/>
      <c r="H36" s="15"/>
      <c r="I36" s="15"/>
      <c r="J36" s="15"/>
      <c r="K36" s="23">
        <v>-1.0</v>
      </c>
      <c r="L36" s="17">
        <v>26.0</v>
      </c>
      <c r="M36" s="23">
        <v>-28.0</v>
      </c>
      <c r="N36" s="17">
        <v>5.0</v>
      </c>
      <c r="O36" s="17">
        <v>20.0</v>
      </c>
      <c r="P36" s="23">
        <v>-9.15</v>
      </c>
      <c r="Q36" s="17">
        <v>34.44</v>
      </c>
      <c r="R36" s="16">
        <v>488.44</v>
      </c>
      <c r="S36" s="24">
        <v>-495.93</v>
      </c>
      <c r="T36" s="23">
        <v>-47.0</v>
      </c>
      <c r="U36" s="15">
        <v>0.0</v>
      </c>
      <c r="V36" s="15">
        <v>0.0</v>
      </c>
    </row>
    <row r="37" ht="15.0" customHeight="1">
      <c r="A37" s="14" t="s">
        <v>378</v>
      </c>
      <c r="B37" s="15"/>
      <c r="C37" s="15"/>
      <c r="D37" s="15"/>
      <c r="E37" s="15"/>
      <c r="F37" s="15"/>
      <c r="G37" s="15"/>
      <c r="H37" s="15"/>
      <c r="I37" s="15"/>
      <c r="J37" s="15"/>
      <c r="K37" s="17">
        <v>3.0</v>
      </c>
      <c r="L37" s="17">
        <v>12.0</v>
      </c>
      <c r="M37" s="17">
        <v>23.0</v>
      </c>
      <c r="N37" s="17">
        <v>28.0</v>
      </c>
      <c r="O37" s="17">
        <v>24.0</v>
      </c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379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4">
        <v>-2176.0</v>
      </c>
      <c r="M38" s="15">
        <v>0.0</v>
      </c>
      <c r="N38" s="24">
        <v>-569.0</v>
      </c>
      <c r="O38" s="15">
        <v>0.0</v>
      </c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380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7">
        <v>16.0</v>
      </c>
      <c r="M39" s="17">
        <v>92.0</v>
      </c>
      <c r="N39" s="16">
        <v>431.0</v>
      </c>
      <c r="O39" s="16">
        <v>384.0</v>
      </c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381</v>
      </c>
      <c r="B40" s="15"/>
      <c r="C40" s="15"/>
      <c r="D40" s="15"/>
      <c r="E40" s="15"/>
      <c r="F40" s="15"/>
      <c r="G40" s="15"/>
      <c r="H40" s="15"/>
      <c r="I40" s="23">
        <v>-31.0</v>
      </c>
      <c r="J40" s="17">
        <v>20.0</v>
      </c>
      <c r="K40" s="17">
        <v>9.0</v>
      </c>
      <c r="L40" s="23">
        <v>-88.0</v>
      </c>
      <c r="M40" s="23">
        <v>-91.0</v>
      </c>
      <c r="N40" s="17">
        <v>13.0</v>
      </c>
      <c r="O40" s="17">
        <v>7.0</v>
      </c>
      <c r="P40" s="16">
        <v>133.76</v>
      </c>
      <c r="Q40" s="17">
        <v>38.61</v>
      </c>
      <c r="R40" s="24">
        <v>-519.93</v>
      </c>
      <c r="S40" s="16">
        <v>570.56</v>
      </c>
      <c r="T40" s="23">
        <v>-22.23</v>
      </c>
      <c r="U40" s="15">
        <v>0.0</v>
      </c>
      <c r="V40" s="15">
        <v>0.0</v>
      </c>
    </row>
    <row r="41" ht="15.0" customHeight="1">
      <c r="A41" s="14" t="s">
        <v>382</v>
      </c>
      <c r="B41" s="15"/>
      <c r="C41" s="15"/>
      <c r="D41" s="15"/>
      <c r="E41" s="15"/>
      <c r="F41" s="15"/>
      <c r="G41" s="15"/>
      <c r="H41" s="15"/>
      <c r="I41" s="15">
        <v>0.0</v>
      </c>
      <c r="J41" s="23">
        <v>-9.0</v>
      </c>
      <c r="K41" s="15">
        <v>0.0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383</v>
      </c>
      <c r="B42" s="15"/>
      <c r="C42" s="15"/>
      <c r="D42" s="15"/>
      <c r="E42" s="15"/>
      <c r="F42" s="15"/>
      <c r="G42" s="15"/>
      <c r="H42" s="15"/>
      <c r="I42" s="15">
        <v>0.0</v>
      </c>
      <c r="J42" s="16">
        <v>343.0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384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>
        <v>0.0</v>
      </c>
      <c r="N43" s="17">
        <v>3.0</v>
      </c>
      <c r="O43" s="15">
        <v>0.0</v>
      </c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385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  <c r="M44" s="16">
        <v>633.0</v>
      </c>
      <c r="N44" s="17">
        <v>82.0</v>
      </c>
      <c r="O44" s="17">
        <v>48.0</v>
      </c>
      <c r="P44" s="15"/>
      <c r="Q44" s="15"/>
      <c r="R44" s="17">
        <v>95.51</v>
      </c>
      <c r="S44" s="17">
        <v>61.08</v>
      </c>
      <c r="T44" s="17">
        <v>27.93</v>
      </c>
      <c r="U44" s="15"/>
      <c r="V44" s="15"/>
    </row>
    <row r="45" ht="15.0" customHeight="1">
      <c r="A45" s="14" t="s">
        <v>386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7">
        <v>38.0</v>
      </c>
      <c r="M45" s="17">
        <v>34.0</v>
      </c>
      <c r="N45" s="17">
        <v>25.0</v>
      </c>
      <c r="O45" s="17">
        <v>27.0</v>
      </c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128</v>
      </c>
      <c r="B46" s="16">
        <v>1835.94</v>
      </c>
      <c r="C46" s="16">
        <v>2477.52</v>
      </c>
      <c r="D46" s="16">
        <v>793.46</v>
      </c>
      <c r="E46" s="16">
        <v>2200.1</v>
      </c>
      <c r="F46" s="16">
        <v>1186.07</v>
      </c>
      <c r="G46" s="16">
        <v>705.81</v>
      </c>
      <c r="H46" s="24">
        <v>-457.5</v>
      </c>
      <c r="I46" s="15"/>
      <c r="J46" s="15"/>
      <c r="K46" s="15"/>
      <c r="L46" s="15"/>
      <c r="M46" s="15"/>
      <c r="N46" s="15"/>
      <c r="O46" s="15"/>
      <c r="P46" s="16">
        <v>467.03</v>
      </c>
      <c r="Q46" s="16">
        <v>485.03</v>
      </c>
      <c r="R46" s="15"/>
      <c r="S46" s="15"/>
      <c r="T46" s="15"/>
      <c r="U46" s="15"/>
      <c r="V46" s="15"/>
    </row>
    <row r="47" ht="15.0" customHeight="1">
      <c r="A47" s="14" t="s">
        <v>387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7">
        <v>5.83</v>
      </c>
      <c r="Q47" s="17">
        <v>0.16</v>
      </c>
      <c r="R47" s="17">
        <v>3.55</v>
      </c>
      <c r="S47" s="17">
        <v>58.96</v>
      </c>
      <c r="T47" s="17">
        <v>0.41</v>
      </c>
      <c r="U47" s="15"/>
      <c r="V47" s="15"/>
    </row>
    <row r="48" ht="15.0" customHeight="1">
      <c r="A48" s="14" t="s">
        <v>388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23">
        <v>-28.0</v>
      </c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389</v>
      </c>
      <c r="B49" s="15"/>
      <c r="C49" s="15"/>
      <c r="D49" s="15"/>
      <c r="E49" s="15"/>
      <c r="F49" s="15"/>
      <c r="G49" s="15"/>
      <c r="H49" s="15"/>
      <c r="I49" s="17">
        <v>8.0</v>
      </c>
      <c r="J49" s="17">
        <v>36.0</v>
      </c>
      <c r="K49" s="17">
        <v>16.0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145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24">
        <v>-199.08</v>
      </c>
      <c r="R50" s="15"/>
      <c r="S50" s="15"/>
      <c r="T50" s="15"/>
      <c r="U50" s="15"/>
      <c r="V50" s="15"/>
    </row>
    <row r="51" ht="15.0" customHeight="1">
      <c r="A51" s="14" t="s">
        <v>390</v>
      </c>
      <c r="B51" s="17">
        <v>86.09</v>
      </c>
      <c r="C51" s="17">
        <v>76.28</v>
      </c>
      <c r="D51" s="16">
        <v>101.29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391</v>
      </c>
      <c r="B52" s="23">
        <v>-31.12</v>
      </c>
      <c r="C52" s="23">
        <v>-19.34</v>
      </c>
      <c r="D52" s="23">
        <v>-88.63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392</v>
      </c>
      <c r="B53" s="24">
        <v>-544.56</v>
      </c>
      <c r="C53" s="16">
        <v>341.65</v>
      </c>
      <c r="D53" s="16">
        <v>359.8</v>
      </c>
      <c r="E53" s="23">
        <v>-74.94</v>
      </c>
      <c r="F53" s="24">
        <v>-249.25</v>
      </c>
      <c r="G53" s="17">
        <v>28.23</v>
      </c>
      <c r="H53" s="16">
        <v>175.96</v>
      </c>
      <c r="I53" s="17">
        <v>93.0</v>
      </c>
      <c r="J53" s="17">
        <v>1.0</v>
      </c>
      <c r="K53" s="15">
        <v>0.0</v>
      </c>
      <c r="L53" s="17">
        <v>84.0</v>
      </c>
      <c r="M53" s="17">
        <v>20.0</v>
      </c>
      <c r="N53" s="17">
        <v>33.0</v>
      </c>
      <c r="O53" s="17">
        <v>39.0</v>
      </c>
      <c r="P53" s="17">
        <v>30.49</v>
      </c>
      <c r="Q53" s="23">
        <v>-74.84</v>
      </c>
      <c r="R53" s="17">
        <v>85.87</v>
      </c>
      <c r="S53" s="24">
        <v>-129.64</v>
      </c>
      <c r="T53" s="17">
        <v>34.98</v>
      </c>
      <c r="U53" s="23">
        <v>-2.93</v>
      </c>
      <c r="V53" s="23">
        <v>-1.91</v>
      </c>
    </row>
    <row r="54" ht="15.0" customHeight="1">
      <c r="A54" s="14" t="s">
        <v>393</v>
      </c>
      <c r="B54" s="24">
        <v>-144.18</v>
      </c>
      <c r="C54" s="24">
        <v>-369.59</v>
      </c>
      <c r="D54" s="16">
        <v>121.34</v>
      </c>
      <c r="E54" s="24">
        <v>-149.88</v>
      </c>
      <c r="F54" s="24">
        <v>-1220.44</v>
      </c>
      <c r="G54" s="16">
        <v>743.46</v>
      </c>
      <c r="H54" s="16">
        <v>598.27</v>
      </c>
      <c r="I54" s="17">
        <v>41.0</v>
      </c>
      <c r="J54" s="23">
        <v>-37.0</v>
      </c>
      <c r="K54" s="23">
        <v>-1.0</v>
      </c>
      <c r="L54" s="23">
        <v>-14.0</v>
      </c>
      <c r="M54" s="17">
        <v>3.0</v>
      </c>
      <c r="N54" s="17">
        <v>20.0</v>
      </c>
      <c r="O54" s="17">
        <v>3.0</v>
      </c>
      <c r="P54" s="23">
        <v>-60.43</v>
      </c>
      <c r="Q54" s="17">
        <v>50.12</v>
      </c>
      <c r="R54" s="24">
        <v>-102.11</v>
      </c>
      <c r="S54" s="17">
        <v>69.08</v>
      </c>
      <c r="T54" s="17">
        <v>63.13</v>
      </c>
      <c r="U54" s="23">
        <v>-4.57</v>
      </c>
      <c r="V54" s="17">
        <v>10.42</v>
      </c>
    </row>
    <row r="55" ht="15.0" customHeight="1">
      <c r="A55" s="14" t="s">
        <v>394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7">
        <v>67.0</v>
      </c>
      <c r="S55" s="17">
        <v>43.78</v>
      </c>
      <c r="T55" s="17">
        <v>9.9</v>
      </c>
      <c r="U55" s="15"/>
      <c r="V55" s="15"/>
    </row>
    <row r="56" ht="15.0" customHeight="1">
      <c r="A56" s="14" t="s">
        <v>395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7">
        <v>55.59</v>
      </c>
      <c r="S56" s="15">
        <v>0.0</v>
      </c>
      <c r="T56" s="17">
        <v>23.49</v>
      </c>
      <c r="U56" s="15">
        <v>0.0</v>
      </c>
      <c r="V56" s="15">
        <v>0.0</v>
      </c>
    </row>
    <row r="57" ht="15.0" customHeight="1">
      <c r="A57" s="14" t="s">
        <v>396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23">
        <v>-16.0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397</v>
      </c>
      <c r="B58" s="24">
        <v>-125.51</v>
      </c>
      <c r="C58" s="23">
        <v>-11.82</v>
      </c>
      <c r="D58" s="17">
        <v>12.66</v>
      </c>
      <c r="E58" s="23">
        <v>-43.23</v>
      </c>
      <c r="F58" s="24">
        <v>-103.14</v>
      </c>
      <c r="G58" s="17">
        <v>47.05</v>
      </c>
      <c r="H58" s="16">
        <v>140.77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212</v>
      </c>
      <c r="B59" s="24">
        <v>-100.61</v>
      </c>
      <c r="C59" s="16">
        <v>165.45</v>
      </c>
      <c r="D59" s="23">
        <v>-6.33</v>
      </c>
      <c r="E59" s="23">
        <v>-40.35</v>
      </c>
      <c r="F59" s="17">
        <v>25.78</v>
      </c>
      <c r="G59" s="17">
        <v>75.29</v>
      </c>
      <c r="H59" s="16">
        <v>149.57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398</v>
      </c>
      <c r="B60" s="24">
        <v>-128.62</v>
      </c>
      <c r="C60" s="17">
        <v>95.62</v>
      </c>
      <c r="D60" s="17">
        <v>66.47</v>
      </c>
      <c r="E60" s="23">
        <v>-73.98</v>
      </c>
      <c r="F60" s="24">
        <v>-120.33</v>
      </c>
      <c r="G60" s="15">
        <v>0.0</v>
      </c>
      <c r="H60" s="23">
        <v>-61.59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399</v>
      </c>
      <c r="B61" s="17">
        <v>18.67</v>
      </c>
      <c r="C61" s="17">
        <v>20.41</v>
      </c>
      <c r="D61" s="23">
        <v>-6.33</v>
      </c>
      <c r="E61" s="15">
        <v>0.0</v>
      </c>
      <c r="F61" s="15"/>
      <c r="G61" s="15"/>
      <c r="H61" s="15"/>
      <c r="I61" s="17">
        <v>13.0</v>
      </c>
      <c r="J61" s="23">
        <v>-12.0</v>
      </c>
      <c r="K61" s="17">
        <v>71.0</v>
      </c>
      <c r="L61" s="17">
        <v>20.0</v>
      </c>
      <c r="M61" s="16">
        <v>156.0</v>
      </c>
      <c r="N61" s="23">
        <v>-24.0</v>
      </c>
      <c r="O61" s="16">
        <v>352.0</v>
      </c>
      <c r="P61" s="23">
        <v>-40.51</v>
      </c>
      <c r="Q61" s="17">
        <v>10.34</v>
      </c>
      <c r="R61" s="16">
        <v>262.25</v>
      </c>
      <c r="S61" s="16">
        <v>214.73</v>
      </c>
      <c r="T61" s="16">
        <v>407.67</v>
      </c>
      <c r="U61" s="23">
        <v>-3.33</v>
      </c>
      <c r="V61" s="17">
        <v>5.28</v>
      </c>
    </row>
    <row r="62" ht="15.0" customHeight="1">
      <c r="A62" s="14" t="s">
        <v>400</v>
      </c>
      <c r="B62" s="15"/>
      <c r="C62" s="15"/>
      <c r="D62" s="17">
        <v>1.06</v>
      </c>
      <c r="E62" s="15"/>
      <c r="F62" s="23">
        <v>-8.59</v>
      </c>
      <c r="G62" s="17">
        <v>9.41</v>
      </c>
      <c r="H62" s="15"/>
      <c r="I62" s="23">
        <v>-1.0</v>
      </c>
      <c r="J62" s="23">
        <v>-1.0</v>
      </c>
      <c r="K62" s="15"/>
      <c r="L62" s="15"/>
      <c r="M62" s="17">
        <v>2.0</v>
      </c>
      <c r="N62" s="17">
        <v>1.0</v>
      </c>
      <c r="O62" s="15"/>
      <c r="P62" s="15">
        <v>0.0</v>
      </c>
      <c r="Q62" s="15"/>
      <c r="R62" s="15"/>
      <c r="S62" s="15"/>
      <c r="T62" s="15"/>
      <c r="U62" s="15"/>
      <c r="V62" s="15"/>
    </row>
    <row r="63" ht="15.0" customHeight="1">
      <c r="A63" s="14" t="s">
        <v>401</v>
      </c>
      <c r="B63" s="24">
        <v>-215.75</v>
      </c>
      <c r="C63" s="24">
        <v>-803.64</v>
      </c>
      <c r="D63" s="24">
        <v>-2424.7</v>
      </c>
      <c r="E63" s="24">
        <v>-111.45</v>
      </c>
      <c r="F63" s="23">
        <v>-85.95</v>
      </c>
      <c r="G63" s="15"/>
      <c r="H63" s="15"/>
      <c r="I63" s="15"/>
      <c r="J63" s="15"/>
      <c r="K63" s="15"/>
      <c r="L63" s="15"/>
      <c r="M63" s="15">
        <v>0.0</v>
      </c>
      <c r="N63" s="23">
        <v>-64.0</v>
      </c>
      <c r="O63" s="24">
        <v>-166.0</v>
      </c>
      <c r="P63" s="24">
        <v>-116.7</v>
      </c>
      <c r="Q63" s="16">
        <v>150.75</v>
      </c>
      <c r="R63" s="24">
        <v>-121.61</v>
      </c>
      <c r="S63" s="17">
        <v>0.68</v>
      </c>
      <c r="T63" s="24">
        <v>-196.85</v>
      </c>
      <c r="U63" s="17">
        <v>17.57</v>
      </c>
      <c r="V63" s="15">
        <v>0.0</v>
      </c>
    </row>
    <row r="64" ht="15.0" customHeight="1">
      <c r="A64" s="18" t="s">
        <v>402</v>
      </c>
      <c r="B64" s="20">
        <v>4320.16</v>
      </c>
      <c r="C64" s="20">
        <v>3314.46</v>
      </c>
      <c r="D64" s="20">
        <v>2636.78</v>
      </c>
      <c r="E64" s="20">
        <v>5389.77</v>
      </c>
      <c r="F64" s="20">
        <v>429.73</v>
      </c>
      <c r="G64" s="20">
        <v>3274.97</v>
      </c>
      <c r="H64" s="20">
        <v>2190.72</v>
      </c>
      <c r="I64" s="26">
        <v>-19.0</v>
      </c>
      <c r="J64" s="20">
        <v>438.0</v>
      </c>
      <c r="K64" s="20">
        <v>158.0</v>
      </c>
      <c r="L64" s="20">
        <v>386.0</v>
      </c>
      <c r="M64" s="20">
        <v>730.0</v>
      </c>
      <c r="N64" s="20">
        <v>1476.0</v>
      </c>
      <c r="O64" s="20">
        <v>905.0</v>
      </c>
      <c r="P64" s="20">
        <v>1294.27</v>
      </c>
      <c r="Q64" s="20">
        <v>1069.46</v>
      </c>
      <c r="R64" s="21">
        <v>18.41</v>
      </c>
      <c r="S64" s="20">
        <v>1378.05</v>
      </c>
      <c r="T64" s="20">
        <v>362.34</v>
      </c>
      <c r="U64" s="26">
        <v>-80.37</v>
      </c>
      <c r="V64" s="26">
        <v>-10.9</v>
      </c>
    </row>
    <row r="65" ht="15.0" customHeight="1">
      <c r="A65" s="14" t="s">
        <v>403</v>
      </c>
      <c r="B65" s="15"/>
      <c r="C65" s="15"/>
      <c r="D65" s="15"/>
      <c r="E65" s="15"/>
      <c r="F65" s="15"/>
      <c r="G65" s="15">
        <v>0.0</v>
      </c>
      <c r="H65" s="24">
        <v>-9422.74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404</v>
      </c>
      <c r="B66" s="15"/>
      <c r="C66" s="15"/>
      <c r="D66" s="23">
        <v>-29.54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405</v>
      </c>
      <c r="B67" s="15"/>
      <c r="C67" s="17">
        <v>16.12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4" t="s">
        <v>406</v>
      </c>
      <c r="B68" s="15"/>
      <c r="C68" s="15"/>
      <c r="D68" s="15"/>
      <c r="E68" s="15"/>
      <c r="F68" s="15">
        <v>0.0</v>
      </c>
      <c r="G68" s="23">
        <v>-18.82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407</v>
      </c>
      <c r="B69" s="15"/>
      <c r="C69" s="15"/>
      <c r="D69" s="15">
        <v>0.0</v>
      </c>
      <c r="E69" s="17">
        <v>2.88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>
        <v>1555.28</v>
      </c>
      <c r="Q69" s="15"/>
      <c r="R69" s="15"/>
      <c r="S69" s="15"/>
      <c r="T69" s="15"/>
      <c r="U69" s="15"/>
      <c r="V69" s="15"/>
    </row>
    <row r="70" ht="15.0" customHeight="1">
      <c r="A70" s="14" t="s">
        <v>408</v>
      </c>
      <c r="B70" s="15"/>
      <c r="C70" s="15"/>
      <c r="D70" s="24">
        <v>-263.78</v>
      </c>
      <c r="E70" s="15">
        <v>0.0</v>
      </c>
      <c r="F70" s="16">
        <v>128.92</v>
      </c>
      <c r="G70" s="16">
        <v>959.91</v>
      </c>
      <c r="H70" s="16">
        <v>439.9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409</v>
      </c>
      <c r="B71" s="15"/>
      <c r="C71" s="15"/>
      <c r="D71" s="15"/>
      <c r="E71" s="15"/>
      <c r="F71" s="15"/>
      <c r="G71" s="15">
        <v>0.0</v>
      </c>
      <c r="H71" s="24">
        <v>-580.67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410</v>
      </c>
      <c r="B72" s="15"/>
      <c r="C72" s="15"/>
      <c r="D72" s="15"/>
      <c r="E72" s="15"/>
      <c r="F72" s="17">
        <v>17.19</v>
      </c>
      <c r="G72" s="24">
        <v>-677.58</v>
      </c>
      <c r="H72" s="24">
        <v>-448.7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ht="15.0" customHeight="1">
      <c r="A73" s="14" t="s">
        <v>411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265.55</v>
      </c>
      <c r="R73" s="15"/>
      <c r="S73" s="15"/>
      <c r="T73" s="15"/>
      <c r="U73" s="15"/>
      <c r="V73" s="15"/>
    </row>
    <row r="74" ht="15.0" customHeight="1">
      <c r="A74" s="14" t="s">
        <v>412</v>
      </c>
      <c r="B74" s="23">
        <v>-46.68</v>
      </c>
      <c r="C74" s="24">
        <v>-166.53</v>
      </c>
      <c r="D74" s="23">
        <v>-91.8</v>
      </c>
      <c r="E74" s="24">
        <v>-138.35</v>
      </c>
      <c r="F74" s="24">
        <v>-180.49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413</v>
      </c>
      <c r="B75" s="24">
        <v>-440.83</v>
      </c>
      <c r="C75" s="24">
        <v>-2538.76</v>
      </c>
      <c r="D75" s="24">
        <v>-3281.47</v>
      </c>
      <c r="E75" s="24">
        <v>-2321.15</v>
      </c>
      <c r="F75" s="24">
        <v>-1959.59</v>
      </c>
      <c r="G75" s="24">
        <v>-2220.96</v>
      </c>
      <c r="H75" s="24">
        <v>-756.63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414</v>
      </c>
      <c r="B76" s="15"/>
      <c r="C76" s="15">
        <v>0.0</v>
      </c>
      <c r="D76" s="23">
        <v>-1.06</v>
      </c>
      <c r="E76" s="23">
        <v>-23.06</v>
      </c>
      <c r="F76" s="15">
        <v>0.0</v>
      </c>
      <c r="G76" s="23">
        <v>-18.82</v>
      </c>
      <c r="H76" s="15">
        <v>0.0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415</v>
      </c>
      <c r="B77" s="16">
        <v>1643.01</v>
      </c>
      <c r="C77" s="15"/>
      <c r="D77" s="15"/>
      <c r="E77" s="15">
        <v>0.0</v>
      </c>
      <c r="F77" s="24">
        <v>-128.92</v>
      </c>
      <c r="G77" s="24">
        <v>-705.81</v>
      </c>
      <c r="H77" s="24">
        <v>-439.9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416</v>
      </c>
      <c r="B78" s="23">
        <v>-22.82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417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0.0</v>
      </c>
      <c r="R79" s="17">
        <v>27.27</v>
      </c>
      <c r="S79" s="15"/>
      <c r="T79" s="15"/>
      <c r="U79" s="15"/>
      <c r="V79" s="15"/>
    </row>
    <row r="80" ht="15.0" customHeight="1">
      <c r="A80" s="14" t="s">
        <v>418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6">
        <v>184.0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419</v>
      </c>
      <c r="B81" s="15"/>
      <c r="C81" s="15"/>
      <c r="D81" s="15"/>
      <c r="E81" s="15"/>
      <c r="F81" s="15"/>
      <c r="G81" s="15"/>
      <c r="H81" s="15"/>
      <c r="I81" s="15"/>
      <c r="J81" s="17">
        <v>1.0</v>
      </c>
      <c r="K81" s="17">
        <v>6.0</v>
      </c>
      <c r="L81" s="17">
        <v>5.0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419</v>
      </c>
      <c r="B82" s="15"/>
      <c r="C82" s="15"/>
      <c r="D82" s="15"/>
      <c r="E82" s="15"/>
      <c r="F82" s="15"/>
      <c r="G82" s="15"/>
      <c r="H82" s="15"/>
      <c r="I82" s="24">
        <v>-346.0</v>
      </c>
      <c r="J82" s="15"/>
      <c r="K82" s="15"/>
      <c r="L82" s="15"/>
      <c r="M82" s="23">
        <v>-12.0</v>
      </c>
      <c r="N82" s="23">
        <v>-49.0</v>
      </c>
      <c r="O82" s="24">
        <v>-486.0</v>
      </c>
      <c r="P82" s="24">
        <v>-947.8</v>
      </c>
      <c r="Q82" s="24">
        <v>-622.59</v>
      </c>
      <c r="R82" s="24">
        <v>-799.64</v>
      </c>
      <c r="S82" s="24">
        <v>-415.0</v>
      </c>
      <c r="T82" s="24">
        <v>-189.41</v>
      </c>
      <c r="U82" s="23">
        <v>-9.92</v>
      </c>
      <c r="V82" s="23">
        <v>-1.52</v>
      </c>
    </row>
    <row r="83" ht="15.0" customHeight="1">
      <c r="A83" s="14" t="s">
        <v>419</v>
      </c>
      <c r="B83" s="15"/>
      <c r="C83" s="15"/>
      <c r="D83" s="15"/>
      <c r="E83" s="15"/>
      <c r="F83" s="15"/>
      <c r="G83" s="15"/>
      <c r="H83" s="15"/>
      <c r="I83" s="15"/>
      <c r="J83" s="15"/>
      <c r="K83" s="23">
        <v>-6.0</v>
      </c>
      <c r="L83" s="24">
        <v>-185.0</v>
      </c>
      <c r="M83" s="24">
        <v>-307.0</v>
      </c>
      <c r="N83" s="24">
        <v>-412.0</v>
      </c>
      <c r="O83" s="24">
        <v>-649.0</v>
      </c>
      <c r="P83" s="24">
        <v>-400.29</v>
      </c>
      <c r="Q83" s="24">
        <v>-553.78</v>
      </c>
      <c r="R83" s="24">
        <v>-189.68</v>
      </c>
      <c r="S83" s="24">
        <v>-380.26</v>
      </c>
      <c r="T83" s="24">
        <v>-254.68</v>
      </c>
      <c r="U83" s="15">
        <v>0.0</v>
      </c>
      <c r="V83" s="15">
        <v>0.0</v>
      </c>
    </row>
    <row r="84" ht="15.0" customHeight="1">
      <c r="A84" s="14" t="s">
        <v>420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>
        <v>0.0</v>
      </c>
      <c r="N84" s="24">
        <v>-570.0</v>
      </c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421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>
        <v>0.0</v>
      </c>
      <c r="R85" s="15">
        <v>0.0</v>
      </c>
      <c r="S85" s="24">
        <v>-403.3</v>
      </c>
      <c r="T85" s="24">
        <v>-4132.07</v>
      </c>
      <c r="U85" s="15">
        <v>0.0</v>
      </c>
      <c r="V85" s="15">
        <v>0.0</v>
      </c>
    </row>
    <row r="86" ht="15.0" customHeight="1">
      <c r="A86" s="14" t="s">
        <v>422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3">
        <v>-60.0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423</v>
      </c>
      <c r="B87" s="15"/>
      <c r="C87" s="15"/>
      <c r="D87" s="15"/>
      <c r="E87" s="15"/>
      <c r="F87" s="15"/>
      <c r="G87" s="15"/>
      <c r="H87" s="15"/>
      <c r="I87" s="15"/>
      <c r="J87" s="15"/>
      <c r="K87" s="23">
        <v>-31.0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424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>
        <v>0.0</v>
      </c>
      <c r="T88" s="17">
        <v>27.5</v>
      </c>
      <c r="U88" s="15">
        <v>0.0</v>
      </c>
      <c r="V88" s="15">
        <v>0.0</v>
      </c>
    </row>
    <row r="89" ht="15.0" customHeight="1">
      <c r="A89" s="14" t="s">
        <v>425</v>
      </c>
      <c r="B89" s="17">
        <v>1.04</v>
      </c>
      <c r="C89" s="15"/>
      <c r="D89" s="15"/>
      <c r="E89" s="23">
        <v>-0.96</v>
      </c>
      <c r="F89" s="17">
        <v>8.59</v>
      </c>
      <c r="G89" s="15"/>
      <c r="H89" s="15"/>
      <c r="I89" s="15"/>
      <c r="J89" s="15"/>
      <c r="K89" s="15"/>
      <c r="L89" s="15"/>
      <c r="M89" s="15"/>
      <c r="N89" s="15"/>
      <c r="O89" s="23">
        <v>-1.0</v>
      </c>
      <c r="P89" s="15"/>
      <c r="Q89" s="15"/>
      <c r="R89" s="15"/>
      <c r="S89" s="15"/>
      <c r="T89" s="15"/>
      <c r="U89" s="15"/>
      <c r="V89" s="15"/>
    </row>
    <row r="90" ht="15.0" customHeight="1">
      <c r="A90" s="18" t="s">
        <v>426</v>
      </c>
      <c r="B90" s="20">
        <v>1133.72</v>
      </c>
      <c r="C90" s="25">
        <v>-2689.17</v>
      </c>
      <c r="D90" s="25">
        <v>-3667.65</v>
      </c>
      <c r="E90" s="25">
        <v>-2480.64</v>
      </c>
      <c r="F90" s="25">
        <v>-2114.29</v>
      </c>
      <c r="G90" s="25">
        <v>-2682.09</v>
      </c>
      <c r="H90" s="28">
        <v>-11208.75</v>
      </c>
      <c r="I90" s="25">
        <v>-346.0</v>
      </c>
      <c r="J90" s="21">
        <v>1.0</v>
      </c>
      <c r="K90" s="26">
        <v>-31.0</v>
      </c>
      <c r="L90" s="26">
        <v>-56.0</v>
      </c>
      <c r="M90" s="25">
        <v>-319.0</v>
      </c>
      <c r="N90" s="25">
        <v>-1031.0</v>
      </c>
      <c r="O90" s="25">
        <v>-1136.0</v>
      </c>
      <c r="P90" s="20">
        <v>207.19</v>
      </c>
      <c r="Q90" s="25">
        <v>-910.82</v>
      </c>
      <c r="R90" s="25">
        <v>-962.06</v>
      </c>
      <c r="S90" s="25">
        <v>-1198.55</v>
      </c>
      <c r="T90" s="25">
        <v>-4548.66</v>
      </c>
      <c r="U90" s="26">
        <v>-9.92</v>
      </c>
      <c r="V90" s="26">
        <v>-1.52</v>
      </c>
    </row>
    <row r="91" ht="15.0" customHeight="1">
      <c r="A91" s="14" t="s">
        <v>427</v>
      </c>
      <c r="B91" s="24">
        <v>-4474.71</v>
      </c>
      <c r="C91" s="24">
        <v>-2068.18</v>
      </c>
      <c r="D91" s="15">
        <v>0.0</v>
      </c>
      <c r="E91" s="24">
        <v>-960.74</v>
      </c>
      <c r="F91" s="16">
        <v>1280.61</v>
      </c>
      <c r="G91" s="17">
        <v>56.47</v>
      </c>
      <c r="H91" s="16">
        <v>9484.33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>
        <v>0.0</v>
      </c>
      <c r="V91" s="15">
        <v>0.0</v>
      </c>
    </row>
    <row r="92" ht="15.0" customHeight="1">
      <c r="A92" s="14" t="s">
        <v>428</v>
      </c>
      <c r="B92" s="15"/>
      <c r="C92" s="15"/>
      <c r="D92" s="15"/>
      <c r="E92" s="23">
        <v>-7.69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4" t="s">
        <v>429</v>
      </c>
      <c r="B93" s="15"/>
      <c r="C93" s="15"/>
      <c r="D93" s="15"/>
      <c r="E93" s="15"/>
      <c r="F93" s="15"/>
      <c r="G93" s="24">
        <v>-696.4</v>
      </c>
      <c r="H93" s="24">
        <v>-299.13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430</v>
      </c>
      <c r="B94" s="23">
        <v>-6.22</v>
      </c>
      <c r="C94" s="23">
        <v>-6.45</v>
      </c>
      <c r="D94" s="23">
        <v>-4.22</v>
      </c>
      <c r="E94" s="23">
        <v>-3.84</v>
      </c>
      <c r="F94" s="23">
        <v>-8.59</v>
      </c>
      <c r="G94" s="23">
        <v>-9.41</v>
      </c>
      <c r="H94" s="15">
        <v>0.0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431</v>
      </c>
      <c r="B95" s="24">
        <v>-518.63</v>
      </c>
      <c r="C95" s="15"/>
      <c r="D95" s="15"/>
      <c r="E95" s="15"/>
      <c r="F95" s="15">
        <v>0.0</v>
      </c>
      <c r="G95" s="23">
        <v>-94.11</v>
      </c>
      <c r="H95" s="15">
        <v>0.0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432</v>
      </c>
      <c r="B96" s="15"/>
      <c r="C96" s="17">
        <v>16.12</v>
      </c>
      <c r="D96" s="17">
        <v>2.11</v>
      </c>
      <c r="E96" s="17">
        <v>51.88</v>
      </c>
      <c r="F96" s="15"/>
      <c r="G96" s="15">
        <v>0.0</v>
      </c>
      <c r="H96" s="16">
        <v>3431.25</v>
      </c>
      <c r="I96" s="15">
        <v>0.0</v>
      </c>
      <c r="J96" s="17">
        <v>4.0</v>
      </c>
      <c r="K96" s="15">
        <v>0.0</v>
      </c>
      <c r="L96" s="15">
        <v>0.0</v>
      </c>
      <c r="M96" s="16">
        <v>105.0</v>
      </c>
      <c r="N96" s="16">
        <v>439.0</v>
      </c>
      <c r="O96" s="16">
        <v>407.0</v>
      </c>
      <c r="P96" s="17">
        <v>14.4</v>
      </c>
      <c r="Q96" s="17">
        <v>11.32</v>
      </c>
      <c r="R96" s="16">
        <v>1427.27</v>
      </c>
      <c r="S96" s="16">
        <v>499.26</v>
      </c>
      <c r="T96" s="16">
        <v>1910.24</v>
      </c>
      <c r="U96" s="17">
        <v>25.64</v>
      </c>
      <c r="V96" s="17">
        <v>54.04</v>
      </c>
    </row>
    <row r="97" ht="15.0" customHeight="1">
      <c r="A97" s="14" t="s">
        <v>433</v>
      </c>
      <c r="B97" s="16">
        <v>2964.47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0" customHeight="1">
      <c r="A98" s="14" t="s">
        <v>434</v>
      </c>
      <c r="B98" s="15"/>
      <c r="C98" s="15"/>
      <c r="D98" s="15"/>
      <c r="E98" s="15"/>
      <c r="F98" s="24">
        <v>-232.06</v>
      </c>
      <c r="G98" s="23">
        <v>-9.41</v>
      </c>
      <c r="H98" s="24">
        <v>-475.1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ht="15.0" customHeight="1">
      <c r="A99" s="14" t="s">
        <v>435</v>
      </c>
      <c r="B99" s="15"/>
      <c r="C99" s="15"/>
      <c r="D99" s="15"/>
      <c r="E99" s="15"/>
      <c r="F99" s="15"/>
      <c r="G99" s="15">
        <v>0.0</v>
      </c>
      <c r="H99" s="23">
        <v>-35.19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0" customHeight="1">
      <c r="A100" s="14" t="s">
        <v>436</v>
      </c>
      <c r="B100" s="16">
        <v>207.45</v>
      </c>
      <c r="C100" s="16">
        <v>3545.45</v>
      </c>
      <c r="D100" s="16">
        <v>527.57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4" t="s">
        <v>437</v>
      </c>
      <c r="B101" s="15"/>
      <c r="C101" s="15"/>
      <c r="D101" s="15"/>
      <c r="E101" s="15"/>
      <c r="F101" s="15"/>
      <c r="G101" s="15"/>
      <c r="H101" s="15"/>
      <c r="I101" s="23">
        <v>-6.0</v>
      </c>
      <c r="J101" s="15">
        <v>0.0</v>
      </c>
      <c r="K101" s="24">
        <v>-170.0</v>
      </c>
      <c r="L101" s="15"/>
      <c r="M101" s="15">
        <v>0.0</v>
      </c>
      <c r="N101" s="23">
        <v>-50.0</v>
      </c>
      <c r="O101" s="15">
        <v>0.0</v>
      </c>
      <c r="P101" s="15"/>
      <c r="Q101" s="15"/>
      <c r="R101" s="15"/>
      <c r="S101" s="15"/>
      <c r="T101" s="15"/>
      <c r="U101" s="15"/>
      <c r="V101" s="15"/>
    </row>
    <row r="102" ht="15.0" customHeight="1">
      <c r="A102" s="14" t="s">
        <v>438</v>
      </c>
      <c r="B102" s="24">
        <v>-1207.36</v>
      </c>
      <c r="C102" s="24">
        <v>-1257.02</v>
      </c>
      <c r="D102" s="24">
        <v>-565.55</v>
      </c>
      <c r="E102" s="24">
        <v>-591.82</v>
      </c>
      <c r="F102" s="24">
        <v>-464.11</v>
      </c>
      <c r="G102" s="24">
        <v>-527.01</v>
      </c>
      <c r="H102" s="24">
        <v>-131.97</v>
      </c>
      <c r="I102" s="23">
        <v>-5.0</v>
      </c>
      <c r="J102" s="23">
        <v>-5.0</v>
      </c>
      <c r="K102" s="23">
        <v>-31.0</v>
      </c>
      <c r="L102" s="23">
        <v>-35.0</v>
      </c>
      <c r="M102" s="24">
        <v>-115.0</v>
      </c>
      <c r="N102" s="24">
        <v>-440.0</v>
      </c>
      <c r="O102" s="24">
        <v>-407.0</v>
      </c>
      <c r="P102" s="24">
        <v>-452.71</v>
      </c>
      <c r="Q102" s="24">
        <v>-374.45</v>
      </c>
      <c r="R102" s="24">
        <v>-521.15</v>
      </c>
      <c r="S102" s="24">
        <v>-564.72</v>
      </c>
      <c r="T102" s="23">
        <v>-88.05</v>
      </c>
      <c r="U102" s="15"/>
      <c r="V102" s="15"/>
    </row>
    <row r="103" ht="15.0" customHeight="1">
      <c r="A103" s="14" t="s">
        <v>439</v>
      </c>
      <c r="B103" s="15"/>
      <c r="C103" s="15"/>
      <c r="D103" s="15"/>
      <c r="E103" s="15">
        <v>0.0</v>
      </c>
      <c r="F103" s="23">
        <v>-17.19</v>
      </c>
      <c r="G103" s="16">
        <v>489.36</v>
      </c>
      <c r="H103" s="15">
        <v>0.0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4" t="s">
        <v>440</v>
      </c>
      <c r="B104" s="15"/>
      <c r="C104" s="15"/>
      <c r="D104" s="15"/>
      <c r="E104" s="17">
        <v>1.92</v>
      </c>
      <c r="F104" s="23">
        <v>-42.97</v>
      </c>
      <c r="G104" s="23">
        <v>-56.47</v>
      </c>
      <c r="H104" s="17">
        <v>26.39</v>
      </c>
      <c r="I104" s="23">
        <v>-43.0</v>
      </c>
      <c r="J104" s="15">
        <v>0.0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441</v>
      </c>
      <c r="B105" s="24">
        <v>-3537.04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442</v>
      </c>
      <c r="B106" s="15"/>
      <c r="C106" s="15"/>
      <c r="D106" s="15"/>
      <c r="E106" s="15"/>
      <c r="F106" s="15"/>
      <c r="G106" s="15">
        <v>0.0</v>
      </c>
      <c r="H106" s="23">
        <v>-8.8</v>
      </c>
      <c r="I106" s="23">
        <v>-4.0</v>
      </c>
      <c r="J106" s="15">
        <v>0.0</v>
      </c>
      <c r="K106" s="15"/>
      <c r="L106" s="15">
        <v>0.0</v>
      </c>
      <c r="M106" s="23">
        <v>-12.0</v>
      </c>
      <c r="N106" s="23">
        <v>-4.0</v>
      </c>
      <c r="O106" s="23">
        <v>-18.0</v>
      </c>
      <c r="P106" s="15">
        <v>0.0</v>
      </c>
      <c r="Q106" s="15"/>
      <c r="R106" s="15"/>
      <c r="S106" s="15"/>
      <c r="T106" s="15"/>
      <c r="U106" s="15"/>
      <c r="V106" s="15"/>
    </row>
    <row r="107" ht="15.0" customHeight="1">
      <c r="A107" s="14" t="s">
        <v>443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>
        <v>0.0</v>
      </c>
      <c r="N107" s="16">
        <v>300.0</v>
      </c>
      <c r="O107" s="16">
        <v>500.0</v>
      </c>
      <c r="P107" s="16">
        <v>593.15</v>
      </c>
      <c r="Q107" s="16">
        <v>497.62</v>
      </c>
      <c r="R107" s="16">
        <v>2109.16</v>
      </c>
      <c r="S107" s="16">
        <v>633.41</v>
      </c>
      <c r="T107" s="16">
        <v>3160.43</v>
      </c>
      <c r="U107" s="15"/>
      <c r="V107" s="15"/>
    </row>
    <row r="108" ht="15.0" customHeight="1">
      <c r="A108" s="14" t="s">
        <v>444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6">
        <v>110.0</v>
      </c>
      <c r="M108" s="16">
        <v>291.0</v>
      </c>
      <c r="N108" s="16">
        <v>345.0</v>
      </c>
      <c r="O108" s="16">
        <v>597.0</v>
      </c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445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0.0</v>
      </c>
      <c r="O109" s="16">
        <v>456.0</v>
      </c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446</v>
      </c>
      <c r="B110" s="15"/>
      <c r="C110" s="15"/>
      <c r="D110" s="15"/>
      <c r="E110" s="15"/>
      <c r="F110" s="15"/>
      <c r="G110" s="15"/>
      <c r="H110" s="15"/>
      <c r="I110" s="16">
        <v>312.0</v>
      </c>
      <c r="J110" s="15">
        <v>0.0</v>
      </c>
      <c r="K110" s="15"/>
      <c r="L110" s="15"/>
      <c r="M110" s="15"/>
      <c r="N110" s="15"/>
      <c r="O110" s="15"/>
      <c r="P110" s="16">
        <v>429.67</v>
      </c>
      <c r="Q110" s="16">
        <v>634.76</v>
      </c>
      <c r="R110" s="16">
        <v>519.1</v>
      </c>
      <c r="S110" s="16">
        <v>531.77</v>
      </c>
      <c r="T110" s="16">
        <v>222.0</v>
      </c>
      <c r="U110" s="15"/>
      <c r="V110" s="15"/>
    </row>
    <row r="111" ht="15.0" customHeight="1">
      <c r="A111" s="14" t="s">
        <v>447</v>
      </c>
      <c r="B111" s="15"/>
      <c r="C111" s="15"/>
      <c r="D111" s="15"/>
      <c r="E111" s="15"/>
      <c r="F111" s="15"/>
      <c r="G111" s="15"/>
      <c r="H111" s="15"/>
      <c r="I111" s="15">
        <v>0.0</v>
      </c>
      <c r="J111" s="15"/>
      <c r="K111" s="24">
        <v>-179.0</v>
      </c>
      <c r="L111" s="24">
        <v>-243.0</v>
      </c>
      <c r="M111" s="23">
        <v>-53.0</v>
      </c>
      <c r="N111" s="15">
        <v>0.0</v>
      </c>
      <c r="O111" s="24">
        <v>-649.0</v>
      </c>
      <c r="P111" s="24">
        <v>-1352.6</v>
      </c>
      <c r="Q111" s="24">
        <v>-695.57</v>
      </c>
      <c r="R111" s="24">
        <v>-534.97</v>
      </c>
      <c r="S111" s="24">
        <v>-222.0</v>
      </c>
      <c r="T111" s="23">
        <v>-35.0</v>
      </c>
      <c r="U111" s="15"/>
      <c r="V111" s="15"/>
    </row>
    <row r="112" ht="15.0" customHeight="1">
      <c r="A112" s="14" t="s">
        <v>448</v>
      </c>
      <c r="B112" s="15"/>
      <c r="C112" s="15"/>
      <c r="D112" s="15"/>
      <c r="E112" s="15"/>
      <c r="F112" s="15"/>
      <c r="G112" s="15"/>
      <c r="H112" s="15"/>
      <c r="I112" s="15"/>
      <c r="J112" s="24">
        <v>-393.0</v>
      </c>
      <c r="K112" s="24">
        <v>-110.0</v>
      </c>
      <c r="L112" s="24">
        <v>-284.0</v>
      </c>
      <c r="M112" s="24">
        <v>-352.0</v>
      </c>
      <c r="N112" s="24">
        <v>-573.0</v>
      </c>
      <c r="O112" s="24">
        <v>-454.0</v>
      </c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449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>
        <v>0.0</v>
      </c>
      <c r="N113" s="24">
        <v>-581.0</v>
      </c>
      <c r="O113" s="24">
        <v>-228.0</v>
      </c>
      <c r="P113" s="24">
        <v>-937.04</v>
      </c>
      <c r="Q113" s="15">
        <v>0.0</v>
      </c>
      <c r="R113" s="24">
        <v>-2240.0</v>
      </c>
      <c r="S113" s="24">
        <v>-1241.0</v>
      </c>
      <c r="T113" s="15">
        <v>0.0</v>
      </c>
      <c r="U113" s="15"/>
      <c r="V113" s="15"/>
    </row>
    <row r="114" ht="15.0" customHeight="1">
      <c r="A114" s="14" t="s">
        <v>450</v>
      </c>
      <c r="B114" s="15"/>
      <c r="C114" s="15"/>
      <c r="D114" s="15"/>
      <c r="E114" s="15"/>
      <c r="F114" s="15"/>
      <c r="G114" s="15">
        <v>0.0</v>
      </c>
      <c r="H114" s="24">
        <v>-475.1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7">
        <v>35.0</v>
      </c>
      <c r="V114" s="15">
        <v>0.0</v>
      </c>
    </row>
    <row r="115" ht="15.0" customHeight="1">
      <c r="A115" s="14" t="s">
        <v>451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3">
        <v>-70.0</v>
      </c>
      <c r="M115" s="23">
        <v>-35.0</v>
      </c>
      <c r="N115" s="23">
        <v>-61.0</v>
      </c>
      <c r="O115" s="23">
        <v>-62.0</v>
      </c>
      <c r="P115" s="15">
        <v>0.0</v>
      </c>
      <c r="Q115" s="15"/>
      <c r="R115" s="15"/>
      <c r="S115" s="15"/>
      <c r="T115" s="15"/>
      <c r="U115" s="15"/>
      <c r="V115" s="15"/>
    </row>
    <row r="116" ht="15.0" customHeight="1">
      <c r="A116" s="14" t="s">
        <v>452</v>
      </c>
      <c r="B116" s="15"/>
      <c r="C116" s="15"/>
      <c r="D116" s="23">
        <v>-1.06</v>
      </c>
      <c r="E116" s="17">
        <v>0.96</v>
      </c>
      <c r="F116" s="15"/>
      <c r="G116" s="17">
        <v>9.41</v>
      </c>
      <c r="H116" s="15"/>
      <c r="I116" s="15"/>
      <c r="J116" s="15"/>
      <c r="K116" s="23">
        <v>-1.0</v>
      </c>
      <c r="L116" s="15"/>
      <c r="M116" s="17">
        <v>1.0</v>
      </c>
      <c r="N116" s="23">
        <v>-1.0</v>
      </c>
      <c r="O116" s="17">
        <v>1.0</v>
      </c>
      <c r="P116" s="23">
        <v>-0.1</v>
      </c>
      <c r="Q116" s="15"/>
      <c r="R116" s="15"/>
      <c r="S116" s="15"/>
      <c r="T116" s="15"/>
      <c r="U116" s="15"/>
      <c r="V116" s="15"/>
    </row>
    <row r="117" ht="15.0" customHeight="1">
      <c r="A117" s="14" t="s">
        <v>453</v>
      </c>
      <c r="B117" s="15"/>
      <c r="C117" s="17">
        <v>45.12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ht="15.0" customHeight="1">
      <c r="A118" s="18" t="s">
        <v>454</v>
      </c>
      <c r="B118" s="25">
        <v>-6572.04</v>
      </c>
      <c r="C118" s="20">
        <v>275.04</v>
      </c>
      <c r="D118" s="26">
        <v>-41.15</v>
      </c>
      <c r="E118" s="25">
        <v>-1509.33</v>
      </c>
      <c r="F118" s="20">
        <v>515.68</v>
      </c>
      <c r="G118" s="25">
        <v>-837.57</v>
      </c>
      <c r="H118" s="19">
        <v>11516.68</v>
      </c>
      <c r="I118" s="20">
        <v>254.0</v>
      </c>
      <c r="J118" s="25">
        <v>-394.0</v>
      </c>
      <c r="K118" s="25">
        <v>-491.0</v>
      </c>
      <c r="L118" s="25">
        <v>-522.0</v>
      </c>
      <c r="M118" s="25">
        <v>-170.0</v>
      </c>
      <c r="N118" s="25">
        <v>-626.0</v>
      </c>
      <c r="O118" s="20">
        <v>143.0</v>
      </c>
      <c r="P118" s="25">
        <v>-1705.23</v>
      </c>
      <c r="Q118" s="21">
        <v>73.67</v>
      </c>
      <c r="R118" s="20">
        <v>759.41</v>
      </c>
      <c r="S118" s="25">
        <v>-363.28</v>
      </c>
      <c r="T118" s="20">
        <v>5169.62</v>
      </c>
      <c r="U118" s="21">
        <v>60.64</v>
      </c>
      <c r="V118" s="21">
        <v>54.04</v>
      </c>
    </row>
    <row r="119" ht="15.0" customHeight="1">
      <c r="A119" s="14" t="s">
        <v>455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7">
        <v>0.36</v>
      </c>
      <c r="R119" s="23">
        <v>-23.29</v>
      </c>
      <c r="S119" s="17">
        <v>77.47</v>
      </c>
      <c r="T119" s="23">
        <v>-21.6</v>
      </c>
      <c r="U119" s="15"/>
      <c r="V119" s="15"/>
    </row>
    <row r="120" ht="15.0" customHeight="1">
      <c r="A120" s="14" t="s">
        <v>456</v>
      </c>
      <c r="B120" s="16">
        <v>2520.74</v>
      </c>
      <c r="C120" s="16">
        <v>1894.66</v>
      </c>
      <c r="D120" s="16">
        <v>2720.26</v>
      </c>
      <c r="E120" s="16">
        <v>1201.05</v>
      </c>
      <c r="F120" s="16">
        <v>2280.94</v>
      </c>
      <c r="G120" s="16">
        <v>2453.28</v>
      </c>
      <c r="H120" s="17">
        <v>26.34</v>
      </c>
      <c r="I120" s="16">
        <v>133.0</v>
      </c>
      <c r="J120" s="17">
        <v>89.0</v>
      </c>
      <c r="K120" s="16">
        <v>452.0</v>
      </c>
      <c r="L120" s="16">
        <v>644.0</v>
      </c>
      <c r="M120" s="16">
        <v>403.0</v>
      </c>
      <c r="N120" s="16">
        <v>584.0</v>
      </c>
      <c r="O120" s="16">
        <v>671.0</v>
      </c>
      <c r="P120" s="16">
        <v>892.48</v>
      </c>
      <c r="Q120" s="16">
        <v>659.81</v>
      </c>
      <c r="R120" s="16">
        <v>867.35</v>
      </c>
      <c r="S120" s="16">
        <v>973.66</v>
      </c>
      <c r="T120" s="17">
        <v>11.97</v>
      </c>
      <c r="U120" s="17">
        <v>41.62</v>
      </c>
      <c r="V120" s="15">
        <v>0.0</v>
      </c>
    </row>
    <row r="121" ht="15.0" customHeight="1">
      <c r="A121" s="14" t="s">
        <v>457</v>
      </c>
      <c r="B121" s="16">
        <v>1435.39</v>
      </c>
      <c r="C121" s="16">
        <v>2848.24</v>
      </c>
      <c r="D121" s="16">
        <v>1689.52</v>
      </c>
      <c r="E121" s="16">
        <v>2629.38</v>
      </c>
      <c r="F121" s="16">
        <v>1083.22</v>
      </c>
      <c r="G121" s="16">
        <v>2221.68</v>
      </c>
      <c r="H121" s="16">
        <v>2510.62</v>
      </c>
      <c r="I121" s="17">
        <v>22.0</v>
      </c>
      <c r="J121" s="16">
        <v>133.0</v>
      </c>
      <c r="K121" s="17">
        <v>89.0</v>
      </c>
      <c r="L121" s="16">
        <v>452.0</v>
      </c>
      <c r="M121" s="16">
        <v>644.0</v>
      </c>
      <c r="N121" s="16">
        <v>403.0</v>
      </c>
      <c r="O121" s="16">
        <v>584.0</v>
      </c>
      <c r="P121" s="16">
        <v>688.71</v>
      </c>
      <c r="Q121" s="16">
        <v>892.48</v>
      </c>
      <c r="R121" s="16">
        <v>659.81</v>
      </c>
      <c r="S121" s="16">
        <v>867.35</v>
      </c>
      <c r="T121" s="16">
        <v>973.66</v>
      </c>
      <c r="U121" s="17">
        <v>11.97</v>
      </c>
      <c r="V121" s="17">
        <v>41.62</v>
      </c>
    </row>
    <row r="122" ht="15.0" customHeight="1">
      <c r="A122" s="14" t="s">
        <v>458</v>
      </c>
      <c r="B122" s="15"/>
      <c r="C122" s="15"/>
      <c r="D122" s="15"/>
      <c r="E122" s="17">
        <v>0.96</v>
      </c>
      <c r="F122" s="23">
        <v>-8.59</v>
      </c>
      <c r="G122" s="15"/>
      <c r="H122" s="23">
        <v>-8.8</v>
      </c>
      <c r="I122" s="15"/>
      <c r="J122" s="15"/>
      <c r="K122" s="17">
        <v>1.0</v>
      </c>
      <c r="L122" s="15"/>
      <c r="M122" s="15"/>
      <c r="N122" s="15"/>
      <c r="O122" s="17">
        <v>1.0</v>
      </c>
      <c r="P122" s="27">
        <v>0.0</v>
      </c>
      <c r="Q122" s="15"/>
      <c r="R122" s="15"/>
      <c r="S122" s="15"/>
      <c r="T122" s="15"/>
      <c r="U122" s="15"/>
      <c r="V122" s="15"/>
    </row>
    <row r="123" ht="15.0" customHeight="1">
      <c r="A123" s="18" t="s">
        <v>459</v>
      </c>
      <c r="B123" s="25">
        <v>-1118.16</v>
      </c>
      <c r="C123" s="20">
        <v>900.33</v>
      </c>
      <c r="D123" s="25">
        <v>-1072.02</v>
      </c>
      <c r="E123" s="20">
        <v>1400.76</v>
      </c>
      <c r="F123" s="25">
        <v>-1177.47</v>
      </c>
      <c r="G123" s="25">
        <v>-244.68</v>
      </c>
      <c r="H123" s="20">
        <v>2489.86</v>
      </c>
      <c r="I123" s="25">
        <v>-111.0</v>
      </c>
      <c r="J123" s="21">
        <v>45.0</v>
      </c>
      <c r="K123" s="25">
        <v>-363.0</v>
      </c>
      <c r="L123" s="25">
        <v>-192.0</v>
      </c>
      <c r="M123" s="20">
        <v>241.0</v>
      </c>
      <c r="N123" s="25">
        <v>-181.0</v>
      </c>
      <c r="O123" s="26">
        <v>-87.0</v>
      </c>
      <c r="P123" s="25">
        <v>-203.77</v>
      </c>
      <c r="Q123" s="20">
        <v>232.67</v>
      </c>
      <c r="R123" s="25">
        <v>-207.54</v>
      </c>
      <c r="S123" s="25">
        <v>-106.31</v>
      </c>
      <c r="T123" s="20">
        <v>961.69</v>
      </c>
      <c r="U123" s="26">
        <v>-29.64</v>
      </c>
      <c r="V123" s="21">
        <v>41.62</v>
      </c>
    </row>
    <row r="124" ht="15.0" customHeight="1">
      <c r="A124" s="14" t="s">
        <v>460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6">
        <v>246.0</v>
      </c>
      <c r="S124" s="16">
        <v>154.16</v>
      </c>
      <c r="T124" s="15"/>
      <c r="U124" s="23">
        <v>-12.29</v>
      </c>
      <c r="V124" s="15"/>
    </row>
    <row r="125" ht="15.0" customHeight="1">
      <c r="A125" s="14" t="s">
        <v>461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24">
        <v>-227.6</v>
      </c>
      <c r="S125" s="16">
        <v>1102.76</v>
      </c>
      <c r="T125" s="15"/>
      <c r="U125" s="23">
        <v>-67.6</v>
      </c>
      <c r="V125" s="15"/>
    </row>
    <row r="126" ht="15.0" customHeight="1">
      <c r="A126" s="14" t="s">
        <v>462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6">
        <v>150.75</v>
      </c>
      <c r="R126" s="24">
        <v>-121.61</v>
      </c>
      <c r="S126" s="17">
        <v>0.68</v>
      </c>
      <c r="T126" s="24">
        <v>-196.85</v>
      </c>
      <c r="U126" s="17">
        <v>17.57</v>
      </c>
      <c r="V126" s="15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46090.4472709028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42369.0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</row>
    <row r="16" ht="15.0" customHeight="1" outlineLevel="1">
      <c r="A16" s="8" t="s">
        <v>45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464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47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</row>
    <row r="20" ht="15.0" customHeight="1">
      <c r="A20" s="29" t="s">
        <v>465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ht="15.0" customHeight="1">
      <c r="A21" s="31" t="s">
        <v>465</v>
      </c>
      <c r="B21" s="32">
        <v>26410.21</v>
      </c>
      <c r="C21" s="32">
        <v>20629.82</v>
      </c>
      <c r="D21" s="32">
        <v>16306.45</v>
      </c>
      <c r="E21" s="32">
        <v>12262.21</v>
      </c>
      <c r="F21" s="33">
        <v>9248.18</v>
      </c>
      <c r="G21" s="32">
        <v>10467.54</v>
      </c>
      <c r="H21" s="33">
        <v>2069.6</v>
      </c>
      <c r="I21" s="33">
        <v>1649.85</v>
      </c>
      <c r="J21" s="33">
        <v>1703.45</v>
      </c>
      <c r="K21" s="33">
        <v>638.26</v>
      </c>
      <c r="L21" s="33">
        <v>2735.59</v>
      </c>
      <c r="M21" s="33">
        <v>2623.07</v>
      </c>
      <c r="N21" s="33">
        <v>4359.09</v>
      </c>
      <c r="O21" s="33">
        <v>3878.95</v>
      </c>
      <c r="P21" s="33">
        <v>7514.13</v>
      </c>
      <c r="Q21" s="33">
        <v>7177.48</v>
      </c>
      <c r="R21" s="33">
        <v>5434.94</v>
      </c>
      <c r="S21" s="33">
        <v>6478.14</v>
      </c>
      <c r="T21" s="32"/>
      <c r="U21" s="32"/>
    </row>
    <row r="22" ht="15.0" customHeight="1">
      <c r="A22" s="31" t="s">
        <v>466</v>
      </c>
      <c r="B22" s="32">
        <v>19308.48</v>
      </c>
      <c r="C22" s="32">
        <v>14924.81</v>
      </c>
      <c r="D22" s="32">
        <v>10907.47</v>
      </c>
      <c r="E22" s="33">
        <v>7227.72</v>
      </c>
      <c r="F22" s="33">
        <v>4989.58</v>
      </c>
      <c r="G22" s="33">
        <v>3340.1</v>
      </c>
      <c r="H22" s="33">
        <v>1859.3</v>
      </c>
      <c r="I22" s="33">
        <v>2082.89</v>
      </c>
      <c r="J22" s="33">
        <v>3198.33</v>
      </c>
      <c r="K22" s="33">
        <v>4072.18</v>
      </c>
      <c r="L22" s="33">
        <v>5262.99</v>
      </c>
      <c r="M22" s="33">
        <v>5331.8</v>
      </c>
      <c r="N22" s="33">
        <v>5278.99</v>
      </c>
      <c r="O22" s="33">
        <v>6159.66</v>
      </c>
      <c r="P22" s="32"/>
      <c r="Q22" s="32"/>
      <c r="R22" s="32"/>
      <c r="S22" s="32"/>
      <c r="T22" s="32"/>
      <c r="U22" s="32"/>
    </row>
    <row r="23" ht="15.0" customHeight="1">
      <c r="A23" s="29" t="s">
        <v>467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</row>
    <row r="24" ht="15.0" customHeight="1">
      <c r="A24" s="31" t="s">
        <v>467</v>
      </c>
      <c r="B24" s="32">
        <v>13677.21</v>
      </c>
      <c r="C24" s="32">
        <v>10242.36</v>
      </c>
      <c r="D24" s="33">
        <v>7967.67</v>
      </c>
      <c r="E24" s="33">
        <v>2962.33</v>
      </c>
      <c r="F24" s="33">
        <v>2728.97</v>
      </c>
      <c r="G24" s="33">
        <v>4349.0</v>
      </c>
      <c r="H24" s="33">
        <v>1619.6</v>
      </c>
      <c r="I24" s="33">
        <v>1627.85</v>
      </c>
      <c r="J24" s="33">
        <v>1262.45</v>
      </c>
      <c r="K24" s="33">
        <v>148.26</v>
      </c>
      <c r="L24" s="34">
        <v>44.59</v>
      </c>
      <c r="M24" s="33">
        <v>213.07</v>
      </c>
      <c r="N24" s="33">
        <v>1059.09</v>
      </c>
      <c r="O24" s="33">
        <v>892.7</v>
      </c>
      <c r="P24" s="33">
        <v>3513.17</v>
      </c>
      <c r="Q24" s="33">
        <v>3409.22</v>
      </c>
      <c r="R24" s="33">
        <v>1531.74</v>
      </c>
      <c r="S24" s="33">
        <v>2625.86</v>
      </c>
      <c r="T24" s="32"/>
      <c r="U24" s="32"/>
    </row>
    <row r="25" ht="15.0" customHeight="1">
      <c r="A25" s="31" t="s">
        <v>468</v>
      </c>
      <c r="B25" s="33">
        <v>8369.22</v>
      </c>
      <c r="C25" s="33">
        <v>6028.02</v>
      </c>
      <c r="D25" s="33">
        <v>4213.93</v>
      </c>
      <c r="E25" s="33">
        <v>2705.0</v>
      </c>
      <c r="F25" s="33">
        <v>2308.41</v>
      </c>
      <c r="G25" s="33">
        <v>1833.27</v>
      </c>
      <c r="H25" s="33">
        <v>958.44</v>
      </c>
      <c r="I25" s="33">
        <v>660.47</v>
      </c>
      <c r="J25" s="33">
        <v>681.31</v>
      </c>
      <c r="K25" s="33">
        <v>702.96</v>
      </c>
      <c r="L25" s="33">
        <v>1470.92</v>
      </c>
      <c r="M25" s="33">
        <v>1900.92</v>
      </c>
      <c r="N25" s="33">
        <v>1949.5</v>
      </c>
      <c r="O25" s="33">
        <v>2444.42</v>
      </c>
      <c r="P25" s="32"/>
      <c r="Q25" s="32"/>
      <c r="R25" s="32"/>
      <c r="S25" s="32"/>
      <c r="T25" s="32"/>
      <c r="U25" s="32"/>
    </row>
    <row r="26" ht="15.0" customHeight="1">
      <c r="A26" s="29" t="s">
        <v>469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ht="15.0" customHeight="1">
      <c r="A27" s="31" t="s">
        <v>470</v>
      </c>
      <c r="B27" s="33">
        <v>516.15</v>
      </c>
      <c r="C27" s="33">
        <v>390.84</v>
      </c>
      <c r="D27" s="33">
        <v>309.92</v>
      </c>
      <c r="E27" s="33">
        <v>120.67</v>
      </c>
      <c r="F27" s="33">
        <v>111.16</v>
      </c>
      <c r="G27" s="33">
        <v>177.16</v>
      </c>
      <c r="H27" s="33">
        <v>180.69</v>
      </c>
      <c r="I27" s="33">
        <v>226.26</v>
      </c>
      <c r="J27" s="33">
        <v>177.94</v>
      </c>
      <c r="K27" s="34">
        <v>20.9</v>
      </c>
      <c r="L27" s="34">
        <v>78.56</v>
      </c>
      <c r="M27" s="33">
        <v>1571.23</v>
      </c>
      <c r="N27" s="32">
        <v>13243.2</v>
      </c>
      <c r="O27" s="32">
        <v>15877.57</v>
      </c>
      <c r="P27" s="32">
        <v>62692.56</v>
      </c>
      <c r="Q27" s="32">
        <v>60988.96</v>
      </c>
      <c r="R27" s="32">
        <v>45495.46</v>
      </c>
      <c r="S27" s="32">
        <v>100357.63</v>
      </c>
      <c r="T27" s="32"/>
      <c r="U27" s="32"/>
    </row>
    <row r="28" ht="15.0" customHeight="1">
      <c r="A28" s="31" t="s">
        <v>471</v>
      </c>
      <c r="B28" s="33">
        <v>323.41</v>
      </c>
      <c r="C28" s="33">
        <v>237.25</v>
      </c>
      <c r="D28" s="33">
        <v>194.74</v>
      </c>
      <c r="E28" s="33">
        <v>167.9</v>
      </c>
      <c r="F28" s="33">
        <v>175.38</v>
      </c>
      <c r="G28" s="33">
        <v>160.88</v>
      </c>
      <c r="H28" s="33">
        <v>141.62</v>
      </c>
      <c r="I28" s="33">
        <v>525.34</v>
      </c>
      <c r="J28" s="33">
        <v>4617.47</v>
      </c>
      <c r="K28" s="33">
        <v>9386.27</v>
      </c>
      <c r="L28" s="32">
        <v>24022.96</v>
      </c>
      <c r="M28" s="32">
        <v>32263.16</v>
      </c>
      <c r="N28" s="32">
        <v>36586.35</v>
      </c>
      <c r="O28" s="32">
        <v>58533.81</v>
      </c>
      <c r="P28" s="32"/>
      <c r="Q28" s="32"/>
      <c r="R28" s="32"/>
      <c r="S28" s="32"/>
      <c r="T28" s="32"/>
      <c r="U28" s="32"/>
    </row>
    <row r="29" ht="15.0" customHeight="1">
      <c r="A29" s="29" t="s">
        <v>472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ht="15.0" customHeight="1">
      <c r="A30" s="31" t="s">
        <v>473</v>
      </c>
      <c r="B30" s="35">
        <v>-3.75</v>
      </c>
      <c r="C30" s="35">
        <v>-11.43</v>
      </c>
      <c r="D30" s="36">
        <v>32.3</v>
      </c>
      <c r="E30" s="35">
        <v>-69.92</v>
      </c>
      <c r="F30" s="35">
        <v>-3.96</v>
      </c>
      <c r="G30" s="36">
        <v>27.44</v>
      </c>
      <c r="H30" s="35">
        <v>-30.2</v>
      </c>
      <c r="I30" s="36">
        <v>26.62</v>
      </c>
      <c r="J30" s="36">
        <v>9.94</v>
      </c>
      <c r="K30" s="36">
        <v>154.42</v>
      </c>
      <c r="L30" s="36">
        <v>796.95</v>
      </c>
      <c r="M30" s="36">
        <v>559.8</v>
      </c>
      <c r="N30" s="35">
        <v>-77.46</v>
      </c>
      <c r="O30" s="35">
        <v>-61.75</v>
      </c>
      <c r="P30" s="35">
        <v>-13.21</v>
      </c>
      <c r="Q30" s="35">
        <v>-57.63</v>
      </c>
      <c r="R30" s="36">
        <v>1.52</v>
      </c>
      <c r="S30" s="35">
        <v>-10.77</v>
      </c>
      <c r="T30" s="36"/>
      <c r="U30" s="36"/>
    </row>
    <row r="31" ht="15.0" customHeight="1">
      <c r="A31" s="31" t="s">
        <v>474</v>
      </c>
      <c r="B31" s="35">
        <v>-4.21</v>
      </c>
      <c r="C31" s="36">
        <v>1.07</v>
      </c>
      <c r="D31" s="35">
        <v>-0.66</v>
      </c>
      <c r="E31" s="35">
        <v>-3.71</v>
      </c>
      <c r="F31" s="36">
        <v>7.92</v>
      </c>
      <c r="G31" s="36">
        <v>13.38</v>
      </c>
      <c r="H31" s="36">
        <v>110.43</v>
      </c>
      <c r="I31" s="36">
        <v>483.28</v>
      </c>
      <c r="J31" s="35">
        <v>-11.39</v>
      </c>
      <c r="K31" s="35">
        <v>-36.67</v>
      </c>
      <c r="L31" s="35">
        <v>-20.98</v>
      </c>
      <c r="M31" s="35">
        <v>-35.81</v>
      </c>
      <c r="N31" s="35">
        <v>-33.07</v>
      </c>
      <c r="O31" s="35">
        <v>-22.5</v>
      </c>
      <c r="P31" s="36"/>
      <c r="Q31" s="36"/>
      <c r="R31" s="36"/>
      <c r="S31" s="36"/>
      <c r="T31" s="36"/>
      <c r="U31" s="36"/>
    </row>
    <row r="32" ht="15.0" customHeight="1">
      <c r="A32" s="29" t="s">
        <v>475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ht="15.0" customHeight="1">
      <c r="A33" s="31" t="s">
        <v>476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/>
      <c r="U33" s="36"/>
    </row>
    <row r="34" ht="15.0" customHeight="1">
      <c r="A34" s="31" t="s">
        <v>477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0.0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/>
      <c r="Q34" s="36"/>
      <c r="R34" s="36"/>
      <c r="S34" s="36"/>
      <c r="T34" s="36"/>
      <c r="U34" s="36"/>
    </row>
    <row r="35" ht="15.0" customHeight="1">
      <c r="A35" s="31" t="s">
        <v>478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/>
      <c r="U35" s="36"/>
    </row>
    <row r="36" ht="15.0" customHeight="1">
      <c r="A36" s="31" t="s">
        <v>479</v>
      </c>
      <c r="B36" s="36">
        <v>0.0</v>
      </c>
      <c r="C36" s="36">
        <v>0.0</v>
      </c>
      <c r="D36" s="36">
        <v>0.0</v>
      </c>
      <c r="E36" s="36">
        <v>0.0</v>
      </c>
      <c r="F36" s="36">
        <v>0.0</v>
      </c>
      <c r="G36" s="36">
        <v>0.0</v>
      </c>
      <c r="H36" s="36">
        <v>0.0</v>
      </c>
      <c r="I36" s="36">
        <v>0.0</v>
      </c>
      <c r="J36" s="36">
        <v>0.0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/>
      <c r="Q36" s="36"/>
      <c r="R36" s="36"/>
      <c r="S36" s="36"/>
      <c r="T36" s="36"/>
      <c r="U36" s="36"/>
    </row>
    <row r="37" ht="15.0" customHeight="1">
      <c r="A37" s="29" t="s">
        <v>480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ht="15.0" customHeight="1">
      <c r="A38" s="31" t="s">
        <v>481</v>
      </c>
      <c r="B38" s="34">
        <v>1.73</v>
      </c>
      <c r="C38" s="34">
        <v>1.24</v>
      </c>
      <c r="D38" s="34">
        <v>1.22</v>
      </c>
      <c r="E38" s="34">
        <v>0.67</v>
      </c>
      <c r="F38" s="34">
        <v>0.5</v>
      </c>
      <c r="G38" s="34">
        <v>0.84</v>
      </c>
      <c r="H38" s="32"/>
      <c r="I38" s="34">
        <v>11.55</v>
      </c>
      <c r="J38" s="34">
        <v>2.89</v>
      </c>
      <c r="K38" s="34">
        <v>1.03</v>
      </c>
      <c r="L38" s="32"/>
      <c r="M38" s="34">
        <v>0.42</v>
      </c>
      <c r="N38" s="34">
        <v>0.52</v>
      </c>
      <c r="O38" s="34">
        <v>0.36</v>
      </c>
      <c r="P38" s="34">
        <v>0.94</v>
      </c>
      <c r="Q38" s="34">
        <v>0.92</v>
      </c>
      <c r="R38" s="34">
        <v>0.5</v>
      </c>
      <c r="S38" s="34">
        <v>1.44</v>
      </c>
      <c r="T38" s="32"/>
      <c r="U38" s="32"/>
    </row>
    <row r="39" ht="15.0" customHeight="1">
      <c r="A39" s="31" t="s">
        <v>482</v>
      </c>
      <c r="B39" s="34">
        <v>1.1</v>
      </c>
      <c r="C39" s="34">
        <v>0.92</v>
      </c>
      <c r="D39" s="34">
        <v>1.04</v>
      </c>
      <c r="E39" s="34">
        <v>1.32</v>
      </c>
      <c r="F39" s="34">
        <v>1.74</v>
      </c>
      <c r="G39" s="34">
        <v>2.62</v>
      </c>
      <c r="H39" s="32"/>
      <c r="I39" s="34">
        <v>0.72</v>
      </c>
      <c r="J39" s="34">
        <v>0.53</v>
      </c>
      <c r="K39" s="34">
        <v>0.43</v>
      </c>
      <c r="L39" s="34">
        <v>0.67</v>
      </c>
      <c r="M39" s="34">
        <v>0.75</v>
      </c>
      <c r="N39" s="34">
        <v>0.69</v>
      </c>
      <c r="O39" s="34">
        <v>0.87</v>
      </c>
      <c r="P39" s="32"/>
      <c r="Q39" s="32"/>
      <c r="R39" s="32"/>
      <c r="S39" s="32"/>
      <c r="T39" s="32"/>
      <c r="U39" s="32"/>
    </row>
    <row r="40" ht="15.0" customHeight="1">
      <c r="A40" s="29" t="s">
        <v>483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 ht="15.0" customHeight="1">
      <c r="A41" s="31" t="s">
        <v>484</v>
      </c>
      <c r="B41" s="34">
        <v>2.19</v>
      </c>
      <c r="C41" s="34">
        <v>1.52</v>
      </c>
      <c r="D41" s="34">
        <v>1.61</v>
      </c>
      <c r="E41" s="34">
        <v>1.01</v>
      </c>
      <c r="F41" s="34">
        <v>0.69</v>
      </c>
      <c r="G41" s="34">
        <v>1.54</v>
      </c>
      <c r="H41" s="32"/>
      <c r="I41" s="34">
        <v>11.55</v>
      </c>
      <c r="J41" s="34">
        <v>2.89</v>
      </c>
      <c r="K41" s="34">
        <v>1.03</v>
      </c>
      <c r="L41" s="32"/>
      <c r="M41" s="34">
        <v>0.88</v>
      </c>
      <c r="N41" s="34">
        <v>1.49</v>
      </c>
      <c r="O41" s="34">
        <v>1.68</v>
      </c>
      <c r="P41" s="32"/>
      <c r="Q41" s="32"/>
      <c r="R41" s="32"/>
      <c r="S41" s="32"/>
      <c r="T41" s="32"/>
      <c r="U41" s="32"/>
    </row>
    <row r="42" ht="15.0" customHeight="1">
      <c r="A42" s="31" t="s">
        <v>485</v>
      </c>
      <c r="B42" s="34">
        <v>1.45</v>
      </c>
      <c r="C42" s="34">
        <v>1.29</v>
      </c>
      <c r="D42" s="34">
        <v>1.54</v>
      </c>
      <c r="E42" s="34">
        <v>2.03</v>
      </c>
      <c r="F42" s="34">
        <v>2.51</v>
      </c>
      <c r="G42" s="34">
        <v>3.8</v>
      </c>
      <c r="H42" s="32"/>
      <c r="I42" s="34">
        <v>9.06</v>
      </c>
      <c r="J42" s="34">
        <v>1.64</v>
      </c>
      <c r="K42" s="34">
        <v>1.66</v>
      </c>
      <c r="L42" s="34">
        <v>5.61</v>
      </c>
      <c r="M42" s="32"/>
      <c r="N42" s="32"/>
      <c r="O42" s="32"/>
      <c r="P42" s="32"/>
      <c r="Q42" s="32"/>
      <c r="R42" s="32"/>
      <c r="S42" s="32"/>
      <c r="T42" s="32"/>
      <c r="U42" s="32"/>
    </row>
    <row r="43" ht="15.0" customHeight="1">
      <c r="A43" s="29" t="s">
        <v>486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ht="15.0" customHeight="1">
      <c r="A44" s="31" t="s">
        <v>487</v>
      </c>
      <c r="B44" s="34">
        <v>1.7</v>
      </c>
      <c r="C44" s="34">
        <v>1.26</v>
      </c>
      <c r="D44" s="34">
        <v>0.82</v>
      </c>
      <c r="E44" s="34">
        <v>0.58</v>
      </c>
      <c r="F44" s="34">
        <v>0.8</v>
      </c>
      <c r="G44" s="34">
        <v>1.05</v>
      </c>
      <c r="H44" s="34">
        <v>76.57</v>
      </c>
      <c r="I44" s="33">
        <v>162.68</v>
      </c>
      <c r="J44" s="33">
        <v>111.58</v>
      </c>
      <c r="K44" s="34">
        <v>8.27</v>
      </c>
      <c r="L44" s="34">
        <v>1.0</v>
      </c>
      <c r="M44" s="34">
        <v>0.11</v>
      </c>
      <c r="N44" s="34">
        <v>0.99</v>
      </c>
      <c r="O44" s="34">
        <v>0.51</v>
      </c>
      <c r="P44" s="34">
        <v>5.7</v>
      </c>
      <c r="Q44" s="34">
        <v>1.67</v>
      </c>
      <c r="R44" s="34">
        <v>0.49</v>
      </c>
      <c r="S44" s="34">
        <v>1.89</v>
      </c>
      <c r="T44" s="32"/>
      <c r="U44" s="32"/>
    </row>
    <row r="45" ht="15.0" customHeight="1">
      <c r="A45" s="31" t="s">
        <v>488</v>
      </c>
      <c r="B45" s="34">
        <v>1.05</v>
      </c>
      <c r="C45" s="34">
        <v>0.91</v>
      </c>
      <c r="D45" s="34">
        <v>1.02</v>
      </c>
      <c r="E45" s="34">
        <v>1.61</v>
      </c>
      <c r="F45" s="34">
        <v>2.84</v>
      </c>
      <c r="G45" s="34">
        <v>4.55</v>
      </c>
      <c r="H45" s="34">
        <v>7.2</v>
      </c>
      <c r="I45" s="34">
        <v>0.14</v>
      </c>
      <c r="J45" s="34">
        <v>0.57</v>
      </c>
      <c r="K45" s="34">
        <v>0.54</v>
      </c>
      <c r="L45" s="34">
        <v>1.36</v>
      </c>
      <c r="M45" s="34">
        <v>1.47</v>
      </c>
      <c r="N45" s="34">
        <v>1.13</v>
      </c>
      <c r="O45" s="34">
        <v>1.34</v>
      </c>
      <c r="P45" s="32"/>
      <c r="Q45" s="32"/>
      <c r="R45" s="32"/>
      <c r="S45" s="32"/>
      <c r="T45" s="32"/>
      <c r="U45" s="32"/>
    </row>
    <row r="46" ht="15.0" customHeight="1">
      <c r="A46" s="29" t="s">
        <v>489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ht="15.0" customHeight="1">
      <c r="A47" s="31" t="s">
        <v>490</v>
      </c>
      <c r="B47" s="32"/>
      <c r="C47" s="32"/>
      <c r="D47" s="34">
        <v>3.1</v>
      </c>
      <c r="E47" s="32"/>
      <c r="F47" s="32"/>
      <c r="G47" s="34">
        <v>3.64</v>
      </c>
      <c r="H47" s="32"/>
      <c r="I47" s="34">
        <v>3.76</v>
      </c>
      <c r="J47" s="34">
        <v>10.06</v>
      </c>
      <c r="K47" s="34">
        <v>0.65</v>
      </c>
      <c r="L47" s="34">
        <v>0.13</v>
      </c>
      <c r="M47" s="34">
        <v>0.18</v>
      </c>
      <c r="N47" s="32"/>
      <c r="O47" s="32"/>
      <c r="P47" s="32"/>
      <c r="Q47" s="32"/>
      <c r="R47" s="34">
        <v>65.76</v>
      </c>
      <c r="S47" s="32"/>
      <c r="T47" s="32"/>
      <c r="U47" s="32"/>
    </row>
    <row r="48" ht="15.0" customHeight="1">
      <c r="A48" s="31" t="s">
        <v>491</v>
      </c>
      <c r="B48" s="32"/>
      <c r="C48" s="34">
        <v>93.33</v>
      </c>
      <c r="D48" s="32"/>
      <c r="E48" s="32"/>
      <c r="F48" s="34">
        <v>12.63</v>
      </c>
      <c r="G48" s="34">
        <v>7.48</v>
      </c>
      <c r="H48" s="34">
        <v>0.91</v>
      </c>
      <c r="I48" s="34">
        <v>0.21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 ht="15.0" customHeight="1">
      <c r="A49" s="29" t="s">
        <v>492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ht="15.0" customHeight="1">
      <c r="A50" s="31" t="s">
        <v>493</v>
      </c>
      <c r="B50" s="34">
        <v>18.91</v>
      </c>
      <c r="C50" s="34">
        <v>4.74</v>
      </c>
      <c r="D50" s="34">
        <v>6.36</v>
      </c>
      <c r="E50" s="34">
        <v>5.6</v>
      </c>
      <c r="F50" s="34">
        <v>2.17</v>
      </c>
      <c r="G50" s="34">
        <v>1.07</v>
      </c>
      <c r="H50" s="32"/>
      <c r="I50" s="32"/>
      <c r="J50" s="32"/>
      <c r="K50" s="34">
        <v>0.05</v>
      </c>
      <c r="L50" s="32"/>
      <c r="M50" s="32"/>
      <c r="N50" s="32"/>
      <c r="O50" s="32"/>
      <c r="P50" s="34">
        <v>17.89</v>
      </c>
      <c r="Q50" s="34">
        <v>2.02</v>
      </c>
      <c r="R50" s="34">
        <v>1.72</v>
      </c>
      <c r="S50" s="34">
        <v>20.1</v>
      </c>
      <c r="T50" s="32"/>
      <c r="U50" s="32"/>
    </row>
    <row r="51" ht="15.0" customHeight="1">
      <c r="A51" s="31" t="s">
        <v>494</v>
      </c>
      <c r="B51" s="34">
        <v>5.94</v>
      </c>
      <c r="C51" s="34">
        <v>2.89</v>
      </c>
      <c r="D51" s="34">
        <v>3.32</v>
      </c>
      <c r="E51" s="34">
        <v>5.34</v>
      </c>
      <c r="F51" s="34">
        <v>6.73</v>
      </c>
      <c r="G51" s="34">
        <v>1.69</v>
      </c>
      <c r="H51" s="32"/>
      <c r="I51" s="32"/>
      <c r="J51" s="32"/>
      <c r="K51" s="32"/>
      <c r="L51" s="32"/>
      <c r="M51" s="34">
        <v>18.48</v>
      </c>
      <c r="N51" s="34">
        <v>4.71</v>
      </c>
      <c r="O51" s="34">
        <v>5.54</v>
      </c>
      <c r="P51" s="32"/>
      <c r="Q51" s="32"/>
      <c r="R51" s="32"/>
      <c r="S51" s="32"/>
      <c r="T51" s="32"/>
      <c r="U51" s="32"/>
    </row>
    <row r="52" ht="15.0" customHeight="1">
      <c r="A52" s="29" t="s">
        <v>495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 ht="15.0" customHeight="1">
      <c r="A53" s="31" t="s">
        <v>496</v>
      </c>
      <c r="B53" s="32"/>
      <c r="C53" s="34">
        <v>9.15</v>
      </c>
      <c r="D53" s="32"/>
      <c r="E53" s="32"/>
      <c r="F53" s="34">
        <v>26.76</v>
      </c>
      <c r="G53" s="34">
        <v>1.63</v>
      </c>
      <c r="H53" s="32"/>
      <c r="I53" s="32"/>
      <c r="J53" s="32"/>
      <c r="K53" s="34">
        <v>0.05</v>
      </c>
      <c r="L53" s="32"/>
      <c r="M53" s="32"/>
      <c r="N53" s="32"/>
      <c r="O53" s="32"/>
      <c r="P53" s="32"/>
      <c r="Q53" s="32"/>
      <c r="R53" s="34">
        <v>9.89</v>
      </c>
      <c r="S53" s="32"/>
      <c r="T53" s="32"/>
      <c r="U53" s="32"/>
    </row>
    <row r="54" ht="15.0" customHeight="1">
      <c r="A54" s="31" t="s">
        <v>497</v>
      </c>
      <c r="B54" s="32"/>
      <c r="C54" s="34">
        <v>8.08</v>
      </c>
      <c r="D54" s="34">
        <v>12.68</v>
      </c>
      <c r="E54" s="34">
        <v>86.31</v>
      </c>
      <c r="F54" s="34">
        <v>33.51</v>
      </c>
      <c r="G54" s="34">
        <v>1.99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ht="15.0" customHeight="1">
      <c r="A55" s="29" t="s">
        <v>498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ht="15.0" customHeight="1">
      <c r="A56" s="31" t="s">
        <v>499</v>
      </c>
      <c r="B56" s="32"/>
      <c r="C56" s="34">
        <v>7.55</v>
      </c>
      <c r="D56" s="34">
        <v>8.56</v>
      </c>
      <c r="E56" s="32"/>
      <c r="F56" s="34">
        <v>32.17</v>
      </c>
      <c r="G56" s="34">
        <v>0.23</v>
      </c>
      <c r="H56" s="32"/>
      <c r="I56" s="32"/>
      <c r="J56" s="32"/>
      <c r="K56" s="34">
        <v>0.63</v>
      </c>
      <c r="L56" s="34">
        <v>0.02</v>
      </c>
      <c r="M56" s="34">
        <v>0.51</v>
      </c>
      <c r="N56" s="32"/>
      <c r="O56" s="32"/>
      <c r="P56" s="32"/>
      <c r="Q56" s="34">
        <v>2.9</v>
      </c>
      <c r="R56" s="32"/>
      <c r="S56" s="32"/>
      <c r="T56" s="32"/>
      <c r="U56" s="32"/>
    </row>
    <row r="57" ht="15.0" customHeight="1">
      <c r="A57" s="31" t="s">
        <v>500</v>
      </c>
      <c r="B57" s="34">
        <v>1.1</v>
      </c>
      <c r="C57" s="34">
        <v>0.92</v>
      </c>
      <c r="D57" s="34">
        <v>1.04</v>
      </c>
      <c r="E57" s="34">
        <v>1.32</v>
      </c>
      <c r="F57" s="34">
        <v>1.74</v>
      </c>
      <c r="G57" s="34">
        <v>2.62</v>
      </c>
      <c r="H57" s="32"/>
      <c r="I57" s="34">
        <v>0.72</v>
      </c>
      <c r="J57" s="34">
        <v>0.53</v>
      </c>
      <c r="K57" s="34">
        <v>0.43</v>
      </c>
      <c r="L57" s="34">
        <v>0.67</v>
      </c>
      <c r="M57" s="34">
        <v>0.74</v>
      </c>
      <c r="N57" s="34">
        <v>0.68</v>
      </c>
      <c r="O57" s="34">
        <v>0.86</v>
      </c>
      <c r="P57" s="32"/>
      <c r="Q57" s="32"/>
      <c r="R57" s="32"/>
      <c r="S57" s="32"/>
      <c r="T57" s="32"/>
      <c r="U57" s="32"/>
    </row>
    <row r="58" ht="15.0" customHeight="1">
      <c r="A58" s="29" t="s">
        <v>501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ht="15.0" customHeight="1">
      <c r="A59" s="31" t="s">
        <v>502</v>
      </c>
      <c r="B59" s="32"/>
      <c r="C59" s="34">
        <v>0.01</v>
      </c>
      <c r="D59" s="32"/>
      <c r="E59" s="32"/>
      <c r="F59" s="37">
        <v>-0.28</v>
      </c>
      <c r="G59" s="32">
        <v>0.0</v>
      </c>
      <c r="H59" s="32"/>
      <c r="I59" s="32"/>
      <c r="J59" s="32"/>
      <c r="K59" s="32">
        <v>0.0</v>
      </c>
      <c r="L59" s="32"/>
      <c r="M59" s="32"/>
      <c r="N59" s="32"/>
      <c r="O59" s="32"/>
      <c r="P59" s="32"/>
      <c r="Q59" s="32"/>
      <c r="R59" s="34">
        <v>0.08</v>
      </c>
      <c r="S59" s="32"/>
      <c r="T59" s="32"/>
      <c r="U59" s="32"/>
    </row>
    <row r="60" ht="15.0" customHeight="1">
      <c r="A60" s="31" t="s">
        <v>503</v>
      </c>
      <c r="B60" s="32"/>
      <c r="C60" s="32"/>
      <c r="D60" s="32"/>
      <c r="E60" s="32"/>
      <c r="F60" s="37">
        <v>-0.56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 ht="15.0" customHeight="1">
      <c r="A61" s="29" t="s">
        <v>504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 ht="15.0" customHeight="1">
      <c r="A62" s="31" t="s">
        <v>505</v>
      </c>
      <c r="B62" s="34">
        <v>3.31</v>
      </c>
      <c r="C62" s="34">
        <v>2.56</v>
      </c>
      <c r="D62" s="34">
        <v>1.72</v>
      </c>
      <c r="E62" s="34">
        <v>2.46</v>
      </c>
      <c r="F62" s="34">
        <v>1.9</v>
      </c>
      <c r="G62" s="34">
        <v>3.58</v>
      </c>
      <c r="H62" s="33">
        <v>121.9</v>
      </c>
      <c r="I62" s="33">
        <v>166.21</v>
      </c>
      <c r="J62" s="33">
        <v>150.56</v>
      </c>
      <c r="K62" s="34">
        <v>44.76</v>
      </c>
      <c r="L62" s="34">
        <v>62.38</v>
      </c>
      <c r="M62" s="34">
        <v>2.84</v>
      </c>
      <c r="N62" s="34">
        <v>5.48</v>
      </c>
      <c r="O62" s="34">
        <v>2.25</v>
      </c>
      <c r="P62" s="34">
        <v>12.19</v>
      </c>
      <c r="Q62" s="34">
        <v>5.03</v>
      </c>
      <c r="R62" s="34">
        <v>1.82</v>
      </c>
      <c r="S62" s="34">
        <v>8.35</v>
      </c>
      <c r="T62" s="32"/>
      <c r="U62" s="32"/>
    </row>
    <row r="63" ht="15.0" customHeight="1">
      <c r="A63" s="31" t="s">
        <v>506</v>
      </c>
      <c r="B63" s="34">
        <v>2.36</v>
      </c>
      <c r="C63" s="34">
        <v>2.28</v>
      </c>
      <c r="D63" s="34">
        <v>2.29</v>
      </c>
      <c r="E63" s="34">
        <v>2.8</v>
      </c>
      <c r="F63" s="34">
        <v>3.22</v>
      </c>
      <c r="G63" s="34">
        <v>5.61</v>
      </c>
      <c r="H63" s="34">
        <v>89.93</v>
      </c>
      <c r="I63" s="34">
        <v>7.83</v>
      </c>
      <c r="J63" s="34">
        <v>6.09</v>
      </c>
      <c r="K63" s="34">
        <v>3.9</v>
      </c>
      <c r="L63" s="34">
        <v>5.06</v>
      </c>
      <c r="M63" s="34">
        <v>4.7</v>
      </c>
      <c r="N63" s="34">
        <v>3.91</v>
      </c>
      <c r="O63" s="34">
        <v>4.25</v>
      </c>
      <c r="P63" s="32"/>
      <c r="Q63" s="32"/>
      <c r="R63" s="32"/>
      <c r="S63" s="32"/>
      <c r="T63" s="32"/>
      <c r="U63" s="32"/>
    </row>
    <row r="64" ht="15.0" customHeight="1">
      <c r="A64" s="29" t="s">
        <v>507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ht="15.0" customHeight="1">
      <c r="A65" s="31" t="s">
        <v>508</v>
      </c>
      <c r="B65" s="34">
        <v>6.44</v>
      </c>
      <c r="C65" s="34">
        <v>4.73</v>
      </c>
      <c r="D65" s="34">
        <v>2.66</v>
      </c>
      <c r="E65" s="34">
        <v>5.42</v>
      </c>
      <c r="F65" s="34">
        <v>4.23</v>
      </c>
      <c r="G65" s="34">
        <v>8.4</v>
      </c>
      <c r="H65" s="32"/>
      <c r="I65" s="32"/>
      <c r="J65" s="32"/>
      <c r="K65" s="34">
        <v>1.15</v>
      </c>
      <c r="L65" s="34">
        <v>0.71</v>
      </c>
      <c r="M65" s="32"/>
      <c r="N65" s="32"/>
      <c r="O65" s="34">
        <v>9.18</v>
      </c>
      <c r="P65" s="34">
        <v>14.17</v>
      </c>
      <c r="Q65" s="34">
        <v>22.89</v>
      </c>
      <c r="R65" s="34">
        <v>2.87</v>
      </c>
      <c r="S65" s="34">
        <v>21.28</v>
      </c>
      <c r="T65" s="32"/>
      <c r="U65" s="32"/>
    </row>
    <row r="66" ht="15.0" customHeight="1">
      <c r="A66" s="31" t="s">
        <v>509</v>
      </c>
      <c r="B66" s="34">
        <v>4.4</v>
      </c>
      <c r="C66" s="34">
        <v>4.31</v>
      </c>
      <c r="D66" s="34">
        <v>4.42</v>
      </c>
      <c r="E66" s="34">
        <v>7.06</v>
      </c>
      <c r="F66" s="34">
        <v>9.06</v>
      </c>
      <c r="G66" s="34">
        <v>14.8</v>
      </c>
      <c r="H66" s="34">
        <v>2.14</v>
      </c>
      <c r="I66" s="34">
        <v>2.83</v>
      </c>
      <c r="J66" s="34">
        <v>5.22</v>
      </c>
      <c r="K66" s="34">
        <v>5.37</v>
      </c>
      <c r="L66" s="34">
        <v>7.7</v>
      </c>
      <c r="M66" s="32"/>
      <c r="N66" s="34">
        <v>13.84</v>
      </c>
      <c r="O66" s="34">
        <v>9.46</v>
      </c>
      <c r="P66" s="32"/>
      <c r="Q66" s="32"/>
      <c r="R66" s="32"/>
      <c r="S66" s="32"/>
      <c r="T66" s="32"/>
      <c r="U66" s="32"/>
    </row>
    <row r="67" ht="15.0" customHeight="1">
      <c r="A67" s="29" t="s">
        <v>510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ht="15.0" customHeight="1">
      <c r="A68" s="31" t="s">
        <v>511</v>
      </c>
      <c r="B68" s="34">
        <v>12.13</v>
      </c>
      <c r="C68" s="34">
        <v>10.37</v>
      </c>
      <c r="D68" s="34">
        <v>3.33</v>
      </c>
      <c r="E68" s="32"/>
      <c r="F68" s="34">
        <v>4.9</v>
      </c>
      <c r="G68" s="34">
        <v>6.55</v>
      </c>
      <c r="H68" s="32"/>
      <c r="I68" s="34">
        <v>3.84</v>
      </c>
      <c r="J68" s="34">
        <v>12.94</v>
      </c>
      <c r="K68" s="34">
        <v>1.66</v>
      </c>
      <c r="L68" s="34">
        <v>3.75</v>
      </c>
      <c r="M68" s="34">
        <v>2.45</v>
      </c>
      <c r="N68" s="34">
        <v>9.13</v>
      </c>
      <c r="O68" s="34">
        <v>4.32</v>
      </c>
      <c r="P68" s="34">
        <v>11.22</v>
      </c>
      <c r="Q68" s="32"/>
      <c r="R68" s="34">
        <v>5.43</v>
      </c>
      <c r="S68" s="34">
        <v>25.45</v>
      </c>
      <c r="T68" s="32"/>
      <c r="U68" s="32"/>
    </row>
    <row r="69" ht="15.0" customHeight="1">
      <c r="A69" s="31" t="s">
        <v>512</v>
      </c>
      <c r="B69" s="34">
        <v>7.69</v>
      </c>
      <c r="C69" s="34">
        <v>6.73</v>
      </c>
      <c r="D69" s="34">
        <v>6.22</v>
      </c>
      <c r="E69" s="34">
        <v>9.15</v>
      </c>
      <c r="F69" s="34">
        <v>6.23</v>
      </c>
      <c r="G69" s="34">
        <v>6.56</v>
      </c>
      <c r="H69" s="34">
        <v>5.23</v>
      </c>
      <c r="I69" s="34">
        <v>3.3</v>
      </c>
      <c r="J69" s="34">
        <v>4.42</v>
      </c>
      <c r="K69" s="34">
        <v>4.16</v>
      </c>
      <c r="L69" s="34">
        <v>5.64</v>
      </c>
      <c r="M69" s="34">
        <v>9.82</v>
      </c>
      <c r="N69" s="34">
        <v>11.43</v>
      </c>
      <c r="O69" s="34">
        <v>13.7</v>
      </c>
      <c r="P69" s="32"/>
      <c r="Q69" s="32"/>
      <c r="R69" s="32"/>
      <c r="S69" s="32"/>
      <c r="T69" s="32"/>
      <c r="U69" s="32"/>
    </row>
    <row r="70" ht="15.0" customHeight="1">
      <c r="A70" s="29" t="s">
        <v>513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ht="15.0" customHeight="1">
      <c r="A71" s="31" t="s">
        <v>514</v>
      </c>
      <c r="B71" s="32"/>
      <c r="C71" s="32"/>
      <c r="D71" s="34">
        <v>6.51</v>
      </c>
      <c r="E71" s="32"/>
      <c r="F71" s="34">
        <v>8.22</v>
      </c>
      <c r="G71" s="34">
        <v>12.42</v>
      </c>
      <c r="H71" s="32"/>
      <c r="I71" s="34">
        <v>3.84</v>
      </c>
      <c r="J71" s="34">
        <v>13.58</v>
      </c>
      <c r="K71" s="34">
        <v>3.51</v>
      </c>
      <c r="L71" s="34">
        <v>7.8</v>
      </c>
      <c r="M71" s="34">
        <v>4.42</v>
      </c>
      <c r="N71" s="32"/>
      <c r="O71" s="32"/>
      <c r="P71" s="32"/>
      <c r="Q71" s="32"/>
      <c r="R71" s="33">
        <v>244.45</v>
      </c>
      <c r="S71" s="32"/>
      <c r="T71" s="32"/>
      <c r="U71" s="32"/>
    </row>
    <row r="72" ht="15.0" customHeight="1">
      <c r="A72" s="31" t="s">
        <v>515</v>
      </c>
      <c r="B72" s="32"/>
      <c r="C72" s="32"/>
      <c r="D72" s="34">
        <v>97.58</v>
      </c>
      <c r="E72" s="32"/>
      <c r="F72" s="34">
        <v>29.24</v>
      </c>
      <c r="G72" s="34">
        <v>13.78</v>
      </c>
      <c r="H72" s="34">
        <v>12.09</v>
      </c>
      <c r="I72" s="34">
        <v>5.46</v>
      </c>
      <c r="J72" s="34">
        <v>26.24</v>
      </c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