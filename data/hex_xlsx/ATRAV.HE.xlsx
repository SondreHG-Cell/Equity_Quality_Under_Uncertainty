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qnSd0G+ZDUiS5cChmj9WzQJN3n0c6pG8hfpSgcY5Udg="/>
    </ext>
  </extLst>
</workbook>
</file>

<file path=xl/sharedStrings.xml><?xml version="1.0" encoding="utf-8"?>
<sst xmlns="http://schemas.openxmlformats.org/spreadsheetml/2006/main" count="941" uniqueCount="519">
  <si>
    <t>Company Fundamentals - Income Statement</t>
  </si>
  <si>
    <t>Company Name</t>
  </si>
  <si>
    <t>Atria Oyj (ATRAV.HE)</t>
  </si>
  <si>
    <t>Country of Exchange</t>
  </si>
  <si>
    <t>Finland</t>
  </si>
  <si>
    <t>Country of Headquarters</t>
  </si>
  <si>
    <t>TRBC Industry Group</t>
  </si>
  <si>
    <t>Food &amp; Tobacco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</si>
  <si>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</si>
  <si>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</si>
  <si>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</si>
  <si>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</si>
  <si>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</si>
  <si>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</si>
  <si>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</si>
  <si>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</si>
  <si>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</si>
  <si>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</si>
  <si>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</si>
  <si>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</si>
  <si>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</si>
  <si>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</si>
  <si>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</si>
  <si>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</si>
  <si>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</si>
  <si>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</si>
  <si>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</si>
  <si>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</si>
  <si>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</si>
  <si>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</si>
  <si>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</si>
  <si>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</si>
  <si>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</si>
  <si>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</si>
  <si>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</si>
  <si>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</si>
  <si>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</si>
  <si>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</si>
  <si>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</si>
  <si>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</si>
  <si>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</si>
  <si>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</si>
  <si>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</si>
  <si>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EUR</t>
  </si>
  <si>
    <t>Template Type</t>
  </si>
  <si>
    <t>Industrial - Gross Profit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</si>
  <si>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</si>
  <si>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</si>
  <si>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</si>
  <si>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</si>
  <si>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</si>
  <si>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</si>
  <si>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</si>
  <si>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</si>
  <si>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</si>
  <si>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</si>
  <si>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</si>
  <si>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</si>
  <si>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</si>
  <si>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</si>
  <si>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</si>
  <si>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</si>
  <si>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</si>
  <si>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</si>
  <si>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</si>
  <si>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</si>
  <si>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</si>
  <si>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</si>
  <si>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</si>
  <si>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</si>
  <si>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</si>
  <si>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</si>
  <si>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Net sales</t>
  </si>
  <si>
    <t>Sale of Goods</t>
  </si>
  <si>
    <t>Sale of Services</t>
  </si>
  <si>
    <t>Other Income</t>
  </si>
  <si>
    <t>Net sales - Balancing value</t>
  </si>
  <si>
    <t>Total Revenue</t>
  </si>
  <si>
    <t>Costs of goods sold</t>
  </si>
  <si>
    <t>Expenses from employee benefits by function:</t>
  </si>
  <si>
    <t>Other Cost of Sales</t>
  </si>
  <si>
    <t>Cost of revenues/COGS</t>
  </si>
  <si>
    <t>Balancing Item - Gross Margin</t>
  </si>
  <si>
    <t>Gross profit</t>
  </si>
  <si>
    <t>Sales and marketing expenses</t>
  </si>
  <si>
    <t>Research and development costs recognised as expenditure</t>
  </si>
  <si>
    <t>Labor and Related Expenses - Sales and marketing expenses</t>
  </si>
  <si>
    <t>Other Sales and Marketing Costs</t>
  </si>
  <si>
    <t>Administrative expenses</t>
  </si>
  <si>
    <t>Labor and Related Expenses - Administrative expenses</t>
  </si>
  <si>
    <t>Other Administration Costs</t>
  </si>
  <si>
    <t>Other operating income</t>
  </si>
  <si>
    <t>sale of real estate in malmo</t>
  </si>
  <si>
    <t>Sale of Tangible &amp; Intangible Fixed Assets - Gain/Loss</t>
  </si>
  <si>
    <t>Government Grants</t>
  </si>
  <si>
    <t>Refund of employment pension contributuions</t>
  </si>
  <si>
    <t>Grants recived</t>
  </si>
  <si>
    <t>Other operating income - Balancing value</t>
  </si>
  <si>
    <t>Translation differences from sold operation</t>
  </si>
  <si>
    <t>Other Operating Expenses</t>
  </si>
  <si>
    <t>Depreciation and Amortization</t>
  </si>
  <si>
    <t>Depreciation and Amortization - Balancing value</t>
  </si>
  <si>
    <t>Amortization of Intangibles excluding Goodwill</t>
  </si>
  <si>
    <t>Impairment - Goodwill</t>
  </si>
  <si>
    <t>Impairment - Intangibles excluding Goodwill</t>
  </si>
  <si>
    <t>Sales loss without translation differents</t>
  </si>
  <si>
    <t>Reorganisation costs</t>
  </si>
  <si>
    <t>Other Operating Expenses - Balancing value 1</t>
  </si>
  <si>
    <t>Other Operating Expenses - Balancing value</t>
  </si>
  <si>
    <t>Impairment losses from financial assets</t>
  </si>
  <si>
    <t>Intangible Amort</t>
  </si>
  <si>
    <t>Other Other Expenses</t>
  </si>
  <si>
    <t>Loss on Sale of Assets</t>
  </si>
  <si>
    <t>Personnel Costs</t>
  </si>
  <si>
    <t>Depreciation</t>
  </si>
  <si>
    <t>Net Finished Goods</t>
  </si>
  <si>
    <t>Share of Associates</t>
  </si>
  <si>
    <t>Raw Materials</t>
  </si>
  <si>
    <t>Change in Inventory</t>
  </si>
  <si>
    <t>External Services</t>
  </si>
  <si>
    <t>Accruals of Benefit-based Pensions</t>
  </si>
  <si>
    <t>Other Non-Operating Income/Expense</t>
  </si>
  <si>
    <t>Other Operating Income - Balancing value</t>
  </si>
  <si>
    <t>Operating income/ expense</t>
  </si>
  <si>
    <t>Balancing Item - Income from Operations, net</t>
  </si>
  <si>
    <t>EBIT</t>
  </si>
  <si>
    <t>Finance income and costs</t>
  </si>
  <si>
    <t>Dividend received from available fro sale financial assets</t>
  </si>
  <si>
    <t>Interest income from financial assets measured at amortised cost</t>
  </si>
  <si>
    <t>Interest Expense/Income - Net</t>
  </si>
  <si>
    <t>Exchange rate gains from financial liabilities and loan receivables measured at amortised cost</t>
  </si>
  <si>
    <t>Available for sale financial assets</t>
  </si>
  <si>
    <t>Dividend Income</t>
  </si>
  <si>
    <t>Other financial income</t>
  </si>
  <si>
    <t>Changes in the value of financial assets recognised at fair value through profit or loss - Derivatives instruments - not in hedge accounting</t>
  </si>
  <si>
    <t>Financial income - Balancing value</t>
  </si>
  <si>
    <t>Interest expenses from financial liabilities measured at amortised cost</t>
  </si>
  <si>
    <t>Exchange rate losses from financial liabilities and loan receivables measured at amortised cost</t>
  </si>
  <si>
    <t>Investment Income / Loss</t>
  </si>
  <si>
    <t>Other Financial Expenses</t>
  </si>
  <si>
    <t>Interest expenses from lease liabilities</t>
  </si>
  <si>
    <t>Changes in the value of financial assets recognised at fair value through profit or loss - Derivative instruments - not in hedge accounting</t>
  </si>
  <si>
    <t>Impairment from loan receivables measured at amortised cost</t>
  </si>
  <si>
    <t>Financial expenses - Balancing value</t>
  </si>
  <si>
    <t>Changes in the value of interest rate swaps for cash fow hedges - transfer from other</t>
  </si>
  <si>
    <t>Finance income and costs - Balancing value</t>
  </si>
  <si>
    <t>Rounding Adjustment</t>
  </si>
  <si>
    <t>Income from joint ventures and associates</t>
  </si>
  <si>
    <t>Non-operating Income/(Expense), Net</t>
  </si>
  <si>
    <t>Balancing Item - Pretax Income</t>
  </si>
  <si>
    <t>Profit before taxes</t>
  </si>
  <si>
    <t>Income Taxes</t>
  </si>
  <si>
    <t>Taxes based on the taxable profit for the period</t>
  </si>
  <si>
    <t>Retained taxes</t>
  </si>
  <si>
    <t>Deferred tax</t>
  </si>
  <si>
    <t>Income Taxes - Balancing value</t>
  </si>
  <si>
    <t>Income Taxes - Total</t>
  </si>
  <si>
    <t>Balancing Item - Net Income After Tax</t>
  </si>
  <si>
    <t>Profit for the period</t>
  </si>
  <si>
    <t>Non-controlling interests</t>
  </si>
  <si>
    <t>Minority interests</t>
  </si>
  <si>
    <t>Net Income Before Extra Items</t>
  </si>
  <si>
    <t>Balancing Item - Net Income available to Controlling Interest</t>
  </si>
  <si>
    <t>Owners of the parent</t>
  </si>
  <si>
    <t>As Rep Net Inc Attrib to Common S/H</t>
  </si>
  <si>
    <t>Actuarial losses from benefit-based pension obligations</t>
  </si>
  <si>
    <t>Cash flow hedges</t>
  </si>
  <si>
    <t>Changes in the fair value of equity investments at fair value</t>
  </si>
  <si>
    <t>Currency translation differences</t>
  </si>
  <si>
    <t>Other Comprehensive Income - Foreign Currency - Net of Tax</t>
  </si>
  <si>
    <t>Total comprehensive income for the period</t>
  </si>
  <si>
    <t>Balancing Item - Total Comprehensive Income</t>
  </si>
  <si>
    <t>Basic Weighted Average Shares</t>
  </si>
  <si>
    <t>Basic earnings per share</t>
  </si>
  <si>
    <t>Basic EPS Excluding ExtraOrdinary Items</t>
  </si>
  <si>
    <t>Diluted Net Income</t>
  </si>
  <si>
    <t>Diluted Weighted Average Shares</t>
  </si>
  <si>
    <t>Earnings per share adjusted by the dilution effect</t>
  </si>
  <si>
    <t>Diluted EPS Excluding ExtraOrd Items</t>
  </si>
  <si>
    <t>Diluted Net Income excluding Extra Items applicable to Common - (Company Level)</t>
  </si>
  <si>
    <t>Research and Development</t>
  </si>
  <si>
    <t>Amort of Intangibles</t>
  </si>
  <si>
    <t>Interest Expense</t>
  </si>
  <si>
    <t>Interest Expense on Financial Lease Liabilities - Supplemental</t>
  </si>
  <si>
    <t>Depreciation of Financial Lease Right-of-Use Assets - Supplemental</t>
  </si>
  <si>
    <t>Trademark</t>
  </si>
  <si>
    <t>Customer relationship</t>
  </si>
  <si>
    <t>Other Intangibles</t>
  </si>
  <si>
    <t>Impairment of Goodwill</t>
  </si>
  <si>
    <t>Total Depreciation &amp; Amortization (Combined)</t>
  </si>
  <si>
    <t>Amortization of Intangible Assets excluding Goodwill - Total</t>
  </si>
  <si>
    <t>Total Depreciation of Fixed Assets</t>
  </si>
  <si>
    <t>Total Amortization of Intangible Assets (incl Goodwill)</t>
  </si>
  <si>
    <t>Rental Expenses</t>
  </si>
  <si>
    <t>Intangible Amortization - Total</t>
  </si>
  <si>
    <t>Depreciation &amp; Amortization</t>
  </si>
  <si>
    <t>Auditor Fees - Total</t>
  </si>
  <si>
    <t>Audit Fees</t>
  </si>
  <si>
    <t>Audit-Related Fees</t>
  </si>
  <si>
    <t>Tax Fees, Auditor</t>
  </si>
  <si>
    <t>All Other Fees, Auditor</t>
  </si>
  <si>
    <t>Share-Based Compensation</t>
  </si>
  <si>
    <t>STAFF EXPENSES</t>
  </si>
  <si>
    <t>Non-Recurring Items</t>
  </si>
  <si>
    <t>Impairment - Fixed Assets</t>
  </si>
  <si>
    <t>Restructuring Charges &amp; Provisions</t>
  </si>
  <si>
    <t>Non-GAAP EPS Basic</t>
  </si>
  <si>
    <t>Non-GAAP EPS Diluted</t>
  </si>
  <si>
    <t>Non-GAAP Income from Operations</t>
  </si>
  <si>
    <t>Non-GAAP Operating Margin %</t>
  </si>
  <si>
    <t>Disposal and restoration of the Kuopio factory area</t>
  </si>
  <si>
    <t>Diluted Weighted Average Shares used to Calculate EPS - (Instrument Level)</t>
  </si>
  <si>
    <t>Basic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</si>
  <si>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</si>
  <si>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</si>
  <si>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Diluted EPS - Net Income excl Extra Items applicable to Common - (Instrument Level)</t>
  </si>
  <si>
    <t>Diluted Net Income excluding Extra Items applicable to Common - (Instrument Level)</t>
  </si>
  <si>
    <t>Diluted Earnings Allocation Factor - (Instrument Level)</t>
  </si>
  <si>
    <t>Allocated Diluted Net Income incl Extra Items applicable to Common - (Instrument Level)</t>
  </si>
  <si>
    <t>Basic EPS - Net Income excl Extra Items applicable to Common - (Instrument Level)</t>
  </si>
  <si>
    <t>Net Income excluding Extra Items applicable to Common - (Instrument Level)</t>
  </si>
  <si>
    <t>Allocated Net Income incl Extra Items applicable to Common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</si>
  <si>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</si>
  <si>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</si>
  <si>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</si>
  <si>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</si>
  <si>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</si>
  <si>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Materials and supplies</t>
  </si>
  <si>
    <t>Unfinished products</t>
  </si>
  <si>
    <t>Finished products</t>
  </si>
  <si>
    <t>Other inventories</t>
  </si>
  <si>
    <t>Inventories - Balancing value</t>
  </si>
  <si>
    <t>Biological assets</t>
  </si>
  <si>
    <t>Trade and other receivables</t>
  </si>
  <si>
    <t>Trade Receivable, Gross</t>
  </si>
  <si>
    <t>Trade receivables from consumer product customers</t>
  </si>
  <si>
    <t>Trade receivables from producers</t>
  </si>
  <si>
    <t>Loan receivables</t>
  </si>
  <si>
    <t>Other receivables</t>
  </si>
  <si>
    <t>Derivative instruments - in hedge accounting</t>
  </si>
  <si>
    <t>Derivative financial instruments (not in hedge accounting)</t>
  </si>
  <si>
    <t>Trade and other receivables - Balancing value</t>
  </si>
  <si>
    <t>Accrued credits and deferred charges</t>
  </si>
  <si>
    <t>Trade and Other Receivables</t>
  </si>
  <si>
    <t>Provision for Doubtful Accounts</t>
  </si>
  <si>
    <t>Accrued Credits &amp; Deferred Charges</t>
  </si>
  <si>
    <t>Current tax assets</t>
  </si>
  <si>
    <t>Cash and cash equivalents</t>
  </si>
  <si>
    <t>ST Loan Receivables</t>
  </si>
  <si>
    <t>Derivative Instruments</t>
  </si>
  <si>
    <t>ST Receivables from Derivatives</t>
  </si>
  <si>
    <t>Long term receivables</t>
  </si>
  <si>
    <t>Balancing Item - Current Assets</t>
  </si>
  <si>
    <t>Total Current assets</t>
  </si>
  <si>
    <t>Total Tangible Assets, Gross</t>
  </si>
  <si>
    <t>Acc Depreciation of Property, Plant and Equipment</t>
  </si>
  <si>
    <t>Property, Plant and Equipment, Net</t>
  </si>
  <si>
    <t>Land-NBV</t>
  </si>
  <si>
    <t>Land and Water, Gross</t>
  </si>
  <si>
    <t>Buildings-NBV</t>
  </si>
  <si>
    <t>Buildings and Structures, Gross</t>
  </si>
  <si>
    <t>Buildings - acc depn</t>
  </si>
  <si>
    <t>Buildings-NBV - Balancing value</t>
  </si>
  <si>
    <t>Plant/machinery-NBV</t>
  </si>
  <si>
    <t>Machinery and Equipment, Gross</t>
  </si>
  <si>
    <t>Plant/mach - acc depn</t>
  </si>
  <si>
    <t>Other Tangible Fixed Assets, Net</t>
  </si>
  <si>
    <t>Other tangible assets, Gross</t>
  </si>
  <si>
    <t>Acc Depr Other Tangible Fixed Assets</t>
  </si>
  <si>
    <t>Other Tangible Fixed Assets, Net - Balancing value</t>
  </si>
  <si>
    <t>Constr w-i-p NBV c/f</t>
  </si>
  <si>
    <t>Acquisitions in progress, Gross</t>
  </si>
  <si>
    <t>Constr w-i-p written off</t>
  </si>
  <si>
    <t>Constr w-i-p NBV c/f - Balancing value</t>
  </si>
  <si>
    <t>Property, Plant and Equipment, Net - Balancing value</t>
  </si>
  <si>
    <t>Right-of-use assets</t>
  </si>
  <si>
    <t>Biological Assets</t>
  </si>
  <si>
    <t>Accumulated Intangible Amortization</t>
  </si>
  <si>
    <t>Intangible Assets - Gross - Total</t>
  </si>
  <si>
    <t>Goodwill</t>
  </si>
  <si>
    <t>Goodwill, Gross</t>
  </si>
  <si>
    <t>Accumulated Amortization of Goodwill</t>
  </si>
  <si>
    <t>Goodwill - Balancing value</t>
  </si>
  <si>
    <t>Other intangible assets</t>
  </si>
  <si>
    <t>Brands, patents, net</t>
  </si>
  <si>
    <t>Trademarks, Gross</t>
  </si>
  <si>
    <t>Brands/patents amortn</t>
  </si>
  <si>
    <t>Brands, patents, net - Balancing value</t>
  </si>
  <si>
    <t>Customer Relationships, Net</t>
  </si>
  <si>
    <t>Customer Relationships, Gross</t>
  </si>
  <si>
    <t>Acc Amort Customer Relationships</t>
  </si>
  <si>
    <t>Customer Relationships, Net - Balancing value</t>
  </si>
  <si>
    <t>Other Intangibles, Net</t>
  </si>
  <si>
    <t>Other intangible assets, Gross</t>
  </si>
  <si>
    <t>Accumulated Amortization of Other intangible assets</t>
  </si>
  <si>
    <t>Other Intangibles, Net - Balancing value</t>
  </si>
  <si>
    <t>Other intangible assets - Balancing value</t>
  </si>
  <si>
    <t>Investments in joint ventures and associates</t>
  </si>
  <si>
    <t>Other financial assets</t>
  </si>
  <si>
    <t>Loan and other receivables</t>
  </si>
  <si>
    <t>Trade receivables</t>
  </si>
  <si>
    <t>Other Receivables</t>
  </si>
  <si>
    <t>Derivative financial instruments - in hedge accounting</t>
  </si>
  <si>
    <t>Derivative financial instruments – not in hedge accounting</t>
  </si>
  <si>
    <t>Trade receivables from primary production customers</t>
  </si>
  <si>
    <t>Loan receivables from primary production customers</t>
  </si>
  <si>
    <t>Other Receivable</t>
  </si>
  <si>
    <t>Deferred tax assets</t>
  </si>
  <si>
    <t>Rights</t>
  </si>
  <si>
    <t>Acc Amort. Total Intangible Assets</t>
  </si>
  <si>
    <t>Total Intangible Assets, Gross</t>
  </si>
  <si>
    <t>Total Intangible Assets, Net</t>
  </si>
  <si>
    <t>Amortisation</t>
  </si>
  <si>
    <t>LT Expenditure</t>
  </si>
  <si>
    <t>Non Curr Derv Fin'l Instrument-hedging</t>
  </si>
  <si>
    <t>Acc Amort. Other Intangibles</t>
  </si>
  <si>
    <t>Other Intangibles, Gross</t>
  </si>
  <si>
    <t>Balancing Item - Noncurrent Assets</t>
  </si>
  <si>
    <t>Total Non Current assets</t>
  </si>
  <si>
    <t>Assets classified as held for sale</t>
  </si>
  <si>
    <t>Balancing Item - Assets</t>
  </si>
  <si>
    <t>Total Assets</t>
  </si>
  <si>
    <t>Loans</t>
  </si>
  <si>
    <t>Loans from financial institutions</t>
  </si>
  <si>
    <t>Commercial papers</t>
  </si>
  <si>
    <t>Pension fund loans</t>
  </si>
  <si>
    <t>Other loans</t>
  </si>
  <si>
    <t>Loans - Balancing value</t>
  </si>
  <si>
    <t>Other Interest-Bearing Debts</t>
  </si>
  <si>
    <t>Loans (not use)</t>
  </si>
  <si>
    <t>Finance lease liabilities</t>
  </si>
  <si>
    <t>Trade and other payables</t>
  </si>
  <si>
    <t>Trade and other payables - Balancing value</t>
  </si>
  <si>
    <t>Trade payables</t>
  </si>
  <si>
    <t>Advances received</t>
  </si>
  <si>
    <t>Other liabilities</t>
  </si>
  <si>
    <t>Derivative instruments in hedge accounting</t>
  </si>
  <si>
    <t>Derivative financial instruments not in hedge accounting</t>
  </si>
  <si>
    <t>Accrued and deferred income</t>
  </si>
  <si>
    <t>Current tax liabilities</t>
  </si>
  <si>
    <t>Credit Institut.</t>
  </si>
  <si>
    <t>Pension Loans</t>
  </si>
  <si>
    <t>Convertible Bond</t>
  </si>
  <si>
    <t>ST Derivative Liabilities</t>
  </si>
  <si>
    <t>Balancing Item - Current Liabilities</t>
  </si>
  <si>
    <t>Commercial Papers</t>
  </si>
  <si>
    <t>Other I-B Debt</t>
  </si>
  <si>
    <t>Total Current Liabilities</t>
  </si>
  <si>
    <t>Pension provisions</t>
  </si>
  <si>
    <t>Derivatives</t>
  </si>
  <si>
    <t>Provisions</t>
  </si>
  <si>
    <t>Interest-bearing financial liabilities</t>
  </si>
  <si>
    <t>Loans LT</t>
  </si>
  <si>
    <t>Deferred tax liabilities</t>
  </si>
  <si>
    <t>Other non-interest-bearing liabilities</t>
  </si>
  <si>
    <t>Derivative instruments - in Hedge accounting</t>
  </si>
  <si>
    <t>Derivative instruments - not in Hedge accounting</t>
  </si>
  <si>
    <t>Accruals and deferred income</t>
  </si>
  <si>
    <t>Other non-interest-bearing liabilities - Balancing value</t>
  </si>
  <si>
    <t>Pension obligations</t>
  </si>
  <si>
    <t>Liabilities classified as held for sale</t>
  </si>
  <si>
    <t>Total Non Current liabilities</t>
  </si>
  <si>
    <t>Balancing Item - Noncurrent Liabilities</t>
  </si>
  <si>
    <t>Balancing Item - Liabilities</t>
  </si>
  <si>
    <t>Total Liabilities</t>
  </si>
  <si>
    <t>Share Capital</t>
  </si>
  <si>
    <t>Share Premium</t>
  </si>
  <si>
    <t>Treasury shares</t>
  </si>
  <si>
    <t>Other funds</t>
  </si>
  <si>
    <t>Invested unrestricted equity fund</t>
  </si>
  <si>
    <t>Translation differences</t>
  </si>
  <si>
    <t>Retained earnings</t>
  </si>
  <si>
    <t>Balancing Item - Shareholders Equity</t>
  </si>
  <si>
    <t>Equity attributable to the shareholders of the parent company</t>
  </si>
  <si>
    <t>Minority Interest</t>
  </si>
  <si>
    <t>Balancing Item - Total Equity</t>
  </si>
  <si>
    <t>Total Equity</t>
  </si>
  <si>
    <t>Balancing Item - Total Liability and Equity</t>
  </si>
  <si>
    <t>Total equity and liabilities</t>
  </si>
  <si>
    <t>Total Equivalent No of Common Shares O/S</t>
  </si>
  <si>
    <t>Reported Issued Shares- Common Iss. Pri.</t>
  </si>
  <si>
    <t>Common Shares Treasury - (Company Level)</t>
  </si>
  <si>
    <t>Reported Total LT Debt, Supplemental</t>
  </si>
  <si>
    <t>Liabilities due within 1 Year</t>
  </si>
  <si>
    <t>Liabilities due within 2 Years</t>
  </si>
  <si>
    <t>Liabilities due within 6 Years</t>
  </si>
  <si>
    <t>Reported Total LT Debt, Supplemental - Balancing value</t>
  </si>
  <si>
    <t>Long Term Debt - Remaining Maturities</t>
  </si>
  <si>
    <t>Total Indefinite-lived Intangible Assets (excl Goodwill) - Net - Supplemental</t>
  </si>
  <si>
    <t>Liabilities due within 3 Years</t>
  </si>
  <si>
    <t>Liabilities due within 4 Years</t>
  </si>
  <si>
    <t>Liabilities due within 5 Years</t>
  </si>
  <si>
    <t>Long Term Debt Maturing in Year 6</t>
  </si>
  <si>
    <t>Later</t>
  </si>
  <si>
    <t>Reported Total Capital Leases, Sup</t>
  </si>
  <si>
    <t>Leases due within 1 Year</t>
  </si>
  <si>
    <t>Leases due within 1-5 Years</t>
  </si>
  <si>
    <t>Leases due after 5 Years</t>
  </si>
  <si>
    <t>S/O-KII-Shares</t>
  </si>
  <si>
    <t>Common Shares Treasury - (Instrument Level)</t>
  </si>
  <si>
    <t>Common Shares Issued - (Instrument Level)-KII</t>
  </si>
  <si>
    <t>Asset Allocation Factor - (Instrument Level)</t>
  </si>
  <si>
    <t>S/O-A-Shares</t>
  </si>
  <si>
    <t>Common Shares Treasury - (Instrument Level)-A</t>
  </si>
  <si>
    <t>Common Shares Issued - (Instrument Level)-A</t>
  </si>
  <si>
    <t>Company Fundamentals - Cash Flow</t>
  </si>
  <si>
    <t>Industrial - Direct</t>
  </si>
  <si>
    <t>Cash Flow - Company Specific (Currency: Norwegian Krone)</t>
  </si>
  <si>
    <t>Operating activities before financial items and taxes</t>
  </si>
  <si>
    <t>Financial items and taxes</t>
  </si>
  <si>
    <t>Payments received from other operating income</t>
  </si>
  <si>
    <t>Payments on operating expenses</t>
  </si>
  <si>
    <t>Interest paid and payments on other operational financial expenses</t>
  </si>
  <si>
    <t>Dividends received</t>
  </si>
  <si>
    <t>Payments received from sales</t>
  </si>
  <si>
    <t>Interest payments received and other financial income</t>
  </si>
  <si>
    <t>Direct taxes paid</t>
  </si>
  <si>
    <t>Balancing Item - Operating (Direct)</t>
  </si>
  <si>
    <t>Net cash flow from operating activities</t>
  </si>
  <si>
    <t>Investments in tangible and intangible assets</t>
  </si>
  <si>
    <t>Sold operations</t>
  </si>
  <si>
    <t>Increase (-) / decrease () in long-term receivables</t>
  </si>
  <si>
    <t>Increase (-) / decrease () in short-term receivables</t>
  </si>
  <si>
    <t>Acquired operations</t>
  </si>
  <si>
    <t>Proceeds from the sale of tangible and intangible assets</t>
  </si>
  <si>
    <t>Acquired shares in associates</t>
  </si>
  <si>
    <t>Sold subsidiary shares</t>
  </si>
  <si>
    <t>Change in Other Investments</t>
  </si>
  <si>
    <t>Balancing Item - Investing</t>
  </si>
  <si>
    <t>Net cash flow from investing activities</t>
  </si>
  <si>
    <t>Proceeds from long-term borrowings</t>
  </si>
  <si>
    <t>Repayment of long-term borrowings</t>
  </si>
  <si>
    <t>Repayment of short-term loans</t>
  </si>
  <si>
    <t>Proceeds from short-term loans</t>
  </si>
  <si>
    <t>Increase in short term loans</t>
  </si>
  <si>
    <t>Dividends paid / capital refund</t>
  </si>
  <si>
    <t>Distribution of dividend non-controlling interests</t>
  </si>
  <si>
    <t>Dividends Paid</t>
  </si>
  <si>
    <t>Acquisition of own sharers</t>
  </si>
  <si>
    <t>Issue Shares</t>
  </si>
  <si>
    <t>Acquisition of non-controlling interest</t>
  </si>
  <si>
    <t>Contribution by non-controlling interest</t>
  </si>
  <si>
    <t>Repurchase of Own Shares</t>
  </si>
  <si>
    <t>Principal elements of lease payments</t>
  </si>
  <si>
    <t>Balancing Item - Financing</t>
  </si>
  <si>
    <t>Net cash flow from financing activities</t>
  </si>
  <si>
    <t>Change in liquid funds</t>
  </si>
  <si>
    <t>Cash and cash equivalents at beginning of year</t>
  </si>
  <si>
    <t>Cash and cash equivalents at the end of period</t>
  </si>
  <si>
    <t>Effect of exchange rate changes on cash flows</t>
  </si>
  <si>
    <t>Balancing Item - Change in Cash</t>
  </si>
  <si>
    <t>Purchase of ppe and intangibles</t>
  </si>
  <si>
    <t>Amortization of Intangibles</t>
  </si>
  <si>
    <t>Non-GAAP Free Cash Flow</t>
  </si>
  <si>
    <t>Company Fundamentals - Valuation</t>
  </si>
  <si>
    <t>2003</t>
  </si>
  <si>
    <t>2002</t>
  </si>
  <si>
    <t>2001</t>
  </si>
  <si>
    <t>2000</t>
  </si>
  <si>
    <t>1999</t>
  </si>
  <si>
    <t>1998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</si>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</sst>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\-mm\-yyyy"/>
    <numFmt numFmtId="165" formatCode="#,##0.0"/>
    <numFmt numFmtId="166" formatCode="[&gt;=100]##,##0.0\%;[&lt;=-100]\-##,##0.0\%;##,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sz val="10.0"/>
      <color rgb="FFF5475B"/>
      <name val="Calibri"/>
    </font>
    <font>
      <b/>
      <sz val="10.0"/>
      <color rgb="FF000000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0" fillId="0" fontId="3" numFmtId="0" xfId="0" applyFont="1"/>
    <xf borderId="0" fillId="0" fontId="4" numFmtId="0" xfId="0" applyFont="1"/>
    <xf borderId="0" fillId="0" fontId="3" numFmtId="164" xfId="0" applyAlignment="1" applyFont="1" applyNumberFormat="1">
      <alignment horizontal="left"/>
    </xf>
    <xf borderId="2" fillId="2" fontId="2" numFmtId="0" xfId="0" applyBorder="1" applyFont="1"/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vertical="center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Font="1"/>
    <xf borderId="2" fillId="2" fontId="2" numFmtId="0" xfId="0" applyAlignment="1" applyBorder="1" applyFont="1">
      <alignment shrinkToFit="0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0" xfId="0" applyAlignment="1" applyBorder="1" applyFon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3" numFmtId="166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3" fontId="7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6" numFmtId="166" xfId="0" applyAlignment="1" applyBorder="1" applyFont="1" applyNumberFormat="1">
      <alignment horizontal="right" shrinkToFit="0" vertical="center" wrapText="1"/>
    </xf>
    <xf borderId="3" fillId="0" fontId="6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3" width="15.71"/>
    <col customWidth="1" min="24" max="26" width="8.86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46096.5221648958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41274.0</v>
      </c>
      <c r="Q13" s="9">
        <v>40543.0</v>
      </c>
      <c r="R13" s="9">
        <v>40178.0</v>
      </c>
      <c r="S13" s="9">
        <v>40178.0</v>
      </c>
      <c r="T13" s="9">
        <v>39813.0</v>
      </c>
      <c r="U13" s="9">
        <v>39447.0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</row>
    <row r="16" ht="15.0" customHeight="1" outlineLevel="1">
      <c r="A16" s="8" t="s">
        <v>47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</row>
    <row r="18">
      <c r="A18" s="12" t="s">
        <v>48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72</v>
      </c>
      <c r="B20" s="15">
        <v>21224.95</v>
      </c>
      <c r="C20" s="15">
        <v>20396.68</v>
      </c>
      <c r="D20" s="15">
        <v>19993.7</v>
      </c>
      <c r="E20" s="15">
        <v>17126.16</v>
      </c>
      <c r="F20" s="15">
        <v>15650.78</v>
      </c>
      <c r="G20" s="15">
        <v>16128.11</v>
      </c>
      <c r="H20" s="15">
        <v>14287.64</v>
      </c>
      <c r="I20" s="15">
        <v>13811.74</v>
      </c>
      <c r="J20" s="15">
        <v>13399.96</v>
      </c>
      <c r="K20" s="15">
        <v>12555.3</v>
      </c>
      <c r="L20" s="15">
        <v>11987.5</v>
      </c>
      <c r="M20" s="15">
        <v>11917.08</v>
      </c>
      <c r="N20" s="15">
        <v>11018.05</v>
      </c>
      <c r="O20" s="15">
        <v>10041.57</v>
      </c>
      <c r="P20" s="15">
        <v>10144.3</v>
      </c>
      <c r="Q20" s="15"/>
      <c r="R20" s="15"/>
      <c r="S20" s="15"/>
      <c r="T20" s="15">
        <v>10191.44</v>
      </c>
      <c r="U20" s="16">
        <v>8874.82</v>
      </c>
      <c r="V20" s="16">
        <v>7824.3</v>
      </c>
      <c r="W20" s="16">
        <v>6975.75</v>
      </c>
    </row>
    <row r="21" ht="15.0" customHeight="1">
      <c r="A21" s="14" t="s">
        <v>73</v>
      </c>
      <c r="B21" s="15"/>
      <c r="C21" s="15">
        <v>20292.88</v>
      </c>
      <c r="D21" s="15">
        <v>19808.59</v>
      </c>
      <c r="E21" s="15">
        <v>17054.51</v>
      </c>
      <c r="F21" s="15">
        <v>15569.04</v>
      </c>
      <c r="G21" s="15">
        <v>16046.84</v>
      </c>
      <c r="H21" s="15">
        <v>14212.71</v>
      </c>
      <c r="I21" s="15">
        <v>13736.7</v>
      </c>
      <c r="J21" s="15">
        <v>13282.94</v>
      </c>
      <c r="K21" s="15">
        <v>12462.01</v>
      </c>
      <c r="L21" s="15">
        <v>11910.87</v>
      </c>
      <c r="M21" s="15">
        <v>11848.35</v>
      </c>
      <c r="N21" s="15"/>
      <c r="O21" s="16">
        <v>9965.46</v>
      </c>
      <c r="P21" s="15">
        <v>10030.54</v>
      </c>
      <c r="Q21" s="15">
        <v>10295.76</v>
      </c>
      <c r="R21" s="15">
        <v>11363.11</v>
      </c>
      <c r="S21" s="15">
        <v>11048.34</v>
      </c>
      <c r="T21" s="15"/>
      <c r="U21" s="15"/>
      <c r="V21" s="15"/>
      <c r="W21" s="15"/>
    </row>
    <row r="22" ht="15.0" customHeight="1">
      <c r="A22" s="14" t="s">
        <v>74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7">
        <v>13.31</v>
      </c>
      <c r="P22" s="17">
        <v>44.03</v>
      </c>
      <c r="Q22" s="17">
        <v>41.83</v>
      </c>
      <c r="R22" s="17">
        <v>51.95</v>
      </c>
      <c r="S22" s="17">
        <v>60.79</v>
      </c>
      <c r="T22" s="15"/>
      <c r="U22" s="15"/>
      <c r="V22" s="15"/>
      <c r="W22" s="15"/>
    </row>
    <row r="23" ht="15.0" customHeight="1">
      <c r="A23" s="14" t="s">
        <v>75</v>
      </c>
      <c r="B23" s="15"/>
      <c r="C23" s="16">
        <v>103.8</v>
      </c>
      <c r="D23" s="16">
        <v>185.12</v>
      </c>
      <c r="E23" s="17">
        <v>71.67</v>
      </c>
      <c r="F23" s="17">
        <v>81.75</v>
      </c>
      <c r="G23" s="17">
        <v>81.27</v>
      </c>
      <c r="H23" s="17">
        <v>74.93</v>
      </c>
      <c r="I23" s="17">
        <v>75.04</v>
      </c>
      <c r="J23" s="16">
        <v>117.02</v>
      </c>
      <c r="K23" s="17">
        <v>93.29</v>
      </c>
      <c r="L23" s="17">
        <v>76.63</v>
      </c>
      <c r="M23" s="17">
        <v>68.72</v>
      </c>
      <c r="N23" s="15"/>
      <c r="O23" s="17">
        <v>62.8</v>
      </c>
      <c r="P23" s="17">
        <v>69.73</v>
      </c>
      <c r="Q23" s="17">
        <v>73.55</v>
      </c>
      <c r="R23" s="17">
        <v>69.92</v>
      </c>
      <c r="S23" s="17">
        <v>65.94</v>
      </c>
      <c r="T23" s="15"/>
      <c r="U23" s="17">
        <v>89.88</v>
      </c>
      <c r="V23" s="17">
        <v>20.88</v>
      </c>
      <c r="W23" s="17">
        <v>5.41</v>
      </c>
    </row>
    <row r="24" ht="15.0" customHeight="1">
      <c r="A24" s="14" t="s">
        <v>76</v>
      </c>
      <c r="B24" s="15"/>
      <c r="C24" s="17">
        <v>0.01</v>
      </c>
      <c r="D24" s="15"/>
      <c r="E24" s="18">
        <v>-0.01</v>
      </c>
      <c r="F24" s="18">
        <v>-0.01</v>
      </c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</row>
    <row r="25" ht="15.0" customHeight="1">
      <c r="A25" s="19" t="s">
        <v>77</v>
      </c>
      <c r="B25" s="20">
        <v>21224.95</v>
      </c>
      <c r="C25" s="20">
        <v>20396.68</v>
      </c>
      <c r="D25" s="20">
        <v>19993.7</v>
      </c>
      <c r="E25" s="20">
        <v>17126.16</v>
      </c>
      <c r="F25" s="20">
        <v>15650.78</v>
      </c>
      <c r="G25" s="20">
        <v>16128.11</v>
      </c>
      <c r="H25" s="20">
        <v>14287.64</v>
      </c>
      <c r="I25" s="20">
        <v>13811.74</v>
      </c>
      <c r="J25" s="20">
        <v>13399.96</v>
      </c>
      <c r="K25" s="20">
        <v>12555.3</v>
      </c>
      <c r="L25" s="20">
        <v>11987.5</v>
      </c>
      <c r="M25" s="20">
        <v>11917.08</v>
      </c>
      <c r="N25" s="20">
        <v>11018.05</v>
      </c>
      <c r="O25" s="20">
        <v>10041.57</v>
      </c>
      <c r="P25" s="20">
        <v>10144.3</v>
      </c>
      <c r="Q25" s="20">
        <v>10411.14</v>
      </c>
      <c r="R25" s="20">
        <v>11484.99</v>
      </c>
      <c r="S25" s="20">
        <v>11175.08</v>
      </c>
      <c r="T25" s="20">
        <v>10191.44</v>
      </c>
      <c r="U25" s="21">
        <v>8964.71</v>
      </c>
      <c r="V25" s="21">
        <v>7845.18</v>
      </c>
      <c r="W25" s="21">
        <v>6981.15</v>
      </c>
    </row>
    <row r="26" ht="15.0" customHeight="1">
      <c r="A26" s="14" t="s">
        <v>78</v>
      </c>
      <c r="B26" s="15">
        <v>18909.02</v>
      </c>
      <c r="C26" s="15">
        <v>18173.78</v>
      </c>
      <c r="D26" s="15">
        <v>18083.95</v>
      </c>
      <c r="E26" s="15">
        <v>15424.91</v>
      </c>
      <c r="F26" s="15">
        <v>13857.02</v>
      </c>
      <c r="G26" s="15">
        <v>14344.61</v>
      </c>
      <c r="H26" s="15">
        <v>12685.62</v>
      </c>
      <c r="I26" s="15">
        <v>12344.11</v>
      </c>
      <c r="J26" s="15">
        <v>11782.91</v>
      </c>
      <c r="K26" s="15">
        <v>11028.65</v>
      </c>
      <c r="L26" s="15">
        <v>10526.63</v>
      </c>
      <c r="M26" s="15">
        <v>10439.67</v>
      </c>
      <c r="N26" s="16">
        <v>9660.3</v>
      </c>
      <c r="O26" s="16">
        <v>8763.11</v>
      </c>
      <c r="P26" s="16">
        <v>9059.7</v>
      </c>
      <c r="Q26" s="16">
        <v>9196.38</v>
      </c>
      <c r="R26" s="15">
        <v>10046.18</v>
      </c>
      <c r="S26" s="16">
        <v>9869.53</v>
      </c>
      <c r="T26" s="15"/>
      <c r="U26" s="15"/>
      <c r="V26" s="15"/>
      <c r="W26" s="15"/>
    </row>
    <row r="27" ht="15.0" customHeight="1">
      <c r="A27" s="14" t="s">
        <v>79</v>
      </c>
      <c r="B27" s="15"/>
      <c r="C27" s="16">
        <v>2517.31</v>
      </c>
      <c r="D27" s="16">
        <v>2414.0</v>
      </c>
      <c r="E27" s="16">
        <v>2027.02</v>
      </c>
      <c r="F27" s="16">
        <v>2038.61</v>
      </c>
      <c r="G27" s="16">
        <v>2079.99</v>
      </c>
      <c r="H27" s="16">
        <v>1892.84</v>
      </c>
      <c r="I27" s="16">
        <v>1835.32</v>
      </c>
      <c r="J27" s="16">
        <v>1754.53</v>
      </c>
      <c r="K27" s="16">
        <v>1673.25</v>
      </c>
      <c r="L27" s="16">
        <v>1560.32</v>
      </c>
      <c r="M27" s="16">
        <v>1564.27</v>
      </c>
      <c r="N27" s="16">
        <v>1367.72</v>
      </c>
      <c r="O27" s="16">
        <v>1327.58</v>
      </c>
      <c r="P27" s="16">
        <v>1391.27</v>
      </c>
      <c r="Q27" s="15"/>
      <c r="R27" s="15"/>
      <c r="S27" s="15"/>
      <c r="T27" s="15"/>
      <c r="U27" s="15"/>
      <c r="V27" s="15"/>
      <c r="W27" s="15"/>
    </row>
    <row r="28" ht="15.0" customHeight="1">
      <c r="A28" s="14" t="s">
        <v>78</v>
      </c>
      <c r="B28" s="15"/>
      <c r="C28" s="16">
        <v>628.98</v>
      </c>
      <c r="D28" s="16">
        <v>531.53</v>
      </c>
      <c r="E28" s="16">
        <v>424.78</v>
      </c>
      <c r="F28" s="16">
        <v>452.06</v>
      </c>
      <c r="G28" s="16">
        <v>473.28</v>
      </c>
      <c r="H28" s="16">
        <v>409.21</v>
      </c>
      <c r="I28" s="16">
        <v>342.89</v>
      </c>
      <c r="J28" s="16">
        <v>334.48</v>
      </c>
      <c r="K28" s="16">
        <v>361.51</v>
      </c>
      <c r="L28" s="16">
        <v>359.01</v>
      </c>
      <c r="M28" s="16">
        <v>353.84</v>
      </c>
      <c r="N28" s="16">
        <v>352.11</v>
      </c>
      <c r="O28" s="16">
        <v>331.34</v>
      </c>
      <c r="P28" s="16">
        <v>345.57</v>
      </c>
      <c r="Q28" s="15"/>
      <c r="R28" s="15"/>
      <c r="S28" s="15"/>
      <c r="T28" s="15"/>
      <c r="U28" s="15"/>
      <c r="V28" s="15"/>
      <c r="W28" s="15"/>
    </row>
    <row r="29" ht="15.0" customHeight="1">
      <c r="A29" s="14" t="s">
        <v>80</v>
      </c>
      <c r="B29" s="15"/>
      <c r="C29" s="15">
        <v>15027.5</v>
      </c>
      <c r="D29" s="15">
        <v>15138.42</v>
      </c>
      <c r="E29" s="15">
        <v>12973.11</v>
      </c>
      <c r="F29" s="15">
        <v>11366.35</v>
      </c>
      <c r="G29" s="15">
        <v>11791.34</v>
      </c>
      <c r="H29" s="15">
        <v>10383.57</v>
      </c>
      <c r="I29" s="15">
        <v>10165.9</v>
      </c>
      <c r="J29" s="16">
        <v>9693.9</v>
      </c>
      <c r="K29" s="16">
        <v>8993.88</v>
      </c>
      <c r="L29" s="16">
        <v>8607.3</v>
      </c>
      <c r="M29" s="16">
        <v>8521.56</v>
      </c>
      <c r="N29" s="16">
        <v>7940.47</v>
      </c>
      <c r="O29" s="16">
        <v>7104.19</v>
      </c>
      <c r="P29" s="16">
        <v>7322.87</v>
      </c>
      <c r="Q29" s="15"/>
      <c r="R29" s="15"/>
      <c r="S29" s="15"/>
      <c r="T29" s="15"/>
      <c r="U29" s="15"/>
      <c r="V29" s="15"/>
      <c r="W29" s="15"/>
    </row>
    <row r="30" ht="15.0" customHeight="1">
      <c r="A30" s="19" t="s">
        <v>81</v>
      </c>
      <c r="B30" s="20">
        <v>18909.02</v>
      </c>
      <c r="C30" s="20">
        <v>18173.78</v>
      </c>
      <c r="D30" s="20">
        <v>18083.95</v>
      </c>
      <c r="E30" s="20">
        <v>15424.91</v>
      </c>
      <c r="F30" s="20">
        <v>13857.02</v>
      </c>
      <c r="G30" s="20">
        <v>14344.61</v>
      </c>
      <c r="H30" s="20">
        <v>12685.62</v>
      </c>
      <c r="I30" s="20">
        <v>12344.11</v>
      </c>
      <c r="J30" s="20">
        <v>11782.91</v>
      </c>
      <c r="K30" s="20">
        <v>11028.65</v>
      </c>
      <c r="L30" s="20">
        <v>10526.63</v>
      </c>
      <c r="M30" s="20">
        <v>10439.67</v>
      </c>
      <c r="N30" s="21">
        <v>9660.3</v>
      </c>
      <c r="O30" s="21">
        <v>8763.11</v>
      </c>
      <c r="P30" s="21">
        <v>9059.7</v>
      </c>
      <c r="Q30" s="20"/>
      <c r="R30" s="20"/>
      <c r="S30" s="20"/>
      <c r="T30" s="20"/>
      <c r="U30" s="20"/>
      <c r="V30" s="20"/>
      <c r="W30" s="20"/>
    </row>
    <row r="31" ht="15.0" customHeight="1">
      <c r="A31" s="14" t="s">
        <v>82</v>
      </c>
      <c r="B31" s="17">
        <v>1.17</v>
      </c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</row>
    <row r="32" ht="15.0" customHeight="1">
      <c r="A32" s="19" t="s">
        <v>83</v>
      </c>
      <c r="B32" s="21">
        <v>2317.11</v>
      </c>
      <c r="C32" s="21">
        <v>2222.9</v>
      </c>
      <c r="D32" s="21">
        <v>1909.76</v>
      </c>
      <c r="E32" s="21">
        <v>1701.25</v>
      </c>
      <c r="F32" s="21">
        <v>1793.76</v>
      </c>
      <c r="G32" s="21">
        <v>1783.5</v>
      </c>
      <c r="H32" s="21">
        <v>1602.02</v>
      </c>
      <c r="I32" s="21">
        <v>1467.63</v>
      </c>
      <c r="J32" s="21">
        <v>1617.05</v>
      </c>
      <c r="K32" s="21">
        <v>1526.65</v>
      </c>
      <c r="L32" s="21">
        <v>1460.87</v>
      </c>
      <c r="M32" s="21">
        <v>1477.4</v>
      </c>
      <c r="N32" s="21">
        <v>1357.75</v>
      </c>
      <c r="O32" s="21">
        <v>1278.47</v>
      </c>
      <c r="P32" s="21">
        <v>1084.6</v>
      </c>
      <c r="Q32" s="21">
        <v>1214.76</v>
      </c>
      <c r="R32" s="22">
        <v>1.44</v>
      </c>
      <c r="S32" s="20"/>
      <c r="T32" s="20"/>
      <c r="U32" s="20"/>
      <c r="V32" s="20"/>
      <c r="W32" s="20"/>
    </row>
    <row r="33" ht="15.0" customHeight="1">
      <c r="A33" s="14" t="s">
        <v>84</v>
      </c>
      <c r="B33" s="16">
        <v>844.93</v>
      </c>
      <c r="C33" s="16">
        <v>859.91</v>
      </c>
      <c r="D33" s="16">
        <v>856.75</v>
      </c>
      <c r="E33" s="16">
        <v>773.67</v>
      </c>
      <c r="F33" s="16">
        <v>822.71</v>
      </c>
      <c r="G33" s="16">
        <v>833.28</v>
      </c>
      <c r="H33" s="16">
        <v>830.01</v>
      </c>
      <c r="I33" s="16">
        <v>786.03</v>
      </c>
      <c r="J33" s="16">
        <v>862.04</v>
      </c>
      <c r="K33" s="16">
        <v>830.26</v>
      </c>
      <c r="L33" s="16">
        <v>783.53</v>
      </c>
      <c r="M33" s="16">
        <v>806.4</v>
      </c>
      <c r="N33" s="16">
        <v>766.99</v>
      </c>
      <c r="O33" s="16">
        <v>716.59</v>
      </c>
      <c r="P33" s="16">
        <v>704.91</v>
      </c>
      <c r="Q33" s="23">
        <v>-440.0</v>
      </c>
      <c r="R33" s="23">
        <v>-678.43</v>
      </c>
      <c r="S33" s="23">
        <v>-605.53</v>
      </c>
      <c r="T33" s="15"/>
      <c r="U33" s="15"/>
      <c r="V33" s="15"/>
      <c r="W33" s="15"/>
    </row>
    <row r="34" ht="15.0" customHeight="1">
      <c r="A34" s="14" t="s">
        <v>85</v>
      </c>
      <c r="B34" s="15"/>
      <c r="C34" s="16">
        <v>172.01</v>
      </c>
      <c r="D34" s="16">
        <v>164.67</v>
      </c>
      <c r="E34" s="16">
        <v>136.22</v>
      </c>
      <c r="F34" s="16">
        <v>155.39</v>
      </c>
      <c r="G34" s="16">
        <v>160.87</v>
      </c>
      <c r="H34" s="16">
        <v>150.24</v>
      </c>
      <c r="I34" s="16">
        <v>131.46</v>
      </c>
      <c r="J34" s="16">
        <v>120.26</v>
      </c>
      <c r="K34" s="16">
        <v>122.01</v>
      </c>
      <c r="L34" s="16">
        <v>110.7</v>
      </c>
      <c r="M34" s="16">
        <v>116.01</v>
      </c>
      <c r="N34" s="17">
        <v>92.31</v>
      </c>
      <c r="O34" s="15"/>
      <c r="P34" s="15"/>
      <c r="Q34" s="15"/>
      <c r="R34" s="15"/>
      <c r="S34" s="15"/>
      <c r="T34" s="15"/>
      <c r="U34" s="15"/>
      <c r="V34" s="15"/>
      <c r="W34" s="15"/>
    </row>
    <row r="35" ht="15.0" customHeight="1">
      <c r="A35" s="14" t="s">
        <v>86</v>
      </c>
      <c r="B35" s="15"/>
      <c r="C35" s="16">
        <v>330.85</v>
      </c>
      <c r="D35" s="16">
        <v>338.38</v>
      </c>
      <c r="E35" s="16">
        <v>303.71</v>
      </c>
      <c r="F35" s="16">
        <v>316.27</v>
      </c>
      <c r="G35" s="16">
        <v>316.17</v>
      </c>
      <c r="H35" s="16">
        <v>300.19</v>
      </c>
      <c r="I35" s="16">
        <v>283.29</v>
      </c>
      <c r="J35" s="16">
        <v>287.2</v>
      </c>
      <c r="K35" s="16">
        <v>279.91</v>
      </c>
      <c r="L35" s="16">
        <v>265.46</v>
      </c>
      <c r="M35" s="16">
        <v>269.81</v>
      </c>
      <c r="N35" s="16">
        <v>267.8</v>
      </c>
      <c r="O35" s="16">
        <v>250.77</v>
      </c>
      <c r="P35" s="16">
        <v>242.02</v>
      </c>
      <c r="Q35" s="15"/>
      <c r="R35" s="15"/>
      <c r="S35" s="15"/>
      <c r="T35" s="15"/>
      <c r="U35" s="15"/>
      <c r="V35" s="15"/>
      <c r="W35" s="15"/>
    </row>
    <row r="36" ht="15.0" customHeight="1">
      <c r="A36" s="14" t="s">
        <v>84</v>
      </c>
      <c r="B36" s="15"/>
      <c r="C36" s="17">
        <v>9.49</v>
      </c>
      <c r="D36" s="17">
        <v>8.53</v>
      </c>
      <c r="E36" s="17">
        <v>11.29</v>
      </c>
      <c r="F36" s="17">
        <v>25.38</v>
      </c>
      <c r="G36" s="17">
        <v>32.11</v>
      </c>
      <c r="H36" s="17">
        <v>37.88</v>
      </c>
      <c r="I36" s="17">
        <v>28.37</v>
      </c>
      <c r="J36" s="17">
        <v>30.81</v>
      </c>
      <c r="K36" s="17">
        <v>22.48</v>
      </c>
      <c r="L36" s="17">
        <v>17.44</v>
      </c>
      <c r="M36" s="17">
        <v>14.16</v>
      </c>
      <c r="N36" s="17">
        <v>13.81</v>
      </c>
      <c r="O36" s="17">
        <v>13.55</v>
      </c>
      <c r="P36" s="17">
        <v>14.26</v>
      </c>
      <c r="Q36" s="15"/>
      <c r="R36" s="15"/>
      <c r="S36" s="15"/>
      <c r="T36" s="15"/>
      <c r="U36" s="15"/>
      <c r="V36" s="15"/>
      <c r="W36" s="15"/>
    </row>
    <row r="37" ht="15.0" customHeight="1">
      <c r="A37" s="14" t="s">
        <v>87</v>
      </c>
      <c r="B37" s="15"/>
      <c r="C37" s="16">
        <v>347.57</v>
      </c>
      <c r="D37" s="16">
        <v>345.18</v>
      </c>
      <c r="E37" s="16">
        <v>322.45</v>
      </c>
      <c r="F37" s="16">
        <v>325.66</v>
      </c>
      <c r="G37" s="16">
        <v>324.13</v>
      </c>
      <c r="H37" s="16">
        <v>341.7</v>
      </c>
      <c r="I37" s="16">
        <v>342.91</v>
      </c>
      <c r="J37" s="16">
        <v>423.77</v>
      </c>
      <c r="K37" s="16">
        <v>405.87</v>
      </c>
      <c r="L37" s="16">
        <v>389.93</v>
      </c>
      <c r="M37" s="16">
        <v>406.42</v>
      </c>
      <c r="N37" s="16">
        <v>393.07</v>
      </c>
      <c r="O37" s="16">
        <v>452.27</v>
      </c>
      <c r="P37" s="16">
        <v>448.63</v>
      </c>
      <c r="Q37" s="15"/>
      <c r="R37" s="15"/>
      <c r="S37" s="15"/>
      <c r="T37" s="15"/>
      <c r="U37" s="15"/>
      <c r="V37" s="15"/>
      <c r="W37" s="15"/>
    </row>
    <row r="38" ht="15.0" customHeight="1">
      <c r="A38" s="14" t="s">
        <v>88</v>
      </c>
      <c r="B38" s="16">
        <v>683.43</v>
      </c>
      <c r="C38" s="16">
        <v>609.59</v>
      </c>
      <c r="D38" s="16">
        <v>540.32</v>
      </c>
      <c r="E38" s="16">
        <v>449.19</v>
      </c>
      <c r="F38" s="16">
        <v>465.15</v>
      </c>
      <c r="G38" s="16">
        <v>490.07</v>
      </c>
      <c r="H38" s="16">
        <v>433.23</v>
      </c>
      <c r="I38" s="16">
        <v>397.09</v>
      </c>
      <c r="J38" s="16">
        <v>398.1</v>
      </c>
      <c r="K38" s="16">
        <v>399.61</v>
      </c>
      <c r="L38" s="16">
        <v>371.56</v>
      </c>
      <c r="M38" s="16">
        <v>350.58</v>
      </c>
      <c r="N38" s="16">
        <v>339.56</v>
      </c>
      <c r="O38" s="16">
        <v>330.02</v>
      </c>
      <c r="P38" s="16">
        <v>330.56</v>
      </c>
      <c r="Q38" s="16">
        <v>160.6</v>
      </c>
      <c r="R38" s="16">
        <v>415.92</v>
      </c>
      <c r="S38" s="16">
        <v>389.59</v>
      </c>
      <c r="T38" s="15"/>
      <c r="U38" s="15"/>
      <c r="V38" s="15"/>
      <c r="W38" s="15"/>
    </row>
    <row r="39" ht="15.0" customHeight="1">
      <c r="A39" s="14" t="s">
        <v>89</v>
      </c>
      <c r="B39" s="15"/>
      <c r="C39" s="16">
        <v>315.19</v>
      </c>
      <c r="D39" s="16">
        <v>384.35</v>
      </c>
      <c r="E39" s="16">
        <v>276.65</v>
      </c>
      <c r="F39" s="16">
        <v>272.23</v>
      </c>
      <c r="G39" s="16">
        <v>262.45</v>
      </c>
      <c r="H39" s="16">
        <v>220.88</v>
      </c>
      <c r="I39" s="16">
        <v>204.27</v>
      </c>
      <c r="J39" s="16">
        <v>212.46</v>
      </c>
      <c r="K39" s="16">
        <v>209.09</v>
      </c>
      <c r="L39" s="16">
        <v>187.85</v>
      </c>
      <c r="M39" s="16">
        <v>185.14</v>
      </c>
      <c r="N39" s="16">
        <v>170.48</v>
      </c>
      <c r="O39" s="16">
        <v>168.11</v>
      </c>
      <c r="P39" s="16">
        <v>175.6</v>
      </c>
      <c r="Q39" s="15"/>
      <c r="R39" s="15"/>
      <c r="S39" s="15"/>
      <c r="T39" s="15"/>
      <c r="U39" s="15"/>
      <c r="V39" s="15"/>
      <c r="W39" s="15"/>
    </row>
    <row r="40" ht="15.0" customHeight="1">
      <c r="A40" s="14" t="s">
        <v>88</v>
      </c>
      <c r="B40" s="15"/>
      <c r="C40" s="17">
        <v>58.77</v>
      </c>
      <c r="D40" s="17">
        <v>75.53</v>
      </c>
      <c r="E40" s="17">
        <v>67.53</v>
      </c>
      <c r="F40" s="17">
        <v>66.22</v>
      </c>
      <c r="G40" s="17">
        <v>55.96</v>
      </c>
      <c r="H40" s="17">
        <v>52.11</v>
      </c>
      <c r="I40" s="17">
        <v>29.67</v>
      </c>
      <c r="J40" s="17">
        <v>28.07</v>
      </c>
      <c r="K40" s="17">
        <v>26.22</v>
      </c>
      <c r="L40" s="17">
        <v>24.97</v>
      </c>
      <c r="M40" s="17">
        <v>21.59</v>
      </c>
      <c r="N40" s="17">
        <v>19.77</v>
      </c>
      <c r="O40" s="17">
        <v>18.74</v>
      </c>
      <c r="P40" s="17">
        <v>21.28</v>
      </c>
      <c r="Q40" s="15"/>
      <c r="R40" s="15"/>
      <c r="S40" s="15"/>
      <c r="T40" s="15"/>
      <c r="U40" s="15"/>
      <c r="V40" s="15"/>
      <c r="W40" s="15"/>
    </row>
    <row r="41" ht="15.0" customHeight="1">
      <c r="A41" s="14" t="s">
        <v>90</v>
      </c>
      <c r="B41" s="15"/>
      <c r="C41" s="16">
        <v>235.62</v>
      </c>
      <c r="D41" s="17">
        <v>80.45</v>
      </c>
      <c r="E41" s="16">
        <v>105.02</v>
      </c>
      <c r="F41" s="16">
        <v>126.7</v>
      </c>
      <c r="G41" s="16">
        <v>171.66</v>
      </c>
      <c r="H41" s="16">
        <v>160.25</v>
      </c>
      <c r="I41" s="16">
        <v>163.15</v>
      </c>
      <c r="J41" s="16">
        <v>157.57</v>
      </c>
      <c r="K41" s="16">
        <v>164.31</v>
      </c>
      <c r="L41" s="16">
        <v>158.74</v>
      </c>
      <c r="M41" s="16">
        <v>143.85</v>
      </c>
      <c r="N41" s="16">
        <v>149.31</v>
      </c>
      <c r="O41" s="16">
        <v>143.17</v>
      </c>
      <c r="P41" s="16">
        <v>133.67</v>
      </c>
      <c r="Q41" s="15"/>
      <c r="R41" s="15"/>
      <c r="S41" s="15"/>
      <c r="T41" s="15"/>
      <c r="U41" s="15"/>
      <c r="V41" s="15"/>
      <c r="W41" s="15"/>
    </row>
    <row r="42" ht="15.0" customHeight="1">
      <c r="A42" s="14" t="s">
        <v>91</v>
      </c>
      <c r="B42" s="18">
        <v>-52.66</v>
      </c>
      <c r="C42" s="18">
        <v>-53.03</v>
      </c>
      <c r="D42" s="18">
        <v>-31.26</v>
      </c>
      <c r="E42" s="23">
        <v>-165.31</v>
      </c>
      <c r="F42" s="18">
        <v>-61.31</v>
      </c>
      <c r="G42" s="18">
        <v>-34.59</v>
      </c>
      <c r="H42" s="18">
        <v>-31.97</v>
      </c>
      <c r="I42" s="18">
        <v>-37.13</v>
      </c>
      <c r="J42" s="18">
        <v>-53.13</v>
      </c>
      <c r="K42" s="18">
        <v>-42.4</v>
      </c>
      <c r="L42" s="18">
        <v>-49.28</v>
      </c>
      <c r="M42" s="18">
        <v>-55.75</v>
      </c>
      <c r="N42" s="18">
        <v>-47.98</v>
      </c>
      <c r="O42" s="18">
        <v>-28.48</v>
      </c>
      <c r="P42" s="18">
        <v>-65.64</v>
      </c>
      <c r="Q42" s="18">
        <v>-61.74</v>
      </c>
      <c r="R42" s="15"/>
      <c r="S42" s="15"/>
      <c r="T42" s="15"/>
      <c r="U42" s="15"/>
      <c r="V42" s="15"/>
      <c r="W42" s="15"/>
    </row>
    <row r="43" ht="15.0" customHeight="1">
      <c r="A43" s="14" t="s">
        <v>92</v>
      </c>
      <c r="B43" s="15"/>
      <c r="C43" s="15"/>
      <c r="D43" s="15">
        <v>0.0</v>
      </c>
      <c r="E43" s="18">
        <v>-98.36</v>
      </c>
      <c r="F43" s="15"/>
      <c r="G43" s="15"/>
      <c r="H43" s="18">
        <v>-31.05</v>
      </c>
      <c r="I43" s="18">
        <v>-34.72</v>
      </c>
      <c r="J43" s="18">
        <v>-38.99</v>
      </c>
      <c r="K43" s="18">
        <v>-28.12</v>
      </c>
      <c r="L43" s="18">
        <v>-18.08</v>
      </c>
      <c r="M43" s="18">
        <v>-29.0</v>
      </c>
      <c r="N43" s="18">
        <v>-35.06</v>
      </c>
      <c r="O43" s="18">
        <v>-15.53</v>
      </c>
      <c r="P43" s="18">
        <v>-51.9</v>
      </c>
      <c r="Q43" s="18">
        <v>-61.04</v>
      </c>
      <c r="R43" s="18">
        <v>-39.53</v>
      </c>
      <c r="S43" s="18">
        <v>-30.69</v>
      </c>
      <c r="T43" s="15"/>
      <c r="U43" s="15"/>
      <c r="V43" s="15"/>
      <c r="W43" s="15"/>
    </row>
    <row r="44" ht="15.0" customHeight="1">
      <c r="A44" s="14" t="s">
        <v>93</v>
      </c>
      <c r="B44" s="15"/>
      <c r="C44" s="18">
        <v>-18.78</v>
      </c>
      <c r="D44" s="18">
        <v>-4.3</v>
      </c>
      <c r="E44" s="18">
        <v>-0.81</v>
      </c>
      <c r="F44" s="18">
        <v>-1.15</v>
      </c>
      <c r="G44" s="18">
        <v>-2.22</v>
      </c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 ht="15.0" customHeight="1">
      <c r="A45" s="14" t="s">
        <v>94</v>
      </c>
      <c r="B45" s="15"/>
      <c r="C45" s="18">
        <v>-11.03</v>
      </c>
      <c r="D45" s="18">
        <v>-6.81</v>
      </c>
      <c r="E45" s="18">
        <v>-20.1</v>
      </c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 ht="15.0" customHeight="1">
      <c r="A46" s="14" t="s">
        <v>95</v>
      </c>
      <c r="B46" s="15"/>
      <c r="C46" s="15"/>
      <c r="D46" s="15">
        <v>0.0</v>
      </c>
      <c r="E46" s="18">
        <v>-12.82</v>
      </c>
      <c r="F46" s="18">
        <v>-23.74</v>
      </c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 ht="15.0" customHeight="1">
      <c r="A47" s="14" t="s">
        <v>96</v>
      </c>
      <c r="B47" s="15"/>
      <c r="C47" s="15"/>
      <c r="D47" s="15"/>
      <c r="E47" s="15"/>
      <c r="F47" s="18">
        <v>-5.46</v>
      </c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ht="15.0" customHeight="1">
      <c r="A48" s="14" t="s">
        <v>97</v>
      </c>
      <c r="B48" s="15"/>
      <c r="C48" s="18">
        <v>-23.22</v>
      </c>
      <c r="D48" s="18">
        <v>-20.16</v>
      </c>
      <c r="E48" s="18">
        <v>-33.22</v>
      </c>
      <c r="F48" s="18">
        <v>-30.96</v>
      </c>
      <c r="G48" s="18">
        <v>-32.37</v>
      </c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 ht="15.0" customHeight="1">
      <c r="A49" s="14" t="s">
        <v>97</v>
      </c>
      <c r="B49" s="15"/>
      <c r="C49" s="18">
        <v>-0.01</v>
      </c>
      <c r="D49" s="17">
        <v>0.01</v>
      </c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</row>
    <row r="50" ht="15.0" customHeight="1">
      <c r="A50" s="14" t="s">
        <v>98</v>
      </c>
      <c r="B50" s="15"/>
      <c r="C50" s="15"/>
      <c r="D50" s="15">
        <v>0.0</v>
      </c>
      <c r="E50" s="16">
        <v>107.8</v>
      </c>
      <c r="F50" s="16">
        <v>458.38</v>
      </c>
      <c r="G50" s="15"/>
      <c r="H50" s="18">
        <v>-0.92</v>
      </c>
      <c r="I50" s="18">
        <v>-2.41</v>
      </c>
      <c r="J50" s="18">
        <v>-14.14</v>
      </c>
      <c r="K50" s="18">
        <v>-14.28</v>
      </c>
      <c r="L50" s="18">
        <v>-31.2</v>
      </c>
      <c r="M50" s="18">
        <v>-26.75</v>
      </c>
      <c r="N50" s="18">
        <v>-12.92</v>
      </c>
      <c r="O50" s="18">
        <v>-12.95</v>
      </c>
      <c r="P50" s="18">
        <v>-13.74</v>
      </c>
      <c r="Q50" s="18">
        <v>-0.7</v>
      </c>
      <c r="R50" s="15"/>
      <c r="S50" s="15"/>
      <c r="T50" s="15"/>
      <c r="U50" s="15"/>
      <c r="V50" s="15"/>
      <c r="W50" s="15"/>
    </row>
    <row r="51" ht="15.0" customHeight="1">
      <c r="A51" s="14" t="s">
        <v>99</v>
      </c>
      <c r="B51" s="17">
        <v>91.28</v>
      </c>
      <c r="C51" s="17">
        <v>35.13</v>
      </c>
      <c r="D51" s="16">
        <v>539.46</v>
      </c>
      <c r="E51" s="16">
        <v>537.87</v>
      </c>
      <c r="F51" s="17">
        <v>38.29</v>
      </c>
      <c r="G51" s="17">
        <v>55.12</v>
      </c>
      <c r="H51" s="17">
        <v>52.66</v>
      </c>
      <c r="I51" s="17">
        <v>41.78</v>
      </c>
      <c r="J51" s="17">
        <v>28.39</v>
      </c>
      <c r="K51" s="17">
        <v>44.17</v>
      </c>
      <c r="L51" s="17">
        <v>96.15</v>
      </c>
      <c r="M51" s="17">
        <v>37.14</v>
      </c>
      <c r="N51" s="16">
        <v>145.12</v>
      </c>
      <c r="O51" s="17">
        <v>34.56</v>
      </c>
      <c r="P51" s="17">
        <v>52.71</v>
      </c>
      <c r="Q51" s="17">
        <v>29.21</v>
      </c>
      <c r="R51" s="17">
        <v>71.26</v>
      </c>
      <c r="S51" s="17">
        <v>24.75</v>
      </c>
      <c r="T51" s="15"/>
      <c r="U51" s="16">
        <v>1183.69</v>
      </c>
      <c r="V51" s="16">
        <v>927.89</v>
      </c>
      <c r="W51" s="16">
        <v>906.89</v>
      </c>
    </row>
    <row r="52" ht="15.0" customHeight="1">
      <c r="A52" s="14" t="s">
        <v>100</v>
      </c>
      <c r="B52" s="15"/>
      <c r="C52" s="15"/>
      <c r="D52" s="15"/>
      <c r="E52" s="15"/>
      <c r="F52" s="15"/>
      <c r="G52" s="17">
        <v>46.6</v>
      </c>
      <c r="H52" s="17">
        <v>34.98</v>
      </c>
      <c r="I52" s="17">
        <v>35.01</v>
      </c>
      <c r="J52" s="17">
        <v>36.33</v>
      </c>
      <c r="K52" s="17">
        <v>25.35</v>
      </c>
      <c r="L52" s="17">
        <v>96.97</v>
      </c>
      <c r="M52" s="17">
        <v>12.45</v>
      </c>
      <c r="N52" s="16">
        <v>117.1</v>
      </c>
      <c r="O52" s="17">
        <v>8.37</v>
      </c>
      <c r="P52" s="15"/>
      <c r="Q52" s="15"/>
      <c r="R52" s="15"/>
      <c r="S52" s="15"/>
      <c r="T52" s="15"/>
      <c r="U52" s="15"/>
      <c r="V52" s="15"/>
      <c r="W52" s="15"/>
    </row>
    <row r="53" ht="15.0" customHeight="1">
      <c r="A53" s="14" t="s">
        <v>101</v>
      </c>
      <c r="B53" s="15"/>
      <c r="C53" s="15"/>
      <c r="D53" s="15"/>
      <c r="E53" s="15"/>
      <c r="F53" s="15"/>
      <c r="G53" s="17">
        <v>38.02</v>
      </c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ht="15.0" customHeight="1">
      <c r="A54" s="14" t="s">
        <v>102</v>
      </c>
      <c r="B54" s="15"/>
      <c r="C54" s="17">
        <v>22.08</v>
      </c>
      <c r="D54" s="17">
        <v>24.2</v>
      </c>
      <c r="E54" s="17">
        <v>29.37</v>
      </c>
      <c r="F54" s="17">
        <v>36.59</v>
      </c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ht="15.0" customHeight="1">
      <c r="A55" s="14" t="s">
        <v>103</v>
      </c>
      <c r="B55" s="15"/>
      <c r="C55" s="15">
        <v>0.0</v>
      </c>
      <c r="D55" s="16">
        <v>456.3</v>
      </c>
      <c r="E55" s="16">
        <v>354.27</v>
      </c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</row>
    <row r="56" ht="15.0" customHeight="1">
      <c r="A56" s="14" t="s">
        <v>104</v>
      </c>
      <c r="B56" s="15"/>
      <c r="C56" s="15"/>
      <c r="D56" s="17">
        <v>28.52</v>
      </c>
      <c r="E56" s="16">
        <v>161.57</v>
      </c>
      <c r="F56" s="15"/>
      <c r="G56" s="17">
        <v>8.58</v>
      </c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</row>
    <row r="57" ht="15.0" customHeight="1">
      <c r="A57" s="14" t="s">
        <v>105</v>
      </c>
      <c r="B57" s="15"/>
      <c r="C57" s="15"/>
      <c r="D57" s="15">
        <v>0.0</v>
      </c>
      <c r="E57" s="18">
        <v>-19.17</v>
      </c>
      <c r="F57" s="15"/>
      <c r="G57" s="15"/>
      <c r="H57" s="15"/>
      <c r="I57" s="15"/>
      <c r="J57" s="17">
        <v>0.15</v>
      </c>
      <c r="K57" s="17">
        <v>9.56</v>
      </c>
      <c r="L57" s="17">
        <v>0.08</v>
      </c>
      <c r="M57" s="17">
        <v>2.97</v>
      </c>
      <c r="N57" s="17">
        <v>3.87</v>
      </c>
      <c r="O57" s="15"/>
      <c r="P57" s="15"/>
      <c r="Q57" s="15"/>
      <c r="R57" s="15"/>
      <c r="S57" s="15"/>
      <c r="T57" s="15"/>
      <c r="U57" s="15"/>
      <c r="V57" s="15"/>
      <c r="W57" s="15"/>
    </row>
    <row r="58" ht="15.0" customHeight="1">
      <c r="A58" s="14" t="s">
        <v>106</v>
      </c>
      <c r="B58" s="15"/>
      <c r="C58" s="18">
        <v>-3.51</v>
      </c>
      <c r="D58" s="17">
        <v>8.61</v>
      </c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</row>
    <row r="59" ht="15.0" customHeight="1">
      <c r="A59" s="14" t="s">
        <v>107</v>
      </c>
      <c r="B59" s="15"/>
      <c r="C59" s="17">
        <v>23.49</v>
      </c>
      <c r="D59" s="17">
        <v>6.9</v>
      </c>
      <c r="E59" s="17">
        <v>11.82</v>
      </c>
      <c r="F59" s="17">
        <v>1.7</v>
      </c>
      <c r="G59" s="17">
        <v>8.51</v>
      </c>
      <c r="H59" s="17">
        <v>17.68</v>
      </c>
      <c r="I59" s="17">
        <v>6.77</v>
      </c>
      <c r="J59" s="18">
        <v>-8.09</v>
      </c>
      <c r="K59" s="17">
        <v>9.26</v>
      </c>
      <c r="L59" s="18">
        <v>-0.9</v>
      </c>
      <c r="M59" s="17">
        <v>10.25</v>
      </c>
      <c r="N59" s="18">
        <v>-98.85</v>
      </c>
      <c r="O59" s="17">
        <v>18.06</v>
      </c>
      <c r="P59" s="15"/>
      <c r="Q59" s="18">
        <v>-84.99</v>
      </c>
      <c r="R59" s="18">
        <v>-1.36</v>
      </c>
      <c r="S59" s="15"/>
      <c r="T59" s="15"/>
      <c r="U59" s="16">
        <v>1140.95</v>
      </c>
      <c r="V59" s="15"/>
      <c r="W59" s="15"/>
    </row>
    <row r="60" ht="15.0" customHeight="1">
      <c r="A60" s="14" t="s">
        <v>108</v>
      </c>
      <c r="B60" s="15"/>
      <c r="C60" s="18">
        <v>-0.01</v>
      </c>
      <c r="D60" s="17">
        <v>14.93</v>
      </c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 ht="15.0" customHeight="1">
      <c r="A61" s="14" t="s">
        <v>109</v>
      </c>
      <c r="B61" s="15"/>
      <c r="C61" s="18">
        <v>-6.93</v>
      </c>
      <c r="D61" s="17">
        <v>0.27</v>
      </c>
      <c r="E61" s="18">
        <v>-3.31</v>
      </c>
      <c r="F61" s="17">
        <v>5.65</v>
      </c>
      <c r="G61" s="17">
        <v>4.89</v>
      </c>
      <c r="H61" s="17">
        <v>11.77</v>
      </c>
      <c r="I61" s="17">
        <v>9.25</v>
      </c>
      <c r="J61" s="15"/>
      <c r="K61" s="15"/>
      <c r="L61" s="15"/>
      <c r="M61" s="15">
        <v>0.0</v>
      </c>
      <c r="N61" s="16">
        <v>117.89</v>
      </c>
      <c r="O61" s="17">
        <v>1.1</v>
      </c>
      <c r="P61" s="17">
        <v>14.56</v>
      </c>
      <c r="Q61" s="17">
        <v>10.11</v>
      </c>
      <c r="R61" s="17">
        <v>30.38</v>
      </c>
      <c r="S61" s="15"/>
      <c r="T61" s="15"/>
      <c r="U61" s="15"/>
      <c r="V61" s="15"/>
      <c r="W61" s="15"/>
    </row>
    <row r="62" ht="15.0" customHeight="1">
      <c r="A62" s="14" t="s">
        <v>110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7">
        <v>11.47</v>
      </c>
      <c r="N62" s="17">
        <v>5.1</v>
      </c>
      <c r="O62" s="17">
        <v>7.03</v>
      </c>
      <c r="P62" s="17">
        <v>7.89</v>
      </c>
      <c r="Q62" s="17">
        <v>94.23</v>
      </c>
      <c r="R62" s="17">
        <v>43.25</v>
      </c>
      <c r="S62" s="15"/>
      <c r="T62" s="15"/>
      <c r="U62" s="17">
        <v>42.74</v>
      </c>
      <c r="V62" s="15"/>
      <c r="W62" s="15"/>
    </row>
    <row r="63" ht="15.0" customHeight="1">
      <c r="A63" s="14" t="s">
        <v>111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7">
        <v>7.85</v>
      </c>
      <c r="Q63" s="15"/>
      <c r="R63" s="15"/>
      <c r="S63" s="15"/>
      <c r="T63" s="15"/>
      <c r="U63" s="15"/>
      <c r="V63" s="15"/>
      <c r="W63" s="15"/>
    </row>
    <row r="64" ht="15.0" customHeight="1">
      <c r="A64" s="14" t="s">
        <v>112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7">
        <v>22.41</v>
      </c>
      <c r="Q64" s="17">
        <v>9.87</v>
      </c>
      <c r="R64" s="18">
        <v>-1.01</v>
      </c>
      <c r="S64" s="15">
        <v>0.0</v>
      </c>
      <c r="T64" s="15"/>
      <c r="U64" s="15"/>
      <c r="V64" s="15"/>
      <c r="W64" s="15"/>
    </row>
    <row r="65" ht="15.0" customHeight="1">
      <c r="A65" s="14" t="s">
        <v>108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7">
        <v>24.75</v>
      </c>
      <c r="T65" s="15"/>
      <c r="U65" s="15"/>
      <c r="V65" s="15"/>
      <c r="W65" s="15"/>
    </row>
    <row r="66" ht="15.0" customHeight="1">
      <c r="A66" s="14" t="s">
        <v>113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6">
        <v>409.27</v>
      </c>
      <c r="R66" s="15"/>
      <c r="S66" s="15"/>
      <c r="T66" s="15"/>
      <c r="U66" s="16">
        <v>1507.52</v>
      </c>
      <c r="V66" s="16">
        <v>1401.41</v>
      </c>
      <c r="W66" s="16">
        <v>1343.49</v>
      </c>
    </row>
    <row r="67" ht="15.0" customHeight="1">
      <c r="A67" s="14" t="s">
        <v>114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7">
        <v>45.12</v>
      </c>
      <c r="R67" s="15"/>
      <c r="S67" s="15"/>
      <c r="T67" s="16">
        <v>356.48</v>
      </c>
      <c r="U67" s="16">
        <v>261.56</v>
      </c>
      <c r="V67" s="16">
        <v>251.58</v>
      </c>
      <c r="W67" s="16">
        <v>233.51</v>
      </c>
    </row>
    <row r="68" ht="15.0" customHeight="1">
      <c r="A68" s="14" t="s">
        <v>115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8">
        <v>-31.6</v>
      </c>
      <c r="V68" s="18">
        <v>-25.77</v>
      </c>
      <c r="W68" s="17">
        <v>18.27</v>
      </c>
    </row>
    <row r="69" ht="15.0" customHeight="1">
      <c r="A69" s="14" t="s">
        <v>116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8">
        <v>-3.2</v>
      </c>
      <c r="U69" s="18">
        <v>-3.03</v>
      </c>
      <c r="V69" s="18">
        <v>-6.37</v>
      </c>
      <c r="W69" s="18">
        <v>-4.23</v>
      </c>
    </row>
    <row r="70" ht="15.0" customHeight="1">
      <c r="A70" s="14" t="s">
        <v>117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6">
        <v>5498.76</v>
      </c>
      <c r="V70" s="16">
        <v>4968.94</v>
      </c>
      <c r="W70" s="16">
        <v>4134.2</v>
      </c>
    </row>
    <row r="71" ht="15.0" customHeight="1">
      <c r="A71" s="14" t="s">
        <v>118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7">
        <v>0.04</v>
      </c>
      <c r="V71" s="15"/>
      <c r="W71" s="15"/>
    </row>
    <row r="72" ht="15.0" customHeight="1">
      <c r="A72" s="14" t="s">
        <v>119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6">
        <v>167.91</v>
      </c>
      <c r="V72" s="15"/>
      <c r="W72" s="15"/>
    </row>
    <row r="73" ht="15.0" customHeight="1">
      <c r="A73" s="14" t="s">
        <v>120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8">
        <v>-9.34</v>
      </c>
      <c r="S73" s="15"/>
      <c r="T73" s="15"/>
      <c r="U73" s="15"/>
      <c r="V73" s="18">
        <v>-0.58</v>
      </c>
      <c r="W73" s="18">
        <v>-68.14</v>
      </c>
    </row>
    <row r="74" ht="15.0" customHeight="1">
      <c r="A74" s="14" t="s">
        <v>121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6">
        <v>9077.92</v>
      </c>
      <c r="U74" s="17">
        <v>42.74</v>
      </c>
      <c r="V74" s="15"/>
      <c r="W74" s="15"/>
    </row>
    <row r="75" ht="15.0" customHeight="1">
      <c r="A75" s="14" t="s">
        <v>122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23">
        <v>-220.55</v>
      </c>
      <c r="R75" s="15"/>
      <c r="S75" s="15"/>
      <c r="T75" s="15"/>
      <c r="U75" s="15"/>
      <c r="V75" s="15"/>
      <c r="W75" s="15"/>
    </row>
    <row r="76" ht="15.0" customHeight="1">
      <c r="A76" s="19" t="s">
        <v>123</v>
      </c>
      <c r="B76" s="21">
        <v>1566.97</v>
      </c>
      <c r="C76" s="21">
        <v>1451.59</v>
      </c>
      <c r="D76" s="21">
        <v>1905.55</v>
      </c>
      <c r="E76" s="21">
        <v>1699.91</v>
      </c>
      <c r="F76" s="21">
        <v>1728.88</v>
      </c>
      <c r="G76" s="21">
        <v>1348.77</v>
      </c>
      <c r="H76" s="21">
        <v>1295.72</v>
      </c>
      <c r="I76" s="21">
        <v>1197.01</v>
      </c>
      <c r="J76" s="21">
        <v>1235.41</v>
      </c>
      <c r="K76" s="21">
        <v>1231.64</v>
      </c>
      <c r="L76" s="21">
        <v>1201.97</v>
      </c>
      <c r="M76" s="21">
        <v>1138.38</v>
      </c>
      <c r="N76" s="21">
        <v>1203.69</v>
      </c>
      <c r="O76" s="21">
        <v>1052.68</v>
      </c>
      <c r="P76" s="21">
        <v>1022.54</v>
      </c>
      <c r="Q76" s="24">
        <v>-78.08</v>
      </c>
      <c r="R76" s="25">
        <v>-240.12</v>
      </c>
      <c r="S76" s="21">
        <v>9647.65</v>
      </c>
      <c r="T76" s="21">
        <v>9431.2</v>
      </c>
      <c r="U76" s="21">
        <v>8627.59</v>
      </c>
      <c r="V76" s="21">
        <v>7517.1</v>
      </c>
      <c r="W76" s="21">
        <v>6563.98</v>
      </c>
    </row>
    <row r="77" ht="15.0" customHeight="1">
      <c r="A77" s="14" t="s">
        <v>124</v>
      </c>
      <c r="B77" s="18">
        <v>-1.17</v>
      </c>
      <c r="C77" s="18">
        <v>-0.01</v>
      </c>
      <c r="D77" s="15"/>
      <c r="E77" s="15"/>
      <c r="F77" s="15"/>
      <c r="G77" s="18">
        <v>-0.01</v>
      </c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</row>
    <row r="78" ht="15.0" customHeight="1">
      <c r="A78" s="19" t="s">
        <v>125</v>
      </c>
      <c r="B78" s="21">
        <v>748.96</v>
      </c>
      <c r="C78" s="21">
        <v>771.3</v>
      </c>
      <c r="D78" s="22">
        <v>4.21</v>
      </c>
      <c r="E78" s="22">
        <v>1.34</v>
      </c>
      <c r="F78" s="22">
        <v>64.88</v>
      </c>
      <c r="G78" s="21">
        <v>434.72</v>
      </c>
      <c r="H78" s="21">
        <v>306.3</v>
      </c>
      <c r="I78" s="21">
        <v>270.62</v>
      </c>
      <c r="J78" s="21">
        <v>381.64</v>
      </c>
      <c r="K78" s="21">
        <v>295.01</v>
      </c>
      <c r="L78" s="21">
        <v>258.9</v>
      </c>
      <c r="M78" s="21">
        <v>339.03</v>
      </c>
      <c r="N78" s="21">
        <v>154.06</v>
      </c>
      <c r="O78" s="21">
        <v>225.78</v>
      </c>
      <c r="P78" s="22">
        <v>62.06</v>
      </c>
      <c r="Q78" s="20"/>
      <c r="R78" s="20"/>
      <c r="S78" s="20"/>
      <c r="T78" s="20"/>
      <c r="U78" s="20"/>
      <c r="V78" s="20"/>
      <c r="W78" s="20"/>
    </row>
    <row r="79" ht="15.0" customHeight="1">
      <c r="A79" s="14" t="s">
        <v>126</v>
      </c>
      <c r="B79" s="23">
        <v>-125.22</v>
      </c>
      <c r="C79" s="23">
        <v>-179.49</v>
      </c>
      <c r="D79" s="23">
        <v>-155.61</v>
      </c>
      <c r="E79" s="18">
        <v>-34.34</v>
      </c>
      <c r="F79" s="18">
        <v>-50.1</v>
      </c>
      <c r="G79" s="18">
        <v>-47.99</v>
      </c>
      <c r="H79" s="18">
        <v>-54.69</v>
      </c>
      <c r="I79" s="18">
        <v>-59.65</v>
      </c>
      <c r="J79" s="18">
        <v>-68.05</v>
      </c>
      <c r="K79" s="18">
        <v>-58.67</v>
      </c>
      <c r="L79" s="18">
        <v>-82.59</v>
      </c>
      <c r="M79" s="23">
        <v>-106.04</v>
      </c>
      <c r="N79" s="23">
        <v>-118.71</v>
      </c>
      <c r="O79" s="23">
        <v>-109.85</v>
      </c>
      <c r="P79" s="23">
        <v>-110.13</v>
      </c>
      <c r="Q79" s="17">
        <v>89.02</v>
      </c>
      <c r="R79" s="16">
        <v>108.3</v>
      </c>
      <c r="S79" s="16">
        <v>183.79</v>
      </c>
      <c r="T79" s="15"/>
      <c r="U79" s="15"/>
      <c r="V79" s="15"/>
      <c r="W79" s="15"/>
    </row>
    <row r="80" ht="15.0" customHeight="1">
      <c r="A80" s="14" t="s">
        <v>127</v>
      </c>
      <c r="B80" s="15"/>
      <c r="C80" s="15"/>
      <c r="D80" s="15"/>
      <c r="E80" s="15"/>
      <c r="F80" s="15"/>
      <c r="G80" s="15"/>
      <c r="H80" s="15"/>
      <c r="I80" s="15"/>
      <c r="J80" s="15"/>
      <c r="K80" s="15">
        <v>0.0</v>
      </c>
      <c r="L80" s="17">
        <v>0.21</v>
      </c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</row>
    <row r="81" ht="15.0" customHeight="1">
      <c r="A81" s="14" t="s">
        <v>128</v>
      </c>
      <c r="B81" s="15"/>
      <c r="C81" s="17">
        <v>61.05</v>
      </c>
      <c r="D81" s="17">
        <v>42.4</v>
      </c>
      <c r="E81" s="17">
        <v>16.83</v>
      </c>
      <c r="F81" s="17">
        <v>15.59</v>
      </c>
      <c r="G81" s="17">
        <v>16.54</v>
      </c>
      <c r="H81" s="17">
        <v>17.62</v>
      </c>
      <c r="I81" s="17">
        <v>17.02</v>
      </c>
      <c r="J81" s="17">
        <v>18.88</v>
      </c>
      <c r="K81" s="17">
        <v>22.04</v>
      </c>
      <c r="L81" s="17">
        <v>19.65</v>
      </c>
      <c r="M81" s="15"/>
      <c r="N81" s="17">
        <v>17.69</v>
      </c>
      <c r="O81" s="17">
        <v>26.94</v>
      </c>
      <c r="P81" s="17">
        <v>24.56</v>
      </c>
      <c r="Q81" s="17">
        <v>23.9</v>
      </c>
      <c r="R81" s="17">
        <v>30.3</v>
      </c>
      <c r="S81" s="17">
        <v>40.61</v>
      </c>
      <c r="T81" s="15"/>
      <c r="U81" s="17">
        <v>26.66</v>
      </c>
      <c r="V81" s="17">
        <v>28.54</v>
      </c>
      <c r="W81" s="17">
        <v>6.38</v>
      </c>
    </row>
    <row r="82" ht="15.0" customHeight="1">
      <c r="A82" s="14" t="s">
        <v>129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7">
        <v>16.75</v>
      </c>
      <c r="N82" s="15"/>
      <c r="O82" s="15"/>
      <c r="P82" s="15"/>
      <c r="Q82" s="15"/>
      <c r="R82" s="15"/>
      <c r="S82" s="15"/>
      <c r="T82" s="15"/>
      <c r="U82" s="15"/>
      <c r="V82" s="15"/>
      <c r="W82" s="15"/>
    </row>
    <row r="83" ht="15.0" customHeight="1">
      <c r="A83" s="14" t="s">
        <v>130</v>
      </c>
      <c r="B83" s="15"/>
      <c r="C83" s="17">
        <v>16.8</v>
      </c>
      <c r="D83" s="17">
        <v>12.71</v>
      </c>
      <c r="E83" s="17">
        <v>13.08</v>
      </c>
      <c r="F83" s="17">
        <v>11.61</v>
      </c>
      <c r="G83" s="17">
        <v>76.86</v>
      </c>
      <c r="H83" s="17">
        <v>50.72</v>
      </c>
      <c r="I83" s="17">
        <v>50.97</v>
      </c>
      <c r="J83" s="17">
        <v>28.5</v>
      </c>
      <c r="K83" s="17">
        <v>37.95</v>
      </c>
      <c r="L83" s="17">
        <v>21.96</v>
      </c>
      <c r="M83" s="17">
        <v>9.48</v>
      </c>
      <c r="N83" s="15"/>
      <c r="O83" s="15"/>
      <c r="P83" s="15"/>
      <c r="Q83" s="15"/>
      <c r="R83" s="15"/>
      <c r="S83" s="15"/>
      <c r="T83" s="15"/>
      <c r="U83" s="15"/>
      <c r="V83" s="15"/>
      <c r="W83" s="15"/>
    </row>
    <row r="84" ht="15.0" customHeight="1">
      <c r="A84" s="14" t="s">
        <v>131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7">
        <v>0.64</v>
      </c>
      <c r="N84" s="17">
        <v>4.59</v>
      </c>
      <c r="O84" s="17">
        <v>47.94</v>
      </c>
      <c r="P84" s="17">
        <v>59.04</v>
      </c>
      <c r="Q84" s="15"/>
      <c r="R84" s="15"/>
      <c r="S84" s="15"/>
      <c r="T84" s="15"/>
      <c r="U84" s="15"/>
      <c r="V84" s="15"/>
      <c r="W84" s="15"/>
    </row>
    <row r="85" ht="15.0" customHeight="1">
      <c r="A85" s="14" t="s">
        <v>132</v>
      </c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7">
        <v>0.65</v>
      </c>
      <c r="O85" s="17">
        <v>0.62</v>
      </c>
      <c r="P85" s="17">
        <v>0.34</v>
      </c>
      <c r="Q85" s="15"/>
      <c r="R85" s="15"/>
      <c r="S85" s="15"/>
      <c r="T85" s="15"/>
      <c r="U85" s="17">
        <v>0.56</v>
      </c>
      <c r="V85" s="17">
        <v>0.16</v>
      </c>
      <c r="W85" s="17">
        <v>1.72</v>
      </c>
    </row>
    <row r="86" ht="15.0" customHeight="1">
      <c r="A86" s="14" t="s">
        <v>133</v>
      </c>
      <c r="B86" s="15"/>
      <c r="C86" s="17">
        <v>0.91</v>
      </c>
      <c r="D86" s="15"/>
      <c r="E86" s="15"/>
      <c r="F86" s="15"/>
      <c r="G86" s="15"/>
      <c r="H86" s="15"/>
      <c r="I86" s="15"/>
      <c r="J86" s="17">
        <v>0.01</v>
      </c>
      <c r="K86" s="15">
        <v>0.0</v>
      </c>
      <c r="L86" s="17">
        <v>0.02</v>
      </c>
      <c r="M86" s="17">
        <v>0.08</v>
      </c>
      <c r="N86" s="17">
        <v>0.02</v>
      </c>
      <c r="O86" s="17">
        <v>0.62</v>
      </c>
      <c r="P86" s="17">
        <v>0.05</v>
      </c>
      <c r="Q86" s="17">
        <v>0.22</v>
      </c>
      <c r="R86" s="16">
        <v>184.89</v>
      </c>
      <c r="S86" s="16">
        <v>324.73</v>
      </c>
      <c r="T86" s="15"/>
      <c r="U86" s="15">
        <v>0.0</v>
      </c>
      <c r="V86" s="15"/>
      <c r="W86" s="15"/>
    </row>
    <row r="87" ht="15.0" customHeight="1">
      <c r="A87" s="14" t="s">
        <v>134</v>
      </c>
      <c r="B87" s="15"/>
      <c r="C87" s="17">
        <v>32.14</v>
      </c>
      <c r="D87" s="16">
        <v>102.48</v>
      </c>
      <c r="E87" s="17">
        <v>48.84</v>
      </c>
      <c r="F87" s="17">
        <v>54.6</v>
      </c>
      <c r="G87" s="17">
        <v>85.32</v>
      </c>
      <c r="H87" s="17">
        <v>42.68</v>
      </c>
      <c r="I87" s="17">
        <v>82.25</v>
      </c>
      <c r="J87" s="17">
        <v>63.79</v>
      </c>
      <c r="K87" s="17">
        <v>67.73</v>
      </c>
      <c r="L87" s="17">
        <v>71.75</v>
      </c>
      <c r="M87" s="16">
        <v>138.25</v>
      </c>
      <c r="N87" s="17">
        <v>92.14</v>
      </c>
      <c r="O87" s="17">
        <v>33.24</v>
      </c>
      <c r="P87" s="17">
        <v>23.88</v>
      </c>
      <c r="Q87" s="15"/>
      <c r="R87" s="15"/>
      <c r="S87" s="15"/>
      <c r="T87" s="15"/>
      <c r="U87" s="15"/>
      <c r="V87" s="15"/>
      <c r="W87" s="15"/>
    </row>
    <row r="88" ht="15.0" customHeight="1">
      <c r="A88" s="14" t="s">
        <v>135</v>
      </c>
      <c r="B88" s="15"/>
      <c r="C88" s="15"/>
      <c r="D88" s="17">
        <v>0.07</v>
      </c>
      <c r="E88" s="17">
        <v>0.09</v>
      </c>
      <c r="F88" s="17">
        <v>0.16</v>
      </c>
      <c r="G88" s="17">
        <v>0.16</v>
      </c>
      <c r="H88" s="15"/>
      <c r="I88" s="15"/>
      <c r="J88" s="15"/>
      <c r="K88" s="17">
        <v>60.33</v>
      </c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</row>
    <row r="89" ht="15.0" customHeight="1">
      <c r="A89" s="14" t="s">
        <v>136</v>
      </c>
      <c r="B89" s="15"/>
      <c r="C89" s="23">
        <v>-217.81</v>
      </c>
      <c r="D89" s="23">
        <v>-193.97</v>
      </c>
      <c r="E89" s="18">
        <v>-45.61</v>
      </c>
      <c r="F89" s="18">
        <v>-42.33</v>
      </c>
      <c r="G89" s="18">
        <v>-44.14</v>
      </c>
      <c r="H89" s="18">
        <v>-43.26</v>
      </c>
      <c r="I89" s="18">
        <v>-43.61</v>
      </c>
      <c r="J89" s="18">
        <v>-74.92</v>
      </c>
      <c r="K89" s="18">
        <v>-72.49</v>
      </c>
      <c r="L89" s="18">
        <v>-92.33</v>
      </c>
      <c r="M89" s="23">
        <v>-109.66</v>
      </c>
      <c r="N89" s="23">
        <v>-120.0</v>
      </c>
      <c r="O89" s="23">
        <v>-124.68</v>
      </c>
      <c r="P89" s="23">
        <v>-113.66</v>
      </c>
      <c r="Q89" s="18">
        <v>-85.58</v>
      </c>
      <c r="R89" s="23">
        <v>-128.99</v>
      </c>
      <c r="S89" s="23">
        <v>-170.81</v>
      </c>
      <c r="T89" s="15"/>
      <c r="U89" s="18">
        <v>-80.76</v>
      </c>
      <c r="V89" s="18">
        <v>-53.86</v>
      </c>
      <c r="W89" s="18">
        <v>-51.81</v>
      </c>
    </row>
    <row r="90" ht="15.0" customHeight="1">
      <c r="A90" s="14" t="s">
        <v>137</v>
      </c>
      <c r="B90" s="15"/>
      <c r="C90" s="18">
        <v>-28.35</v>
      </c>
      <c r="D90" s="18">
        <v>-19.21</v>
      </c>
      <c r="E90" s="18">
        <v>-52.67</v>
      </c>
      <c r="F90" s="18">
        <v>-23.83</v>
      </c>
      <c r="G90" s="18">
        <v>-57.21</v>
      </c>
      <c r="H90" s="18">
        <v>-46.54</v>
      </c>
      <c r="I90" s="18">
        <v>-98.88</v>
      </c>
      <c r="J90" s="18">
        <v>-68.0</v>
      </c>
      <c r="K90" s="18">
        <v>-55.78</v>
      </c>
      <c r="L90" s="18">
        <v>-7.97</v>
      </c>
      <c r="M90" s="23">
        <v>-114.69</v>
      </c>
      <c r="N90" s="15"/>
      <c r="O90" s="15"/>
      <c r="P90" s="15"/>
      <c r="Q90" s="15"/>
      <c r="R90" s="15"/>
      <c r="S90" s="15"/>
      <c r="T90" s="15"/>
      <c r="U90" s="15"/>
      <c r="V90" s="15"/>
      <c r="W90" s="15"/>
    </row>
    <row r="91" ht="15.0" customHeight="1">
      <c r="A91" s="14" t="s">
        <v>138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8">
        <v>-66.95</v>
      </c>
      <c r="O91" s="18">
        <v>-7.53</v>
      </c>
      <c r="P91" s="18">
        <v>-50.09</v>
      </c>
      <c r="Q91" s="18">
        <v>-8.74</v>
      </c>
      <c r="R91" s="15"/>
      <c r="S91" s="15"/>
      <c r="T91" s="15"/>
      <c r="U91" s="15"/>
      <c r="V91" s="15"/>
      <c r="W91" s="15"/>
    </row>
    <row r="92" ht="15.0" customHeight="1">
      <c r="A92" s="14" t="s">
        <v>139</v>
      </c>
      <c r="B92" s="15"/>
      <c r="C92" s="18">
        <v>-18.44</v>
      </c>
      <c r="D92" s="18">
        <v>-12.62</v>
      </c>
      <c r="E92" s="18">
        <v>-1.19</v>
      </c>
      <c r="F92" s="18">
        <v>-10.98</v>
      </c>
      <c r="G92" s="18">
        <v>-14.81</v>
      </c>
      <c r="H92" s="18">
        <v>-12.63</v>
      </c>
      <c r="I92" s="18">
        <v>-8.91</v>
      </c>
      <c r="J92" s="18">
        <v>-10.9</v>
      </c>
      <c r="K92" s="18">
        <v>-10.12</v>
      </c>
      <c r="L92" s="18">
        <v>-11.48</v>
      </c>
      <c r="M92" s="18">
        <v>-12.68</v>
      </c>
      <c r="N92" s="18">
        <v>-15.53</v>
      </c>
      <c r="O92" s="18">
        <v>-14.17</v>
      </c>
      <c r="P92" s="18">
        <v>-12.04</v>
      </c>
      <c r="Q92" s="18">
        <v>-18.82</v>
      </c>
      <c r="R92" s="23">
        <v>-194.49</v>
      </c>
      <c r="S92" s="23">
        <v>-378.32</v>
      </c>
      <c r="T92" s="15"/>
      <c r="U92" s="18">
        <v>-5.5</v>
      </c>
      <c r="V92" s="15"/>
      <c r="W92" s="15"/>
    </row>
    <row r="93" ht="15.0" customHeight="1">
      <c r="A93" s="14" t="s">
        <v>140</v>
      </c>
      <c r="B93" s="15"/>
      <c r="C93" s="18">
        <v>-5.25</v>
      </c>
      <c r="D93" s="18">
        <v>-6.32</v>
      </c>
      <c r="E93" s="18">
        <v>-5.6</v>
      </c>
      <c r="F93" s="18">
        <v>-5.57</v>
      </c>
      <c r="G93" s="18">
        <v>-0.42</v>
      </c>
      <c r="H93" s="18">
        <v>-3.67</v>
      </c>
      <c r="I93" s="18">
        <v>-14.22</v>
      </c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</row>
    <row r="94" ht="15.0" customHeight="1">
      <c r="A94" s="14" t="s">
        <v>141</v>
      </c>
      <c r="B94" s="15"/>
      <c r="C94" s="18">
        <v>-22.73</v>
      </c>
      <c r="D94" s="18">
        <v>-80.57</v>
      </c>
      <c r="E94" s="18">
        <v>-10.21</v>
      </c>
      <c r="F94" s="18">
        <v>-43.45</v>
      </c>
      <c r="G94" s="18">
        <v>-99.53</v>
      </c>
      <c r="H94" s="18">
        <v>-49.6</v>
      </c>
      <c r="I94" s="18">
        <v>-34.46</v>
      </c>
      <c r="J94" s="18">
        <v>-25.42</v>
      </c>
      <c r="K94" s="18">
        <v>-48.0</v>
      </c>
      <c r="L94" s="18">
        <v>-84.4</v>
      </c>
      <c r="M94" s="18">
        <v>-34.2</v>
      </c>
      <c r="N94" s="18">
        <v>-31.31</v>
      </c>
      <c r="O94" s="18">
        <v>-72.81</v>
      </c>
      <c r="P94" s="18">
        <v>-42.21</v>
      </c>
      <c r="Q94" s="15"/>
      <c r="R94" s="15"/>
      <c r="S94" s="15"/>
      <c r="T94" s="15"/>
      <c r="U94" s="15"/>
      <c r="V94" s="15"/>
      <c r="W94" s="15"/>
    </row>
    <row r="95" ht="15.0" customHeight="1">
      <c r="A95" s="14" t="s">
        <v>142</v>
      </c>
      <c r="B95" s="15"/>
      <c r="C95" s="17">
        <v>2.18</v>
      </c>
      <c r="D95" s="18">
        <v>-0.57</v>
      </c>
      <c r="E95" s="17">
        <v>2.12</v>
      </c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</row>
    <row r="96" ht="15.0" customHeight="1">
      <c r="A96" s="14" t="s">
        <v>143</v>
      </c>
      <c r="B96" s="15"/>
      <c r="C96" s="15"/>
      <c r="D96" s="15"/>
      <c r="E96" s="15"/>
      <c r="F96" s="18">
        <v>-5.89</v>
      </c>
      <c r="G96" s="18">
        <v>-6.88</v>
      </c>
      <c r="H96" s="18">
        <v>-6.56</v>
      </c>
      <c r="I96" s="15"/>
      <c r="J96" s="15"/>
      <c r="K96" s="18">
        <v>-60.33</v>
      </c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</row>
    <row r="97" ht="15.0" customHeight="1">
      <c r="A97" s="14" t="s">
        <v>144</v>
      </c>
      <c r="B97" s="15"/>
      <c r="C97" s="15"/>
      <c r="D97" s="15"/>
      <c r="E97" s="15"/>
      <c r="F97" s="15">
        <v>0.0</v>
      </c>
      <c r="G97" s="18">
        <v>-3.87</v>
      </c>
      <c r="H97" s="18">
        <v>-3.46</v>
      </c>
      <c r="I97" s="18">
        <v>-9.82</v>
      </c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</row>
    <row r="98" ht="15.0" customHeight="1">
      <c r="A98" s="14" t="s">
        <v>143</v>
      </c>
      <c r="B98" s="15"/>
      <c r="C98" s="17">
        <v>0.01</v>
      </c>
      <c r="D98" s="15"/>
      <c r="E98" s="18">
        <v>-0.01</v>
      </c>
      <c r="F98" s="17">
        <v>0.01</v>
      </c>
      <c r="G98" s="18">
        <v>-0.01</v>
      </c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</row>
    <row r="99" ht="15.0" customHeight="1">
      <c r="A99" s="14" t="s">
        <v>145</v>
      </c>
      <c r="B99" s="15"/>
      <c r="C99" s="15"/>
      <c r="D99" s="18">
        <v>-0.01</v>
      </c>
      <c r="E99" s="15"/>
      <c r="F99" s="18">
        <v>-0.01</v>
      </c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</row>
    <row r="100" ht="15.0" customHeight="1">
      <c r="A100" s="14" t="s">
        <v>145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6">
        <v>178.03</v>
      </c>
      <c r="R100" s="16">
        <v>216.59</v>
      </c>
      <c r="S100" s="16">
        <v>367.58</v>
      </c>
      <c r="T100" s="15"/>
      <c r="U100" s="15"/>
      <c r="V100" s="15"/>
      <c r="W100" s="15"/>
    </row>
    <row r="101" ht="15.0" customHeight="1">
      <c r="A101" s="14" t="s">
        <v>146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23">
        <v>-1392.79</v>
      </c>
      <c r="R101" s="23">
        <v>-218.03</v>
      </c>
      <c r="S101" s="23">
        <v>-1578.63</v>
      </c>
      <c r="T101" s="23">
        <v>-113.75</v>
      </c>
      <c r="U101" s="15"/>
      <c r="V101" s="15"/>
      <c r="W101" s="15"/>
    </row>
    <row r="102" ht="15.0" customHeight="1">
      <c r="A102" s="14" t="s">
        <v>116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7">
        <v>13.38</v>
      </c>
      <c r="R102" s="17">
        <v>12.56</v>
      </c>
      <c r="S102" s="17">
        <v>4.72</v>
      </c>
      <c r="T102" s="15"/>
      <c r="U102" s="15"/>
      <c r="V102" s="15"/>
      <c r="W102" s="15"/>
    </row>
    <row r="103" ht="15.0" customHeight="1">
      <c r="A103" s="14" t="s">
        <v>147</v>
      </c>
      <c r="B103" s="17">
        <v>2.34</v>
      </c>
      <c r="C103" s="17">
        <v>13.07</v>
      </c>
      <c r="D103" s="17">
        <v>23.58</v>
      </c>
      <c r="E103" s="17">
        <v>49.87</v>
      </c>
      <c r="F103" s="17">
        <v>34.34</v>
      </c>
      <c r="G103" s="17">
        <v>12.79</v>
      </c>
      <c r="H103" s="17">
        <v>6.15</v>
      </c>
      <c r="I103" s="17">
        <v>3.54</v>
      </c>
      <c r="J103" s="17">
        <v>17.76</v>
      </c>
      <c r="K103" s="17">
        <v>6.31</v>
      </c>
      <c r="L103" s="17">
        <v>3.8</v>
      </c>
      <c r="M103" s="17">
        <v>51.52</v>
      </c>
      <c r="N103" s="17">
        <v>18.23</v>
      </c>
      <c r="O103" s="17">
        <v>25.37</v>
      </c>
      <c r="P103" s="17">
        <v>11.28</v>
      </c>
      <c r="Q103" s="15"/>
      <c r="R103" s="15"/>
      <c r="S103" s="15"/>
      <c r="T103" s="15"/>
      <c r="U103" s="15"/>
      <c r="V103" s="15"/>
      <c r="W103" s="15"/>
    </row>
    <row r="104" ht="15.0" customHeight="1">
      <c r="A104" s="19" t="s">
        <v>148</v>
      </c>
      <c r="B104" s="25">
        <v>-122.88</v>
      </c>
      <c r="C104" s="25">
        <v>-166.42</v>
      </c>
      <c r="D104" s="25">
        <v>-132.03</v>
      </c>
      <c r="E104" s="22">
        <v>15.53</v>
      </c>
      <c r="F104" s="24">
        <v>-15.76</v>
      </c>
      <c r="G104" s="24">
        <v>-35.19</v>
      </c>
      <c r="H104" s="24">
        <v>-48.54</v>
      </c>
      <c r="I104" s="24">
        <v>-56.11</v>
      </c>
      <c r="J104" s="24">
        <v>-50.29</v>
      </c>
      <c r="K104" s="24">
        <v>-52.37</v>
      </c>
      <c r="L104" s="24">
        <v>-78.78</v>
      </c>
      <c r="M104" s="24">
        <v>-54.52</v>
      </c>
      <c r="N104" s="25">
        <v>-100.48</v>
      </c>
      <c r="O104" s="24">
        <v>-84.48</v>
      </c>
      <c r="P104" s="24">
        <v>-98.86</v>
      </c>
      <c r="Q104" s="20"/>
      <c r="R104" s="20"/>
      <c r="S104" s="20"/>
      <c r="T104" s="20"/>
      <c r="U104" s="20"/>
      <c r="V104" s="20"/>
      <c r="W104" s="20"/>
    </row>
    <row r="105" ht="15.0" customHeight="1">
      <c r="A105" s="14" t="s">
        <v>149</v>
      </c>
      <c r="B105" s="17">
        <v>1.17</v>
      </c>
      <c r="C105" s="18">
        <v>-0.01</v>
      </c>
      <c r="D105" s="15"/>
      <c r="E105" s="15"/>
      <c r="F105" s="15"/>
      <c r="G105" s="18">
        <v>-0.01</v>
      </c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</row>
    <row r="106" ht="15.0" customHeight="1">
      <c r="A106" s="19" t="s">
        <v>150</v>
      </c>
      <c r="B106" s="21">
        <v>627.26</v>
      </c>
      <c r="C106" s="21">
        <v>604.87</v>
      </c>
      <c r="D106" s="25">
        <v>-127.82</v>
      </c>
      <c r="E106" s="22">
        <v>16.88</v>
      </c>
      <c r="F106" s="22">
        <v>49.12</v>
      </c>
      <c r="G106" s="21">
        <v>399.51</v>
      </c>
      <c r="H106" s="21">
        <v>257.77</v>
      </c>
      <c r="I106" s="21">
        <v>214.51</v>
      </c>
      <c r="J106" s="21">
        <v>331.35</v>
      </c>
      <c r="K106" s="21">
        <v>242.64</v>
      </c>
      <c r="L106" s="21">
        <v>180.12</v>
      </c>
      <c r="M106" s="21">
        <v>284.51</v>
      </c>
      <c r="N106" s="22">
        <v>53.58</v>
      </c>
      <c r="O106" s="21">
        <v>141.31</v>
      </c>
      <c r="P106" s="24">
        <v>-36.8</v>
      </c>
      <c r="Q106" s="22">
        <v>2.44</v>
      </c>
      <c r="R106" s="21">
        <v>144.38</v>
      </c>
      <c r="S106" s="21">
        <v>137.31</v>
      </c>
      <c r="T106" s="21">
        <v>646.48</v>
      </c>
      <c r="U106" s="21">
        <v>278.08</v>
      </c>
      <c r="V106" s="21">
        <v>302.91</v>
      </c>
      <c r="W106" s="21">
        <v>373.47</v>
      </c>
    </row>
    <row r="107" ht="15.0" customHeight="1">
      <c r="A107" s="14" t="s">
        <v>151</v>
      </c>
      <c r="B107" s="16">
        <v>117.03</v>
      </c>
      <c r="C107" s="16">
        <v>105.27</v>
      </c>
      <c r="D107" s="17">
        <v>46.49</v>
      </c>
      <c r="E107" s="17">
        <v>55.78</v>
      </c>
      <c r="F107" s="16">
        <v>103.98</v>
      </c>
      <c r="G107" s="16">
        <v>134.99</v>
      </c>
      <c r="H107" s="17">
        <v>90.8</v>
      </c>
      <c r="I107" s="17">
        <v>43.59</v>
      </c>
      <c r="J107" s="17">
        <v>66.67</v>
      </c>
      <c r="K107" s="17">
        <v>61.03</v>
      </c>
      <c r="L107" s="17">
        <v>49.19</v>
      </c>
      <c r="M107" s="17">
        <v>60.48</v>
      </c>
      <c r="N107" s="17">
        <v>87.08</v>
      </c>
      <c r="O107" s="17">
        <v>66.08</v>
      </c>
      <c r="P107" s="17">
        <v>14.82</v>
      </c>
      <c r="Q107" s="17">
        <v>36.27</v>
      </c>
      <c r="R107" s="17">
        <v>79.39</v>
      </c>
      <c r="S107" s="17">
        <v>43.32</v>
      </c>
      <c r="T107" s="16">
        <v>104.14</v>
      </c>
      <c r="U107" s="17">
        <v>69.09</v>
      </c>
      <c r="V107" s="17">
        <v>86.51</v>
      </c>
      <c r="W107" s="17">
        <v>91.15</v>
      </c>
    </row>
    <row r="108" ht="15.0" customHeight="1">
      <c r="A108" s="14" t="s">
        <v>152</v>
      </c>
      <c r="B108" s="15"/>
      <c r="C108" s="17">
        <v>98.59</v>
      </c>
      <c r="D108" s="17">
        <v>57.66</v>
      </c>
      <c r="E108" s="16">
        <v>103.91</v>
      </c>
      <c r="F108" s="16">
        <v>108.65</v>
      </c>
      <c r="G108" s="16">
        <v>101.91</v>
      </c>
      <c r="H108" s="17">
        <v>85.29</v>
      </c>
      <c r="I108" s="17">
        <v>83.72</v>
      </c>
      <c r="J108" s="17">
        <v>72.29</v>
      </c>
      <c r="K108" s="17">
        <v>53.67</v>
      </c>
      <c r="L108" s="17">
        <v>53.53</v>
      </c>
      <c r="M108" s="17">
        <v>44.42</v>
      </c>
      <c r="N108" s="17">
        <v>31.66</v>
      </c>
      <c r="O108" s="17">
        <v>68.15</v>
      </c>
      <c r="P108" s="17">
        <v>37.08</v>
      </c>
      <c r="Q108" s="17">
        <v>55.67</v>
      </c>
      <c r="R108" s="16">
        <v>132.84</v>
      </c>
      <c r="S108" s="17">
        <v>64.98</v>
      </c>
      <c r="T108" s="15"/>
      <c r="U108" s="17">
        <v>64.4</v>
      </c>
      <c r="V108" s="17">
        <v>76.14</v>
      </c>
      <c r="W108" s="17">
        <v>44.98</v>
      </c>
    </row>
    <row r="109" ht="15.0" customHeight="1">
      <c r="A109" s="14" t="s">
        <v>153</v>
      </c>
      <c r="B109" s="15"/>
      <c r="C109" s="18">
        <v>-0.81</v>
      </c>
      <c r="D109" s="17">
        <v>0.19</v>
      </c>
      <c r="E109" s="18">
        <v>-0.36</v>
      </c>
      <c r="F109" s="18">
        <v>-0.16</v>
      </c>
      <c r="G109" s="17">
        <v>22.73</v>
      </c>
      <c r="H109" s="18">
        <v>-0.25</v>
      </c>
      <c r="I109" s="18">
        <v>-0.06</v>
      </c>
      <c r="J109" s="17">
        <v>0.16</v>
      </c>
      <c r="K109" s="17">
        <v>7.33</v>
      </c>
      <c r="L109" s="18">
        <v>-0.26</v>
      </c>
      <c r="M109" s="15">
        <v>0.0</v>
      </c>
      <c r="N109" s="18">
        <v>-0.18</v>
      </c>
      <c r="O109" s="17">
        <v>2.92</v>
      </c>
      <c r="P109" s="18">
        <v>-0.43</v>
      </c>
      <c r="Q109" s="17">
        <v>1.45</v>
      </c>
      <c r="R109" s="18">
        <v>-1.34</v>
      </c>
      <c r="S109" s="17">
        <v>0.67</v>
      </c>
      <c r="T109" s="15"/>
      <c r="U109" s="15"/>
      <c r="V109" s="15"/>
      <c r="W109" s="15"/>
    </row>
    <row r="110" ht="15.0" customHeight="1">
      <c r="A110" s="14" t="s">
        <v>154</v>
      </c>
      <c r="B110" s="15"/>
      <c r="C110" s="17">
        <v>7.49</v>
      </c>
      <c r="D110" s="18">
        <v>-11.37</v>
      </c>
      <c r="E110" s="18">
        <v>-47.75</v>
      </c>
      <c r="F110" s="18">
        <v>-4.5</v>
      </c>
      <c r="G110" s="17">
        <v>10.35</v>
      </c>
      <c r="H110" s="17">
        <v>5.76</v>
      </c>
      <c r="I110" s="18">
        <v>-40.07</v>
      </c>
      <c r="J110" s="18">
        <v>-5.78</v>
      </c>
      <c r="K110" s="17">
        <v>0.04</v>
      </c>
      <c r="L110" s="18">
        <v>-4.09</v>
      </c>
      <c r="M110" s="17">
        <v>16.06</v>
      </c>
      <c r="N110" s="17">
        <v>55.6</v>
      </c>
      <c r="O110" s="18">
        <v>-4.98</v>
      </c>
      <c r="P110" s="18">
        <v>-21.83</v>
      </c>
      <c r="Q110" s="18">
        <v>-20.85</v>
      </c>
      <c r="R110" s="18">
        <v>-52.1</v>
      </c>
      <c r="S110" s="18">
        <v>-22.33</v>
      </c>
      <c r="T110" s="15"/>
      <c r="U110" s="17">
        <v>4.69</v>
      </c>
      <c r="V110" s="17">
        <v>10.37</v>
      </c>
      <c r="W110" s="17">
        <v>46.16</v>
      </c>
    </row>
    <row r="111" ht="15.0" customHeight="1">
      <c r="A111" s="14" t="s">
        <v>155</v>
      </c>
      <c r="B111" s="15"/>
      <c r="C111" s="15"/>
      <c r="D111" s="15"/>
      <c r="E111" s="18">
        <v>-0.01</v>
      </c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</row>
    <row r="112" ht="15.0" customHeight="1">
      <c r="A112" s="19" t="s">
        <v>156</v>
      </c>
      <c r="B112" s="21">
        <v>117.03</v>
      </c>
      <c r="C112" s="21">
        <v>105.27</v>
      </c>
      <c r="D112" s="22">
        <v>46.49</v>
      </c>
      <c r="E112" s="22">
        <v>55.78</v>
      </c>
      <c r="F112" s="21">
        <v>103.98</v>
      </c>
      <c r="G112" s="21">
        <v>134.99</v>
      </c>
      <c r="H112" s="22">
        <v>90.8</v>
      </c>
      <c r="I112" s="22">
        <v>43.59</v>
      </c>
      <c r="J112" s="22">
        <v>66.67</v>
      </c>
      <c r="K112" s="22">
        <v>61.03</v>
      </c>
      <c r="L112" s="22">
        <v>49.19</v>
      </c>
      <c r="M112" s="22">
        <v>60.48</v>
      </c>
      <c r="N112" s="22">
        <v>87.08</v>
      </c>
      <c r="O112" s="22">
        <v>66.08</v>
      </c>
      <c r="P112" s="22">
        <v>14.82</v>
      </c>
      <c r="Q112" s="22">
        <v>36.27</v>
      </c>
      <c r="R112" s="22">
        <v>79.39</v>
      </c>
      <c r="S112" s="22">
        <v>43.32</v>
      </c>
      <c r="T112" s="21">
        <v>104.14</v>
      </c>
      <c r="U112" s="22">
        <v>69.09</v>
      </c>
      <c r="V112" s="22">
        <v>86.51</v>
      </c>
      <c r="W112" s="22">
        <v>91.15</v>
      </c>
    </row>
    <row r="113" ht="15.0" customHeight="1">
      <c r="A113" s="14" t="s">
        <v>157</v>
      </c>
      <c r="B113" s="15"/>
      <c r="C113" s="17">
        <v>0.01</v>
      </c>
      <c r="D113" s="17">
        <v>0.01</v>
      </c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</row>
    <row r="114" ht="15.0" customHeight="1">
      <c r="A114" s="19" t="s">
        <v>158</v>
      </c>
      <c r="B114" s="21">
        <v>510.23</v>
      </c>
      <c r="C114" s="21">
        <v>499.61</v>
      </c>
      <c r="D114" s="25">
        <v>-174.29</v>
      </c>
      <c r="E114" s="24">
        <v>-38.9</v>
      </c>
      <c r="F114" s="24">
        <v>-54.86</v>
      </c>
      <c r="G114" s="21">
        <v>264.52</v>
      </c>
      <c r="H114" s="21">
        <v>166.97</v>
      </c>
      <c r="I114" s="21">
        <v>170.92</v>
      </c>
      <c r="J114" s="21">
        <v>264.68</v>
      </c>
      <c r="K114" s="21">
        <v>181.61</v>
      </c>
      <c r="L114" s="21">
        <v>130.93</v>
      </c>
      <c r="M114" s="21">
        <v>224.03</v>
      </c>
      <c r="N114" s="24">
        <v>-33.5</v>
      </c>
      <c r="O114" s="22">
        <v>75.22</v>
      </c>
      <c r="P114" s="24">
        <v>-51.62</v>
      </c>
      <c r="Q114" s="24">
        <v>-33.83</v>
      </c>
      <c r="R114" s="22">
        <v>64.99</v>
      </c>
      <c r="S114" s="22">
        <v>93.99</v>
      </c>
      <c r="T114" s="21">
        <v>542.34</v>
      </c>
      <c r="U114" s="21">
        <v>208.99</v>
      </c>
      <c r="V114" s="21">
        <v>216.41</v>
      </c>
      <c r="W114" s="21">
        <v>282.32</v>
      </c>
    </row>
    <row r="115" ht="15.0" customHeight="1">
      <c r="A115" s="14" t="s">
        <v>159</v>
      </c>
      <c r="B115" s="17">
        <v>33.94</v>
      </c>
      <c r="C115" s="17">
        <v>38.83</v>
      </c>
      <c r="D115" s="17">
        <v>51.58</v>
      </c>
      <c r="E115" s="17">
        <v>14.73</v>
      </c>
      <c r="F115" s="17">
        <v>15.25</v>
      </c>
      <c r="G115" s="17">
        <v>18.8</v>
      </c>
      <c r="H115" s="17">
        <v>18.45</v>
      </c>
      <c r="I115" s="17">
        <v>13.82</v>
      </c>
      <c r="J115" s="17">
        <v>23.41</v>
      </c>
      <c r="K115" s="17">
        <v>12.67</v>
      </c>
      <c r="L115" s="17">
        <v>7.55</v>
      </c>
      <c r="M115" s="17">
        <v>5.24</v>
      </c>
      <c r="N115" s="17">
        <v>0.37</v>
      </c>
      <c r="O115" s="17">
        <v>1.81</v>
      </c>
      <c r="P115" s="17">
        <v>0.3</v>
      </c>
      <c r="Q115" s="17">
        <v>6.74</v>
      </c>
      <c r="R115" s="17">
        <v>3.26</v>
      </c>
      <c r="S115" s="18">
        <v>-2.9</v>
      </c>
      <c r="T115" s="17">
        <v>7.21</v>
      </c>
      <c r="U115" s="17">
        <v>7.05</v>
      </c>
      <c r="V115" s="17">
        <v>6.85</v>
      </c>
      <c r="W115" s="17">
        <v>3.15</v>
      </c>
    </row>
    <row r="116" ht="15.0" customHeight="1">
      <c r="A116" s="19" t="s">
        <v>160</v>
      </c>
      <c r="B116" s="22">
        <v>33.94</v>
      </c>
      <c r="C116" s="22">
        <v>38.83</v>
      </c>
      <c r="D116" s="22">
        <v>51.58</v>
      </c>
      <c r="E116" s="22">
        <v>14.73</v>
      </c>
      <c r="F116" s="22">
        <v>15.25</v>
      </c>
      <c r="G116" s="22">
        <v>18.8</v>
      </c>
      <c r="H116" s="22">
        <v>18.45</v>
      </c>
      <c r="I116" s="22">
        <v>13.82</v>
      </c>
      <c r="J116" s="22">
        <v>23.41</v>
      </c>
      <c r="K116" s="22">
        <v>12.67</v>
      </c>
      <c r="L116" s="22">
        <v>7.55</v>
      </c>
      <c r="M116" s="22">
        <v>5.24</v>
      </c>
      <c r="N116" s="22">
        <v>0.37</v>
      </c>
      <c r="O116" s="22">
        <v>1.81</v>
      </c>
      <c r="P116" s="22">
        <v>0.3</v>
      </c>
      <c r="Q116" s="22">
        <v>6.74</v>
      </c>
      <c r="R116" s="22">
        <v>3.26</v>
      </c>
      <c r="S116" s="24">
        <v>-2.9</v>
      </c>
      <c r="T116" s="22">
        <v>7.21</v>
      </c>
      <c r="U116" s="22">
        <v>7.05</v>
      </c>
      <c r="V116" s="22">
        <v>6.85</v>
      </c>
      <c r="W116" s="22">
        <v>3.15</v>
      </c>
    </row>
    <row r="117" ht="15.0" customHeight="1">
      <c r="A117" s="19" t="s">
        <v>161</v>
      </c>
      <c r="B117" s="21">
        <v>510.23</v>
      </c>
      <c r="C117" s="21">
        <v>499.61</v>
      </c>
      <c r="D117" s="25">
        <v>-174.29</v>
      </c>
      <c r="E117" s="24">
        <v>-38.9</v>
      </c>
      <c r="F117" s="24">
        <v>-54.86</v>
      </c>
      <c r="G117" s="21">
        <v>264.52</v>
      </c>
      <c r="H117" s="21">
        <v>166.97</v>
      </c>
      <c r="I117" s="21">
        <v>170.92</v>
      </c>
      <c r="J117" s="21">
        <v>264.68</v>
      </c>
      <c r="K117" s="21">
        <v>181.61</v>
      </c>
      <c r="L117" s="21">
        <v>130.93</v>
      </c>
      <c r="M117" s="21">
        <v>224.03</v>
      </c>
      <c r="N117" s="24">
        <v>-33.5</v>
      </c>
      <c r="O117" s="22">
        <v>75.22</v>
      </c>
      <c r="P117" s="24">
        <v>-51.62</v>
      </c>
      <c r="Q117" s="24">
        <v>-33.83</v>
      </c>
      <c r="R117" s="22">
        <v>64.99</v>
      </c>
      <c r="S117" s="22">
        <v>93.99</v>
      </c>
      <c r="T117" s="21">
        <v>542.34</v>
      </c>
      <c r="U117" s="21">
        <v>208.99</v>
      </c>
      <c r="V117" s="21">
        <v>216.41</v>
      </c>
      <c r="W117" s="21">
        <v>282.32</v>
      </c>
    </row>
    <row r="118" ht="15.0" customHeight="1">
      <c r="A118" s="14" t="s">
        <v>162</v>
      </c>
      <c r="B118" s="15"/>
      <c r="C118" s="18">
        <v>-0.01</v>
      </c>
      <c r="D118" s="18">
        <v>-0.01</v>
      </c>
      <c r="E118" s="18">
        <v>-0.01</v>
      </c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</row>
    <row r="119" ht="15.0" customHeight="1">
      <c r="A119" s="19" t="s">
        <v>163</v>
      </c>
      <c r="B119" s="21">
        <v>476.29</v>
      </c>
      <c r="C119" s="21">
        <v>460.76</v>
      </c>
      <c r="D119" s="25">
        <v>-225.89</v>
      </c>
      <c r="E119" s="24">
        <v>-53.64</v>
      </c>
      <c r="F119" s="24">
        <v>-70.12</v>
      </c>
      <c r="G119" s="21">
        <v>245.72</v>
      </c>
      <c r="H119" s="21">
        <v>148.52</v>
      </c>
      <c r="I119" s="21">
        <v>157.1</v>
      </c>
      <c r="J119" s="21">
        <v>241.27</v>
      </c>
      <c r="K119" s="21">
        <v>168.94</v>
      </c>
      <c r="L119" s="21">
        <v>123.38</v>
      </c>
      <c r="M119" s="21">
        <v>218.79</v>
      </c>
      <c r="N119" s="24">
        <v>-33.87</v>
      </c>
      <c r="O119" s="22">
        <v>73.41</v>
      </c>
      <c r="P119" s="24">
        <v>-51.93</v>
      </c>
      <c r="Q119" s="24">
        <v>-40.57</v>
      </c>
      <c r="R119" s="22">
        <v>61.73</v>
      </c>
      <c r="S119" s="22">
        <v>96.89</v>
      </c>
      <c r="T119" s="21">
        <v>535.13</v>
      </c>
      <c r="U119" s="21">
        <v>201.94</v>
      </c>
      <c r="V119" s="21">
        <v>209.56</v>
      </c>
      <c r="W119" s="21">
        <v>279.18</v>
      </c>
    </row>
    <row r="120" ht="15.0" customHeight="1">
      <c r="A120" s="19" t="s">
        <v>164</v>
      </c>
      <c r="B120" s="21">
        <v>476.29</v>
      </c>
      <c r="C120" s="21">
        <v>460.76</v>
      </c>
      <c r="D120" s="25">
        <v>-225.89</v>
      </c>
      <c r="E120" s="24">
        <v>-53.64</v>
      </c>
      <c r="F120" s="24">
        <v>-70.12</v>
      </c>
      <c r="G120" s="21">
        <v>245.72</v>
      </c>
      <c r="H120" s="21">
        <v>148.52</v>
      </c>
      <c r="I120" s="21">
        <v>157.1</v>
      </c>
      <c r="J120" s="21">
        <v>241.27</v>
      </c>
      <c r="K120" s="21">
        <v>168.94</v>
      </c>
      <c r="L120" s="21">
        <v>123.38</v>
      </c>
      <c r="M120" s="21">
        <v>218.79</v>
      </c>
      <c r="N120" s="24">
        <v>-33.87</v>
      </c>
      <c r="O120" s="22">
        <v>73.41</v>
      </c>
      <c r="P120" s="24">
        <v>-51.93</v>
      </c>
      <c r="Q120" s="24">
        <v>-40.57</v>
      </c>
      <c r="R120" s="22">
        <v>61.73</v>
      </c>
      <c r="S120" s="22">
        <v>96.89</v>
      </c>
      <c r="T120" s="21">
        <v>535.13</v>
      </c>
      <c r="U120" s="21">
        <v>201.94</v>
      </c>
      <c r="V120" s="21">
        <v>209.56</v>
      </c>
      <c r="W120" s="21">
        <v>279.18</v>
      </c>
    </row>
    <row r="121" ht="15.0" customHeight="1">
      <c r="A121" s="19" t="s">
        <v>163</v>
      </c>
      <c r="B121" s="21">
        <v>476.29</v>
      </c>
      <c r="C121" s="21">
        <v>460.76</v>
      </c>
      <c r="D121" s="25">
        <v>-225.89</v>
      </c>
      <c r="E121" s="24">
        <v>-53.64</v>
      </c>
      <c r="F121" s="24">
        <v>-70.12</v>
      </c>
      <c r="G121" s="21">
        <v>245.72</v>
      </c>
      <c r="H121" s="21">
        <v>148.52</v>
      </c>
      <c r="I121" s="21">
        <v>157.1</v>
      </c>
      <c r="J121" s="21">
        <v>241.27</v>
      </c>
      <c r="K121" s="21">
        <v>168.94</v>
      </c>
      <c r="L121" s="21">
        <v>123.38</v>
      </c>
      <c r="M121" s="21">
        <v>218.79</v>
      </c>
      <c r="N121" s="24">
        <v>-33.87</v>
      </c>
      <c r="O121" s="22">
        <v>73.41</v>
      </c>
      <c r="P121" s="24">
        <v>-51.93</v>
      </c>
      <c r="Q121" s="24">
        <v>-40.57</v>
      </c>
      <c r="R121" s="22">
        <v>61.73</v>
      </c>
      <c r="S121" s="22">
        <v>96.89</v>
      </c>
      <c r="T121" s="21">
        <v>535.13</v>
      </c>
      <c r="U121" s="21">
        <v>201.94</v>
      </c>
      <c r="V121" s="21">
        <v>209.56</v>
      </c>
      <c r="W121" s="21">
        <v>279.18</v>
      </c>
    </row>
    <row r="122" ht="15.0" customHeight="1">
      <c r="A122" s="14" t="s">
        <v>158</v>
      </c>
      <c r="B122" s="15"/>
      <c r="C122" s="16">
        <v>499.61</v>
      </c>
      <c r="D122" s="23">
        <v>-174.29</v>
      </c>
      <c r="E122" s="18">
        <v>-38.9</v>
      </c>
      <c r="F122" s="18">
        <v>-54.86</v>
      </c>
      <c r="G122" s="16">
        <v>264.52</v>
      </c>
      <c r="H122" s="16">
        <v>166.97</v>
      </c>
      <c r="I122" s="16">
        <v>170.92</v>
      </c>
      <c r="J122" s="16">
        <v>264.68</v>
      </c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</row>
    <row r="123" ht="15.0" customHeight="1">
      <c r="A123" s="14" t="s">
        <v>165</v>
      </c>
      <c r="B123" s="15"/>
      <c r="C123" s="18">
        <v>-6.4</v>
      </c>
      <c r="D123" s="15">
        <v>0.0</v>
      </c>
      <c r="E123" s="17">
        <v>10.7</v>
      </c>
      <c r="F123" s="17">
        <v>1.62</v>
      </c>
      <c r="G123" s="18">
        <v>-1.54</v>
      </c>
      <c r="H123" s="18">
        <v>-5.23</v>
      </c>
      <c r="I123" s="18">
        <v>-2.22</v>
      </c>
      <c r="J123" s="18">
        <v>-0.48</v>
      </c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</row>
    <row r="124" ht="15.0" customHeight="1">
      <c r="A124" s="14" t="s">
        <v>166</v>
      </c>
      <c r="B124" s="15"/>
      <c r="C124" s="18">
        <v>-56.52</v>
      </c>
      <c r="D124" s="23">
        <v>-222.62</v>
      </c>
      <c r="E124" s="16">
        <v>191.63</v>
      </c>
      <c r="F124" s="17">
        <v>58.38</v>
      </c>
      <c r="G124" s="18">
        <v>-15.84</v>
      </c>
      <c r="H124" s="18">
        <v>-35.15</v>
      </c>
      <c r="I124" s="17">
        <v>39.96</v>
      </c>
      <c r="J124" s="17">
        <v>19.84</v>
      </c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</row>
    <row r="125" ht="15.0" customHeight="1">
      <c r="A125" s="14" t="s">
        <v>167</v>
      </c>
      <c r="B125" s="15"/>
      <c r="C125" s="15"/>
      <c r="D125" s="15"/>
      <c r="E125" s="15">
        <v>0.0</v>
      </c>
      <c r="F125" s="18">
        <v>-4.44</v>
      </c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</row>
    <row r="126" ht="15.0" customHeight="1">
      <c r="A126" s="14" t="s">
        <v>168</v>
      </c>
      <c r="B126" s="15"/>
      <c r="C126" s="18">
        <v>-38.94</v>
      </c>
      <c r="D126" s="17">
        <v>4.06</v>
      </c>
      <c r="E126" s="18">
        <v>-89.12</v>
      </c>
      <c r="F126" s="18">
        <v>-24.36</v>
      </c>
      <c r="G126" s="18">
        <v>-73.15</v>
      </c>
      <c r="H126" s="17">
        <v>45.05</v>
      </c>
      <c r="I126" s="18">
        <v>-92.47</v>
      </c>
      <c r="J126" s="18">
        <v>-57.28</v>
      </c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</row>
    <row r="127" ht="15.0" customHeight="1">
      <c r="A127" s="14" t="s">
        <v>169</v>
      </c>
      <c r="B127" s="15"/>
      <c r="C127" s="15"/>
      <c r="D127" s="15">
        <v>0.0</v>
      </c>
      <c r="E127" s="16">
        <v>107.8</v>
      </c>
      <c r="F127" s="16">
        <v>458.38</v>
      </c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</row>
    <row r="128" ht="15.0" customHeight="1">
      <c r="A128" s="19" t="s">
        <v>170</v>
      </c>
      <c r="B128" s="20"/>
      <c r="C128" s="25">
        <v>-101.86</v>
      </c>
      <c r="D128" s="25">
        <v>-218.55</v>
      </c>
      <c r="E128" s="21">
        <v>221.01</v>
      </c>
      <c r="F128" s="21">
        <v>489.58</v>
      </c>
      <c r="G128" s="24">
        <v>-90.54</v>
      </c>
      <c r="H128" s="22">
        <v>4.68</v>
      </c>
      <c r="I128" s="24">
        <v>-54.73</v>
      </c>
      <c r="J128" s="24">
        <v>-37.92</v>
      </c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</row>
    <row r="129" ht="15.0" customHeight="1">
      <c r="A129" s="14" t="s">
        <v>163</v>
      </c>
      <c r="B129" s="15"/>
      <c r="C129" s="16">
        <v>358.89</v>
      </c>
      <c r="D129" s="23">
        <v>-444.44</v>
      </c>
      <c r="E129" s="16">
        <v>167.37</v>
      </c>
      <c r="F129" s="16">
        <v>419.46</v>
      </c>
      <c r="G129" s="16">
        <v>155.19</v>
      </c>
      <c r="H129" s="16">
        <v>153.2</v>
      </c>
      <c r="I129" s="16">
        <v>102.37</v>
      </c>
      <c r="J129" s="16">
        <v>204.08</v>
      </c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</row>
    <row r="130" ht="15.0" customHeight="1">
      <c r="A130" s="14" t="s">
        <v>159</v>
      </c>
      <c r="B130" s="15"/>
      <c r="C130" s="17">
        <v>38.83</v>
      </c>
      <c r="D130" s="17">
        <v>51.58</v>
      </c>
      <c r="E130" s="17">
        <v>14.73</v>
      </c>
      <c r="F130" s="17">
        <v>15.25</v>
      </c>
      <c r="G130" s="17">
        <v>18.8</v>
      </c>
      <c r="H130" s="17">
        <v>18.45</v>
      </c>
      <c r="I130" s="17">
        <v>13.82</v>
      </c>
      <c r="J130" s="17">
        <v>22.68</v>
      </c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</row>
    <row r="131" ht="15.0" customHeight="1">
      <c r="A131" s="14" t="s">
        <v>171</v>
      </c>
      <c r="B131" s="15"/>
      <c r="C131" s="18">
        <v>-0.01</v>
      </c>
      <c r="D131" s="15"/>
      <c r="E131" s="18">
        <v>-0.01</v>
      </c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</row>
    <row r="132" ht="15.0" customHeight="1">
      <c r="A132" s="19" t="s">
        <v>170</v>
      </c>
      <c r="B132" s="20"/>
      <c r="C132" s="21">
        <v>397.74</v>
      </c>
      <c r="D132" s="25">
        <v>-392.85</v>
      </c>
      <c r="E132" s="21">
        <v>182.1</v>
      </c>
      <c r="F132" s="21">
        <v>434.72</v>
      </c>
      <c r="G132" s="21">
        <v>173.98</v>
      </c>
      <c r="H132" s="21">
        <v>171.65</v>
      </c>
      <c r="I132" s="21">
        <v>116.19</v>
      </c>
      <c r="J132" s="21">
        <v>226.76</v>
      </c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</row>
    <row r="133" ht="15.0" customHeight="1">
      <c r="A133" s="14" t="s">
        <v>172</v>
      </c>
      <c r="B133" s="17">
        <v>28.26</v>
      </c>
      <c r="C133" s="17">
        <v>28.18</v>
      </c>
      <c r="D133" s="17">
        <v>28.18</v>
      </c>
      <c r="E133" s="17">
        <v>28.19</v>
      </c>
      <c r="F133" s="17">
        <v>28.13</v>
      </c>
      <c r="G133" s="17">
        <v>28.16</v>
      </c>
      <c r="H133" s="17">
        <v>28.16</v>
      </c>
      <c r="I133" s="17">
        <v>28.16</v>
      </c>
      <c r="J133" s="17">
        <v>28.16</v>
      </c>
      <c r="K133" s="17">
        <v>28.16</v>
      </c>
      <c r="L133" s="17">
        <v>28.16</v>
      </c>
      <c r="M133" s="17">
        <v>28.27</v>
      </c>
      <c r="N133" s="17">
        <v>28.16</v>
      </c>
      <c r="O133" s="17">
        <v>28.16</v>
      </c>
      <c r="P133" s="17">
        <v>28.16</v>
      </c>
      <c r="Q133" s="17">
        <v>28.16</v>
      </c>
      <c r="R133" s="17">
        <v>28.16</v>
      </c>
      <c r="S133" s="17">
        <v>28.27</v>
      </c>
      <c r="T133" s="17">
        <v>26.21</v>
      </c>
      <c r="U133" s="17">
        <v>21.83</v>
      </c>
      <c r="V133" s="17">
        <v>21.09</v>
      </c>
      <c r="W133" s="17">
        <v>21.09</v>
      </c>
    </row>
    <row r="134" ht="15.0" customHeight="1">
      <c r="A134" s="14" t="s">
        <v>173</v>
      </c>
      <c r="B134" s="17">
        <v>16.85</v>
      </c>
      <c r="C134" s="17">
        <v>16.38</v>
      </c>
      <c r="D134" s="18">
        <v>-7.99</v>
      </c>
      <c r="E134" s="18">
        <v>-1.92</v>
      </c>
      <c r="F134" s="18">
        <v>-2.44</v>
      </c>
      <c r="G134" s="17">
        <v>8.69</v>
      </c>
      <c r="H134" s="17">
        <v>5.32</v>
      </c>
      <c r="I134" s="17">
        <v>5.57</v>
      </c>
      <c r="J134" s="17">
        <v>8.58</v>
      </c>
      <c r="K134" s="17">
        <v>6.04</v>
      </c>
      <c r="L134" s="17">
        <v>4.38</v>
      </c>
      <c r="M134" s="17">
        <v>7.77</v>
      </c>
      <c r="N134" s="18">
        <v>-1.17</v>
      </c>
      <c r="O134" s="17">
        <v>2.62</v>
      </c>
      <c r="P134" s="18">
        <v>-1.87</v>
      </c>
      <c r="Q134" s="18">
        <v>-1.44</v>
      </c>
      <c r="R134" s="17">
        <v>2.18</v>
      </c>
      <c r="S134" s="17">
        <v>3.46</v>
      </c>
      <c r="T134" s="17">
        <v>20.91</v>
      </c>
      <c r="U134" s="17">
        <v>9.25</v>
      </c>
      <c r="V134" s="17">
        <v>9.94</v>
      </c>
      <c r="W134" s="17">
        <v>13.24</v>
      </c>
    </row>
    <row r="135" ht="15.0" customHeight="1">
      <c r="A135" s="14" t="s">
        <v>174</v>
      </c>
      <c r="B135" s="17">
        <v>16.85</v>
      </c>
      <c r="C135" s="17">
        <v>16.38</v>
      </c>
      <c r="D135" s="18">
        <v>-7.99</v>
      </c>
      <c r="E135" s="18">
        <v>-1.92</v>
      </c>
      <c r="F135" s="18">
        <v>-2.44</v>
      </c>
      <c r="G135" s="17">
        <v>8.69</v>
      </c>
      <c r="H135" s="17">
        <v>5.32</v>
      </c>
      <c r="I135" s="17">
        <v>5.57</v>
      </c>
      <c r="J135" s="17">
        <v>8.58</v>
      </c>
      <c r="K135" s="17">
        <v>6.04</v>
      </c>
      <c r="L135" s="17">
        <v>4.38</v>
      </c>
      <c r="M135" s="17">
        <v>7.77</v>
      </c>
      <c r="N135" s="18">
        <v>-1.17</v>
      </c>
      <c r="O135" s="17">
        <v>2.62</v>
      </c>
      <c r="P135" s="18">
        <v>-1.87</v>
      </c>
      <c r="Q135" s="18">
        <v>-1.44</v>
      </c>
      <c r="R135" s="17">
        <v>2.19</v>
      </c>
      <c r="S135" s="17">
        <v>3.43</v>
      </c>
      <c r="T135" s="17">
        <v>20.42</v>
      </c>
      <c r="U135" s="17">
        <v>9.25</v>
      </c>
      <c r="V135" s="17">
        <v>9.94</v>
      </c>
      <c r="W135" s="17">
        <v>13.24</v>
      </c>
    </row>
    <row r="136" ht="15.0" customHeight="1">
      <c r="A136" s="14" t="s">
        <v>175</v>
      </c>
      <c r="B136" s="16">
        <v>476.29</v>
      </c>
      <c r="C136" s="16">
        <v>460.76</v>
      </c>
      <c r="D136" s="23">
        <v>-225.89</v>
      </c>
      <c r="E136" s="18">
        <v>-53.64</v>
      </c>
      <c r="F136" s="18">
        <v>-70.12</v>
      </c>
      <c r="G136" s="16">
        <v>245.72</v>
      </c>
      <c r="H136" s="16">
        <v>148.52</v>
      </c>
      <c r="I136" s="16">
        <v>157.1</v>
      </c>
      <c r="J136" s="16">
        <v>241.27</v>
      </c>
      <c r="K136" s="16">
        <v>168.94</v>
      </c>
      <c r="L136" s="16">
        <v>123.38</v>
      </c>
      <c r="M136" s="16">
        <v>218.79</v>
      </c>
      <c r="N136" s="18">
        <v>-33.87</v>
      </c>
      <c r="O136" s="17">
        <v>73.41</v>
      </c>
      <c r="P136" s="18">
        <v>-51.93</v>
      </c>
      <c r="Q136" s="18">
        <v>-40.57</v>
      </c>
      <c r="R136" s="17">
        <v>61.73</v>
      </c>
      <c r="S136" s="17">
        <v>96.89</v>
      </c>
      <c r="T136" s="16">
        <v>535.13</v>
      </c>
      <c r="U136" s="16">
        <v>201.94</v>
      </c>
      <c r="V136" s="16">
        <v>209.56</v>
      </c>
      <c r="W136" s="16">
        <v>279.18</v>
      </c>
    </row>
    <row r="137" ht="15.0" customHeight="1">
      <c r="A137" s="14" t="s">
        <v>176</v>
      </c>
      <c r="B137" s="17">
        <v>28.26</v>
      </c>
      <c r="C137" s="17">
        <v>28.18</v>
      </c>
      <c r="D137" s="17">
        <v>28.18</v>
      </c>
      <c r="E137" s="17">
        <v>28.19</v>
      </c>
      <c r="F137" s="17">
        <v>28.13</v>
      </c>
      <c r="G137" s="17">
        <v>28.16</v>
      </c>
      <c r="H137" s="17">
        <v>28.16</v>
      </c>
      <c r="I137" s="17">
        <v>28.16</v>
      </c>
      <c r="J137" s="17">
        <v>28.16</v>
      </c>
      <c r="K137" s="17">
        <v>28.16</v>
      </c>
      <c r="L137" s="17">
        <v>28.16</v>
      </c>
      <c r="M137" s="17">
        <v>28.27</v>
      </c>
      <c r="N137" s="17">
        <v>28.16</v>
      </c>
      <c r="O137" s="17">
        <v>28.16</v>
      </c>
      <c r="P137" s="17">
        <v>28.16</v>
      </c>
      <c r="Q137" s="17">
        <v>28.16</v>
      </c>
      <c r="R137" s="17">
        <v>28.16</v>
      </c>
      <c r="S137" s="17">
        <v>28.27</v>
      </c>
      <c r="T137" s="17">
        <v>26.21</v>
      </c>
      <c r="U137" s="17">
        <v>21.83</v>
      </c>
      <c r="V137" s="17">
        <v>21.09</v>
      </c>
      <c r="W137" s="17">
        <v>21.09</v>
      </c>
    </row>
    <row r="138" ht="15.0" customHeight="1">
      <c r="A138" s="14" t="s">
        <v>177</v>
      </c>
      <c r="B138" s="17">
        <v>16.85</v>
      </c>
      <c r="C138" s="17">
        <v>16.38</v>
      </c>
      <c r="D138" s="18">
        <v>-7.99</v>
      </c>
      <c r="E138" s="18">
        <v>-1.92</v>
      </c>
      <c r="F138" s="18">
        <v>-2.44</v>
      </c>
      <c r="G138" s="17">
        <v>8.69</v>
      </c>
      <c r="H138" s="17">
        <v>5.32</v>
      </c>
      <c r="I138" s="17">
        <v>5.57</v>
      </c>
      <c r="J138" s="17">
        <v>8.58</v>
      </c>
      <c r="K138" s="17">
        <v>6.04</v>
      </c>
      <c r="L138" s="17">
        <v>4.38</v>
      </c>
      <c r="M138" s="17">
        <v>7.77</v>
      </c>
      <c r="N138" s="18">
        <v>-1.17</v>
      </c>
      <c r="O138" s="17">
        <v>2.62</v>
      </c>
      <c r="P138" s="18">
        <v>-1.87</v>
      </c>
      <c r="Q138" s="18">
        <v>-1.44</v>
      </c>
      <c r="R138" s="17">
        <v>2.18</v>
      </c>
      <c r="S138" s="17">
        <v>3.46</v>
      </c>
      <c r="T138" s="17">
        <v>20.91</v>
      </c>
      <c r="U138" s="17">
        <v>9.25</v>
      </c>
      <c r="V138" s="17">
        <v>9.94</v>
      </c>
      <c r="W138" s="17">
        <v>13.24</v>
      </c>
    </row>
    <row r="139" ht="15.0" customHeight="1">
      <c r="A139" s="14" t="s">
        <v>178</v>
      </c>
      <c r="B139" s="17">
        <v>16.85</v>
      </c>
      <c r="C139" s="17">
        <v>16.38</v>
      </c>
      <c r="D139" s="18">
        <v>-7.99</v>
      </c>
      <c r="E139" s="18">
        <v>-1.92</v>
      </c>
      <c r="F139" s="18">
        <v>-2.44</v>
      </c>
      <c r="G139" s="17">
        <v>8.69</v>
      </c>
      <c r="H139" s="17">
        <v>5.32</v>
      </c>
      <c r="I139" s="17">
        <v>5.57</v>
      </c>
      <c r="J139" s="17">
        <v>8.58</v>
      </c>
      <c r="K139" s="17">
        <v>6.04</v>
      </c>
      <c r="L139" s="17">
        <v>4.38</v>
      </c>
      <c r="M139" s="17">
        <v>7.77</v>
      </c>
      <c r="N139" s="18">
        <v>-1.17</v>
      </c>
      <c r="O139" s="17">
        <v>2.62</v>
      </c>
      <c r="P139" s="18">
        <v>-1.87</v>
      </c>
      <c r="Q139" s="18">
        <v>-1.44</v>
      </c>
      <c r="R139" s="17">
        <v>2.19</v>
      </c>
      <c r="S139" s="17">
        <v>3.43</v>
      </c>
      <c r="T139" s="17">
        <v>20.42</v>
      </c>
      <c r="U139" s="17">
        <v>9.25</v>
      </c>
      <c r="V139" s="17">
        <v>9.94</v>
      </c>
      <c r="W139" s="17">
        <v>13.24</v>
      </c>
    </row>
    <row r="140" ht="15.0" customHeight="1">
      <c r="A140" s="14" t="s">
        <v>179</v>
      </c>
      <c r="B140" s="16">
        <v>476.29</v>
      </c>
      <c r="C140" s="16">
        <v>460.76</v>
      </c>
      <c r="D140" s="23">
        <v>-225.89</v>
      </c>
      <c r="E140" s="18">
        <v>-53.64</v>
      </c>
      <c r="F140" s="18">
        <v>-70.12</v>
      </c>
      <c r="G140" s="16">
        <v>245.72</v>
      </c>
      <c r="H140" s="16">
        <v>148.52</v>
      </c>
      <c r="I140" s="16">
        <v>157.1</v>
      </c>
      <c r="J140" s="16">
        <v>241.27</v>
      </c>
      <c r="K140" s="16">
        <v>168.94</v>
      </c>
      <c r="L140" s="16">
        <v>123.38</v>
      </c>
      <c r="M140" s="16">
        <v>218.79</v>
      </c>
      <c r="N140" s="18">
        <v>-33.87</v>
      </c>
      <c r="O140" s="17">
        <v>73.41</v>
      </c>
      <c r="P140" s="18">
        <v>-51.93</v>
      </c>
      <c r="Q140" s="18">
        <v>-40.57</v>
      </c>
      <c r="R140" s="17">
        <v>61.73</v>
      </c>
      <c r="S140" s="17">
        <v>96.89</v>
      </c>
      <c r="T140" s="16">
        <v>535.13</v>
      </c>
      <c r="U140" s="16">
        <v>201.94</v>
      </c>
      <c r="V140" s="16">
        <v>209.56</v>
      </c>
      <c r="W140" s="16">
        <v>279.18</v>
      </c>
    </row>
    <row r="141" ht="15.0" customHeight="1">
      <c r="A141" s="14" t="s">
        <v>180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7">
        <v>89.84</v>
      </c>
      <c r="P141" s="17">
        <v>92.65</v>
      </c>
      <c r="Q141" s="17">
        <v>82.33</v>
      </c>
      <c r="R141" s="17">
        <v>81.88</v>
      </c>
      <c r="S141" s="17">
        <v>81.57</v>
      </c>
      <c r="T141" s="15"/>
      <c r="U141" s="17">
        <v>59.86</v>
      </c>
      <c r="V141" s="17">
        <v>53.75</v>
      </c>
      <c r="W141" s="17">
        <v>58.16</v>
      </c>
    </row>
    <row r="142" ht="15.0" customHeight="1">
      <c r="A142" s="14" t="s">
        <v>181</v>
      </c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7">
        <v>22.31</v>
      </c>
      <c r="R142" s="17">
        <v>27.66</v>
      </c>
      <c r="S142" s="17">
        <v>22.3</v>
      </c>
      <c r="T142" s="15"/>
      <c r="U142" s="15"/>
      <c r="V142" s="17">
        <v>25.86</v>
      </c>
      <c r="W142" s="17">
        <v>22.46</v>
      </c>
    </row>
    <row r="143" ht="15.0" customHeight="1">
      <c r="A143" s="14" t="s">
        <v>182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7">
        <v>85.58</v>
      </c>
      <c r="R143" s="16">
        <v>128.99</v>
      </c>
      <c r="S143" s="16">
        <v>170.81</v>
      </c>
      <c r="T143" s="15"/>
      <c r="U143" s="17">
        <v>80.76</v>
      </c>
      <c r="V143" s="15"/>
      <c r="W143" s="17">
        <v>51.81</v>
      </c>
    </row>
    <row r="144" ht="15.0" customHeight="1">
      <c r="A144" s="14" t="s">
        <v>114</v>
      </c>
      <c r="B144" s="15"/>
      <c r="C144" s="16">
        <v>541.52</v>
      </c>
      <c r="D144" s="16">
        <v>458.34</v>
      </c>
      <c r="E144" s="16">
        <v>369.12</v>
      </c>
      <c r="F144" s="16">
        <v>401.97</v>
      </c>
      <c r="G144" s="16">
        <v>429.19</v>
      </c>
      <c r="H144" s="16">
        <v>383.71</v>
      </c>
      <c r="I144" s="16">
        <v>374.88</v>
      </c>
      <c r="J144" s="16">
        <v>375.22</v>
      </c>
      <c r="K144" s="16">
        <v>391.34</v>
      </c>
      <c r="L144" s="16">
        <v>385.5</v>
      </c>
      <c r="M144" s="15"/>
      <c r="N144" s="16">
        <v>369.07</v>
      </c>
      <c r="O144" s="16">
        <v>354.11</v>
      </c>
      <c r="P144" s="15"/>
      <c r="Q144" s="16">
        <v>389.8</v>
      </c>
      <c r="R144" s="16">
        <v>411.9</v>
      </c>
      <c r="S144" s="16">
        <v>372.78</v>
      </c>
      <c r="T144" s="16">
        <v>356.48</v>
      </c>
      <c r="U144" s="16">
        <v>261.56</v>
      </c>
      <c r="V144" s="16">
        <v>225.24</v>
      </c>
      <c r="W144" s="16">
        <v>211.53</v>
      </c>
    </row>
    <row r="145" ht="15.0" customHeight="1">
      <c r="A145" s="14" t="s">
        <v>183</v>
      </c>
      <c r="B145" s="15"/>
      <c r="C145" s="17">
        <v>5.25</v>
      </c>
      <c r="D145" s="17">
        <v>6.32</v>
      </c>
      <c r="E145" s="17">
        <v>5.6</v>
      </c>
      <c r="F145" s="17">
        <v>5.89</v>
      </c>
      <c r="G145" s="17">
        <v>6.88</v>
      </c>
      <c r="H145" s="17">
        <v>3.67</v>
      </c>
      <c r="I145" s="17">
        <v>14.22</v>
      </c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</row>
    <row r="146" ht="15.0" customHeight="1">
      <c r="A146" s="14" t="s">
        <v>184</v>
      </c>
      <c r="B146" s="15"/>
      <c r="C146" s="16">
        <v>118.16</v>
      </c>
      <c r="D146" s="16">
        <v>120.1</v>
      </c>
      <c r="E146" s="17">
        <v>97.09</v>
      </c>
      <c r="F146" s="17">
        <v>99.38</v>
      </c>
      <c r="G146" s="16">
        <v>103.31</v>
      </c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</row>
    <row r="147" ht="15.0" customHeight="1">
      <c r="A147" s="14" t="s">
        <v>185</v>
      </c>
      <c r="B147" s="15"/>
      <c r="C147" s="17">
        <v>14.63</v>
      </c>
      <c r="D147" s="17">
        <v>10.47</v>
      </c>
      <c r="E147" s="17">
        <v>11.07</v>
      </c>
      <c r="F147" s="17">
        <v>11.48</v>
      </c>
      <c r="G147" s="17">
        <v>10.83</v>
      </c>
      <c r="H147" s="17">
        <v>9.89</v>
      </c>
      <c r="I147" s="17">
        <v>9.74</v>
      </c>
      <c r="J147" s="17">
        <v>9.82</v>
      </c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</row>
    <row r="148" ht="15.0" customHeight="1">
      <c r="A148" s="14" t="s">
        <v>186</v>
      </c>
      <c r="B148" s="15"/>
      <c r="C148" s="17">
        <v>6.88</v>
      </c>
      <c r="D148" s="17">
        <v>12.01</v>
      </c>
      <c r="E148" s="17">
        <v>13.51</v>
      </c>
      <c r="F148" s="17">
        <v>21.42</v>
      </c>
      <c r="G148" s="17">
        <v>22.41</v>
      </c>
      <c r="H148" s="17">
        <v>21.06</v>
      </c>
      <c r="I148" s="17">
        <v>22.18</v>
      </c>
      <c r="J148" s="17">
        <v>22.65</v>
      </c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</row>
    <row r="149" ht="15.0" customHeight="1">
      <c r="A149" s="14" t="s">
        <v>187</v>
      </c>
      <c r="B149" s="15"/>
      <c r="C149" s="17">
        <v>29.86</v>
      </c>
      <c r="D149" s="17">
        <v>36.74</v>
      </c>
      <c r="E149" s="17">
        <v>40.36</v>
      </c>
      <c r="F149" s="17">
        <v>37.77</v>
      </c>
      <c r="G149" s="17">
        <v>33.46</v>
      </c>
      <c r="H149" s="17">
        <v>30.4</v>
      </c>
      <c r="I149" s="17">
        <v>25.94</v>
      </c>
      <c r="J149" s="17">
        <v>21.99</v>
      </c>
      <c r="K149" s="17">
        <v>44.22</v>
      </c>
      <c r="L149" s="17">
        <v>31.84</v>
      </c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</row>
    <row r="150" ht="15.0" customHeight="1">
      <c r="A150" s="14" t="s">
        <v>188</v>
      </c>
      <c r="B150" s="15"/>
      <c r="C150" s="15"/>
      <c r="D150" s="15"/>
      <c r="E150" s="15"/>
      <c r="F150" s="15"/>
      <c r="G150" s="15"/>
      <c r="H150" s="15"/>
      <c r="I150" s="15"/>
      <c r="J150" s="15"/>
      <c r="K150" s="15">
        <v>0.0</v>
      </c>
      <c r="L150" s="17">
        <v>81.05</v>
      </c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</row>
    <row r="151" ht="15.0" customHeight="1">
      <c r="A151" s="14" t="s">
        <v>189</v>
      </c>
      <c r="B151" s="16">
        <v>754.82</v>
      </c>
      <c r="C151" s="16">
        <v>711.05</v>
      </c>
      <c r="D151" s="16">
        <v>637.66</v>
      </c>
      <c r="E151" s="16">
        <v>531.15</v>
      </c>
      <c r="F151" s="16">
        <v>572.02</v>
      </c>
      <c r="G151" s="16">
        <v>599.19</v>
      </c>
      <c r="H151" s="16">
        <v>534.18</v>
      </c>
      <c r="I151" s="16">
        <v>432.74</v>
      </c>
      <c r="J151" s="16">
        <v>429.69</v>
      </c>
      <c r="K151" s="16">
        <v>435.56</v>
      </c>
      <c r="L151" s="15"/>
      <c r="M151" s="16">
        <v>402.04</v>
      </c>
      <c r="N151" s="16">
        <v>502.79</v>
      </c>
      <c r="O151" s="16">
        <v>372.01</v>
      </c>
      <c r="P151" s="16">
        <v>389.54</v>
      </c>
      <c r="Q151" s="15"/>
      <c r="R151" s="15"/>
      <c r="S151" s="15"/>
      <c r="T151" s="15"/>
      <c r="U151" s="15"/>
      <c r="V151" s="15"/>
      <c r="W151" s="15"/>
    </row>
    <row r="152" ht="15.0" customHeight="1">
      <c r="A152" s="14" t="s">
        <v>190</v>
      </c>
      <c r="B152" s="15"/>
      <c r="C152" s="17">
        <v>51.37</v>
      </c>
      <c r="D152" s="17">
        <v>59.23</v>
      </c>
      <c r="E152" s="17">
        <v>64.94</v>
      </c>
      <c r="F152" s="17">
        <v>70.67</v>
      </c>
      <c r="G152" s="17">
        <v>66.7</v>
      </c>
      <c r="H152" s="17">
        <v>61.35</v>
      </c>
      <c r="I152" s="17">
        <v>57.86</v>
      </c>
      <c r="J152" s="17">
        <v>54.47</v>
      </c>
      <c r="K152" s="17">
        <v>44.22</v>
      </c>
      <c r="L152" s="17">
        <v>31.84</v>
      </c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</row>
    <row r="153" ht="15.0" customHeight="1">
      <c r="A153" s="14" t="s">
        <v>191</v>
      </c>
      <c r="B153" s="15"/>
      <c r="C153" s="16">
        <v>659.68</v>
      </c>
      <c r="D153" s="16">
        <v>578.44</v>
      </c>
      <c r="E153" s="16">
        <v>466.21</v>
      </c>
      <c r="F153" s="16">
        <v>501.35</v>
      </c>
      <c r="G153" s="16">
        <v>532.49</v>
      </c>
      <c r="H153" s="16">
        <v>383.71</v>
      </c>
      <c r="I153" s="16">
        <v>374.88</v>
      </c>
      <c r="J153" s="16">
        <v>375.22</v>
      </c>
      <c r="K153" s="16">
        <v>391.34</v>
      </c>
      <c r="L153" s="16">
        <v>385.5</v>
      </c>
      <c r="M153" s="15"/>
      <c r="N153" s="16">
        <v>369.07</v>
      </c>
      <c r="O153" s="16">
        <v>354.11</v>
      </c>
      <c r="P153" s="15"/>
      <c r="Q153" s="16">
        <v>389.8</v>
      </c>
      <c r="R153" s="16">
        <v>411.9</v>
      </c>
      <c r="S153" s="16">
        <v>372.78</v>
      </c>
      <c r="T153" s="16">
        <v>356.48</v>
      </c>
      <c r="U153" s="16">
        <v>263.38</v>
      </c>
      <c r="V153" s="16">
        <v>251.58</v>
      </c>
      <c r="W153" s="16">
        <v>233.51</v>
      </c>
    </row>
    <row r="154" ht="15.0" customHeight="1">
      <c r="A154" s="14" t="s">
        <v>192</v>
      </c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7">
        <v>11.47</v>
      </c>
      <c r="N154" s="17">
        <v>15.82</v>
      </c>
      <c r="O154" s="17">
        <v>16.79</v>
      </c>
      <c r="P154" s="17">
        <v>7.89</v>
      </c>
      <c r="Q154" s="17">
        <v>94.23</v>
      </c>
      <c r="R154" s="17">
        <v>43.25</v>
      </c>
      <c r="S154" s="17">
        <v>22.3</v>
      </c>
      <c r="T154" s="15"/>
      <c r="U154" s="17">
        <v>42.74</v>
      </c>
      <c r="V154" s="17">
        <v>25.86</v>
      </c>
      <c r="W154" s="17">
        <v>22.46</v>
      </c>
    </row>
    <row r="155" ht="15.0" customHeight="1">
      <c r="A155" s="14" t="s">
        <v>193</v>
      </c>
      <c r="B155" s="15"/>
      <c r="C155" s="15"/>
      <c r="D155" s="15"/>
      <c r="E155" s="15"/>
      <c r="F155" s="15"/>
      <c r="G155" s="15"/>
      <c r="H155" s="15"/>
      <c r="I155" s="16">
        <v>147.61</v>
      </c>
      <c r="J155" s="16">
        <v>140.22</v>
      </c>
      <c r="K155" s="16">
        <v>105.3</v>
      </c>
      <c r="L155" s="17">
        <v>81.41</v>
      </c>
      <c r="M155" s="17">
        <v>78.08</v>
      </c>
      <c r="N155" s="17">
        <v>53.33</v>
      </c>
      <c r="O155" s="17">
        <v>48.63</v>
      </c>
      <c r="P155" s="17">
        <v>51.02</v>
      </c>
      <c r="Q155" s="17">
        <v>40.98</v>
      </c>
      <c r="R155" s="17">
        <v>53.7</v>
      </c>
      <c r="S155" s="17">
        <v>50.24</v>
      </c>
      <c r="T155" s="15"/>
      <c r="U155" s="17">
        <v>64.76</v>
      </c>
      <c r="V155" s="15"/>
      <c r="W155" s="15"/>
    </row>
    <row r="156" ht="15.0" customHeight="1">
      <c r="A156" s="14" t="s">
        <v>194</v>
      </c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7">
        <v>15.82</v>
      </c>
      <c r="O156" s="17">
        <v>16.79</v>
      </c>
      <c r="P156" s="15"/>
      <c r="Q156" s="15"/>
      <c r="R156" s="15"/>
      <c r="S156" s="15"/>
      <c r="T156" s="15"/>
      <c r="U156" s="15"/>
      <c r="V156" s="15"/>
      <c r="W156" s="15"/>
    </row>
    <row r="157" ht="15.0" customHeight="1">
      <c r="A157" s="14" t="s">
        <v>195</v>
      </c>
      <c r="B157" s="16">
        <v>754.82</v>
      </c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6">
        <v>502.79</v>
      </c>
      <c r="O157" s="16">
        <v>372.01</v>
      </c>
      <c r="P157" s="16">
        <v>389.54</v>
      </c>
      <c r="Q157" s="15"/>
      <c r="R157" s="15"/>
      <c r="S157" s="15"/>
      <c r="T157" s="15"/>
      <c r="U157" s="15"/>
      <c r="V157" s="15"/>
      <c r="W157" s="15"/>
    </row>
    <row r="158" ht="15.0" customHeight="1">
      <c r="A158" s="14" t="s">
        <v>196</v>
      </c>
      <c r="B158" s="15"/>
      <c r="C158" s="17">
        <v>5.21</v>
      </c>
      <c r="D158" s="17">
        <v>4.39</v>
      </c>
      <c r="E158" s="17">
        <v>3.61</v>
      </c>
      <c r="F158" s="17">
        <v>3.86</v>
      </c>
      <c r="G158" s="17">
        <v>3.51</v>
      </c>
      <c r="H158" s="17">
        <v>3.38</v>
      </c>
      <c r="I158" s="17">
        <v>3.38</v>
      </c>
      <c r="J158" s="17">
        <v>3.41</v>
      </c>
      <c r="K158" s="17">
        <v>3.39</v>
      </c>
      <c r="L158" s="17">
        <v>3.75</v>
      </c>
      <c r="M158" s="17">
        <v>3.54</v>
      </c>
      <c r="N158" s="17">
        <v>4.12</v>
      </c>
      <c r="O158" s="17">
        <v>4.16</v>
      </c>
      <c r="P158" s="17">
        <v>4.47</v>
      </c>
      <c r="Q158" s="17">
        <v>5.75</v>
      </c>
      <c r="R158" s="17">
        <v>4.93</v>
      </c>
      <c r="S158" s="17">
        <v>4.37</v>
      </c>
      <c r="T158" s="15"/>
      <c r="U158" s="15"/>
      <c r="V158" s="15"/>
      <c r="W158" s="15"/>
    </row>
    <row r="159" ht="15.0" customHeight="1">
      <c r="A159" s="14" t="s">
        <v>197</v>
      </c>
      <c r="B159" s="15"/>
      <c r="C159" s="17">
        <v>4.98</v>
      </c>
      <c r="D159" s="17">
        <v>4.21</v>
      </c>
      <c r="E159" s="17">
        <v>3.49</v>
      </c>
      <c r="F159" s="17">
        <v>3.85</v>
      </c>
      <c r="G159" s="17">
        <v>3.45</v>
      </c>
      <c r="H159" s="17">
        <v>3.23</v>
      </c>
      <c r="I159" s="17">
        <v>3.29</v>
      </c>
      <c r="J159" s="17">
        <v>3.28</v>
      </c>
      <c r="K159" s="17">
        <v>3.26</v>
      </c>
      <c r="L159" s="17">
        <v>3.18</v>
      </c>
      <c r="M159" s="17">
        <v>2.97</v>
      </c>
      <c r="N159" s="17">
        <v>3.69</v>
      </c>
      <c r="O159" s="17">
        <v>3.63</v>
      </c>
      <c r="P159" s="17">
        <v>3.96</v>
      </c>
      <c r="Q159" s="17">
        <v>4.37</v>
      </c>
      <c r="R159" s="17">
        <v>4.31</v>
      </c>
      <c r="S159" s="17">
        <v>4.04</v>
      </c>
      <c r="T159" s="15"/>
      <c r="U159" s="15"/>
      <c r="V159" s="15"/>
      <c r="W159" s="15"/>
    </row>
    <row r="160" ht="15.0" customHeight="1">
      <c r="A160" s="14" t="s">
        <v>198</v>
      </c>
      <c r="B160" s="15"/>
      <c r="C160" s="17">
        <v>0.22</v>
      </c>
      <c r="D160" s="17">
        <v>0.18</v>
      </c>
      <c r="E160" s="17">
        <v>0.04</v>
      </c>
      <c r="F160" s="17">
        <v>0.01</v>
      </c>
      <c r="G160" s="17">
        <v>0.05</v>
      </c>
      <c r="H160" s="17">
        <v>0.07</v>
      </c>
      <c r="I160" s="17">
        <v>0.03</v>
      </c>
      <c r="J160" s="17">
        <v>0.12</v>
      </c>
      <c r="K160" s="17">
        <v>0.13</v>
      </c>
      <c r="L160" s="17">
        <v>0.29</v>
      </c>
      <c r="M160" s="17">
        <v>0.36</v>
      </c>
      <c r="N160" s="17">
        <v>0.3</v>
      </c>
      <c r="O160" s="17">
        <v>0.38</v>
      </c>
      <c r="P160" s="17">
        <v>0.11</v>
      </c>
      <c r="Q160" s="17">
        <v>0.26</v>
      </c>
      <c r="R160" s="17">
        <v>0.1</v>
      </c>
      <c r="S160" s="15">
        <v>0.0</v>
      </c>
      <c r="T160" s="15"/>
      <c r="U160" s="15"/>
      <c r="V160" s="15"/>
      <c r="W160" s="15"/>
    </row>
    <row r="161" ht="15.0" customHeight="1">
      <c r="A161" s="14" t="s">
        <v>199</v>
      </c>
      <c r="B161" s="15"/>
      <c r="C161" s="15"/>
      <c r="D161" s="15"/>
      <c r="E161" s="15"/>
      <c r="F161" s="15"/>
      <c r="G161" s="15"/>
      <c r="H161" s="15"/>
      <c r="I161" s="15"/>
      <c r="J161" s="15"/>
      <c r="K161" s="15">
        <v>0.0</v>
      </c>
      <c r="L161" s="17">
        <v>0.04</v>
      </c>
      <c r="M161" s="17">
        <v>0.1</v>
      </c>
      <c r="N161" s="17">
        <v>0.08</v>
      </c>
      <c r="O161" s="17">
        <v>0.04</v>
      </c>
      <c r="P161" s="17">
        <v>0.19</v>
      </c>
      <c r="Q161" s="17">
        <v>0.37</v>
      </c>
      <c r="R161" s="17">
        <v>0.16</v>
      </c>
      <c r="S161" s="17">
        <v>0.17</v>
      </c>
      <c r="T161" s="15"/>
      <c r="U161" s="15"/>
      <c r="V161" s="15"/>
      <c r="W161" s="15"/>
    </row>
    <row r="162" ht="15.0" customHeight="1">
      <c r="A162" s="14" t="s">
        <v>200</v>
      </c>
      <c r="B162" s="15"/>
      <c r="C162" s="15"/>
      <c r="D162" s="15">
        <v>0.0</v>
      </c>
      <c r="E162" s="17">
        <v>0.08</v>
      </c>
      <c r="F162" s="15"/>
      <c r="G162" s="15">
        <v>0.0</v>
      </c>
      <c r="H162" s="17">
        <v>0.08</v>
      </c>
      <c r="I162" s="17">
        <v>0.06</v>
      </c>
      <c r="J162" s="15"/>
      <c r="K162" s="15">
        <v>0.0</v>
      </c>
      <c r="L162" s="17">
        <v>0.25</v>
      </c>
      <c r="M162" s="17">
        <v>0.11</v>
      </c>
      <c r="N162" s="17">
        <v>0.04</v>
      </c>
      <c r="O162" s="17">
        <v>0.1</v>
      </c>
      <c r="P162" s="17">
        <v>0.21</v>
      </c>
      <c r="Q162" s="17">
        <v>0.74</v>
      </c>
      <c r="R162" s="17">
        <v>0.37</v>
      </c>
      <c r="S162" s="17">
        <v>0.16</v>
      </c>
      <c r="T162" s="15"/>
      <c r="U162" s="15"/>
      <c r="V162" s="15"/>
      <c r="W162" s="15"/>
    </row>
    <row r="163" ht="15.0" customHeight="1">
      <c r="A163" s="14" t="s">
        <v>201</v>
      </c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7">
        <v>0.1</v>
      </c>
      <c r="R163" s="17">
        <v>2.67</v>
      </c>
      <c r="S163" s="17">
        <v>2.24</v>
      </c>
      <c r="T163" s="15"/>
      <c r="U163" s="15"/>
      <c r="V163" s="15"/>
      <c r="W163" s="15"/>
    </row>
    <row r="164" ht="15.0" customHeight="1">
      <c r="A164" s="14" t="s">
        <v>202</v>
      </c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6">
        <v>1830.86</v>
      </c>
      <c r="R164" s="16">
        <v>2054.1</v>
      </c>
      <c r="S164" s="15"/>
      <c r="T164" s="15"/>
      <c r="U164" s="15"/>
      <c r="V164" s="15"/>
      <c r="W164" s="15"/>
    </row>
    <row r="165" ht="15.0" customHeight="1">
      <c r="A165" s="14" t="s">
        <v>203</v>
      </c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7">
        <v>64.4</v>
      </c>
      <c r="M165" s="15"/>
      <c r="N165" s="23">
        <v>-135.09</v>
      </c>
      <c r="O165" s="15"/>
      <c r="P165" s="15"/>
      <c r="Q165" s="18">
        <v>-94.44</v>
      </c>
      <c r="R165" s="23">
        <v>-114.33</v>
      </c>
      <c r="S165" s="15"/>
      <c r="T165" s="15"/>
      <c r="U165" s="15"/>
      <c r="V165" s="15"/>
      <c r="W165" s="15"/>
    </row>
    <row r="166" ht="15.0" customHeight="1">
      <c r="A166" s="14" t="s">
        <v>204</v>
      </c>
      <c r="B166" s="15"/>
      <c r="C166" s="18">
        <v>-4.86</v>
      </c>
      <c r="D166" s="18">
        <v>-17.04</v>
      </c>
      <c r="E166" s="18">
        <v>-0.83</v>
      </c>
      <c r="F166" s="18">
        <v>-9.78</v>
      </c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</row>
    <row r="167" ht="15.0" customHeight="1">
      <c r="A167" s="14" t="s">
        <v>205</v>
      </c>
      <c r="B167" s="15"/>
      <c r="C167" s="15"/>
      <c r="D167" s="15"/>
      <c r="E167" s="15"/>
      <c r="F167" s="23">
        <v>-304.85</v>
      </c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</row>
    <row r="168" ht="15.0" customHeight="1">
      <c r="A168" s="14" t="s">
        <v>206</v>
      </c>
      <c r="B168" s="17">
        <v>16.85</v>
      </c>
      <c r="C168" s="17">
        <v>16.38</v>
      </c>
      <c r="D168" s="17">
        <v>11.18</v>
      </c>
      <c r="E168" s="17">
        <v>14.43</v>
      </c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</row>
    <row r="169" ht="15.0" customHeight="1">
      <c r="A169" s="14" t="s">
        <v>207</v>
      </c>
      <c r="B169" s="17">
        <v>18.84</v>
      </c>
      <c r="C169" s="17">
        <v>16.04</v>
      </c>
      <c r="D169" s="17">
        <v>11.18</v>
      </c>
      <c r="E169" s="17">
        <v>14.43</v>
      </c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</row>
    <row r="170" ht="15.0" customHeight="1">
      <c r="A170" s="14" t="s">
        <v>208</v>
      </c>
      <c r="B170" s="16">
        <v>818.01</v>
      </c>
      <c r="C170" s="16">
        <v>759.92</v>
      </c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</row>
    <row r="171" ht="15.0" customHeight="1">
      <c r="A171" s="14" t="s">
        <v>209</v>
      </c>
      <c r="B171" s="26">
        <v>3.9</v>
      </c>
      <c r="C171" s="26">
        <v>3.7</v>
      </c>
      <c r="D171" s="26">
        <v>2.8</v>
      </c>
      <c r="E171" s="26">
        <v>2.9</v>
      </c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</row>
    <row r="172" ht="15.0" customHeight="1">
      <c r="A172" s="14" t="s">
        <v>210</v>
      </c>
      <c r="B172" s="18">
        <v>-69.05</v>
      </c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</row>
    <row r="173" ht="15.0" customHeight="1">
      <c r="A173" s="14" t="s">
        <v>211</v>
      </c>
      <c r="B173" s="17">
        <v>28.26</v>
      </c>
      <c r="C173" s="17">
        <v>28.18</v>
      </c>
      <c r="D173" s="17">
        <v>28.18</v>
      </c>
      <c r="E173" s="17">
        <v>28.19</v>
      </c>
      <c r="F173" s="17">
        <v>28.13</v>
      </c>
      <c r="G173" s="17">
        <v>28.16</v>
      </c>
      <c r="H173" s="17">
        <v>28.16</v>
      </c>
      <c r="I173" s="17">
        <v>28.16</v>
      </c>
      <c r="J173" s="17">
        <v>28.16</v>
      </c>
      <c r="K173" s="17">
        <v>28.16</v>
      </c>
      <c r="L173" s="17">
        <v>28.16</v>
      </c>
      <c r="M173" s="17">
        <v>28.27</v>
      </c>
      <c r="N173" s="15"/>
      <c r="O173" s="15"/>
      <c r="P173" s="15"/>
      <c r="Q173" s="15"/>
      <c r="R173" s="15"/>
      <c r="S173" s="15"/>
      <c r="T173" s="15"/>
      <c r="U173" s="15"/>
      <c r="V173" s="15"/>
      <c r="W173" s="15"/>
    </row>
    <row r="174" ht="15.0" customHeight="1">
      <c r="A174" s="14" t="s">
        <v>212</v>
      </c>
      <c r="B174" s="17">
        <v>28.26</v>
      </c>
      <c r="C174" s="17">
        <v>28.18</v>
      </c>
      <c r="D174" s="17">
        <v>28.18</v>
      </c>
      <c r="E174" s="17">
        <v>28.19</v>
      </c>
      <c r="F174" s="17">
        <v>28.13</v>
      </c>
      <c r="G174" s="17">
        <v>28.16</v>
      </c>
      <c r="H174" s="17">
        <v>28.16</v>
      </c>
      <c r="I174" s="17">
        <v>28.16</v>
      </c>
      <c r="J174" s="17">
        <v>28.16</v>
      </c>
      <c r="K174" s="17">
        <v>28.16</v>
      </c>
      <c r="L174" s="17">
        <v>28.16</v>
      </c>
      <c r="M174" s="17">
        <v>28.27</v>
      </c>
      <c r="N174" s="15"/>
      <c r="O174" s="15"/>
      <c r="P174" s="15"/>
      <c r="Q174" s="15"/>
      <c r="R174" s="15"/>
      <c r="S174" s="15"/>
      <c r="T174" s="15"/>
      <c r="U174" s="15"/>
      <c r="V174" s="15"/>
      <c r="W174" s="15"/>
    </row>
    <row r="175" ht="15.0" customHeight="1">
      <c r="A175" s="14" t="s">
        <v>213</v>
      </c>
      <c r="B175" s="17">
        <v>16.85</v>
      </c>
      <c r="C175" s="17">
        <v>16.38</v>
      </c>
      <c r="D175" s="18">
        <v>-7.99</v>
      </c>
      <c r="E175" s="18">
        <v>-1.92</v>
      </c>
      <c r="F175" s="18">
        <v>-2.44</v>
      </c>
      <c r="G175" s="17">
        <v>8.69</v>
      </c>
      <c r="H175" s="17">
        <v>5.32</v>
      </c>
      <c r="I175" s="17">
        <v>5.57</v>
      </c>
      <c r="J175" s="17">
        <v>8.58</v>
      </c>
      <c r="K175" s="17">
        <v>6.04</v>
      </c>
      <c r="L175" s="17">
        <v>4.38</v>
      </c>
      <c r="M175" s="17">
        <v>7.77</v>
      </c>
      <c r="N175" s="15"/>
      <c r="O175" s="15"/>
      <c r="P175" s="15"/>
      <c r="Q175" s="15"/>
      <c r="R175" s="15"/>
      <c r="S175" s="15"/>
      <c r="T175" s="15"/>
      <c r="U175" s="15"/>
      <c r="V175" s="15"/>
      <c r="W175" s="15"/>
    </row>
    <row r="176" ht="15.0" customHeight="1">
      <c r="A176" s="14" t="s">
        <v>214</v>
      </c>
      <c r="B176" s="17">
        <v>16.85</v>
      </c>
      <c r="C176" s="17">
        <v>16.38</v>
      </c>
      <c r="D176" s="18">
        <v>-7.99</v>
      </c>
      <c r="E176" s="18">
        <v>-1.92</v>
      </c>
      <c r="F176" s="18">
        <v>-2.44</v>
      </c>
      <c r="G176" s="17">
        <v>8.69</v>
      </c>
      <c r="H176" s="17">
        <v>5.32</v>
      </c>
      <c r="I176" s="17">
        <v>5.57</v>
      </c>
      <c r="J176" s="17">
        <v>8.58</v>
      </c>
      <c r="K176" s="17">
        <v>6.04</v>
      </c>
      <c r="L176" s="17">
        <v>4.38</v>
      </c>
      <c r="M176" s="17">
        <v>7.77</v>
      </c>
      <c r="N176" s="15"/>
      <c r="O176" s="15"/>
      <c r="P176" s="15"/>
      <c r="Q176" s="15"/>
      <c r="R176" s="15"/>
      <c r="S176" s="15"/>
      <c r="T176" s="15"/>
      <c r="U176" s="15"/>
      <c r="V176" s="15"/>
      <c r="W176" s="15"/>
    </row>
    <row r="177" ht="15.0" customHeight="1">
      <c r="A177" s="14" t="s">
        <v>215</v>
      </c>
      <c r="B177" s="17">
        <v>16.85</v>
      </c>
      <c r="C177" s="17">
        <v>16.38</v>
      </c>
      <c r="D177" s="18">
        <v>-7.99</v>
      </c>
      <c r="E177" s="18">
        <v>-1.92</v>
      </c>
      <c r="F177" s="18">
        <v>-2.44</v>
      </c>
      <c r="G177" s="17">
        <v>8.69</v>
      </c>
      <c r="H177" s="17">
        <v>5.32</v>
      </c>
      <c r="I177" s="17">
        <v>5.57</v>
      </c>
      <c r="J177" s="17">
        <v>8.58</v>
      </c>
      <c r="K177" s="17">
        <v>6.04</v>
      </c>
      <c r="L177" s="17">
        <v>4.38</v>
      </c>
      <c r="M177" s="17">
        <v>7.77</v>
      </c>
      <c r="N177" s="15"/>
      <c r="O177" s="15"/>
      <c r="P177" s="15"/>
      <c r="Q177" s="15"/>
      <c r="R177" s="15"/>
      <c r="S177" s="15"/>
      <c r="T177" s="15"/>
      <c r="U177" s="15"/>
      <c r="V177" s="15"/>
      <c r="W177" s="15"/>
    </row>
    <row r="178" ht="15.0" customHeight="1">
      <c r="A178" s="14" t="s">
        <v>216</v>
      </c>
      <c r="B178" s="16">
        <v>476.29</v>
      </c>
      <c r="C178" s="16">
        <v>460.76</v>
      </c>
      <c r="D178" s="23">
        <v>-225.89</v>
      </c>
      <c r="E178" s="18">
        <v>-53.64</v>
      </c>
      <c r="F178" s="18">
        <v>-70.12</v>
      </c>
      <c r="G178" s="16">
        <v>245.72</v>
      </c>
      <c r="H178" s="16">
        <v>148.52</v>
      </c>
      <c r="I178" s="16">
        <v>157.1</v>
      </c>
      <c r="J178" s="16">
        <v>241.27</v>
      </c>
      <c r="K178" s="16">
        <v>168.94</v>
      </c>
      <c r="L178" s="16">
        <v>123.38</v>
      </c>
      <c r="M178" s="16">
        <v>218.79</v>
      </c>
      <c r="N178" s="15"/>
      <c r="O178" s="15"/>
      <c r="P178" s="15"/>
      <c r="Q178" s="15"/>
      <c r="R178" s="15"/>
      <c r="S178" s="15"/>
      <c r="T178" s="15"/>
      <c r="U178" s="15"/>
      <c r="V178" s="15"/>
      <c r="W178" s="15"/>
    </row>
    <row r="179" ht="15.0" customHeight="1">
      <c r="A179" s="14" t="s">
        <v>217</v>
      </c>
      <c r="B179" s="17">
        <v>1.0</v>
      </c>
      <c r="C179" s="17">
        <v>1.0</v>
      </c>
      <c r="D179" s="17">
        <v>1.0</v>
      </c>
      <c r="E179" s="17">
        <v>1.0</v>
      </c>
      <c r="F179" s="17">
        <v>1.0</v>
      </c>
      <c r="G179" s="17">
        <v>1.0</v>
      </c>
      <c r="H179" s="17">
        <v>1.0</v>
      </c>
      <c r="I179" s="17">
        <v>1.0</v>
      </c>
      <c r="J179" s="17">
        <v>1.0</v>
      </c>
      <c r="K179" s="17">
        <v>1.0</v>
      </c>
      <c r="L179" s="17">
        <v>1.0</v>
      </c>
      <c r="M179" s="17">
        <v>1.0</v>
      </c>
      <c r="N179" s="15"/>
      <c r="O179" s="15"/>
      <c r="P179" s="15"/>
      <c r="Q179" s="15"/>
      <c r="R179" s="15"/>
      <c r="S179" s="15"/>
      <c r="T179" s="15"/>
      <c r="U179" s="15"/>
      <c r="V179" s="15"/>
      <c r="W179" s="15"/>
    </row>
    <row r="180" ht="15.0" customHeight="1">
      <c r="A180" s="14" t="s">
        <v>218</v>
      </c>
      <c r="B180" s="16">
        <v>476.29</v>
      </c>
      <c r="C180" s="16">
        <v>460.76</v>
      </c>
      <c r="D180" s="23">
        <v>-225.89</v>
      </c>
      <c r="E180" s="18">
        <v>-53.64</v>
      </c>
      <c r="F180" s="18">
        <v>-70.12</v>
      </c>
      <c r="G180" s="16">
        <v>245.72</v>
      </c>
      <c r="H180" s="16">
        <v>148.52</v>
      </c>
      <c r="I180" s="16">
        <v>157.1</v>
      </c>
      <c r="J180" s="16">
        <v>241.27</v>
      </c>
      <c r="K180" s="16">
        <v>168.94</v>
      </c>
      <c r="L180" s="16">
        <v>123.38</v>
      </c>
      <c r="M180" s="16">
        <v>218.79</v>
      </c>
      <c r="N180" s="15"/>
      <c r="O180" s="15"/>
      <c r="P180" s="15"/>
      <c r="Q180" s="15"/>
      <c r="R180" s="15"/>
      <c r="S180" s="15"/>
      <c r="T180" s="15"/>
      <c r="U180" s="15"/>
      <c r="V180" s="15"/>
      <c r="W180" s="15"/>
    </row>
    <row r="181" ht="15.0" customHeight="1">
      <c r="A181" s="14" t="s">
        <v>219</v>
      </c>
      <c r="B181" s="17">
        <v>16.85</v>
      </c>
      <c r="C181" s="17">
        <v>16.38</v>
      </c>
      <c r="D181" s="18">
        <v>-7.99</v>
      </c>
      <c r="E181" s="18">
        <v>-1.92</v>
      </c>
      <c r="F181" s="18">
        <v>-2.44</v>
      </c>
      <c r="G181" s="17">
        <v>8.69</v>
      </c>
      <c r="H181" s="17">
        <v>5.32</v>
      </c>
      <c r="I181" s="17">
        <v>5.57</v>
      </c>
      <c r="J181" s="17">
        <v>8.58</v>
      </c>
      <c r="K181" s="17">
        <v>6.04</v>
      </c>
      <c r="L181" s="17">
        <v>4.38</v>
      </c>
      <c r="M181" s="17">
        <v>7.77</v>
      </c>
      <c r="N181" s="15"/>
      <c r="O181" s="15"/>
      <c r="P181" s="15"/>
      <c r="Q181" s="15"/>
      <c r="R181" s="15"/>
      <c r="S181" s="15"/>
      <c r="T181" s="15"/>
      <c r="U181" s="15"/>
      <c r="V181" s="15"/>
      <c r="W181" s="15"/>
    </row>
    <row r="182" ht="15.0" customHeight="1">
      <c r="A182" s="14" t="s">
        <v>220</v>
      </c>
      <c r="B182" s="16">
        <v>476.29</v>
      </c>
      <c r="C182" s="16">
        <v>460.76</v>
      </c>
      <c r="D182" s="23">
        <v>-225.89</v>
      </c>
      <c r="E182" s="18">
        <v>-53.64</v>
      </c>
      <c r="F182" s="18">
        <v>-70.12</v>
      </c>
      <c r="G182" s="16">
        <v>245.72</v>
      </c>
      <c r="H182" s="16">
        <v>148.52</v>
      </c>
      <c r="I182" s="16">
        <v>157.1</v>
      </c>
      <c r="J182" s="16">
        <v>241.27</v>
      </c>
      <c r="K182" s="16">
        <v>168.94</v>
      </c>
      <c r="L182" s="16">
        <v>123.38</v>
      </c>
      <c r="M182" s="16">
        <v>218.79</v>
      </c>
      <c r="N182" s="15"/>
      <c r="O182" s="15"/>
      <c r="P182" s="15"/>
      <c r="Q182" s="15"/>
      <c r="R182" s="15"/>
      <c r="S182" s="15"/>
      <c r="T182" s="15"/>
      <c r="U182" s="15"/>
      <c r="V182" s="15"/>
      <c r="W182" s="15"/>
    </row>
    <row r="183" ht="15.0" customHeight="1">
      <c r="A183" s="14" t="s">
        <v>221</v>
      </c>
      <c r="B183" s="16">
        <v>476.29</v>
      </c>
      <c r="C183" s="16">
        <v>460.76</v>
      </c>
      <c r="D183" s="23">
        <v>-225.89</v>
      </c>
      <c r="E183" s="18">
        <v>-53.64</v>
      </c>
      <c r="F183" s="18">
        <v>-70.12</v>
      </c>
      <c r="G183" s="16">
        <v>245.72</v>
      </c>
      <c r="H183" s="16">
        <v>148.52</v>
      </c>
      <c r="I183" s="16">
        <v>157.1</v>
      </c>
      <c r="J183" s="16">
        <v>241.27</v>
      </c>
      <c r="K183" s="16">
        <v>168.94</v>
      </c>
      <c r="L183" s="16">
        <v>123.38</v>
      </c>
      <c r="M183" s="16">
        <v>218.79</v>
      </c>
      <c r="N183" s="15"/>
      <c r="O183" s="15"/>
      <c r="P183" s="15"/>
      <c r="Q183" s="15"/>
      <c r="R183" s="15"/>
      <c r="S183" s="15"/>
      <c r="T183" s="15"/>
      <c r="U183" s="15"/>
      <c r="V183" s="15"/>
      <c r="W183" s="15"/>
    </row>
    <row r="184" ht="15.0" customHeight="1">
      <c r="A184" s="14" t="s">
        <v>222</v>
      </c>
      <c r="B184" s="17">
        <v>1.0</v>
      </c>
      <c r="C184" s="17">
        <v>1.0</v>
      </c>
      <c r="D184" s="17">
        <v>1.0</v>
      </c>
      <c r="E184" s="17">
        <v>1.0</v>
      </c>
      <c r="F184" s="17">
        <v>1.0</v>
      </c>
      <c r="G184" s="17">
        <v>1.0</v>
      </c>
      <c r="H184" s="17">
        <v>1.0</v>
      </c>
      <c r="I184" s="17">
        <v>1.0</v>
      </c>
      <c r="J184" s="17">
        <v>1.0</v>
      </c>
      <c r="K184" s="17">
        <v>1.0</v>
      </c>
      <c r="L184" s="17">
        <v>1.0</v>
      </c>
      <c r="M184" s="17">
        <v>1.0</v>
      </c>
      <c r="N184" s="15"/>
      <c r="O184" s="15"/>
      <c r="P184" s="15"/>
      <c r="Q184" s="15"/>
      <c r="R184" s="15"/>
      <c r="S184" s="15"/>
      <c r="T184" s="15"/>
      <c r="U184" s="15"/>
      <c r="V184" s="15"/>
      <c r="W184" s="15"/>
    </row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3" width="15.71"/>
    <col customWidth="1" min="24" max="26" width="8.86"/>
  </cols>
  <sheetData>
    <row r="1" ht="15.0" customHeight="1">
      <c r="A1" s="1" t="s">
        <v>223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46096.5221656482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45291.0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41274.0</v>
      </c>
      <c r="P13" s="9">
        <v>41274.0</v>
      </c>
      <c r="Q13" s="9">
        <v>40543.0</v>
      </c>
      <c r="R13" s="9">
        <v>40543.0</v>
      </c>
      <c r="S13" s="9">
        <v>39903.0</v>
      </c>
      <c r="T13" s="9">
        <v>39813.0</v>
      </c>
      <c r="U13" s="9">
        <v>39447.0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224</v>
      </c>
      <c r="C15" s="10" t="s">
        <v>224</v>
      </c>
      <c r="D15" s="10" t="s">
        <v>224</v>
      </c>
      <c r="E15" s="10" t="s">
        <v>224</v>
      </c>
      <c r="F15" s="10" t="s">
        <v>224</v>
      </c>
      <c r="G15" s="10" t="s">
        <v>224</v>
      </c>
      <c r="H15" s="10" t="s">
        <v>224</v>
      </c>
      <c r="I15" s="10" t="s">
        <v>224</v>
      </c>
      <c r="J15" s="10" t="s">
        <v>224</v>
      </c>
      <c r="K15" s="10" t="s">
        <v>224</v>
      </c>
      <c r="L15" s="10" t="s">
        <v>224</v>
      </c>
      <c r="M15" s="10" t="s">
        <v>224</v>
      </c>
      <c r="N15" s="10" t="s">
        <v>224</v>
      </c>
      <c r="O15" s="10" t="s">
        <v>224</v>
      </c>
      <c r="P15" s="10" t="s">
        <v>224</v>
      </c>
      <c r="Q15" s="10" t="s">
        <v>224</v>
      </c>
      <c r="R15" s="10" t="s">
        <v>224</v>
      </c>
      <c r="S15" s="10" t="s">
        <v>224</v>
      </c>
      <c r="T15" s="10" t="s">
        <v>224</v>
      </c>
      <c r="U15" s="10" t="s">
        <v>224</v>
      </c>
      <c r="V15" s="10" t="s">
        <v>224</v>
      </c>
      <c r="W15" s="10" t="s">
        <v>224</v>
      </c>
    </row>
    <row r="16" ht="15.0" customHeight="1" outlineLevel="1">
      <c r="A16" s="8" t="s">
        <v>47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225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226</v>
      </c>
      <c r="B20" s="16">
        <v>1515.74</v>
      </c>
      <c r="C20" s="16">
        <v>1481.69</v>
      </c>
      <c r="D20" s="16">
        <v>1440.09</v>
      </c>
      <c r="E20" s="16">
        <v>1601.62</v>
      </c>
      <c r="F20" s="16">
        <v>1097.72</v>
      </c>
      <c r="G20" s="16">
        <v>1077.93</v>
      </c>
      <c r="H20" s="16">
        <v>1084.35</v>
      </c>
      <c r="I20" s="16">
        <v>1049.36</v>
      </c>
      <c r="J20" s="16">
        <v>915.84</v>
      </c>
      <c r="K20" s="16">
        <v>815.24</v>
      </c>
      <c r="L20" s="16">
        <v>775.64</v>
      </c>
      <c r="M20" s="16">
        <v>840.05</v>
      </c>
      <c r="N20" s="16">
        <v>951.66</v>
      </c>
      <c r="O20" s="16">
        <v>838.71</v>
      </c>
      <c r="P20" s="16">
        <v>837.02</v>
      </c>
      <c r="Q20" s="16">
        <v>820.32</v>
      </c>
      <c r="R20" s="15"/>
      <c r="S20" s="16">
        <v>1099.93</v>
      </c>
      <c r="T20" s="15"/>
      <c r="U20" s="15"/>
      <c r="V20" s="16">
        <v>468.18</v>
      </c>
      <c r="W20" s="15"/>
    </row>
    <row r="21" ht="15.0" customHeight="1">
      <c r="A21" s="14" t="s">
        <v>227</v>
      </c>
      <c r="B21" s="15"/>
      <c r="C21" s="16">
        <v>702.5</v>
      </c>
      <c r="D21" s="16">
        <v>636.75</v>
      </c>
      <c r="E21" s="16">
        <v>751.31</v>
      </c>
      <c r="F21" s="16">
        <v>499.63</v>
      </c>
      <c r="G21" s="16">
        <v>462.06</v>
      </c>
      <c r="H21" s="16">
        <v>455.31</v>
      </c>
      <c r="I21" s="16">
        <v>424.84</v>
      </c>
      <c r="J21" s="16">
        <v>436.85</v>
      </c>
      <c r="K21" s="16">
        <v>407.12</v>
      </c>
      <c r="L21" s="16">
        <v>386.18</v>
      </c>
      <c r="M21" s="16">
        <v>379.18</v>
      </c>
      <c r="N21" s="16">
        <v>422.43</v>
      </c>
      <c r="O21" s="16">
        <v>367.63</v>
      </c>
      <c r="P21" s="16">
        <v>431.94</v>
      </c>
      <c r="Q21" s="16">
        <v>334.71</v>
      </c>
      <c r="R21" s="16">
        <v>351.19</v>
      </c>
      <c r="S21" s="15"/>
      <c r="T21" s="16">
        <v>217.97</v>
      </c>
      <c r="U21" s="16">
        <v>157.45</v>
      </c>
      <c r="V21" s="15"/>
      <c r="W21" s="15"/>
    </row>
    <row r="22" ht="15.0" customHeight="1">
      <c r="A22" s="14" t="s">
        <v>228</v>
      </c>
      <c r="B22" s="15"/>
      <c r="C22" s="17">
        <v>57.21</v>
      </c>
      <c r="D22" s="17">
        <v>48.44</v>
      </c>
      <c r="E22" s="17">
        <v>49.1</v>
      </c>
      <c r="F22" s="17">
        <v>37.31</v>
      </c>
      <c r="G22" s="17">
        <v>51.63</v>
      </c>
      <c r="H22" s="17">
        <v>48.25</v>
      </c>
      <c r="I22" s="17">
        <v>42.33</v>
      </c>
      <c r="J22" s="17">
        <v>27.92</v>
      </c>
      <c r="K22" s="17">
        <v>23.53</v>
      </c>
      <c r="L22" s="17">
        <v>17.15</v>
      </c>
      <c r="M22" s="17">
        <v>12.49</v>
      </c>
      <c r="N22" s="16">
        <v>125.34</v>
      </c>
      <c r="O22" s="16">
        <v>112.36</v>
      </c>
      <c r="P22" s="16">
        <v>105.07</v>
      </c>
      <c r="Q22" s="16">
        <v>113.83</v>
      </c>
      <c r="R22" s="16">
        <v>138.51</v>
      </c>
      <c r="S22" s="15"/>
      <c r="T22" s="16">
        <v>115.44</v>
      </c>
      <c r="U22" s="17">
        <v>10.11</v>
      </c>
      <c r="V22" s="15"/>
      <c r="W22" s="15"/>
    </row>
    <row r="23" ht="15.0" customHeight="1">
      <c r="A23" s="14" t="s">
        <v>229</v>
      </c>
      <c r="B23" s="15"/>
      <c r="C23" s="16">
        <v>685.67</v>
      </c>
      <c r="D23" s="16">
        <v>728.16</v>
      </c>
      <c r="E23" s="16">
        <v>774.82</v>
      </c>
      <c r="F23" s="16">
        <v>552.64</v>
      </c>
      <c r="G23" s="16">
        <v>534.61</v>
      </c>
      <c r="H23" s="16">
        <v>549.52</v>
      </c>
      <c r="I23" s="16">
        <v>546.98</v>
      </c>
      <c r="J23" s="16">
        <v>419.63</v>
      </c>
      <c r="K23" s="16">
        <v>358.22</v>
      </c>
      <c r="L23" s="16">
        <v>348.26</v>
      </c>
      <c r="M23" s="16">
        <v>426.33</v>
      </c>
      <c r="N23" s="16">
        <v>374.92</v>
      </c>
      <c r="O23" s="16">
        <v>332.11</v>
      </c>
      <c r="P23" s="16">
        <v>268.77</v>
      </c>
      <c r="Q23" s="16">
        <v>339.23</v>
      </c>
      <c r="R23" s="16">
        <v>394.81</v>
      </c>
      <c r="S23" s="15"/>
      <c r="T23" s="16">
        <v>332.16</v>
      </c>
      <c r="U23" s="16">
        <v>333.63</v>
      </c>
      <c r="V23" s="15"/>
      <c r="W23" s="15"/>
    </row>
    <row r="24" ht="15.0" customHeight="1">
      <c r="A24" s="14" t="s">
        <v>230</v>
      </c>
      <c r="B24" s="15"/>
      <c r="C24" s="17">
        <v>36.3</v>
      </c>
      <c r="D24" s="17">
        <v>26.73</v>
      </c>
      <c r="E24" s="17">
        <v>26.39</v>
      </c>
      <c r="F24" s="17">
        <v>8.12</v>
      </c>
      <c r="G24" s="17">
        <v>29.63</v>
      </c>
      <c r="H24" s="17">
        <v>31.27</v>
      </c>
      <c r="I24" s="17">
        <v>35.21</v>
      </c>
      <c r="J24" s="17">
        <v>31.45</v>
      </c>
      <c r="K24" s="17">
        <v>26.38</v>
      </c>
      <c r="L24" s="17">
        <v>24.06</v>
      </c>
      <c r="M24" s="17">
        <v>22.05</v>
      </c>
      <c r="N24" s="17">
        <v>28.97</v>
      </c>
      <c r="O24" s="17">
        <v>26.61</v>
      </c>
      <c r="P24" s="17">
        <v>31.23</v>
      </c>
      <c r="Q24" s="17">
        <v>32.55</v>
      </c>
      <c r="R24" s="17">
        <v>28.9</v>
      </c>
      <c r="S24" s="15"/>
      <c r="T24" s="17">
        <v>3.93</v>
      </c>
      <c r="U24" s="17">
        <v>1.41</v>
      </c>
      <c r="V24" s="15"/>
      <c r="W24" s="15"/>
    </row>
    <row r="25" ht="15.0" customHeight="1">
      <c r="A25" s="14" t="s">
        <v>231</v>
      </c>
      <c r="B25" s="15"/>
      <c r="C25" s="17">
        <v>0.01</v>
      </c>
      <c r="D25" s="15"/>
      <c r="E25" s="15"/>
      <c r="F25" s="17">
        <v>0.01</v>
      </c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 ht="15.0" customHeight="1">
      <c r="A26" s="14" t="s">
        <v>232</v>
      </c>
      <c r="B26" s="17">
        <v>53.16</v>
      </c>
      <c r="C26" s="17">
        <v>62.75</v>
      </c>
      <c r="D26" s="17">
        <v>54.61</v>
      </c>
      <c r="E26" s="17">
        <v>44.94</v>
      </c>
      <c r="F26" s="17">
        <v>36.28</v>
      </c>
      <c r="G26" s="17">
        <v>38.12</v>
      </c>
      <c r="H26" s="17">
        <v>40.34</v>
      </c>
      <c r="I26" s="17">
        <v>33.25</v>
      </c>
      <c r="J26" s="17">
        <v>30.82</v>
      </c>
      <c r="K26" s="17">
        <v>28.79</v>
      </c>
      <c r="L26" s="17">
        <v>29.53</v>
      </c>
      <c r="M26" s="17">
        <v>28.63</v>
      </c>
      <c r="N26" s="17">
        <v>27.89</v>
      </c>
      <c r="O26" s="17">
        <v>40.4</v>
      </c>
      <c r="P26" s="17">
        <v>40.99</v>
      </c>
      <c r="Q26" s="17">
        <v>44.9</v>
      </c>
      <c r="R26" s="17">
        <v>45.12</v>
      </c>
      <c r="S26" s="15"/>
      <c r="T26" s="17">
        <v>22.77</v>
      </c>
      <c r="U26" s="17">
        <v>18.74</v>
      </c>
      <c r="V26" s="15"/>
      <c r="W26" s="15"/>
    </row>
    <row r="27" ht="15.0" customHeight="1">
      <c r="A27" s="14" t="s">
        <v>233</v>
      </c>
      <c r="B27" s="16">
        <v>1254.65</v>
      </c>
      <c r="C27" s="16">
        <v>1236.02</v>
      </c>
      <c r="D27" s="16">
        <v>1242.95</v>
      </c>
      <c r="E27" s="16">
        <v>1414.39</v>
      </c>
      <c r="F27" s="16">
        <v>1071.04</v>
      </c>
      <c r="G27" s="16">
        <v>1096.67</v>
      </c>
      <c r="H27" s="16">
        <v>1028.91</v>
      </c>
      <c r="I27" s="16">
        <v>1030.03</v>
      </c>
      <c r="J27" s="16">
        <v>1119.23</v>
      </c>
      <c r="K27" s="16">
        <v>988.03</v>
      </c>
      <c r="L27" s="16">
        <v>974.09</v>
      </c>
      <c r="M27" s="16">
        <v>1055.24</v>
      </c>
      <c r="N27" s="16">
        <v>950.05</v>
      </c>
      <c r="O27" s="16">
        <v>1027.92</v>
      </c>
      <c r="P27" s="16">
        <v>1367.83</v>
      </c>
      <c r="Q27" s="15"/>
      <c r="R27" s="15"/>
      <c r="S27" s="16">
        <v>2250.35</v>
      </c>
      <c r="T27" s="15"/>
      <c r="U27" s="16">
        <v>950.01</v>
      </c>
      <c r="V27" s="16">
        <v>1205.53</v>
      </c>
      <c r="W27" s="16">
        <v>1078.67</v>
      </c>
    </row>
    <row r="28" ht="15.0" customHeight="1">
      <c r="A28" s="14" t="s">
        <v>234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6">
        <v>846.14</v>
      </c>
      <c r="P28" s="16">
        <v>1161.9</v>
      </c>
      <c r="Q28" s="16">
        <v>1298.46</v>
      </c>
      <c r="R28" s="16">
        <v>1450.56</v>
      </c>
      <c r="S28" s="15"/>
      <c r="T28" s="15"/>
      <c r="U28" s="15"/>
      <c r="V28" s="15"/>
      <c r="W28" s="15"/>
    </row>
    <row r="29" ht="15.0" customHeight="1">
      <c r="A29" s="14" t="s">
        <v>235</v>
      </c>
      <c r="B29" s="15"/>
      <c r="C29" s="16">
        <v>571.1</v>
      </c>
      <c r="D29" s="16">
        <v>604.82</v>
      </c>
      <c r="E29" s="16">
        <v>618.3</v>
      </c>
      <c r="F29" s="16">
        <v>581.35</v>
      </c>
      <c r="G29" s="16">
        <v>662.52</v>
      </c>
      <c r="H29" s="16">
        <v>574.59</v>
      </c>
      <c r="I29" s="16">
        <v>566.55</v>
      </c>
      <c r="J29" s="16">
        <v>746.84</v>
      </c>
      <c r="K29" s="16">
        <v>637.12</v>
      </c>
      <c r="L29" s="16">
        <v>621.25</v>
      </c>
      <c r="M29" s="16">
        <v>643.37</v>
      </c>
      <c r="N29" s="16">
        <v>636.66</v>
      </c>
      <c r="O29" s="15"/>
      <c r="P29" s="15"/>
      <c r="Q29" s="15"/>
      <c r="R29" s="15"/>
      <c r="S29" s="15"/>
      <c r="T29" s="15"/>
      <c r="U29" s="15"/>
      <c r="V29" s="15"/>
      <c r="W29" s="15"/>
    </row>
    <row r="30" ht="15.0" customHeight="1">
      <c r="A30" s="14" t="s">
        <v>236</v>
      </c>
      <c r="B30" s="15"/>
      <c r="C30" s="16">
        <v>314.32</v>
      </c>
      <c r="D30" s="16">
        <v>327.57</v>
      </c>
      <c r="E30" s="16">
        <v>334.0</v>
      </c>
      <c r="F30" s="16">
        <v>226.34</v>
      </c>
      <c r="G30" s="16">
        <v>213.81</v>
      </c>
      <c r="H30" s="16">
        <v>229.92</v>
      </c>
      <c r="I30" s="16">
        <v>230.66</v>
      </c>
      <c r="J30" s="16">
        <v>144.71</v>
      </c>
      <c r="K30" s="16">
        <v>134.19</v>
      </c>
      <c r="L30" s="16">
        <v>157.37</v>
      </c>
      <c r="M30" s="16">
        <v>140.8</v>
      </c>
      <c r="N30" s="16">
        <v>143.99</v>
      </c>
      <c r="O30" s="15"/>
      <c r="P30" s="15"/>
      <c r="Q30" s="15"/>
      <c r="R30" s="15"/>
      <c r="S30" s="15"/>
      <c r="T30" s="15"/>
      <c r="U30" s="15"/>
      <c r="V30" s="15"/>
      <c r="W30" s="15"/>
    </row>
    <row r="31" ht="15.0" customHeight="1">
      <c r="A31" s="14" t="s">
        <v>237</v>
      </c>
      <c r="B31" s="15"/>
      <c r="C31" s="17">
        <v>36.1</v>
      </c>
      <c r="D31" s="17">
        <v>46.78</v>
      </c>
      <c r="E31" s="17">
        <v>44.16</v>
      </c>
      <c r="F31" s="17">
        <v>33.78</v>
      </c>
      <c r="G31" s="17">
        <v>35.73</v>
      </c>
      <c r="H31" s="17">
        <v>35.63</v>
      </c>
      <c r="I31" s="17">
        <v>45.09</v>
      </c>
      <c r="J31" s="17">
        <v>34.87</v>
      </c>
      <c r="K31" s="17">
        <v>46.9</v>
      </c>
      <c r="L31" s="17">
        <v>32.43</v>
      </c>
      <c r="M31" s="17">
        <v>27.88</v>
      </c>
      <c r="N31" s="17">
        <v>22.1</v>
      </c>
      <c r="O31" s="15"/>
      <c r="P31" s="15"/>
      <c r="Q31" s="15"/>
      <c r="R31" s="15"/>
      <c r="S31" s="15"/>
      <c r="T31" s="15"/>
      <c r="U31" s="15"/>
      <c r="V31" s="15"/>
      <c r="W31" s="15"/>
    </row>
    <row r="32" ht="15.0" customHeight="1">
      <c r="A32" s="14" t="s">
        <v>238</v>
      </c>
      <c r="B32" s="15"/>
      <c r="C32" s="16">
        <v>240.15</v>
      </c>
      <c r="D32" s="16">
        <v>154.8</v>
      </c>
      <c r="E32" s="16">
        <v>158.6</v>
      </c>
      <c r="F32" s="16">
        <v>126.53</v>
      </c>
      <c r="G32" s="16">
        <v>109.18</v>
      </c>
      <c r="H32" s="16">
        <v>105.46</v>
      </c>
      <c r="I32" s="17">
        <v>86.19</v>
      </c>
      <c r="J32" s="16">
        <v>106.52</v>
      </c>
      <c r="K32" s="17">
        <v>91.79</v>
      </c>
      <c r="L32" s="17">
        <v>83.21</v>
      </c>
      <c r="M32" s="16">
        <v>132.15</v>
      </c>
      <c r="N32" s="17">
        <v>97.89</v>
      </c>
      <c r="O32" s="15"/>
      <c r="P32" s="15"/>
      <c r="Q32" s="16">
        <v>154.41</v>
      </c>
      <c r="R32" s="16">
        <v>177.3</v>
      </c>
      <c r="S32" s="15"/>
      <c r="T32" s="15"/>
      <c r="U32" s="17">
        <v>60.62</v>
      </c>
      <c r="V32" s="15"/>
      <c r="W32" s="15"/>
    </row>
    <row r="33" ht="15.0" customHeight="1">
      <c r="A33" s="14" t="s">
        <v>239</v>
      </c>
      <c r="B33" s="15"/>
      <c r="C33" s="17">
        <v>2.92</v>
      </c>
      <c r="D33" s="17">
        <v>35.37</v>
      </c>
      <c r="E33" s="16">
        <v>176.93</v>
      </c>
      <c r="F33" s="17">
        <v>45.51</v>
      </c>
      <c r="G33" s="17">
        <v>2.95</v>
      </c>
      <c r="H33" s="17">
        <v>8.26</v>
      </c>
      <c r="I33" s="17">
        <v>34.02</v>
      </c>
      <c r="J33" s="17">
        <v>4.07</v>
      </c>
      <c r="K33" s="17">
        <v>1.33</v>
      </c>
      <c r="L33" s="17">
        <v>0.15</v>
      </c>
      <c r="M33" s="17">
        <v>0.24</v>
      </c>
      <c r="N33" s="17">
        <v>0.22</v>
      </c>
      <c r="O33" s="15"/>
      <c r="P33" s="15"/>
      <c r="Q33" s="15"/>
      <c r="R33" s="15"/>
      <c r="S33" s="15"/>
      <c r="T33" s="15"/>
      <c r="U33" s="15"/>
      <c r="V33" s="15"/>
      <c r="W33" s="15"/>
    </row>
    <row r="34" ht="15.0" customHeight="1">
      <c r="A34" s="14" t="s">
        <v>240</v>
      </c>
      <c r="B34" s="15"/>
      <c r="C34" s="17">
        <v>2.98</v>
      </c>
      <c r="D34" s="17">
        <v>1.74</v>
      </c>
      <c r="E34" s="17">
        <v>17.68</v>
      </c>
      <c r="F34" s="17">
        <v>1.63</v>
      </c>
      <c r="G34" s="17">
        <v>1.31</v>
      </c>
      <c r="H34" s="17">
        <v>2.09</v>
      </c>
      <c r="I34" s="17">
        <v>7.8</v>
      </c>
      <c r="J34" s="17">
        <v>17.51</v>
      </c>
      <c r="K34" s="17">
        <v>3.87</v>
      </c>
      <c r="L34" s="17">
        <v>9.37</v>
      </c>
      <c r="M34" s="17">
        <v>47.13</v>
      </c>
      <c r="N34" s="17">
        <v>3.73</v>
      </c>
      <c r="O34" s="15"/>
      <c r="P34" s="15"/>
      <c r="Q34" s="15"/>
      <c r="R34" s="15"/>
      <c r="S34" s="15"/>
      <c r="T34" s="15"/>
      <c r="U34" s="15"/>
      <c r="V34" s="15"/>
      <c r="W34" s="15"/>
    </row>
    <row r="35" ht="15.0" customHeight="1">
      <c r="A35" s="14" t="s">
        <v>241</v>
      </c>
      <c r="B35" s="15"/>
      <c r="C35" s="15"/>
      <c r="D35" s="15"/>
      <c r="E35" s="15"/>
      <c r="F35" s="15"/>
      <c r="G35" s="17">
        <v>0.01</v>
      </c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 ht="15.0" customHeight="1">
      <c r="A36" s="14" t="s">
        <v>242</v>
      </c>
      <c r="B36" s="15"/>
      <c r="C36" s="17">
        <v>68.46</v>
      </c>
      <c r="D36" s="17">
        <v>71.88</v>
      </c>
      <c r="E36" s="17">
        <v>64.73</v>
      </c>
      <c r="F36" s="17">
        <v>55.9</v>
      </c>
      <c r="G36" s="17">
        <v>71.14</v>
      </c>
      <c r="H36" s="17">
        <v>72.97</v>
      </c>
      <c r="I36" s="17">
        <v>59.72</v>
      </c>
      <c r="J36" s="17">
        <v>64.7</v>
      </c>
      <c r="K36" s="17">
        <v>72.83</v>
      </c>
      <c r="L36" s="17">
        <v>70.3</v>
      </c>
      <c r="M36" s="17">
        <v>63.67</v>
      </c>
      <c r="N36" s="17">
        <v>45.47</v>
      </c>
      <c r="O36" s="15"/>
      <c r="P36" s="15"/>
      <c r="Q36" s="15"/>
      <c r="R36" s="15"/>
      <c r="S36" s="15"/>
      <c r="T36" s="15"/>
      <c r="U36" s="15"/>
      <c r="V36" s="15"/>
      <c r="W36" s="15"/>
    </row>
    <row r="37" ht="15.0" customHeight="1">
      <c r="A37" s="14" t="s">
        <v>243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6">
        <v>190.68</v>
      </c>
      <c r="P37" s="16">
        <v>210.58</v>
      </c>
      <c r="Q37" s="15"/>
      <c r="R37" s="15"/>
      <c r="S37" s="15"/>
      <c r="T37" s="16">
        <v>1464.82</v>
      </c>
      <c r="U37" s="15"/>
      <c r="V37" s="15"/>
      <c r="W37" s="15"/>
    </row>
    <row r="38" ht="15.0" customHeight="1">
      <c r="A38" s="14" t="s">
        <v>244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8">
        <v>-8.9</v>
      </c>
      <c r="P38" s="18">
        <v>-4.64</v>
      </c>
      <c r="Q38" s="18">
        <v>-4.99</v>
      </c>
      <c r="R38" s="18">
        <v>-14.22</v>
      </c>
      <c r="S38" s="15"/>
      <c r="T38" s="15"/>
      <c r="U38" s="15"/>
      <c r="V38" s="15"/>
      <c r="W38" s="15"/>
    </row>
    <row r="39" ht="15.0" customHeight="1">
      <c r="A39" s="14" t="s">
        <v>245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7">
        <v>67.16</v>
      </c>
      <c r="R39" s="17">
        <v>74.23</v>
      </c>
      <c r="S39" s="15"/>
      <c r="T39" s="15"/>
      <c r="U39" s="15">
        <v>0.0</v>
      </c>
      <c r="V39" s="15"/>
      <c r="W39" s="15"/>
    </row>
    <row r="40" ht="15.0" customHeight="1">
      <c r="A40" s="14" t="s">
        <v>246</v>
      </c>
      <c r="B40" s="15"/>
      <c r="C40" s="17">
        <v>39.84</v>
      </c>
      <c r="D40" s="17">
        <v>52.11</v>
      </c>
      <c r="E40" s="17">
        <v>3.86</v>
      </c>
      <c r="F40" s="17">
        <v>13.3</v>
      </c>
      <c r="G40" s="17">
        <v>14.52</v>
      </c>
      <c r="H40" s="17">
        <v>23.79</v>
      </c>
      <c r="I40" s="17">
        <v>12.81</v>
      </c>
      <c r="J40" s="17">
        <v>5.3</v>
      </c>
      <c r="K40" s="17">
        <v>15.75</v>
      </c>
      <c r="L40" s="17">
        <v>8.45</v>
      </c>
      <c r="M40" s="17">
        <v>35.6</v>
      </c>
      <c r="N40" s="17">
        <v>40.56</v>
      </c>
      <c r="O40" s="17">
        <v>34.92</v>
      </c>
      <c r="P40" s="17">
        <v>89.75</v>
      </c>
      <c r="Q40" s="16">
        <v>135.92</v>
      </c>
      <c r="R40" s="17">
        <v>68.06</v>
      </c>
      <c r="S40" s="15"/>
      <c r="T40" s="15"/>
      <c r="U40" s="15"/>
      <c r="V40" s="15"/>
      <c r="W40" s="15"/>
    </row>
    <row r="41" ht="15.0" customHeight="1">
      <c r="A41" s="14" t="s">
        <v>247</v>
      </c>
      <c r="B41" s="15"/>
      <c r="C41" s="16">
        <v>234.29</v>
      </c>
      <c r="D41" s="16">
        <v>112.42</v>
      </c>
      <c r="E41" s="16">
        <v>325.11</v>
      </c>
      <c r="F41" s="16">
        <v>573.98</v>
      </c>
      <c r="G41" s="16">
        <v>278.42</v>
      </c>
      <c r="H41" s="17">
        <v>43.25</v>
      </c>
      <c r="I41" s="17">
        <v>39.45</v>
      </c>
      <c r="J41" s="17">
        <v>30.88</v>
      </c>
      <c r="K41" s="17">
        <v>41.69</v>
      </c>
      <c r="L41" s="17">
        <v>39.74</v>
      </c>
      <c r="M41" s="17">
        <v>30.59</v>
      </c>
      <c r="N41" s="16">
        <v>240.5</v>
      </c>
      <c r="O41" s="17">
        <v>48.12</v>
      </c>
      <c r="P41" s="17">
        <v>51.2</v>
      </c>
      <c r="Q41" s="16">
        <v>144.31</v>
      </c>
      <c r="R41" s="16">
        <v>292.77</v>
      </c>
      <c r="S41" s="16">
        <v>360.17</v>
      </c>
      <c r="T41" s="16">
        <v>282.2</v>
      </c>
      <c r="U41" s="16">
        <v>291.38</v>
      </c>
      <c r="V41" s="16">
        <v>139.41</v>
      </c>
      <c r="W41" s="16">
        <v>104.1</v>
      </c>
    </row>
    <row r="42" ht="15.0" customHeight="1">
      <c r="A42" s="14" t="s">
        <v>247</v>
      </c>
      <c r="B42" s="16">
        <v>365.05</v>
      </c>
      <c r="C42" s="16">
        <v>234.29</v>
      </c>
      <c r="D42" s="16">
        <v>112.42</v>
      </c>
      <c r="E42" s="16">
        <v>325.11</v>
      </c>
      <c r="F42" s="16">
        <v>573.98</v>
      </c>
      <c r="G42" s="16">
        <v>278.42</v>
      </c>
      <c r="H42" s="17">
        <v>43.25</v>
      </c>
      <c r="I42" s="17">
        <v>39.45</v>
      </c>
      <c r="J42" s="17">
        <v>30.88</v>
      </c>
      <c r="K42" s="17">
        <v>41.69</v>
      </c>
      <c r="L42" s="17">
        <v>39.74</v>
      </c>
      <c r="M42" s="17">
        <v>30.59</v>
      </c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 ht="15.0" customHeight="1">
      <c r="A43" s="14" t="s">
        <v>248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7">
        <v>24.48</v>
      </c>
      <c r="R43" s="17">
        <v>34.08</v>
      </c>
      <c r="S43" s="15"/>
      <c r="T43" s="15"/>
      <c r="U43" s="17">
        <v>3.97</v>
      </c>
      <c r="V43" s="15"/>
      <c r="W43" s="15"/>
    </row>
    <row r="44" ht="15.0" customHeight="1">
      <c r="A44" s="14" t="s">
        <v>146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8">
        <v>-78.19</v>
      </c>
      <c r="S44" s="15"/>
      <c r="T44" s="15"/>
      <c r="U44" s="17">
        <v>64.14</v>
      </c>
      <c r="V44" s="15"/>
      <c r="W44" s="15"/>
    </row>
    <row r="45" ht="15.0" customHeight="1">
      <c r="A45" s="14" t="s">
        <v>249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7">
        <v>16.9</v>
      </c>
      <c r="R45" s="15"/>
      <c r="S45" s="15"/>
      <c r="T45" s="15"/>
      <c r="U45" s="15">
        <v>0.0</v>
      </c>
      <c r="V45" s="15"/>
      <c r="W45" s="15"/>
    </row>
    <row r="46" ht="15.0" customHeight="1">
      <c r="A46" s="14" t="s">
        <v>250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7">
        <v>2.33</v>
      </c>
      <c r="R46" s="15"/>
      <c r="S46" s="15"/>
      <c r="T46" s="17">
        <v>17.79</v>
      </c>
      <c r="U46" s="15"/>
      <c r="V46" s="15"/>
      <c r="W46" s="15"/>
    </row>
    <row r="47" ht="15.0" customHeight="1">
      <c r="A47" s="14" t="s">
        <v>250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7">
        <v>14.57</v>
      </c>
      <c r="R47" s="15"/>
      <c r="S47" s="15"/>
      <c r="T47" s="15"/>
      <c r="U47" s="15"/>
      <c r="V47" s="15"/>
      <c r="W47" s="15"/>
    </row>
    <row r="48" ht="15.0" customHeight="1">
      <c r="A48" s="14" t="s">
        <v>251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6">
        <v>146.6</v>
      </c>
      <c r="R48" s="15"/>
      <c r="S48" s="15"/>
      <c r="T48" s="15"/>
      <c r="U48" s="15"/>
      <c r="V48" s="15"/>
      <c r="W48" s="15"/>
    </row>
    <row r="49" ht="15.0" customHeight="1">
      <c r="A49" s="14" t="s">
        <v>252</v>
      </c>
      <c r="B49" s="15"/>
      <c r="C49" s="18">
        <v>-0.01</v>
      </c>
      <c r="D49" s="15"/>
      <c r="E49" s="17">
        <v>0.01</v>
      </c>
      <c r="F49" s="18">
        <v>-0.01</v>
      </c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6">
        <v>395.46</v>
      </c>
    </row>
    <row r="50" ht="15.0" customHeight="1">
      <c r="A50" s="19" t="s">
        <v>253</v>
      </c>
      <c r="B50" s="21">
        <v>3188.6</v>
      </c>
      <c r="C50" s="21">
        <v>3054.6</v>
      </c>
      <c r="D50" s="21">
        <v>2902.17</v>
      </c>
      <c r="E50" s="21">
        <v>3389.92</v>
      </c>
      <c r="F50" s="21">
        <v>2792.3</v>
      </c>
      <c r="G50" s="21">
        <v>2505.65</v>
      </c>
      <c r="H50" s="21">
        <v>2220.65</v>
      </c>
      <c r="I50" s="21">
        <v>2164.91</v>
      </c>
      <c r="J50" s="21">
        <v>2102.07</v>
      </c>
      <c r="K50" s="21">
        <v>1889.51</v>
      </c>
      <c r="L50" s="21">
        <v>1827.45</v>
      </c>
      <c r="M50" s="21">
        <v>1990.09</v>
      </c>
      <c r="N50" s="21">
        <v>2210.67</v>
      </c>
      <c r="O50" s="21">
        <v>1990.07</v>
      </c>
      <c r="P50" s="21">
        <v>2386.79</v>
      </c>
      <c r="Q50" s="21">
        <v>2701.87</v>
      </c>
      <c r="R50" s="21">
        <v>2963.12</v>
      </c>
      <c r="S50" s="21">
        <v>3710.45</v>
      </c>
      <c r="T50" s="21">
        <v>2439.29</v>
      </c>
      <c r="U50" s="21">
        <v>1891.47</v>
      </c>
      <c r="V50" s="21">
        <v>1813.12</v>
      </c>
      <c r="W50" s="21">
        <v>1578.23</v>
      </c>
    </row>
    <row r="51" ht="15.0" customHeight="1">
      <c r="A51" s="14" t="s">
        <v>254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>
        <v>10398.12</v>
      </c>
      <c r="M51" s="15"/>
      <c r="N51" s="15"/>
      <c r="O51" s="15"/>
      <c r="P51" s="15"/>
      <c r="Q51" s="16">
        <v>8053.6</v>
      </c>
      <c r="R51" s="16">
        <v>8089.44</v>
      </c>
      <c r="S51" s="15"/>
      <c r="T51" s="16">
        <v>6858.99</v>
      </c>
      <c r="U51" s="16">
        <v>5511.91</v>
      </c>
      <c r="V51" s="15"/>
      <c r="W51" s="15"/>
    </row>
    <row r="52" ht="15.0" customHeight="1">
      <c r="A52" s="14" t="s">
        <v>255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23">
        <v>-6608.8</v>
      </c>
      <c r="M52" s="15"/>
      <c r="N52" s="15"/>
      <c r="O52" s="15"/>
      <c r="P52" s="15"/>
      <c r="Q52" s="23">
        <v>-4392.54</v>
      </c>
      <c r="R52" s="23">
        <v>-4213.87</v>
      </c>
      <c r="S52" s="15"/>
      <c r="T52" s="23">
        <v>-3246.5</v>
      </c>
      <c r="U52" s="23">
        <v>-2528.22</v>
      </c>
      <c r="V52" s="15"/>
      <c r="W52" s="15"/>
    </row>
    <row r="53" ht="15.0" customHeight="1">
      <c r="A53" s="14" t="s">
        <v>256</v>
      </c>
      <c r="B53" s="16">
        <v>6262.61</v>
      </c>
      <c r="C53" s="16">
        <v>6165.87</v>
      </c>
      <c r="D53" s="16">
        <v>5993.25</v>
      </c>
      <c r="E53" s="16">
        <v>4922.97</v>
      </c>
      <c r="F53" s="16">
        <v>3859.23</v>
      </c>
      <c r="G53" s="16">
        <v>4143.26</v>
      </c>
      <c r="H53" s="16">
        <v>3917.35</v>
      </c>
      <c r="I53" s="16">
        <v>3968.46</v>
      </c>
      <c r="J53" s="16">
        <v>4023.36</v>
      </c>
      <c r="K53" s="16">
        <v>3668.13</v>
      </c>
      <c r="L53" s="16">
        <v>3789.32</v>
      </c>
      <c r="M53" s="16">
        <v>3531.85</v>
      </c>
      <c r="N53" s="16">
        <v>3614.78</v>
      </c>
      <c r="O53" s="16">
        <v>3494.23</v>
      </c>
      <c r="P53" s="16">
        <v>3592.77</v>
      </c>
      <c r="Q53" s="15">
        <f t="shared" ref="Q53:R53" si="1">Q51+Q52</f>
        <v>3661.06</v>
      </c>
      <c r="R53" s="15">
        <f t="shared" si="1"/>
        <v>3875.57</v>
      </c>
      <c r="S53" s="16">
        <v>4790.97</v>
      </c>
      <c r="T53" s="15">
        <f t="shared" ref="T53:U53" si="2">T51+T52</f>
        <v>3612.49</v>
      </c>
      <c r="U53" s="15">
        <f t="shared" si="2"/>
        <v>2983.69</v>
      </c>
      <c r="V53" s="15">
        <f>V54+V56+V60+V67</f>
        <v>2612.03</v>
      </c>
      <c r="W53" s="16">
        <v>2641.54</v>
      </c>
    </row>
    <row r="54" ht="15.0" customHeight="1">
      <c r="A54" s="14" t="s">
        <v>257</v>
      </c>
      <c r="B54" s="15"/>
      <c r="C54" s="17">
        <v>44.56</v>
      </c>
      <c r="D54" s="17">
        <v>40.08</v>
      </c>
      <c r="E54" s="17">
        <v>37.58</v>
      </c>
      <c r="F54" s="17">
        <v>60.02</v>
      </c>
      <c r="G54" s="17">
        <v>88.58</v>
      </c>
      <c r="H54" s="17">
        <v>90.05</v>
      </c>
      <c r="I54" s="17">
        <v>87.21</v>
      </c>
      <c r="J54" s="17">
        <v>92.27</v>
      </c>
      <c r="K54" s="17">
        <v>88.42</v>
      </c>
      <c r="L54" s="17">
        <v>92.66</v>
      </c>
      <c r="M54" s="17">
        <v>90.26</v>
      </c>
      <c r="N54" s="16">
        <v>101.13</v>
      </c>
      <c r="O54" s="17">
        <v>94.21</v>
      </c>
      <c r="P54" s="17">
        <v>96.7</v>
      </c>
      <c r="Q54" s="16">
        <v>101.09</v>
      </c>
      <c r="R54" s="15"/>
      <c r="S54" s="15"/>
      <c r="T54" s="15"/>
      <c r="U54" s="15"/>
      <c r="V54" s="17">
        <v>44.71</v>
      </c>
      <c r="W54" s="15"/>
    </row>
    <row r="55" ht="15.0" customHeight="1">
      <c r="A55" s="14" t="s">
        <v>258</v>
      </c>
      <c r="B55" s="15"/>
      <c r="C55" s="17">
        <v>44.56</v>
      </c>
      <c r="D55" s="17">
        <v>40.08</v>
      </c>
      <c r="E55" s="17">
        <v>37.58</v>
      </c>
      <c r="F55" s="17">
        <v>60.02</v>
      </c>
      <c r="G55" s="17">
        <v>88.58</v>
      </c>
      <c r="H55" s="17">
        <v>90.05</v>
      </c>
      <c r="I55" s="17">
        <v>87.21</v>
      </c>
      <c r="J55" s="17">
        <v>92.27</v>
      </c>
      <c r="K55" s="17">
        <v>88.42</v>
      </c>
      <c r="L55" s="17">
        <v>92.66</v>
      </c>
      <c r="M55" s="17">
        <v>90.26</v>
      </c>
      <c r="N55" s="16">
        <v>101.13</v>
      </c>
      <c r="O55" s="17">
        <v>94.21</v>
      </c>
      <c r="P55" s="17">
        <v>96.7</v>
      </c>
      <c r="Q55" s="16">
        <v>101.09</v>
      </c>
      <c r="R55" s="17">
        <v>55.51</v>
      </c>
      <c r="S55" s="15"/>
      <c r="T55" s="17">
        <v>61.57</v>
      </c>
      <c r="U55" s="17">
        <v>47.52</v>
      </c>
      <c r="V55" s="15"/>
      <c r="W55" s="15"/>
    </row>
    <row r="56" ht="15.0" customHeight="1">
      <c r="A56" s="14" t="s">
        <v>259</v>
      </c>
      <c r="B56" s="15"/>
      <c r="C56" s="16">
        <v>3831.9</v>
      </c>
      <c r="D56" s="16">
        <v>3641.38</v>
      </c>
      <c r="E56" s="16">
        <v>2148.89</v>
      </c>
      <c r="F56" s="16">
        <v>2047.17</v>
      </c>
      <c r="G56" s="16">
        <v>2365.15</v>
      </c>
      <c r="H56" s="16">
        <v>2252.14</v>
      </c>
      <c r="I56" s="16">
        <v>2315.0</v>
      </c>
      <c r="J56" s="16">
        <v>2383.43</v>
      </c>
      <c r="K56" s="16">
        <v>2080.73</v>
      </c>
      <c r="L56" s="16">
        <v>2247.44</v>
      </c>
      <c r="M56" s="16">
        <v>2198.58</v>
      </c>
      <c r="N56" s="16">
        <v>2262.12</v>
      </c>
      <c r="O56" s="16">
        <v>2126.68</v>
      </c>
      <c r="P56" s="16">
        <v>2104.09</v>
      </c>
      <c r="Q56" s="16">
        <v>2191.74</v>
      </c>
      <c r="R56" s="15"/>
      <c r="S56" s="15"/>
      <c r="T56" s="15"/>
      <c r="U56" s="15"/>
      <c r="V56" s="16">
        <v>1475.83</v>
      </c>
      <c r="W56" s="15"/>
    </row>
    <row r="57" ht="15.0" customHeight="1">
      <c r="A57" s="14" t="s">
        <v>260</v>
      </c>
      <c r="B57" s="15"/>
      <c r="C57" s="16">
        <v>7427.16</v>
      </c>
      <c r="D57" s="16">
        <v>6891.16</v>
      </c>
      <c r="E57" s="16">
        <v>5050.1</v>
      </c>
      <c r="F57" s="16">
        <v>4733.16</v>
      </c>
      <c r="G57" s="16">
        <v>5151.88</v>
      </c>
      <c r="H57" s="16">
        <v>4768.4</v>
      </c>
      <c r="I57" s="16">
        <v>4728.5</v>
      </c>
      <c r="J57" s="16">
        <v>4689.34</v>
      </c>
      <c r="K57" s="16">
        <v>4117.6</v>
      </c>
      <c r="L57" s="16">
        <v>4340.07</v>
      </c>
      <c r="M57" s="16">
        <v>4066.83</v>
      </c>
      <c r="N57" s="16">
        <v>3999.07</v>
      </c>
      <c r="O57" s="16">
        <v>3625.52</v>
      </c>
      <c r="P57" s="16">
        <v>3589.55</v>
      </c>
      <c r="Q57" s="16">
        <v>3615.7</v>
      </c>
      <c r="R57" s="16">
        <v>3544.26</v>
      </c>
      <c r="S57" s="15"/>
      <c r="T57" s="16">
        <v>2920.8</v>
      </c>
      <c r="U57" s="16">
        <v>2436.71</v>
      </c>
      <c r="V57" s="15"/>
      <c r="W57" s="15"/>
    </row>
    <row r="58" ht="15.0" customHeight="1">
      <c r="A58" s="14" t="s">
        <v>261</v>
      </c>
      <c r="B58" s="15"/>
      <c r="C58" s="23">
        <v>-3595.25</v>
      </c>
      <c r="D58" s="23">
        <v>-3249.78</v>
      </c>
      <c r="E58" s="23">
        <v>-2901.23</v>
      </c>
      <c r="F58" s="23">
        <v>-2685.99</v>
      </c>
      <c r="G58" s="23">
        <v>-2786.73</v>
      </c>
      <c r="H58" s="23">
        <v>-2516.26</v>
      </c>
      <c r="I58" s="23">
        <v>-2413.5</v>
      </c>
      <c r="J58" s="23">
        <v>-2305.92</v>
      </c>
      <c r="K58" s="23">
        <v>-2036.88</v>
      </c>
      <c r="L58" s="23">
        <v>-2092.62</v>
      </c>
      <c r="M58" s="23">
        <v>-1868.25</v>
      </c>
      <c r="N58" s="23">
        <v>-1736.95</v>
      </c>
      <c r="O58" s="23">
        <v>-1498.84</v>
      </c>
      <c r="P58" s="23">
        <v>-1485.46</v>
      </c>
      <c r="Q58" s="23">
        <v>-1423.96</v>
      </c>
      <c r="R58" s="15"/>
      <c r="S58" s="15"/>
      <c r="T58" s="15"/>
      <c r="U58" s="15"/>
      <c r="V58" s="23">
        <v>-837.14</v>
      </c>
      <c r="W58" s="15"/>
    </row>
    <row r="59" ht="15.0" customHeight="1">
      <c r="A59" s="14" t="s">
        <v>262</v>
      </c>
      <c r="B59" s="15"/>
      <c r="C59" s="18">
        <v>-0.01</v>
      </c>
      <c r="D59" s="15"/>
      <c r="E59" s="17">
        <v>0.01</v>
      </c>
      <c r="F59" s="15"/>
      <c r="G59" s="18">
        <v>-0.01</v>
      </c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</row>
    <row r="60" ht="15.0" customHeight="1">
      <c r="A60" s="14" t="s">
        <v>263</v>
      </c>
      <c r="B60" s="15"/>
      <c r="C60" s="16">
        <v>2067.16</v>
      </c>
      <c r="D60" s="16">
        <v>1855.28</v>
      </c>
      <c r="E60" s="16">
        <v>1373.31</v>
      </c>
      <c r="F60" s="16">
        <v>1382.12</v>
      </c>
      <c r="G60" s="16">
        <v>1548.98</v>
      </c>
      <c r="H60" s="16">
        <v>1434.46</v>
      </c>
      <c r="I60" s="16">
        <v>1398.9</v>
      </c>
      <c r="J60" s="16">
        <v>1335.67</v>
      </c>
      <c r="K60" s="16">
        <v>1018.13</v>
      </c>
      <c r="L60" s="16">
        <v>1158.29</v>
      </c>
      <c r="M60" s="16">
        <v>1122.65</v>
      </c>
      <c r="N60" s="16">
        <v>1102.42</v>
      </c>
      <c r="O60" s="16">
        <v>1075.12</v>
      </c>
      <c r="P60" s="16">
        <v>1161.17</v>
      </c>
      <c r="Q60" s="16">
        <v>1230.79</v>
      </c>
      <c r="R60" s="15"/>
      <c r="S60" s="15"/>
      <c r="T60" s="15"/>
      <c r="U60" s="15"/>
      <c r="V60" s="16">
        <v>918.96</v>
      </c>
      <c r="W60" s="15"/>
    </row>
    <row r="61" ht="15.0" customHeight="1">
      <c r="A61" s="14" t="s">
        <v>264</v>
      </c>
      <c r="B61" s="15"/>
      <c r="C61" s="16">
        <v>9136.05</v>
      </c>
      <c r="D61" s="16">
        <v>8293.45</v>
      </c>
      <c r="E61" s="16">
        <v>7355.31</v>
      </c>
      <c r="F61" s="16">
        <v>6935.4</v>
      </c>
      <c r="G61" s="16">
        <v>7477.46</v>
      </c>
      <c r="H61" s="16">
        <v>6753.95</v>
      </c>
      <c r="I61" s="16">
        <v>6695.97</v>
      </c>
      <c r="J61" s="16">
        <v>6435.31</v>
      </c>
      <c r="K61" s="16">
        <v>5584.77</v>
      </c>
      <c r="L61" s="16">
        <v>5640.86</v>
      </c>
      <c r="M61" s="16">
        <v>5100.85</v>
      </c>
      <c r="N61" s="16">
        <v>4780.2</v>
      </c>
      <c r="O61" s="16">
        <v>4223.16</v>
      </c>
      <c r="P61" s="16">
        <v>4209.93</v>
      </c>
      <c r="Q61" s="16">
        <v>4189.16</v>
      </c>
      <c r="R61" s="16">
        <v>4120.54</v>
      </c>
      <c r="S61" s="15"/>
      <c r="T61" s="16">
        <v>3492.33</v>
      </c>
      <c r="U61" s="16">
        <v>2674.32</v>
      </c>
      <c r="V61" s="15"/>
      <c r="W61" s="15"/>
    </row>
    <row r="62" ht="15.0" customHeight="1">
      <c r="A62" s="14" t="s">
        <v>265</v>
      </c>
      <c r="B62" s="15"/>
      <c r="C62" s="23">
        <v>-7068.89</v>
      </c>
      <c r="D62" s="23">
        <v>-6438.16</v>
      </c>
      <c r="E62" s="23">
        <v>-5982.0</v>
      </c>
      <c r="F62" s="23">
        <v>-5553.29</v>
      </c>
      <c r="G62" s="23">
        <v>-5928.48</v>
      </c>
      <c r="H62" s="23">
        <v>-5319.49</v>
      </c>
      <c r="I62" s="23">
        <v>-5297.07</v>
      </c>
      <c r="J62" s="23">
        <v>-5099.64</v>
      </c>
      <c r="K62" s="23">
        <v>-4566.64</v>
      </c>
      <c r="L62" s="23">
        <v>-4482.57</v>
      </c>
      <c r="M62" s="23">
        <v>-3978.2</v>
      </c>
      <c r="N62" s="23">
        <v>-3677.78</v>
      </c>
      <c r="O62" s="23">
        <v>-3148.04</v>
      </c>
      <c r="P62" s="23">
        <v>-3048.76</v>
      </c>
      <c r="Q62" s="23">
        <v>-2958.37</v>
      </c>
      <c r="R62" s="15"/>
      <c r="S62" s="15"/>
      <c r="T62" s="15"/>
      <c r="U62" s="15"/>
      <c r="V62" s="23">
        <v>-1375.27</v>
      </c>
      <c r="W62" s="15"/>
    </row>
    <row r="63" ht="15.0" customHeight="1">
      <c r="A63" s="14" t="s">
        <v>266</v>
      </c>
      <c r="B63" s="15"/>
      <c r="C63" s="17">
        <v>29.3</v>
      </c>
      <c r="D63" s="17">
        <v>27.0</v>
      </c>
      <c r="E63" s="17">
        <v>16.77</v>
      </c>
      <c r="F63" s="17">
        <v>27.7</v>
      </c>
      <c r="G63" s="17">
        <v>39.23</v>
      </c>
      <c r="H63" s="17">
        <v>49.09</v>
      </c>
      <c r="I63" s="17">
        <v>49.13</v>
      </c>
      <c r="J63" s="17">
        <v>48.21</v>
      </c>
      <c r="K63" s="17">
        <v>48.94</v>
      </c>
      <c r="L63" s="17">
        <v>47.94</v>
      </c>
      <c r="M63" s="17">
        <v>35.35</v>
      </c>
      <c r="N63" s="17">
        <v>41.62</v>
      </c>
      <c r="O63" s="17">
        <v>23.73</v>
      </c>
      <c r="P63" s="17">
        <v>12.07</v>
      </c>
      <c r="Q63" s="17">
        <v>11.98</v>
      </c>
      <c r="R63" s="17">
        <v>30.36</v>
      </c>
      <c r="S63" s="15"/>
      <c r="T63" s="17">
        <v>18.06</v>
      </c>
      <c r="U63" s="17">
        <v>16.49</v>
      </c>
      <c r="V63" s="15"/>
      <c r="W63" s="15"/>
    </row>
    <row r="64" ht="15.0" customHeight="1">
      <c r="A64" s="14" t="s">
        <v>267</v>
      </c>
      <c r="B64" s="15"/>
      <c r="C64" s="17">
        <v>72.5</v>
      </c>
      <c r="D64" s="17">
        <v>65.12</v>
      </c>
      <c r="E64" s="17">
        <v>50.74</v>
      </c>
      <c r="F64" s="16">
        <v>161.3</v>
      </c>
      <c r="G64" s="16">
        <v>162.5</v>
      </c>
      <c r="H64" s="16">
        <v>171.62</v>
      </c>
      <c r="I64" s="16">
        <v>130.11</v>
      </c>
      <c r="J64" s="16">
        <v>115.96</v>
      </c>
      <c r="K64" s="17">
        <v>97.99</v>
      </c>
      <c r="L64" s="17">
        <v>81.45</v>
      </c>
      <c r="M64" s="17">
        <v>60.61</v>
      </c>
      <c r="N64" s="17">
        <v>61.89</v>
      </c>
      <c r="O64" s="17">
        <v>37.25</v>
      </c>
      <c r="P64" s="17">
        <v>23.79</v>
      </c>
      <c r="Q64" s="17">
        <v>22.19</v>
      </c>
      <c r="R64" s="17">
        <v>47.58</v>
      </c>
      <c r="S64" s="15"/>
      <c r="T64" s="17">
        <v>27.67</v>
      </c>
      <c r="U64" s="17">
        <v>25.89</v>
      </c>
      <c r="V64" s="15"/>
      <c r="W64" s="15"/>
    </row>
    <row r="65" ht="15.0" customHeight="1">
      <c r="A65" s="14" t="s">
        <v>268</v>
      </c>
      <c r="B65" s="15"/>
      <c r="C65" s="18">
        <v>-43.2</v>
      </c>
      <c r="D65" s="18">
        <v>-38.12</v>
      </c>
      <c r="E65" s="18">
        <v>-33.97</v>
      </c>
      <c r="F65" s="23">
        <v>-133.6</v>
      </c>
      <c r="G65" s="23">
        <v>-123.26</v>
      </c>
      <c r="H65" s="23">
        <v>-122.53</v>
      </c>
      <c r="I65" s="18">
        <v>-80.98</v>
      </c>
      <c r="J65" s="18">
        <v>-67.74</v>
      </c>
      <c r="K65" s="18">
        <v>-49.05</v>
      </c>
      <c r="L65" s="18">
        <v>-33.5</v>
      </c>
      <c r="M65" s="18">
        <v>-25.25</v>
      </c>
      <c r="N65" s="18">
        <v>-20.26</v>
      </c>
      <c r="O65" s="18">
        <v>-13.52</v>
      </c>
      <c r="P65" s="18">
        <v>-11.72</v>
      </c>
      <c r="Q65" s="18">
        <v>-10.21</v>
      </c>
      <c r="R65" s="18">
        <v>-17.22</v>
      </c>
      <c r="S65" s="15"/>
      <c r="T65" s="18">
        <v>-9.54</v>
      </c>
      <c r="U65" s="18">
        <v>-9.4</v>
      </c>
      <c r="V65" s="15"/>
      <c r="W65" s="15"/>
    </row>
    <row r="66" ht="15.0" customHeight="1">
      <c r="A66" s="14" t="s">
        <v>269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8">
        <v>-0.07</v>
      </c>
      <c r="U66" s="15"/>
      <c r="V66" s="15"/>
      <c r="W66" s="15"/>
    </row>
    <row r="67" ht="15.0" customHeight="1">
      <c r="A67" s="14" t="s">
        <v>270</v>
      </c>
      <c r="B67" s="15"/>
      <c r="C67" s="16">
        <v>192.95</v>
      </c>
      <c r="D67" s="16">
        <v>429.52</v>
      </c>
      <c r="E67" s="16">
        <v>1346.43</v>
      </c>
      <c r="F67" s="16">
        <v>342.22</v>
      </c>
      <c r="G67" s="16">
        <v>101.33</v>
      </c>
      <c r="H67" s="17">
        <v>91.61</v>
      </c>
      <c r="I67" s="16">
        <v>118.22</v>
      </c>
      <c r="J67" s="16">
        <v>163.78</v>
      </c>
      <c r="K67" s="16">
        <v>431.91</v>
      </c>
      <c r="L67" s="16">
        <v>242.99</v>
      </c>
      <c r="M67" s="17">
        <v>85.0</v>
      </c>
      <c r="N67" s="16">
        <v>107.49</v>
      </c>
      <c r="O67" s="16">
        <v>174.49</v>
      </c>
      <c r="P67" s="16">
        <v>218.74</v>
      </c>
      <c r="Q67" s="16">
        <v>125.45</v>
      </c>
      <c r="R67" s="15"/>
      <c r="S67" s="15"/>
      <c r="T67" s="15"/>
      <c r="U67" s="15"/>
      <c r="V67" s="16">
        <v>172.53</v>
      </c>
      <c r="W67" s="15"/>
    </row>
    <row r="68" ht="15.0" customHeight="1">
      <c r="A68" s="14" t="s">
        <v>271</v>
      </c>
      <c r="B68" s="15"/>
      <c r="C68" s="16">
        <v>192.94</v>
      </c>
      <c r="D68" s="16">
        <v>429.51</v>
      </c>
      <c r="E68" s="16">
        <v>1346.69</v>
      </c>
      <c r="F68" s="16">
        <v>342.47</v>
      </c>
      <c r="G68" s="16">
        <v>101.59</v>
      </c>
      <c r="H68" s="17">
        <v>91.86</v>
      </c>
      <c r="I68" s="16">
        <v>118.48</v>
      </c>
      <c r="J68" s="16">
        <v>164.04</v>
      </c>
      <c r="K68" s="16">
        <v>432.15</v>
      </c>
      <c r="L68" s="16">
        <v>243.09</v>
      </c>
      <c r="M68" s="17">
        <v>85.1</v>
      </c>
      <c r="N68" s="16">
        <v>107.58</v>
      </c>
      <c r="O68" s="16">
        <v>174.57</v>
      </c>
      <c r="P68" s="16">
        <v>218.82</v>
      </c>
      <c r="Q68" s="16">
        <v>125.45</v>
      </c>
      <c r="R68" s="16">
        <v>321.55</v>
      </c>
      <c r="S68" s="15"/>
      <c r="T68" s="16">
        <v>356.62</v>
      </c>
      <c r="U68" s="16">
        <v>327.47</v>
      </c>
      <c r="V68" s="15"/>
      <c r="W68" s="15"/>
    </row>
    <row r="69" ht="15.0" customHeight="1">
      <c r="A69" s="14" t="s">
        <v>272</v>
      </c>
      <c r="B69" s="15"/>
      <c r="C69" s="18">
        <v>-0.01</v>
      </c>
      <c r="D69" s="18">
        <v>-0.01</v>
      </c>
      <c r="E69" s="18">
        <v>-0.26</v>
      </c>
      <c r="F69" s="18">
        <v>-0.25</v>
      </c>
      <c r="G69" s="18">
        <v>-0.26</v>
      </c>
      <c r="H69" s="18">
        <v>-0.26</v>
      </c>
      <c r="I69" s="18">
        <v>-0.26</v>
      </c>
      <c r="J69" s="18">
        <v>-0.26</v>
      </c>
      <c r="K69" s="18">
        <v>-0.24</v>
      </c>
      <c r="L69" s="18">
        <v>-0.11</v>
      </c>
      <c r="M69" s="18">
        <v>-0.1</v>
      </c>
      <c r="N69" s="18">
        <v>-0.09</v>
      </c>
      <c r="O69" s="18">
        <v>-0.08</v>
      </c>
      <c r="P69" s="18">
        <v>-0.09</v>
      </c>
      <c r="Q69" s="15"/>
      <c r="R69" s="15"/>
      <c r="S69" s="15"/>
      <c r="T69" s="15"/>
      <c r="U69" s="15"/>
      <c r="V69" s="15"/>
      <c r="W69" s="15"/>
    </row>
    <row r="70" ht="15.0" customHeight="1">
      <c r="A70" s="14" t="s">
        <v>273</v>
      </c>
      <c r="B70" s="15"/>
      <c r="C70" s="17">
        <v>0.02</v>
      </c>
      <c r="D70" s="17">
        <v>0.02</v>
      </c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 ht="15.0" customHeight="1">
      <c r="A71" s="14" t="s">
        <v>274</v>
      </c>
      <c r="B71" s="15"/>
      <c r="C71" s="15"/>
      <c r="D71" s="18">
        <v>-0.01</v>
      </c>
      <c r="E71" s="18">
        <v>-0.01</v>
      </c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 ht="15.0" customHeight="1">
      <c r="A72" s="14" t="s">
        <v>275</v>
      </c>
      <c r="B72" s="16">
        <v>211.47</v>
      </c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 ht="15.0" customHeight="1">
      <c r="A73" s="14" t="s">
        <v>276</v>
      </c>
      <c r="B73" s="17">
        <v>5.91</v>
      </c>
      <c r="C73" s="17">
        <v>7.02</v>
      </c>
      <c r="D73" s="17">
        <v>7.8</v>
      </c>
      <c r="E73" s="17">
        <v>7.13</v>
      </c>
      <c r="F73" s="17">
        <v>5.69</v>
      </c>
      <c r="G73" s="17">
        <v>6.39</v>
      </c>
      <c r="H73" s="17">
        <v>6.83</v>
      </c>
      <c r="I73" s="17">
        <v>6.25</v>
      </c>
      <c r="J73" s="17">
        <v>6.27</v>
      </c>
      <c r="K73" s="17">
        <v>5.68</v>
      </c>
      <c r="L73" s="17">
        <v>6.74</v>
      </c>
      <c r="M73" s="17">
        <v>6.67</v>
      </c>
      <c r="N73" s="17">
        <v>6.46</v>
      </c>
      <c r="O73" s="17">
        <v>10.75</v>
      </c>
      <c r="P73" s="17">
        <v>10.58</v>
      </c>
      <c r="Q73" s="17">
        <v>14.73</v>
      </c>
      <c r="R73" s="17">
        <v>15.02</v>
      </c>
      <c r="S73" s="15"/>
      <c r="T73" s="15"/>
      <c r="U73" s="15"/>
      <c r="V73" s="15"/>
      <c r="W73" s="15"/>
    </row>
    <row r="74" ht="15.0" customHeight="1">
      <c r="A74" s="14" t="s">
        <v>277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23">
        <v>-354.39</v>
      </c>
      <c r="M74" s="15"/>
      <c r="N74" s="15"/>
      <c r="O74" s="15"/>
      <c r="P74" s="15"/>
      <c r="Q74" s="23">
        <v>-163.66</v>
      </c>
      <c r="R74" s="23">
        <v>-144.88</v>
      </c>
      <c r="S74" s="15"/>
      <c r="T74" s="23">
        <v>-109.44</v>
      </c>
      <c r="U74" s="18">
        <v>-96.67</v>
      </c>
      <c r="V74" s="15"/>
      <c r="W74" s="15"/>
    </row>
    <row r="75" ht="15.0" customHeight="1">
      <c r="A75" s="14" t="s">
        <v>278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6">
        <v>2718.05</v>
      </c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</row>
    <row r="76" ht="15.0" customHeight="1">
      <c r="A76" s="14" t="s">
        <v>279</v>
      </c>
      <c r="B76" s="16">
        <v>998.28</v>
      </c>
      <c r="C76" s="16">
        <v>968.07</v>
      </c>
      <c r="D76" s="16">
        <v>905.84</v>
      </c>
      <c r="E76" s="16">
        <v>1274.54</v>
      </c>
      <c r="F76" s="16">
        <v>1629.26</v>
      </c>
      <c r="G76" s="16">
        <v>1726.78</v>
      </c>
      <c r="H76" s="16">
        <v>1582.16</v>
      </c>
      <c r="I76" s="16">
        <v>1610.89</v>
      </c>
      <c r="J76" s="16">
        <v>1642.17</v>
      </c>
      <c r="K76" s="16">
        <v>1543.0</v>
      </c>
      <c r="L76" s="16">
        <v>1515.92</v>
      </c>
      <c r="M76" s="16">
        <v>1478.77</v>
      </c>
      <c r="N76" s="16">
        <v>1373.75</v>
      </c>
      <c r="O76" s="16">
        <v>1236.78</v>
      </c>
      <c r="P76" s="16">
        <v>1261.67</v>
      </c>
      <c r="Q76" s="16">
        <v>1268.82</v>
      </c>
      <c r="R76" s="16">
        <v>1308.77</v>
      </c>
      <c r="S76" s="16">
        <v>1466.9</v>
      </c>
      <c r="T76" s="16">
        <v>1203.65</v>
      </c>
      <c r="U76" s="15"/>
      <c r="V76" s="15"/>
      <c r="W76" s="15"/>
    </row>
    <row r="77" ht="15.0" customHeight="1">
      <c r="A77" s="14" t="s">
        <v>280</v>
      </c>
      <c r="B77" s="15"/>
      <c r="C77" s="16">
        <v>1938.84</v>
      </c>
      <c r="D77" s="16">
        <v>1820.26</v>
      </c>
      <c r="E77" s="15"/>
      <c r="F77" s="16">
        <v>1778.71</v>
      </c>
      <c r="G77" s="16">
        <v>1887.31</v>
      </c>
      <c r="H77" s="16">
        <v>1731.68</v>
      </c>
      <c r="I77" s="16">
        <v>1761.92</v>
      </c>
      <c r="J77" s="16">
        <v>1793.5</v>
      </c>
      <c r="K77" s="16">
        <v>1683.42</v>
      </c>
      <c r="L77" s="16">
        <v>1578.29</v>
      </c>
      <c r="M77" s="16">
        <v>1646.02</v>
      </c>
      <c r="N77" s="16">
        <v>1529.44</v>
      </c>
      <c r="O77" s="16">
        <v>1374.56</v>
      </c>
      <c r="P77" s="16">
        <v>1418.3</v>
      </c>
      <c r="Q77" s="15"/>
      <c r="R77" s="15"/>
      <c r="S77" s="15"/>
      <c r="T77" s="15"/>
      <c r="U77" s="16">
        <v>616.18</v>
      </c>
      <c r="V77" s="15"/>
      <c r="W77" s="15"/>
    </row>
    <row r="78" ht="15.0" customHeight="1">
      <c r="A78" s="14" t="s">
        <v>281</v>
      </c>
      <c r="B78" s="15"/>
      <c r="C78" s="23">
        <v>-970.77</v>
      </c>
      <c r="D78" s="23">
        <v>-914.43</v>
      </c>
      <c r="E78" s="15"/>
      <c r="F78" s="23">
        <v>-149.45</v>
      </c>
      <c r="G78" s="23">
        <v>-160.53</v>
      </c>
      <c r="H78" s="23">
        <v>-149.52</v>
      </c>
      <c r="I78" s="23">
        <v>-151.03</v>
      </c>
      <c r="J78" s="23">
        <v>-151.33</v>
      </c>
      <c r="K78" s="23">
        <v>-140.41</v>
      </c>
      <c r="L78" s="18">
        <v>-62.37</v>
      </c>
      <c r="M78" s="23">
        <v>-167.25</v>
      </c>
      <c r="N78" s="23">
        <v>-155.69</v>
      </c>
      <c r="O78" s="23">
        <v>-137.78</v>
      </c>
      <c r="P78" s="23">
        <v>-156.63</v>
      </c>
      <c r="Q78" s="15"/>
      <c r="R78" s="15"/>
      <c r="S78" s="15"/>
      <c r="T78" s="15"/>
      <c r="U78" s="23">
        <v>-142.0</v>
      </c>
      <c r="V78" s="15"/>
      <c r="W78" s="15"/>
    </row>
    <row r="79" ht="15.0" customHeight="1">
      <c r="A79" s="14" t="s">
        <v>282</v>
      </c>
      <c r="B79" s="15"/>
      <c r="C79" s="15"/>
      <c r="D79" s="17">
        <v>0.01</v>
      </c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</row>
    <row r="80" ht="15.0" customHeight="1">
      <c r="A80" s="14" t="s">
        <v>283</v>
      </c>
      <c r="B80" s="16">
        <v>705.3</v>
      </c>
      <c r="C80" s="16">
        <v>702.05</v>
      </c>
      <c r="D80" s="16">
        <v>601.97</v>
      </c>
      <c r="E80" s="16">
        <v>625.81</v>
      </c>
      <c r="F80" s="16">
        <v>775.58</v>
      </c>
      <c r="G80" s="16">
        <v>879.29</v>
      </c>
      <c r="H80" s="16">
        <v>833.27</v>
      </c>
      <c r="I80" s="16">
        <v>859.46</v>
      </c>
      <c r="J80" s="16">
        <v>877.14</v>
      </c>
      <c r="K80" s="16">
        <v>849.59</v>
      </c>
      <c r="L80" s="16">
        <v>760.74</v>
      </c>
      <c r="M80" s="16">
        <v>685.48</v>
      </c>
      <c r="N80" s="16">
        <v>641.87</v>
      </c>
      <c r="O80" s="16">
        <v>575.78</v>
      </c>
      <c r="P80" s="16">
        <v>575.32</v>
      </c>
      <c r="Q80" s="16">
        <v>588.19</v>
      </c>
      <c r="R80" s="16">
        <v>580.63</v>
      </c>
      <c r="S80" s="15"/>
      <c r="T80" s="16">
        <v>509.39</v>
      </c>
      <c r="U80" s="16">
        <v>274.02</v>
      </c>
      <c r="V80" s="15"/>
      <c r="W80" s="15"/>
    </row>
    <row r="81" ht="15.0" customHeight="1">
      <c r="A81" s="14" t="s">
        <v>284</v>
      </c>
      <c r="B81" s="15"/>
      <c r="C81" s="16">
        <v>601.14</v>
      </c>
      <c r="D81" s="16">
        <v>494.04</v>
      </c>
      <c r="E81" s="16">
        <v>498.78</v>
      </c>
      <c r="F81" s="16">
        <v>614.11</v>
      </c>
      <c r="G81" s="16">
        <v>680.91</v>
      </c>
      <c r="H81" s="16">
        <v>641.6</v>
      </c>
      <c r="I81" s="16">
        <v>659.36</v>
      </c>
      <c r="J81" s="16">
        <v>687.32</v>
      </c>
      <c r="K81" s="16">
        <v>657.16</v>
      </c>
      <c r="L81" s="16">
        <v>622.32</v>
      </c>
      <c r="M81" s="16">
        <v>551.36</v>
      </c>
      <c r="N81" s="16">
        <v>586.99</v>
      </c>
      <c r="O81" s="16">
        <v>535.31</v>
      </c>
      <c r="P81" s="16">
        <v>533.34</v>
      </c>
      <c r="Q81" s="16">
        <v>538.37</v>
      </c>
      <c r="R81" s="15"/>
      <c r="S81" s="15"/>
      <c r="T81" s="15"/>
      <c r="U81" s="15"/>
      <c r="V81" s="16">
        <v>129.42</v>
      </c>
      <c r="W81" s="15"/>
    </row>
    <row r="82" ht="15.0" customHeight="1">
      <c r="A82" s="14" t="s">
        <v>285</v>
      </c>
      <c r="B82" s="15"/>
      <c r="C82" s="16">
        <v>883.32</v>
      </c>
      <c r="D82" s="16">
        <v>752.62</v>
      </c>
      <c r="E82" s="16">
        <v>777.51</v>
      </c>
      <c r="F82" s="16">
        <v>722.29</v>
      </c>
      <c r="G82" s="16">
        <v>791.18</v>
      </c>
      <c r="H82" s="16">
        <v>725.49</v>
      </c>
      <c r="I82" s="16">
        <v>735.21</v>
      </c>
      <c r="J82" s="16">
        <v>754.04</v>
      </c>
      <c r="K82" s="16">
        <v>711.08</v>
      </c>
      <c r="L82" s="16">
        <v>674.12</v>
      </c>
      <c r="M82" s="16">
        <v>595.94</v>
      </c>
      <c r="N82" s="16">
        <v>633.94</v>
      </c>
      <c r="O82" s="16">
        <v>576.61</v>
      </c>
      <c r="P82" s="16">
        <v>571.12</v>
      </c>
      <c r="Q82" s="16">
        <v>577.41</v>
      </c>
      <c r="R82" s="16">
        <v>556.39</v>
      </c>
      <c r="S82" s="15"/>
      <c r="T82" s="15"/>
      <c r="U82" s="15"/>
      <c r="V82" s="15"/>
      <c r="W82" s="15"/>
    </row>
    <row r="83" ht="15.0" customHeight="1">
      <c r="A83" s="14" t="s">
        <v>286</v>
      </c>
      <c r="B83" s="15"/>
      <c r="C83" s="23">
        <v>-282.18</v>
      </c>
      <c r="D83" s="23">
        <v>-258.58</v>
      </c>
      <c r="E83" s="23">
        <v>-278.73</v>
      </c>
      <c r="F83" s="23">
        <v>-108.17</v>
      </c>
      <c r="G83" s="23">
        <v>-110.27</v>
      </c>
      <c r="H83" s="18">
        <v>-83.89</v>
      </c>
      <c r="I83" s="18">
        <v>-75.85</v>
      </c>
      <c r="J83" s="18">
        <v>-66.72</v>
      </c>
      <c r="K83" s="18">
        <v>-53.92</v>
      </c>
      <c r="L83" s="18">
        <v>-51.8</v>
      </c>
      <c r="M83" s="18">
        <v>-44.58</v>
      </c>
      <c r="N83" s="18">
        <v>-46.95</v>
      </c>
      <c r="O83" s="18">
        <v>-41.3</v>
      </c>
      <c r="P83" s="18">
        <v>-37.78</v>
      </c>
      <c r="Q83" s="18">
        <v>-39.05</v>
      </c>
      <c r="R83" s="15"/>
      <c r="S83" s="15"/>
      <c r="T83" s="15"/>
      <c r="U83" s="15"/>
      <c r="V83" s="18">
        <v>-23.43</v>
      </c>
      <c r="W83" s="15"/>
    </row>
    <row r="84" ht="15.0" customHeight="1">
      <c r="A84" s="14" t="s">
        <v>287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6">
        <v>577.41</v>
      </c>
      <c r="R84" s="15"/>
      <c r="S84" s="15"/>
      <c r="T84" s="15"/>
      <c r="U84" s="15"/>
      <c r="V84" s="15"/>
      <c r="W84" s="15"/>
    </row>
    <row r="85" ht="15.0" customHeight="1">
      <c r="A85" s="14" t="s">
        <v>288</v>
      </c>
      <c r="B85" s="15"/>
      <c r="C85" s="15">
        <v>0.0</v>
      </c>
      <c r="D85" s="17">
        <v>6.68</v>
      </c>
      <c r="E85" s="17">
        <v>17.46</v>
      </c>
      <c r="F85" s="17">
        <v>30.82</v>
      </c>
      <c r="G85" s="17">
        <v>54.66</v>
      </c>
      <c r="H85" s="17">
        <v>71.24</v>
      </c>
      <c r="I85" s="17">
        <v>93.5</v>
      </c>
      <c r="J85" s="16">
        <v>117.03</v>
      </c>
      <c r="K85" s="16">
        <v>130.99</v>
      </c>
      <c r="L85" s="17">
        <v>67.46</v>
      </c>
      <c r="M85" s="17">
        <v>75.0</v>
      </c>
      <c r="N85" s="17">
        <v>2.43</v>
      </c>
      <c r="O85" s="17">
        <v>2.66</v>
      </c>
      <c r="P85" s="17">
        <v>5.04</v>
      </c>
      <c r="Q85" s="17">
        <v>7.96</v>
      </c>
      <c r="R85" s="17">
        <v>11.98</v>
      </c>
      <c r="S85" s="15"/>
      <c r="T85" s="15"/>
      <c r="U85" s="15"/>
      <c r="V85" s="15"/>
      <c r="W85" s="15"/>
    </row>
    <row r="86" ht="15.0" customHeight="1">
      <c r="A86" s="14" t="s">
        <v>289</v>
      </c>
      <c r="B86" s="15"/>
      <c r="C86" s="17">
        <v>99.21</v>
      </c>
      <c r="D86" s="17">
        <v>95.69</v>
      </c>
      <c r="E86" s="17">
        <v>89.6</v>
      </c>
      <c r="F86" s="16">
        <v>188.78</v>
      </c>
      <c r="G86" s="16">
        <v>199.33</v>
      </c>
      <c r="H86" s="16">
        <v>185.54</v>
      </c>
      <c r="I86" s="16">
        <v>187.58</v>
      </c>
      <c r="J86" s="16">
        <v>188.14</v>
      </c>
      <c r="K86" s="16">
        <v>174.75</v>
      </c>
      <c r="L86" s="17">
        <v>96.54</v>
      </c>
      <c r="M86" s="17">
        <v>90.9</v>
      </c>
      <c r="N86" s="17">
        <v>9.0</v>
      </c>
      <c r="O86" s="17">
        <v>7.92</v>
      </c>
      <c r="P86" s="17">
        <v>18.16</v>
      </c>
      <c r="Q86" s="17">
        <v>18.28</v>
      </c>
      <c r="R86" s="17">
        <v>19.47</v>
      </c>
      <c r="S86" s="15"/>
      <c r="T86" s="15"/>
      <c r="U86" s="15"/>
      <c r="V86" s="15"/>
      <c r="W86" s="15"/>
    </row>
    <row r="87" ht="15.0" customHeight="1">
      <c r="A87" s="14" t="s">
        <v>290</v>
      </c>
      <c r="B87" s="15"/>
      <c r="C87" s="18">
        <v>-99.21</v>
      </c>
      <c r="D87" s="18">
        <v>-89.01</v>
      </c>
      <c r="E87" s="18">
        <v>-72.14</v>
      </c>
      <c r="F87" s="23">
        <v>-157.97</v>
      </c>
      <c r="G87" s="23">
        <v>-144.66</v>
      </c>
      <c r="H87" s="23">
        <v>-114.31</v>
      </c>
      <c r="I87" s="18">
        <v>-94.08</v>
      </c>
      <c r="J87" s="18">
        <v>-71.11</v>
      </c>
      <c r="K87" s="18">
        <v>-43.76</v>
      </c>
      <c r="L87" s="18">
        <v>-29.08</v>
      </c>
      <c r="M87" s="18">
        <v>-15.89</v>
      </c>
      <c r="N87" s="18">
        <v>-6.57</v>
      </c>
      <c r="O87" s="18">
        <v>-5.26</v>
      </c>
      <c r="P87" s="18">
        <v>-13.11</v>
      </c>
      <c r="Q87" s="18">
        <v>-10.32</v>
      </c>
      <c r="R87" s="18">
        <v>-7.49</v>
      </c>
      <c r="S87" s="15"/>
      <c r="T87" s="15"/>
      <c r="U87" s="15"/>
      <c r="V87" s="15"/>
      <c r="W87" s="15"/>
    </row>
    <row r="88" ht="15.0" customHeight="1">
      <c r="A88" s="14" t="s">
        <v>291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7">
        <v>18.28</v>
      </c>
      <c r="R88" s="17">
        <v>19.47</v>
      </c>
      <c r="S88" s="15"/>
      <c r="T88" s="15"/>
      <c r="U88" s="15"/>
      <c r="V88" s="15"/>
      <c r="W88" s="15"/>
    </row>
    <row r="89" ht="15.0" customHeight="1">
      <c r="A89" s="14" t="s">
        <v>292</v>
      </c>
      <c r="B89" s="15"/>
      <c r="C89" s="16">
        <v>100.91</v>
      </c>
      <c r="D89" s="16">
        <v>101.25</v>
      </c>
      <c r="E89" s="16">
        <v>109.57</v>
      </c>
      <c r="F89" s="16">
        <v>130.65</v>
      </c>
      <c r="G89" s="16">
        <v>143.71</v>
      </c>
      <c r="H89" s="16">
        <v>120.44</v>
      </c>
      <c r="I89" s="16">
        <v>106.61</v>
      </c>
      <c r="J89" s="17">
        <v>72.79</v>
      </c>
      <c r="K89" s="17">
        <v>61.44</v>
      </c>
      <c r="L89" s="17">
        <v>70.96</v>
      </c>
      <c r="M89" s="17">
        <v>59.11</v>
      </c>
      <c r="N89" s="17">
        <v>52.45</v>
      </c>
      <c r="O89" s="17">
        <v>37.81</v>
      </c>
      <c r="P89" s="17">
        <v>36.94</v>
      </c>
      <c r="Q89" s="17">
        <v>41.87</v>
      </c>
      <c r="R89" s="17">
        <v>42.12</v>
      </c>
      <c r="S89" s="15"/>
      <c r="T89" s="17">
        <v>50.44</v>
      </c>
      <c r="U89" s="17">
        <v>53.49</v>
      </c>
      <c r="V89" s="17">
        <v>52.18</v>
      </c>
      <c r="W89" s="15"/>
    </row>
    <row r="90" ht="15.0" customHeight="1">
      <c r="A90" s="14" t="s">
        <v>293</v>
      </c>
      <c r="B90" s="15"/>
      <c r="C90" s="16">
        <v>658.81</v>
      </c>
      <c r="D90" s="16">
        <v>604.75</v>
      </c>
      <c r="E90" s="16">
        <v>547.39</v>
      </c>
      <c r="F90" s="16">
        <v>509.63</v>
      </c>
      <c r="G90" s="16">
        <v>510.65</v>
      </c>
      <c r="H90" s="16">
        <v>436.34</v>
      </c>
      <c r="I90" s="16">
        <v>393.09</v>
      </c>
      <c r="J90" s="16">
        <v>333.06</v>
      </c>
      <c r="K90" s="16">
        <v>281.28</v>
      </c>
      <c r="L90" s="16">
        <v>282.11</v>
      </c>
      <c r="M90" s="16">
        <v>241.18</v>
      </c>
      <c r="N90" s="16">
        <v>210.24</v>
      </c>
      <c r="O90" s="16">
        <v>169.98</v>
      </c>
      <c r="P90" s="16">
        <v>163.82</v>
      </c>
      <c r="Q90" s="16">
        <v>156.16</v>
      </c>
      <c r="R90" s="16">
        <v>149.65</v>
      </c>
      <c r="S90" s="15"/>
      <c r="T90" s="15"/>
      <c r="U90" s="15"/>
      <c r="V90" s="15"/>
      <c r="W90" s="15"/>
    </row>
    <row r="91" ht="15.0" customHeight="1">
      <c r="A91" s="14" t="s">
        <v>294</v>
      </c>
      <c r="B91" s="15"/>
      <c r="C91" s="23">
        <v>-557.89</v>
      </c>
      <c r="D91" s="23">
        <v>-503.51</v>
      </c>
      <c r="E91" s="23">
        <v>-437.82</v>
      </c>
      <c r="F91" s="23">
        <v>-378.98</v>
      </c>
      <c r="G91" s="23">
        <v>-366.94</v>
      </c>
      <c r="H91" s="23">
        <v>-315.9</v>
      </c>
      <c r="I91" s="23">
        <v>-286.48</v>
      </c>
      <c r="J91" s="23">
        <v>-260.27</v>
      </c>
      <c r="K91" s="23">
        <v>-219.85</v>
      </c>
      <c r="L91" s="23">
        <v>-211.14</v>
      </c>
      <c r="M91" s="23">
        <v>-182.06</v>
      </c>
      <c r="N91" s="23">
        <v>-157.78</v>
      </c>
      <c r="O91" s="23">
        <v>-132.17</v>
      </c>
      <c r="P91" s="23">
        <v>-126.89</v>
      </c>
      <c r="Q91" s="15"/>
      <c r="R91" s="15"/>
      <c r="S91" s="15"/>
      <c r="T91" s="15"/>
      <c r="U91" s="15"/>
      <c r="V91" s="15"/>
      <c r="W91" s="15"/>
    </row>
    <row r="92" ht="15.0" customHeight="1">
      <c r="A92" s="14" t="s">
        <v>295</v>
      </c>
      <c r="B92" s="15"/>
      <c r="C92" s="15"/>
      <c r="D92" s="15"/>
      <c r="E92" s="15"/>
      <c r="F92" s="18">
        <v>-30.81</v>
      </c>
      <c r="G92" s="18">
        <v>-54.68</v>
      </c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</row>
    <row r="93" ht="15.0" customHeight="1">
      <c r="A93" s="14" t="s">
        <v>296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6">
        <v>526.53</v>
      </c>
      <c r="S93" s="15"/>
      <c r="T93" s="16">
        <v>458.95</v>
      </c>
      <c r="U93" s="16">
        <v>220.54</v>
      </c>
      <c r="V93" s="15"/>
      <c r="W93" s="15"/>
    </row>
    <row r="94" ht="15.0" customHeight="1">
      <c r="A94" s="14" t="s">
        <v>275</v>
      </c>
      <c r="B94" s="15"/>
      <c r="C94" s="16">
        <v>267.87</v>
      </c>
      <c r="D94" s="16">
        <v>274.73</v>
      </c>
      <c r="E94" s="16">
        <v>314.08</v>
      </c>
      <c r="F94" s="16">
        <v>304.13</v>
      </c>
      <c r="G94" s="16">
        <v>353.02</v>
      </c>
      <c r="H94" s="16">
        <v>327.72</v>
      </c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</row>
    <row r="95" ht="15.0" customHeight="1">
      <c r="A95" s="14" t="s">
        <v>297</v>
      </c>
      <c r="B95" s="16">
        <v>249.28</v>
      </c>
      <c r="C95" s="16">
        <v>250.2</v>
      </c>
      <c r="D95" s="16">
        <v>228.13</v>
      </c>
      <c r="E95" s="16">
        <v>209.42</v>
      </c>
      <c r="F95" s="16">
        <v>171.76</v>
      </c>
      <c r="G95" s="16">
        <v>151.68</v>
      </c>
      <c r="H95" s="16">
        <v>147.96</v>
      </c>
      <c r="I95" s="16">
        <v>143.37</v>
      </c>
      <c r="J95" s="16">
        <v>144.87</v>
      </c>
      <c r="K95" s="16">
        <v>123.58</v>
      </c>
      <c r="L95" s="16">
        <v>125.41</v>
      </c>
      <c r="M95" s="16">
        <v>119.47</v>
      </c>
      <c r="N95" s="16">
        <v>127.56</v>
      </c>
      <c r="O95" s="16">
        <v>107.46</v>
      </c>
      <c r="P95" s="16">
        <v>107.41</v>
      </c>
      <c r="Q95" s="17">
        <v>92.38</v>
      </c>
      <c r="R95" s="17">
        <v>61.74</v>
      </c>
      <c r="S95" s="17">
        <v>59.22</v>
      </c>
      <c r="T95" s="17">
        <v>45.42</v>
      </c>
      <c r="U95" s="17">
        <v>41.09</v>
      </c>
      <c r="V95" s="15"/>
      <c r="W95" s="15"/>
    </row>
    <row r="96" ht="15.0" customHeight="1">
      <c r="A96" s="14" t="s">
        <v>298</v>
      </c>
      <c r="B96" s="17">
        <v>43.71</v>
      </c>
      <c r="C96" s="17">
        <v>33.42</v>
      </c>
      <c r="D96" s="17">
        <v>10.25</v>
      </c>
      <c r="E96" s="17">
        <v>9.39</v>
      </c>
      <c r="F96" s="17">
        <v>8.45</v>
      </c>
      <c r="G96" s="17">
        <v>12.58</v>
      </c>
      <c r="H96" s="17">
        <v>11.79</v>
      </c>
      <c r="I96" s="17">
        <v>11.87</v>
      </c>
      <c r="J96" s="17">
        <v>11.77</v>
      </c>
      <c r="K96" s="17">
        <v>10.02</v>
      </c>
      <c r="L96" s="17">
        <v>10.59</v>
      </c>
      <c r="M96" s="17">
        <v>11.86</v>
      </c>
      <c r="N96" s="17">
        <v>18.25</v>
      </c>
      <c r="O96" s="17">
        <v>12.83</v>
      </c>
      <c r="P96" s="17">
        <v>12.67</v>
      </c>
      <c r="Q96" s="17">
        <v>12.35</v>
      </c>
      <c r="R96" s="17">
        <v>19.13</v>
      </c>
      <c r="S96" s="17">
        <v>20.39</v>
      </c>
      <c r="T96" s="17">
        <v>23.46</v>
      </c>
      <c r="U96" s="17">
        <v>10.82</v>
      </c>
      <c r="V96" s="17">
        <v>45.96</v>
      </c>
      <c r="W96" s="17">
        <v>52.54</v>
      </c>
    </row>
    <row r="97" ht="15.0" customHeight="1">
      <c r="A97" s="14" t="s">
        <v>299</v>
      </c>
      <c r="B97" s="16">
        <v>101.6</v>
      </c>
      <c r="C97" s="16">
        <v>109.9</v>
      </c>
      <c r="D97" s="16">
        <v>114.88</v>
      </c>
      <c r="E97" s="16">
        <v>191.34</v>
      </c>
      <c r="F97" s="17">
        <v>60.93</v>
      </c>
      <c r="G97" s="17">
        <v>48.59</v>
      </c>
      <c r="H97" s="17">
        <v>51.33</v>
      </c>
      <c r="I97" s="17">
        <v>96.87</v>
      </c>
      <c r="J97" s="17">
        <v>90.14</v>
      </c>
      <c r="K97" s="16">
        <v>100.8</v>
      </c>
      <c r="L97" s="16">
        <v>107.8</v>
      </c>
      <c r="M97" s="16">
        <v>101.89</v>
      </c>
      <c r="N97" s="17">
        <v>62.49</v>
      </c>
      <c r="O97" s="17">
        <v>85.41</v>
      </c>
      <c r="P97" s="16">
        <v>154.32</v>
      </c>
      <c r="Q97" s="16">
        <v>157.05</v>
      </c>
      <c r="R97" s="16">
        <v>169.14</v>
      </c>
      <c r="S97" s="16">
        <v>150.48</v>
      </c>
      <c r="T97" s="17">
        <v>95.86</v>
      </c>
      <c r="U97" s="16">
        <v>334.0</v>
      </c>
      <c r="V97" s="15"/>
      <c r="W97" s="15"/>
    </row>
    <row r="98" ht="15.0" customHeight="1">
      <c r="A98" s="14" t="s">
        <v>300</v>
      </c>
      <c r="B98" s="15"/>
      <c r="C98" s="15">
        <v>0.0</v>
      </c>
      <c r="D98" s="17">
        <v>1.01</v>
      </c>
      <c r="E98" s="15">
        <v>0.0</v>
      </c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</row>
    <row r="99" ht="15.0" customHeight="1">
      <c r="A99" s="14" t="s">
        <v>301</v>
      </c>
      <c r="B99" s="15"/>
      <c r="C99" s="17">
        <v>18.13</v>
      </c>
      <c r="D99" s="17">
        <v>11.42</v>
      </c>
      <c r="E99" s="17">
        <v>7.18</v>
      </c>
      <c r="F99" s="17">
        <v>6.27</v>
      </c>
      <c r="G99" s="17">
        <v>5.38</v>
      </c>
      <c r="H99" s="17">
        <v>4.56</v>
      </c>
      <c r="I99" s="17">
        <v>3.86</v>
      </c>
      <c r="J99" s="17">
        <v>2.96</v>
      </c>
      <c r="K99" s="17">
        <v>8.22</v>
      </c>
      <c r="L99" s="17">
        <v>9.08</v>
      </c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</row>
    <row r="100" ht="15.0" customHeight="1">
      <c r="A100" s="14" t="s">
        <v>302</v>
      </c>
      <c r="B100" s="15"/>
      <c r="C100" s="17">
        <v>26.52</v>
      </c>
      <c r="D100" s="17">
        <v>45.78</v>
      </c>
      <c r="E100" s="16">
        <v>134.6</v>
      </c>
      <c r="F100" s="17">
        <v>16.2</v>
      </c>
      <c r="G100" s="17">
        <v>4.74</v>
      </c>
      <c r="H100" s="17">
        <v>4.9</v>
      </c>
      <c r="I100" s="17">
        <v>22.72</v>
      </c>
      <c r="J100" s="17">
        <v>7.27</v>
      </c>
      <c r="K100" s="17">
        <v>3.83</v>
      </c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</row>
    <row r="101" ht="15.0" customHeight="1">
      <c r="A101" s="14" t="s">
        <v>303</v>
      </c>
      <c r="B101" s="15"/>
      <c r="C101" s="15"/>
      <c r="D101" s="15">
        <v>0.0</v>
      </c>
      <c r="E101" s="17">
        <v>8.42</v>
      </c>
      <c r="F101" s="15"/>
      <c r="G101" s="15"/>
      <c r="H101" s="15"/>
      <c r="I101" s="17">
        <v>0.47</v>
      </c>
      <c r="J101" s="17">
        <v>0.07</v>
      </c>
      <c r="K101" s="17">
        <v>0.1</v>
      </c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</row>
    <row r="102" ht="15.0" customHeight="1">
      <c r="A102" s="14" t="s">
        <v>304</v>
      </c>
      <c r="B102" s="15"/>
      <c r="C102" s="17">
        <v>51.25</v>
      </c>
      <c r="D102" s="17">
        <v>39.47</v>
      </c>
      <c r="E102" s="17">
        <v>28.82</v>
      </c>
      <c r="F102" s="17">
        <v>30.7</v>
      </c>
      <c r="G102" s="17">
        <v>28.84</v>
      </c>
      <c r="H102" s="17">
        <v>25.81</v>
      </c>
      <c r="I102" s="17">
        <v>27.0</v>
      </c>
      <c r="J102" s="17">
        <v>31.29</v>
      </c>
      <c r="K102" s="17">
        <v>24.07</v>
      </c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</row>
    <row r="103" ht="15.0" customHeight="1">
      <c r="A103" s="14" t="s">
        <v>305</v>
      </c>
      <c r="B103" s="15"/>
      <c r="C103" s="17">
        <v>14.01</v>
      </c>
      <c r="D103" s="17">
        <v>17.21</v>
      </c>
      <c r="E103" s="17">
        <v>12.31</v>
      </c>
      <c r="F103" s="17">
        <v>7.78</v>
      </c>
      <c r="G103" s="17">
        <v>9.64</v>
      </c>
      <c r="H103" s="17">
        <v>16.06</v>
      </c>
      <c r="I103" s="17">
        <v>42.82</v>
      </c>
      <c r="J103" s="17">
        <v>48.56</v>
      </c>
      <c r="K103" s="17">
        <v>64.58</v>
      </c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</row>
    <row r="104" ht="15.0" customHeight="1">
      <c r="A104" s="14" t="s">
        <v>306</v>
      </c>
      <c r="B104" s="15"/>
      <c r="C104" s="18">
        <v>-0.01</v>
      </c>
      <c r="D104" s="18">
        <v>-0.01</v>
      </c>
      <c r="E104" s="17">
        <v>0.01</v>
      </c>
      <c r="F104" s="18">
        <v>-0.01</v>
      </c>
      <c r="G104" s="18">
        <v>-0.01</v>
      </c>
      <c r="H104" s="15"/>
      <c r="I104" s="15"/>
      <c r="J104" s="15"/>
      <c r="K104" s="15"/>
      <c r="L104" s="17">
        <v>98.72</v>
      </c>
      <c r="M104" s="15"/>
      <c r="N104" s="15"/>
      <c r="O104" s="15"/>
      <c r="P104" s="15"/>
      <c r="Q104" s="15"/>
      <c r="R104" s="15"/>
      <c r="S104" s="15"/>
      <c r="T104" s="15"/>
      <c r="U104" s="17">
        <v>4.08</v>
      </c>
      <c r="V104" s="15"/>
      <c r="W104" s="15"/>
    </row>
    <row r="105" ht="15.0" customHeight="1">
      <c r="A105" s="14" t="s">
        <v>307</v>
      </c>
      <c r="B105" s="17">
        <v>41.35</v>
      </c>
      <c r="C105" s="17">
        <v>29.01</v>
      </c>
      <c r="D105" s="17">
        <v>22.83</v>
      </c>
      <c r="E105" s="17">
        <v>9.84</v>
      </c>
      <c r="F105" s="17">
        <v>18.33</v>
      </c>
      <c r="G105" s="17">
        <v>15.52</v>
      </c>
      <c r="H105" s="17">
        <v>39.83</v>
      </c>
      <c r="I105" s="17">
        <v>50.68</v>
      </c>
      <c r="J105" s="17">
        <v>59.3</v>
      </c>
      <c r="K105" s="17">
        <v>67.53</v>
      </c>
      <c r="L105" s="17">
        <v>67.56</v>
      </c>
      <c r="M105" s="17">
        <v>54.78</v>
      </c>
      <c r="N105" s="17">
        <v>40.77</v>
      </c>
      <c r="O105" s="16">
        <v>113.67</v>
      </c>
      <c r="P105" s="16">
        <v>123.35</v>
      </c>
      <c r="Q105" s="17">
        <v>89.19</v>
      </c>
      <c r="R105" s="17">
        <v>58.26</v>
      </c>
      <c r="S105" s="17">
        <v>21.36</v>
      </c>
      <c r="T105" s="17">
        <v>4.96</v>
      </c>
      <c r="U105" s="17">
        <v>4.1</v>
      </c>
      <c r="V105" s="15"/>
      <c r="W105" s="15"/>
    </row>
    <row r="106" ht="15.0" customHeight="1">
      <c r="A106" s="14" t="s">
        <v>308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6">
        <v>262.04</v>
      </c>
      <c r="V106" s="15"/>
      <c r="W106" s="15"/>
    </row>
    <row r="107" ht="15.0" customHeight="1">
      <c r="A107" s="14" t="s">
        <v>283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6">
        <v>684.42</v>
      </c>
      <c r="T107" s="16">
        <v>509.39</v>
      </c>
      <c r="U107" s="15"/>
      <c r="V107" s="15"/>
      <c r="W107" s="15"/>
    </row>
    <row r="108" ht="15.0" customHeight="1">
      <c r="A108" s="14" t="s">
        <v>309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23">
        <v>-401.69</v>
      </c>
      <c r="R108" s="23">
        <v>-300.97</v>
      </c>
      <c r="S108" s="15"/>
      <c r="T108" s="23">
        <v>-244.38</v>
      </c>
      <c r="U108" s="23">
        <v>-238.67</v>
      </c>
      <c r="V108" s="15"/>
      <c r="W108" s="15"/>
    </row>
    <row r="109" ht="15.0" customHeight="1">
      <c r="A109" s="14" t="s">
        <v>310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6">
        <v>2258.7</v>
      </c>
      <c r="R109" s="16">
        <v>2190.37</v>
      </c>
      <c r="S109" s="15"/>
      <c r="T109" s="16">
        <v>1957.42</v>
      </c>
      <c r="U109" s="16">
        <v>986.87</v>
      </c>
      <c r="V109" s="15"/>
      <c r="W109" s="15"/>
    </row>
    <row r="110" ht="15.0" customHeight="1">
      <c r="A110" s="14" t="s">
        <v>311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6">
        <v>1857.01</v>
      </c>
      <c r="R110" s="16">
        <v>1889.41</v>
      </c>
      <c r="S110" s="15"/>
      <c r="T110" s="16">
        <v>1713.04</v>
      </c>
      <c r="U110" s="16">
        <v>748.21</v>
      </c>
      <c r="V110" s="15"/>
      <c r="W110" s="15"/>
    </row>
    <row r="111" ht="15.0" customHeight="1">
      <c r="A111" s="14" t="s">
        <v>312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23">
        <v>-163.66</v>
      </c>
      <c r="R111" s="23">
        <v>-144.88</v>
      </c>
      <c r="S111" s="15"/>
      <c r="T111" s="15"/>
      <c r="U111" s="18">
        <v>-96.67</v>
      </c>
      <c r="V111" s="15"/>
      <c r="W111" s="15"/>
    </row>
    <row r="112" ht="15.0" customHeight="1">
      <c r="A112" s="14" t="s">
        <v>313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6">
        <v>108.65</v>
      </c>
      <c r="V112" s="15"/>
      <c r="W112" s="15"/>
    </row>
    <row r="113" ht="15.0" customHeight="1">
      <c r="A113" s="14" t="s">
        <v>314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7">
        <v>10.29</v>
      </c>
      <c r="R113" s="15"/>
      <c r="S113" s="15"/>
      <c r="T113" s="15"/>
      <c r="U113" s="15"/>
      <c r="V113" s="15"/>
      <c r="W113" s="15"/>
    </row>
    <row r="114" ht="15.0" customHeight="1">
      <c r="A114" s="14" t="s">
        <v>315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23">
        <v>-114.29</v>
      </c>
      <c r="R114" s="23">
        <v>-107.53</v>
      </c>
      <c r="S114" s="15"/>
      <c r="T114" s="18">
        <v>-90.76</v>
      </c>
      <c r="U114" s="18">
        <v>-55.16</v>
      </c>
      <c r="V114" s="18">
        <v>-58.12</v>
      </c>
      <c r="W114" s="15"/>
    </row>
    <row r="115" ht="15.0" customHeight="1">
      <c r="A115" s="14" t="s">
        <v>316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6">
        <v>141.2</v>
      </c>
      <c r="U115" s="15"/>
      <c r="V115" s="15"/>
      <c r="W115" s="15"/>
    </row>
    <row r="116" ht="15.0" customHeight="1">
      <c r="A116" s="14" t="s">
        <v>317</v>
      </c>
      <c r="B116" s="18">
        <v>-1.18</v>
      </c>
      <c r="C116" s="17">
        <v>0.01</v>
      </c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6">
        <v>4790.97</v>
      </c>
      <c r="T116" s="15"/>
      <c r="U116" s="15"/>
      <c r="V116" s="16">
        <v>3251.8</v>
      </c>
      <c r="W116" s="16">
        <v>2641.54</v>
      </c>
    </row>
    <row r="117" ht="15.0" customHeight="1">
      <c r="A117" s="19" t="s">
        <v>318</v>
      </c>
      <c r="B117" s="21">
        <v>8618.32</v>
      </c>
      <c r="C117" s="21">
        <v>8533.43</v>
      </c>
      <c r="D117" s="21">
        <v>8159.67</v>
      </c>
      <c r="E117" s="21">
        <v>7564.53</v>
      </c>
      <c r="F117" s="21">
        <v>6833.35</v>
      </c>
      <c r="G117" s="21">
        <v>7337.1</v>
      </c>
      <c r="H117" s="21">
        <v>6918.25</v>
      </c>
      <c r="I117" s="21">
        <v>6747.85</v>
      </c>
      <c r="J117" s="21">
        <v>6855.03</v>
      </c>
      <c r="K117" s="21">
        <v>6368.32</v>
      </c>
      <c r="L117" s="21">
        <v>6384.08</v>
      </c>
      <c r="M117" s="21">
        <v>5990.76</v>
      </c>
      <c r="N117" s="21">
        <v>5885.94</v>
      </c>
      <c r="O117" s="21">
        <v>5636.9</v>
      </c>
      <c r="P117" s="21">
        <v>5838.08</v>
      </c>
      <c r="Q117" s="21">
        <v>6379.74</v>
      </c>
      <c r="R117" s="20">
        <v>14648.79</v>
      </c>
      <c r="S117" s="21">
        <v>7303.43</v>
      </c>
      <c r="T117" s="20">
        <v>12726.49</v>
      </c>
      <c r="U117" s="21">
        <v>9785.29</v>
      </c>
      <c r="V117" s="21">
        <v>3297.76</v>
      </c>
      <c r="W117" s="21">
        <v>2694.08</v>
      </c>
    </row>
    <row r="118" ht="15.0" customHeight="1">
      <c r="A118" s="14" t="s">
        <v>319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>
        <v>0.0</v>
      </c>
      <c r="M118" s="16">
        <v>366.8</v>
      </c>
      <c r="N118" s="17">
        <v>58.51</v>
      </c>
      <c r="O118" s="17">
        <v>18.4</v>
      </c>
      <c r="P118" s="17">
        <v>34.21</v>
      </c>
      <c r="Q118" s="17">
        <v>71.45</v>
      </c>
      <c r="R118" s="17">
        <v>82.9</v>
      </c>
      <c r="S118" s="16">
        <v>109.7</v>
      </c>
      <c r="T118" s="15">
        <v>0.0</v>
      </c>
      <c r="U118" s="15"/>
      <c r="V118" s="15"/>
      <c r="W118" s="15"/>
    </row>
    <row r="119" ht="15.0" customHeight="1">
      <c r="A119" s="14" t="s">
        <v>320</v>
      </c>
      <c r="B119" s="15"/>
      <c r="C119" s="15"/>
      <c r="D119" s="15"/>
      <c r="E119" s="18">
        <v>-0.01</v>
      </c>
      <c r="F119" s="15"/>
      <c r="G119" s="18">
        <v>-0.01</v>
      </c>
      <c r="H119" s="15"/>
      <c r="I119" s="15"/>
      <c r="J119" s="15"/>
      <c r="K119" s="15"/>
      <c r="L119" s="15"/>
      <c r="M119" s="15"/>
      <c r="N119" s="15"/>
      <c r="O119" s="15"/>
      <c r="P119" s="15"/>
      <c r="Q119" s="23">
        <v>-424.53</v>
      </c>
      <c r="R119" s="23">
        <v>-8477.61</v>
      </c>
      <c r="S119" s="15"/>
      <c r="T119" s="23">
        <v>-7231.27</v>
      </c>
      <c r="U119" s="23">
        <v>-5659.3</v>
      </c>
      <c r="V119" s="15"/>
      <c r="W119" s="15"/>
    </row>
    <row r="120" ht="15.0" customHeight="1">
      <c r="A120" s="19" t="s">
        <v>321</v>
      </c>
      <c r="B120" s="20">
        <v>11806.92</v>
      </c>
      <c r="C120" s="20">
        <v>11588.02</v>
      </c>
      <c r="D120" s="20">
        <v>11061.84</v>
      </c>
      <c r="E120" s="20">
        <v>10954.43</v>
      </c>
      <c r="F120" s="21">
        <v>9625.65</v>
      </c>
      <c r="G120" s="21">
        <v>9842.74</v>
      </c>
      <c r="H120" s="21">
        <v>9138.9</v>
      </c>
      <c r="I120" s="21">
        <v>8912.76</v>
      </c>
      <c r="J120" s="21">
        <v>8957.1</v>
      </c>
      <c r="K120" s="21">
        <v>8257.82</v>
      </c>
      <c r="L120" s="21">
        <v>8211.54</v>
      </c>
      <c r="M120" s="21">
        <v>8347.65</v>
      </c>
      <c r="N120" s="21">
        <v>8155.12</v>
      </c>
      <c r="O120" s="21">
        <v>7645.37</v>
      </c>
      <c r="P120" s="21">
        <v>8259.09</v>
      </c>
      <c r="Q120" s="21">
        <v>8657.08</v>
      </c>
      <c r="R120" s="21">
        <v>9134.29</v>
      </c>
      <c r="S120" s="20">
        <v>11013.88</v>
      </c>
      <c r="T120" s="21">
        <v>7934.51</v>
      </c>
      <c r="U120" s="21">
        <v>6017.47</v>
      </c>
      <c r="V120" s="21">
        <v>5110.88</v>
      </c>
      <c r="W120" s="21">
        <v>4272.31</v>
      </c>
    </row>
    <row r="121" ht="15.0" customHeight="1">
      <c r="A121" s="14" t="s">
        <v>322</v>
      </c>
      <c r="B121" s="17">
        <v>59.07</v>
      </c>
      <c r="C121" s="17">
        <v>56.39</v>
      </c>
      <c r="D121" s="17">
        <v>30.78</v>
      </c>
      <c r="E121" s="17">
        <v>28.16</v>
      </c>
      <c r="F121" s="17">
        <v>29.49</v>
      </c>
      <c r="G121" s="16">
        <v>472.79</v>
      </c>
      <c r="H121" s="16">
        <v>529.96</v>
      </c>
      <c r="I121" s="16">
        <v>737.66</v>
      </c>
      <c r="J121" s="16">
        <v>904.28</v>
      </c>
      <c r="K121" s="16">
        <v>363.05</v>
      </c>
      <c r="L121" s="16">
        <v>422.44</v>
      </c>
      <c r="M121" s="16">
        <v>465.86</v>
      </c>
      <c r="N121" s="16">
        <v>991.35</v>
      </c>
      <c r="O121" s="16">
        <v>779.06</v>
      </c>
      <c r="P121" s="16">
        <v>868.43</v>
      </c>
      <c r="Q121" s="15">
        <f t="shared" ref="Q121:R121" si="3">Q148+Q147+Q145+Q143+Q142</f>
        <v>991.41</v>
      </c>
      <c r="R121" s="15">
        <f t="shared" si="3"/>
        <v>894.79</v>
      </c>
      <c r="S121" s="15">
        <f>S148+S147+S146+S145+S143+S142</f>
        <v>1238.76</v>
      </c>
      <c r="T121" s="15">
        <f t="shared" ref="T121:U121" si="4">T148+T147+T145+T143+T142</f>
        <v>912.96</v>
      </c>
      <c r="U121" s="15">
        <f t="shared" si="4"/>
        <v>627.52</v>
      </c>
      <c r="V121" s="16">
        <v>729.42</v>
      </c>
      <c r="W121" s="16">
        <v>284.92</v>
      </c>
    </row>
    <row r="122" ht="15.0" customHeight="1">
      <c r="A122" s="14" t="s">
        <v>323</v>
      </c>
      <c r="B122" s="15"/>
      <c r="C122" s="15"/>
      <c r="D122" s="15"/>
      <c r="E122" s="17">
        <v>13.32</v>
      </c>
      <c r="F122" s="17">
        <v>1.71</v>
      </c>
      <c r="G122" s="17">
        <v>0.82</v>
      </c>
      <c r="H122" s="17">
        <v>13.79</v>
      </c>
      <c r="I122" s="17">
        <v>50.35</v>
      </c>
      <c r="J122" s="17">
        <v>38.27</v>
      </c>
      <c r="K122" s="17">
        <v>1.32</v>
      </c>
      <c r="L122" s="17">
        <v>24.89</v>
      </c>
      <c r="M122" s="17">
        <v>24.2</v>
      </c>
      <c r="N122" s="16">
        <v>117.09</v>
      </c>
      <c r="O122" s="15"/>
      <c r="P122" s="15"/>
      <c r="Q122" s="15"/>
      <c r="R122" s="15"/>
      <c r="S122" s="15"/>
      <c r="T122" s="15"/>
      <c r="U122" s="15"/>
      <c r="V122" s="15"/>
      <c r="W122" s="15"/>
    </row>
    <row r="123" ht="15.0" customHeight="1">
      <c r="A123" s="14" t="s">
        <v>324</v>
      </c>
      <c r="B123" s="15"/>
      <c r="C123" s="15"/>
      <c r="D123" s="15"/>
      <c r="E123" s="15"/>
      <c r="F123" s="15">
        <v>0.0</v>
      </c>
      <c r="G123" s="16">
        <v>366.67</v>
      </c>
      <c r="H123" s="16">
        <v>393.62</v>
      </c>
      <c r="I123" s="16">
        <v>644.0</v>
      </c>
      <c r="J123" s="16">
        <v>305.2</v>
      </c>
      <c r="K123" s="16">
        <v>299.64</v>
      </c>
      <c r="L123" s="16">
        <v>326.4</v>
      </c>
      <c r="M123" s="16">
        <v>316.36</v>
      </c>
      <c r="N123" s="16">
        <v>451.09</v>
      </c>
      <c r="O123" s="15"/>
      <c r="P123" s="15"/>
      <c r="Q123" s="15"/>
      <c r="R123" s="15"/>
      <c r="S123" s="15"/>
      <c r="T123" s="15"/>
      <c r="U123" s="15"/>
      <c r="V123" s="15"/>
      <c r="W123" s="15"/>
    </row>
    <row r="124" ht="15.0" customHeight="1">
      <c r="A124" s="14" t="s">
        <v>325</v>
      </c>
      <c r="B124" s="15"/>
      <c r="C124" s="15"/>
      <c r="D124" s="15"/>
      <c r="E124" s="15"/>
      <c r="F124" s="17">
        <v>20.02</v>
      </c>
      <c r="G124" s="17">
        <v>20.95</v>
      </c>
      <c r="H124" s="17">
        <v>19.68</v>
      </c>
      <c r="I124" s="17">
        <v>35.17</v>
      </c>
      <c r="J124" s="17">
        <v>52.18</v>
      </c>
      <c r="K124" s="17">
        <v>48.12</v>
      </c>
      <c r="L124" s="17">
        <v>50.88</v>
      </c>
      <c r="M124" s="17">
        <v>73.73</v>
      </c>
      <c r="N124" s="17">
        <v>68.01</v>
      </c>
      <c r="O124" s="15"/>
      <c r="P124" s="15"/>
      <c r="Q124" s="15"/>
      <c r="R124" s="15"/>
      <c r="S124" s="15"/>
      <c r="T124" s="15"/>
      <c r="U124" s="15"/>
      <c r="V124" s="15"/>
      <c r="W124" s="15"/>
    </row>
    <row r="125" ht="15.0" customHeight="1">
      <c r="A125" s="14" t="s">
        <v>326</v>
      </c>
      <c r="B125" s="15"/>
      <c r="C125" s="15"/>
      <c r="D125" s="15"/>
      <c r="E125" s="17">
        <v>14.85</v>
      </c>
      <c r="F125" s="17">
        <v>7.75</v>
      </c>
      <c r="G125" s="17">
        <v>84.35</v>
      </c>
      <c r="H125" s="16">
        <v>102.86</v>
      </c>
      <c r="I125" s="17">
        <v>4.27</v>
      </c>
      <c r="J125" s="17">
        <v>13.87</v>
      </c>
      <c r="K125" s="17">
        <v>11.47</v>
      </c>
      <c r="L125" s="17">
        <v>16.1</v>
      </c>
      <c r="M125" s="17">
        <v>48.07</v>
      </c>
      <c r="N125" s="17">
        <v>19.09</v>
      </c>
      <c r="O125" s="15"/>
      <c r="P125" s="15"/>
      <c r="Q125" s="15"/>
      <c r="R125" s="15"/>
      <c r="S125" s="15"/>
      <c r="T125" s="15"/>
      <c r="U125" s="15"/>
      <c r="V125" s="15"/>
      <c r="W125" s="15"/>
    </row>
    <row r="126" ht="15.0" customHeight="1">
      <c r="A126" s="14" t="s">
        <v>327</v>
      </c>
      <c r="B126" s="15"/>
      <c r="C126" s="15"/>
      <c r="D126" s="15"/>
      <c r="E126" s="15"/>
      <c r="F126" s="17">
        <v>0.01</v>
      </c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</row>
    <row r="127" ht="15.0" customHeight="1">
      <c r="A127" s="14" t="s">
        <v>328</v>
      </c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6">
        <v>771.72</v>
      </c>
      <c r="P127" s="16">
        <v>858.18</v>
      </c>
      <c r="Q127" s="15"/>
      <c r="R127" s="15"/>
      <c r="S127" s="15"/>
      <c r="T127" s="15"/>
      <c r="U127" s="15"/>
      <c r="V127" s="15"/>
      <c r="W127" s="15"/>
    </row>
    <row r="128" ht="15.0" customHeight="1">
      <c r="A128" s="27" t="s">
        <v>329</v>
      </c>
      <c r="B128" s="17">
        <v>59.07</v>
      </c>
      <c r="C128" s="17">
        <v>56.39</v>
      </c>
      <c r="D128" s="17">
        <v>30.78</v>
      </c>
      <c r="E128" s="15"/>
      <c r="F128" s="15"/>
      <c r="G128" s="15"/>
      <c r="H128" s="15"/>
      <c r="I128" s="15">
        <v>0.0</v>
      </c>
      <c r="J128" s="16">
        <v>492.26</v>
      </c>
      <c r="K128" s="15"/>
      <c r="L128" s="15"/>
      <c r="M128" s="15"/>
      <c r="N128" s="16">
        <v>333.52</v>
      </c>
      <c r="O128" s="15"/>
      <c r="P128" s="15"/>
      <c r="Q128" s="15"/>
      <c r="R128" s="15"/>
      <c r="S128" s="15"/>
      <c r="T128" s="15"/>
      <c r="U128" s="15"/>
      <c r="V128" s="15"/>
      <c r="W128" s="15"/>
    </row>
    <row r="129" ht="15.0" customHeight="1">
      <c r="A129" s="14" t="s">
        <v>330</v>
      </c>
      <c r="B129" s="16">
        <v>106.33</v>
      </c>
      <c r="C129" s="16">
        <v>107.14</v>
      </c>
      <c r="D129" s="16">
        <v>109.86</v>
      </c>
      <c r="E129" s="16">
        <v>102.26</v>
      </c>
      <c r="F129" s="17">
        <v>95.98</v>
      </c>
      <c r="G129" s="16">
        <v>100.71</v>
      </c>
      <c r="H129" s="17">
        <v>84.75</v>
      </c>
      <c r="I129" s="17">
        <v>3.86</v>
      </c>
      <c r="J129" s="17">
        <v>2.5</v>
      </c>
      <c r="K129" s="17">
        <v>2.5</v>
      </c>
      <c r="L129" s="17">
        <v>4.17</v>
      </c>
      <c r="M129" s="17">
        <v>3.5</v>
      </c>
      <c r="N129" s="17">
        <v>2.53</v>
      </c>
      <c r="O129" s="17">
        <v>7.34</v>
      </c>
      <c r="P129" s="17">
        <v>10.25</v>
      </c>
      <c r="Q129" s="17">
        <v>12.44</v>
      </c>
      <c r="R129" s="17">
        <v>7.81</v>
      </c>
      <c r="S129" s="15"/>
      <c r="T129" s="17">
        <v>21.76</v>
      </c>
      <c r="U129" s="17">
        <v>20.92</v>
      </c>
      <c r="V129" s="15"/>
      <c r="W129" s="15"/>
    </row>
    <row r="130" ht="15.0" customHeight="1">
      <c r="A130" s="14" t="s">
        <v>331</v>
      </c>
      <c r="B130" s="15"/>
      <c r="C130" s="15"/>
      <c r="D130" s="15"/>
      <c r="E130" s="15"/>
      <c r="F130" s="15"/>
      <c r="G130" s="15"/>
      <c r="H130" s="15"/>
      <c r="I130" s="15"/>
      <c r="J130" s="16">
        <v>1990.0</v>
      </c>
      <c r="K130" s="16">
        <v>1812.06</v>
      </c>
      <c r="L130" s="16">
        <v>1843.94</v>
      </c>
      <c r="M130" s="16">
        <v>1796.98</v>
      </c>
      <c r="N130" s="16">
        <v>1452.83</v>
      </c>
      <c r="O130" s="16">
        <v>1288.12</v>
      </c>
      <c r="P130" s="16">
        <v>1366.06</v>
      </c>
      <c r="Q130" s="16">
        <v>867.03</v>
      </c>
      <c r="R130" s="16">
        <v>801.91</v>
      </c>
      <c r="S130" s="16">
        <v>2025.12</v>
      </c>
      <c r="T130" s="16">
        <v>628.86</v>
      </c>
      <c r="U130" s="16">
        <v>662.04</v>
      </c>
      <c r="V130" s="16">
        <v>1080.7</v>
      </c>
      <c r="W130" s="16">
        <v>962.84</v>
      </c>
    </row>
    <row r="131" ht="15.0" customHeight="1">
      <c r="A131" s="14" t="s">
        <v>332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6">
        <v>279.74</v>
      </c>
      <c r="R131" s="17">
        <v>39.69</v>
      </c>
      <c r="S131" s="15"/>
      <c r="T131" s="17">
        <v>10.93</v>
      </c>
      <c r="U131" s="16">
        <v>134.39</v>
      </c>
      <c r="V131" s="15"/>
      <c r="W131" s="15"/>
    </row>
    <row r="132" ht="15.0" customHeight="1">
      <c r="A132" s="14" t="s">
        <v>331</v>
      </c>
      <c r="B132" s="16">
        <v>2897.98</v>
      </c>
      <c r="C132" s="16">
        <v>2708.85</v>
      </c>
      <c r="D132" s="16">
        <v>2775.28</v>
      </c>
      <c r="E132" s="16">
        <v>2704.18</v>
      </c>
      <c r="F132" s="16">
        <v>2356.37</v>
      </c>
      <c r="G132" s="16">
        <v>2450.53</v>
      </c>
      <c r="H132" s="16">
        <v>2068.32</v>
      </c>
      <c r="I132" s="16">
        <v>1845.21</v>
      </c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</row>
    <row r="133" ht="15.0" customHeight="1">
      <c r="A133" s="14" t="s">
        <v>333</v>
      </c>
      <c r="B133" s="15"/>
      <c r="C133" s="16">
        <v>1314.27</v>
      </c>
      <c r="D133" s="16">
        <v>1433.0</v>
      </c>
      <c r="E133" s="16">
        <v>1520.84</v>
      </c>
      <c r="F133" s="16">
        <v>1296.73</v>
      </c>
      <c r="G133" s="16">
        <v>1259.77</v>
      </c>
      <c r="H133" s="16">
        <v>1094.73</v>
      </c>
      <c r="I133" s="16">
        <v>887.88</v>
      </c>
      <c r="J133" s="16">
        <v>1046.35</v>
      </c>
      <c r="K133" s="16">
        <v>927.16</v>
      </c>
      <c r="L133" s="16">
        <v>904.23</v>
      </c>
      <c r="M133" s="16">
        <v>908.41</v>
      </c>
      <c r="N133" s="16">
        <v>809.05</v>
      </c>
      <c r="O133" s="16">
        <v>691.07</v>
      </c>
      <c r="P133" s="16">
        <v>787.77</v>
      </c>
      <c r="Q133" s="15"/>
      <c r="R133" s="15"/>
      <c r="S133" s="15"/>
      <c r="T133" s="15"/>
      <c r="U133" s="15"/>
      <c r="V133" s="15"/>
      <c r="W133" s="15"/>
    </row>
    <row r="134" ht="15.0" customHeight="1">
      <c r="A134" s="14" t="s">
        <v>334</v>
      </c>
      <c r="B134" s="15"/>
      <c r="C134" s="17">
        <v>37.36</v>
      </c>
      <c r="D134" s="17">
        <v>20.13</v>
      </c>
      <c r="E134" s="17">
        <v>26.51</v>
      </c>
      <c r="F134" s="17">
        <v>20.64</v>
      </c>
      <c r="G134" s="17">
        <v>20.33</v>
      </c>
      <c r="H134" s="17">
        <v>18.29</v>
      </c>
      <c r="I134" s="17">
        <v>15.47</v>
      </c>
      <c r="J134" s="17">
        <v>23.51</v>
      </c>
      <c r="K134" s="17">
        <v>16.99</v>
      </c>
      <c r="L134" s="17">
        <v>14.27</v>
      </c>
      <c r="M134" s="17">
        <v>19.56</v>
      </c>
      <c r="N134" s="17">
        <v>24.86</v>
      </c>
      <c r="O134" s="17">
        <v>7.89</v>
      </c>
      <c r="P134" s="17">
        <v>9.08</v>
      </c>
      <c r="Q134" s="17">
        <v>8.54</v>
      </c>
      <c r="R134" s="17">
        <v>9.41</v>
      </c>
      <c r="S134" s="15"/>
      <c r="T134" s="17">
        <v>4.04</v>
      </c>
      <c r="U134" s="17">
        <v>6.97</v>
      </c>
      <c r="V134" s="15"/>
      <c r="W134" s="15"/>
    </row>
    <row r="135" ht="15.0" customHeight="1">
      <c r="A135" s="14" t="s">
        <v>335</v>
      </c>
      <c r="B135" s="15"/>
      <c r="C135" s="16">
        <v>591.03</v>
      </c>
      <c r="D135" s="16">
        <v>594.62</v>
      </c>
      <c r="E135" s="16">
        <v>557.23</v>
      </c>
      <c r="F135" s="16">
        <v>485.75</v>
      </c>
      <c r="G135" s="16">
        <v>567.87</v>
      </c>
      <c r="H135" s="16">
        <v>461.71</v>
      </c>
      <c r="I135" s="16">
        <v>437.67</v>
      </c>
      <c r="J135" s="16">
        <v>451.31</v>
      </c>
      <c r="K135" s="16">
        <v>413.19</v>
      </c>
      <c r="L135" s="16">
        <v>426.77</v>
      </c>
      <c r="M135" s="16">
        <v>396.08</v>
      </c>
      <c r="N135" s="16">
        <v>219.37</v>
      </c>
      <c r="O135" s="16">
        <v>221.66</v>
      </c>
      <c r="P135" s="16">
        <v>205.26</v>
      </c>
      <c r="Q135" s="16">
        <v>221.54</v>
      </c>
      <c r="R135" s="16">
        <v>298.36</v>
      </c>
      <c r="S135" s="15"/>
      <c r="T135" s="16">
        <v>197.25</v>
      </c>
      <c r="U135" s="16">
        <v>134.66</v>
      </c>
      <c r="V135" s="15"/>
      <c r="W135" s="15"/>
    </row>
    <row r="136" ht="15.0" customHeight="1">
      <c r="A136" s="14" t="s">
        <v>336</v>
      </c>
      <c r="B136" s="15"/>
      <c r="C136" s="17">
        <v>30.77</v>
      </c>
      <c r="D136" s="17">
        <v>8.6</v>
      </c>
      <c r="E136" s="17">
        <v>1.06</v>
      </c>
      <c r="F136" s="17">
        <v>1.04</v>
      </c>
      <c r="G136" s="17">
        <v>9.9</v>
      </c>
      <c r="H136" s="17">
        <v>1.79</v>
      </c>
      <c r="I136" s="17">
        <v>0.24</v>
      </c>
      <c r="J136" s="17">
        <v>2.45</v>
      </c>
      <c r="K136" s="17">
        <v>1.76</v>
      </c>
      <c r="L136" s="17">
        <v>5.35</v>
      </c>
      <c r="M136" s="17">
        <v>3.71</v>
      </c>
      <c r="N136" s="17">
        <v>2.92</v>
      </c>
      <c r="O136" s="17">
        <v>2.33</v>
      </c>
      <c r="P136" s="17">
        <v>13.64</v>
      </c>
      <c r="Q136" s="17">
        <v>1.69</v>
      </c>
      <c r="R136" s="17">
        <v>14.5</v>
      </c>
      <c r="S136" s="15"/>
      <c r="T136" s="15"/>
      <c r="U136" s="15"/>
      <c r="V136" s="15"/>
      <c r="W136" s="15"/>
    </row>
    <row r="137" ht="15.0" customHeight="1">
      <c r="A137" s="14" t="s">
        <v>337</v>
      </c>
      <c r="B137" s="15"/>
      <c r="C137" s="17">
        <v>1.38</v>
      </c>
      <c r="D137" s="17">
        <v>8.36</v>
      </c>
      <c r="E137" s="17">
        <v>3.15</v>
      </c>
      <c r="F137" s="17">
        <v>2.1</v>
      </c>
      <c r="G137" s="17">
        <v>38.13</v>
      </c>
      <c r="H137" s="17">
        <v>17.55</v>
      </c>
      <c r="I137" s="17">
        <v>14.82</v>
      </c>
      <c r="J137" s="17">
        <v>1.59</v>
      </c>
      <c r="K137" s="17">
        <v>25.69</v>
      </c>
      <c r="L137" s="17">
        <v>26.72</v>
      </c>
      <c r="M137" s="17">
        <v>16.95</v>
      </c>
      <c r="N137" s="17">
        <v>8.92</v>
      </c>
      <c r="O137" s="17">
        <v>20.32</v>
      </c>
      <c r="P137" s="17">
        <v>21.66</v>
      </c>
      <c r="Q137" s="17">
        <v>15.25</v>
      </c>
      <c r="R137" s="17">
        <v>30.36</v>
      </c>
      <c r="S137" s="15"/>
      <c r="T137" s="17">
        <v>0.8</v>
      </c>
      <c r="U137" s="15">
        <v>0.0</v>
      </c>
      <c r="V137" s="15"/>
      <c r="W137" s="15"/>
    </row>
    <row r="138" ht="15.0" customHeight="1">
      <c r="A138" s="14" t="s">
        <v>338</v>
      </c>
      <c r="B138" s="15"/>
      <c r="C138" s="16">
        <v>734.03</v>
      </c>
      <c r="D138" s="16">
        <v>710.56</v>
      </c>
      <c r="E138" s="16">
        <v>595.38</v>
      </c>
      <c r="F138" s="16">
        <v>550.11</v>
      </c>
      <c r="G138" s="16">
        <v>554.51</v>
      </c>
      <c r="H138" s="16">
        <v>474.25</v>
      </c>
      <c r="I138" s="16">
        <v>489.13</v>
      </c>
      <c r="J138" s="16">
        <v>464.78</v>
      </c>
      <c r="K138" s="16">
        <v>427.27</v>
      </c>
      <c r="L138" s="16">
        <v>466.62</v>
      </c>
      <c r="M138" s="16">
        <v>452.26</v>
      </c>
      <c r="N138" s="16">
        <v>387.7</v>
      </c>
      <c r="O138" s="16">
        <v>344.85</v>
      </c>
      <c r="P138" s="16">
        <v>328.65</v>
      </c>
      <c r="Q138" s="16">
        <v>340.27</v>
      </c>
      <c r="R138" s="16">
        <v>409.58</v>
      </c>
      <c r="S138" s="15"/>
      <c r="T138" s="16">
        <v>415.84</v>
      </c>
      <c r="U138" s="16">
        <v>386.0</v>
      </c>
      <c r="V138" s="15"/>
      <c r="W138" s="15"/>
    </row>
    <row r="139" ht="15.0" customHeight="1">
      <c r="A139" s="14" t="s">
        <v>332</v>
      </c>
      <c r="B139" s="15"/>
      <c r="C139" s="15"/>
      <c r="D139" s="15"/>
      <c r="E139" s="17">
        <v>0.01</v>
      </c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</row>
    <row r="140" ht="15.0" customHeight="1">
      <c r="A140" s="14" t="s">
        <v>339</v>
      </c>
      <c r="B140" s="15"/>
      <c r="C140" s="17">
        <v>15.97</v>
      </c>
      <c r="D140" s="17">
        <v>5.83</v>
      </c>
      <c r="E140" s="17">
        <v>33.69</v>
      </c>
      <c r="F140" s="17">
        <v>14.47</v>
      </c>
      <c r="G140" s="17">
        <v>0.83</v>
      </c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</row>
    <row r="141" ht="15.0" customHeight="1">
      <c r="A141" s="14" t="s">
        <v>339</v>
      </c>
      <c r="B141" s="15"/>
      <c r="C141" s="15"/>
      <c r="D141" s="15"/>
      <c r="E141" s="15"/>
      <c r="F141" s="15"/>
      <c r="G141" s="15"/>
      <c r="H141" s="17">
        <v>6.69</v>
      </c>
      <c r="I141" s="17">
        <v>15.26</v>
      </c>
      <c r="J141" s="17">
        <v>10.84</v>
      </c>
      <c r="K141" s="17">
        <v>24.74</v>
      </c>
      <c r="L141" s="17">
        <v>2.3</v>
      </c>
      <c r="M141" s="17">
        <v>0.05</v>
      </c>
      <c r="N141" s="17">
        <v>0.09</v>
      </c>
      <c r="O141" s="17">
        <v>8.34</v>
      </c>
      <c r="P141" s="17">
        <v>3.7</v>
      </c>
      <c r="Q141" s="17">
        <v>5.46</v>
      </c>
      <c r="R141" s="17">
        <v>76.42</v>
      </c>
      <c r="S141" s="15"/>
      <c r="T141" s="17">
        <v>20.4</v>
      </c>
      <c r="U141" s="17">
        <v>25.23</v>
      </c>
      <c r="V141" s="15"/>
      <c r="W141" s="15"/>
    </row>
    <row r="142" ht="15.0" customHeight="1">
      <c r="A142" s="14" t="s">
        <v>340</v>
      </c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6">
        <v>169.74</v>
      </c>
      <c r="R142" s="16">
        <v>217.39</v>
      </c>
      <c r="S142" s="15"/>
      <c r="T142" s="16">
        <v>611.82</v>
      </c>
      <c r="U142" s="16">
        <v>308.77</v>
      </c>
      <c r="V142" s="15"/>
      <c r="W142" s="15"/>
    </row>
    <row r="143" ht="15.0" customHeight="1">
      <c r="A143" s="14" t="s">
        <v>341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7">
        <v>47.95</v>
      </c>
      <c r="R143" s="17">
        <v>36.55</v>
      </c>
      <c r="S143" s="15"/>
      <c r="T143" s="17">
        <v>0.17</v>
      </c>
      <c r="U143" s="17">
        <v>0.19</v>
      </c>
      <c r="V143" s="15"/>
      <c r="W143" s="15"/>
    </row>
    <row r="144" ht="15.0" customHeight="1">
      <c r="A144" s="14" t="s">
        <v>342</v>
      </c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7">
        <v>79.29</v>
      </c>
      <c r="U144" s="15">
        <v>0.0</v>
      </c>
      <c r="V144" s="15"/>
      <c r="W144" s="15"/>
    </row>
    <row r="145" ht="15.0" customHeight="1">
      <c r="A145" s="14" t="s">
        <v>343</v>
      </c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7">
        <v>13.56</v>
      </c>
      <c r="R145" s="17">
        <v>15.87</v>
      </c>
      <c r="S145" s="15"/>
      <c r="T145" s="17">
        <v>0.8</v>
      </c>
      <c r="U145" s="15"/>
      <c r="V145" s="15"/>
      <c r="W145" s="15"/>
    </row>
    <row r="146" ht="15.0" customHeight="1">
      <c r="A146" s="14" t="s">
        <v>344</v>
      </c>
      <c r="B146" s="15"/>
      <c r="C146" s="15"/>
      <c r="D146" s="15"/>
      <c r="E146" s="18">
        <v>-0.01</v>
      </c>
      <c r="F146" s="18">
        <v>-0.01</v>
      </c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6">
        <v>585.6</v>
      </c>
      <c r="R146" s="16">
        <v>747.72</v>
      </c>
      <c r="S146" s="16">
        <v>1238.76</v>
      </c>
      <c r="T146" s="16">
        <v>617.94</v>
      </c>
      <c r="U146" s="16">
        <v>527.64</v>
      </c>
      <c r="V146" s="16">
        <v>729.42</v>
      </c>
      <c r="W146" s="16">
        <v>284.92</v>
      </c>
    </row>
    <row r="147" ht="15.0" customHeight="1">
      <c r="A147" s="14" t="s">
        <v>345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6">
        <v>720.38</v>
      </c>
      <c r="R147" s="16">
        <v>609.6</v>
      </c>
      <c r="S147" s="15"/>
      <c r="T147" s="16">
        <v>237.86</v>
      </c>
      <c r="U147" s="15"/>
      <c r="V147" s="15"/>
      <c r="W147" s="15"/>
    </row>
    <row r="148" ht="15.0" customHeight="1">
      <c r="A148" s="14" t="s">
        <v>346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7">
        <v>39.78</v>
      </c>
      <c r="R148" s="17">
        <v>15.38</v>
      </c>
      <c r="S148" s="15"/>
      <c r="T148" s="17">
        <v>62.31</v>
      </c>
      <c r="U148" s="16">
        <v>318.56</v>
      </c>
      <c r="V148" s="15"/>
      <c r="W148" s="15"/>
    </row>
    <row r="149" ht="15.0" customHeight="1">
      <c r="A149" s="19" t="s">
        <v>347</v>
      </c>
      <c r="B149" s="21">
        <v>3063.37</v>
      </c>
      <c r="C149" s="21">
        <v>2888.34</v>
      </c>
      <c r="D149" s="21">
        <v>2921.74</v>
      </c>
      <c r="E149" s="21">
        <v>2868.28</v>
      </c>
      <c r="F149" s="21">
        <v>2496.3</v>
      </c>
      <c r="G149" s="21">
        <v>3024.85</v>
      </c>
      <c r="H149" s="21">
        <v>2689.71</v>
      </c>
      <c r="I149" s="21">
        <v>2598.12</v>
      </c>
      <c r="J149" s="21">
        <v>2905.11</v>
      </c>
      <c r="K149" s="21">
        <v>2199.86</v>
      </c>
      <c r="L149" s="21">
        <v>2268.69</v>
      </c>
      <c r="M149" s="21">
        <v>2262.89</v>
      </c>
      <c r="N149" s="21">
        <v>2444.27</v>
      </c>
      <c r="O149" s="21">
        <v>2075.53</v>
      </c>
      <c r="P149" s="21">
        <v>2238.19</v>
      </c>
      <c r="Q149" s="21">
        <v>2448.38</v>
      </c>
      <c r="R149" s="21">
        <v>2512.78</v>
      </c>
      <c r="S149" s="21">
        <v>3263.88</v>
      </c>
      <c r="T149" s="21">
        <v>2280.39</v>
      </c>
      <c r="U149" s="21">
        <v>1863.33</v>
      </c>
      <c r="V149" s="21">
        <v>1810.12</v>
      </c>
      <c r="W149" s="21">
        <v>1247.76</v>
      </c>
    </row>
    <row r="150" ht="15.0" customHeight="1">
      <c r="A150" s="14" t="s">
        <v>348</v>
      </c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7">
        <v>2.94</v>
      </c>
      <c r="W150" s="15"/>
    </row>
    <row r="151" ht="15.0" customHeight="1">
      <c r="A151" s="14" t="s">
        <v>349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7">
        <v>5.97</v>
      </c>
      <c r="R151" s="17">
        <v>7.67</v>
      </c>
      <c r="S151" s="15"/>
      <c r="T151" s="15"/>
      <c r="U151" s="15"/>
      <c r="V151" s="15"/>
      <c r="W151" s="15"/>
    </row>
    <row r="152" ht="15.0" customHeight="1">
      <c r="A152" s="14" t="s">
        <v>350</v>
      </c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7">
        <v>6.32</v>
      </c>
      <c r="R152" s="15"/>
      <c r="S152" s="15"/>
      <c r="T152" s="15"/>
      <c r="U152" s="15"/>
      <c r="V152" s="15"/>
      <c r="W152" s="15"/>
    </row>
    <row r="153" ht="15.0" customHeight="1">
      <c r="A153" s="14" t="s">
        <v>351</v>
      </c>
      <c r="B153" s="15"/>
      <c r="C153" s="15"/>
      <c r="D153" s="15"/>
      <c r="E153" s="15"/>
      <c r="F153" s="15"/>
      <c r="G153" s="15"/>
      <c r="H153" s="16">
        <v>1386.22</v>
      </c>
      <c r="I153" s="16">
        <v>1513.44</v>
      </c>
      <c r="J153" s="16">
        <v>1205.28</v>
      </c>
      <c r="K153" s="16">
        <v>1615.02</v>
      </c>
      <c r="L153" s="16">
        <v>1494.01</v>
      </c>
      <c r="M153" s="16">
        <v>1830.9</v>
      </c>
      <c r="N153" s="16">
        <v>1799.69</v>
      </c>
      <c r="O153" s="16">
        <v>1940.19</v>
      </c>
      <c r="P153" s="16">
        <v>2298.79</v>
      </c>
      <c r="Q153" s="15"/>
      <c r="R153" s="15"/>
      <c r="S153" s="15"/>
      <c r="T153" s="15"/>
      <c r="U153" s="15"/>
      <c r="V153" s="15"/>
      <c r="W153" s="15"/>
    </row>
    <row r="154" ht="15.0" customHeight="1">
      <c r="A154" s="14" t="s">
        <v>340</v>
      </c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6">
        <v>1319.64</v>
      </c>
      <c r="P154" s="16">
        <v>1273.26</v>
      </c>
      <c r="Q154" s="16">
        <v>1234.45</v>
      </c>
      <c r="R154" s="16">
        <v>1513.84</v>
      </c>
      <c r="S154" s="15"/>
      <c r="T154" s="16">
        <v>651.42</v>
      </c>
      <c r="U154" s="16">
        <v>636.87</v>
      </c>
      <c r="V154" s="15"/>
      <c r="W154" s="15"/>
    </row>
    <row r="155" ht="15.0" customHeight="1">
      <c r="A155" s="14" t="s">
        <v>335</v>
      </c>
      <c r="B155" s="15"/>
      <c r="C155" s="15"/>
      <c r="D155" s="15"/>
      <c r="E155" s="15"/>
      <c r="F155" s="15"/>
      <c r="G155" s="15"/>
      <c r="H155" s="15">
        <v>0.0</v>
      </c>
      <c r="I155" s="17">
        <v>96.1</v>
      </c>
      <c r="J155" s="17">
        <v>9.85</v>
      </c>
      <c r="K155" s="17">
        <v>0.02</v>
      </c>
      <c r="L155" s="15"/>
      <c r="M155" s="17">
        <v>0.08</v>
      </c>
      <c r="N155" s="17">
        <v>8.42</v>
      </c>
      <c r="O155" s="15"/>
      <c r="P155" s="15"/>
      <c r="Q155" s="15"/>
      <c r="R155" s="15"/>
      <c r="S155" s="15"/>
      <c r="T155" s="15"/>
      <c r="U155" s="15"/>
      <c r="V155" s="15"/>
      <c r="W155" s="15"/>
    </row>
    <row r="156" ht="15.0" customHeight="1">
      <c r="A156" s="14" t="s">
        <v>346</v>
      </c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7">
        <v>14.76</v>
      </c>
      <c r="P156" s="17">
        <v>15.58</v>
      </c>
      <c r="Q156" s="17">
        <v>15.86</v>
      </c>
      <c r="R156" s="17">
        <v>24.88</v>
      </c>
      <c r="S156" s="15"/>
      <c r="T156" s="17">
        <v>55.14</v>
      </c>
      <c r="U156" s="17">
        <v>75.38</v>
      </c>
      <c r="V156" s="15"/>
      <c r="W156" s="15"/>
    </row>
    <row r="157" ht="15.0" customHeight="1">
      <c r="A157" s="27" t="s">
        <v>352</v>
      </c>
      <c r="B157" s="16">
        <v>2669.97</v>
      </c>
      <c r="C157" s="16">
        <v>2983.58</v>
      </c>
      <c r="D157" s="16">
        <v>2868.08</v>
      </c>
      <c r="E157" s="16">
        <v>2437.04</v>
      </c>
      <c r="F157" s="16">
        <v>1762.81</v>
      </c>
      <c r="G157" s="16">
        <v>1454.49</v>
      </c>
      <c r="H157" s="15"/>
      <c r="I157" s="15"/>
      <c r="J157" s="15">
        <v>0.0</v>
      </c>
      <c r="K157" s="16">
        <v>454.01</v>
      </c>
      <c r="L157" s="16">
        <v>480.0</v>
      </c>
      <c r="M157" s="16">
        <v>451.94</v>
      </c>
      <c r="N157" s="16">
        <v>416.9</v>
      </c>
      <c r="O157" s="16">
        <v>293.59</v>
      </c>
      <c r="P157" s="16">
        <v>618.94</v>
      </c>
      <c r="Q157" s="16">
        <v>623.03</v>
      </c>
      <c r="R157" s="16">
        <v>663.51</v>
      </c>
      <c r="S157" s="15"/>
      <c r="T157" s="16">
        <v>713.58</v>
      </c>
      <c r="U157" s="16">
        <v>493.49</v>
      </c>
      <c r="V157" s="15"/>
      <c r="W157" s="15"/>
    </row>
    <row r="158" ht="15.0" customHeight="1">
      <c r="A158" s="14" t="s">
        <v>323</v>
      </c>
      <c r="B158" s="15"/>
      <c r="C158" s="16">
        <v>2983.58</v>
      </c>
      <c r="D158" s="16">
        <v>2868.08</v>
      </c>
      <c r="E158" s="16">
        <v>2437.04</v>
      </c>
      <c r="F158" s="16">
        <v>1762.81</v>
      </c>
      <c r="G158" s="16">
        <v>1433.54</v>
      </c>
      <c r="H158" s="16">
        <v>1346.86</v>
      </c>
      <c r="I158" s="16">
        <v>1351.33</v>
      </c>
      <c r="J158" s="16">
        <v>1097.24</v>
      </c>
      <c r="K158" s="16">
        <v>1021.96</v>
      </c>
      <c r="L158" s="16">
        <v>814.13</v>
      </c>
      <c r="M158" s="16">
        <v>1145.06</v>
      </c>
      <c r="N158" s="16">
        <v>1090.01</v>
      </c>
      <c r="O158" s="15"/>
      <c r="P158" s="15"/>
      <c r="Q158" s="15"/>
      <c r="R158" s="15"/>
      <c r="S158" s="15"/>
      <c r="T158" s="15"/>
      <c r="U158" s="15"/>
      <c r="V158" s="15"/>
      <c r="W158" s="15"/>
    </row>
    <row r="159" ht="15.0" customHeight="1">
      <c r="A159" s="14" t="s">
        <v>325</v>
      </c>
      <c r="B159" s="15"/>
      <c r="C159" s="15"/>
      <c r="D159" s="15"/>
      <c r="E159" s="15"/>
      <c r="F159" s="15">
        <v>0.0</v>
      </c>
      <c r="G159" s="17">
        <v>20.95</v>
      </c>
      <c r="H159" s="17">
        <v>39.36</v>
      </c>
      <c r="I159" s="17">
        <v>59.45</v>
      </c>
      <c r="J159" s="17">
        <v>94.02</v>
      </c>
      <c r="K159" s="16">
        <v>134.84</v>
      </c>
      <c r="L159" s="16">
        <v>193.44</v>
      </c>
      <c r="M159" s="16">
        <v>230.04</v>
      </c>
      <c r="N159" s="16">
        <v>280.22</v>
      </c>
      <c r="O159" s="16">
        <v>306.54</v>
      </c>
      <c r="P159" s="16">
        <v>379.26</v>
      </c>
      <c r="Q159" s="16">
        <v>466.72</v>
      </c>
      <c r="R159" s="16">
        <v>427.05</v>
      </c>
      <c r="S159" s="15"/>
      <c r="T159" s="17">
        <v>36.33</v>
      </c>
      <c r="U159" s="17">
        <v>76.32</v>
      </c>
      <c r="V159" s="15"/>
      <c r="W159" s="15"/>
    </row>
    <row r="160" ht="15.0" customHeight="1">
      <c r="A160" s="14" t="s">
        <v>330</v>
      </c>
      <c r="B160" s="16">
        <v>113.41</v>
      </c>
      <c r="C160" s="16">
        <v>167.55</v>
      </c>
      <c r="D160" s="16">
        <v>171.08</v>
      </c>
      <c r="E160" s="16">
        <v>218.02</v>
      </c>
      <c r="F160" s="16">
        <v>213.06</v>
      </c>
      <c r="G160" s="16">
        <v>257.22</v>
      </c>
      <c r="H160" s="16">
        <v>245.98</v>
      </c>
      <c r="I160" s="17">
        <v>6.56</v>
      </c>
      <c r="J160" s="17">
        <v>4.17</v>
      </c>
      <c r="K160" s="17">
        <v>4.2</v>
      </c>
      <c r="L160" s="17">
        <v>6.44</v>
      </c>
      <c r="M160" s="17">
        <v>3.78</v>
      </c>
      <c r="N160" s="17">
        <v>4.13</v>
      </c>
      <c r="O160" s="17">
        <v>5.65</v>
      </c>
      <c r="P160" s="17">
        <v>11.75</v>
      </c>
      <c r="Q160" s="17">
        <v>17.93</v>
      </c>
      <c r="R160" s="17">
        <v>15.48</v>
      </c>
      <c r="S160" s="15"/>
      <c r="T160" s="17">
        <v>82.34</v>
      </c>
      <c r="U160" s="17">
        <v>77.95</v>
      </c>
      <c r="V160" s="15"/>
      <c r="W160" s="15"/>
    </row>
    <row r="161" ht="15.0" customHeight="1">
      <c r="A161" s="14" t="s">
        <v>353</v>
      </c>
      <c r="B161" s="16">
        <v>391.04</v>
      </c>
      <c r="C161" s="16">
        <v>399.83</v>
      </c>
      <c r="D161" s="16">
        <v>365.76</v>
      </c>
      <c r="E161" s="16">
        <v>398.08</v>
      </c>
      <c r="F161" s="16">
        <v>374.72</v>
      </c>
      <c r="G161" s="16">
        <v>411.19</v>
      </c>
      <c r="H161" s="16">
        <v>400.26</v>
      </c>
      <c r="I161" s="16">
        <v>423.41</v>
      </c>
      <c r="J161" s="16">
        <v>465.0</v>
      </c>
      <c r="K161" s="16">
        <v>446.44</v>
      </c>
      <c r="L161" s="16">
        <v>434.93</v>
      </c>
      <c r="M161" s="16">
        <v>395.9</v>
      </c>
      <c r="N161" s="16">
        <v>372.69</v>
      </c>
      <c r="O161" s="16">
        <v>347.64</v>
      </c>
      <c r="P161" s="16">
        <v>370.99</v>
      </c>
      <c r="Q161" s="16">
        <v>364.45</v>
      </c>
      <c r="R161" s="16">
        <v>341.59</v>
      </c>
      <c r="S161" s="16">
        <v>411.63</v>
      </c>
      <c r="T161" s="16">
        <v>339.08</v>
      </c>
      <c r="U161" s="16">
        <v>221.3</v>
      </c>
      <c r="V161" s="16">
        <v>179.81</v>
      </c>
      <c r="W161" s="16">
        <v>176.29</v>
      </c>
    </row>
    <row r="162" ht="15.0" customHeight="1">
      <c r="A162" s="14" t="s">
        <v>354</v>
      </c>
      <c r="B162" s="16">
        <v>101.6</v>
      </c>
      <c r="C162" s="17">
        <v>99.72</v>
      </c>
      <c r="D162" s="17">
        <v>69.45</v>
      </c>
      <c r="E162" s="17">
        <v>72.41</v>
      </c>
      <c r="F162" s="17">
        <v>30.46</v>
      </c>
      <c r="G162" s="17">
        <v>18.85</v>
      </c>
      <c r="H162" s="17">
        <v>69.16</v>
      </c>
      <c r="I162" s="17">
        <v>72.92</v>
      </c>
      <c r="J162" s="17">
        <v>79.41</v>
      </c>
      <c r="K162" s="17">
        <v>98.19</v>
      </c>
      <c r="L162" s="17">
        <v>56.39</v>
      </c>
      <c r="M162" s="17">
        <v>51.49</v>
      </c>
      <c r="N162" s="17">
        <v>47.78</v>
      </c>
      <c r="O162" s="17">
        <v>55.58</v>
      </c>
      <c r="P162" s="17">
        <v>32.44</v>
      </c>
      <c r="Q162" s="17">
        <v>0.26</v>
      </c>
      <c r="R162" s="17">
        <v>3.25</v>
      </c>
      <c r="S162" s="17">
        <v>1.94</v>
      </c>
      <c r="T162" s="15"/>
      <c r="U162" s="15"/>
      <c r="V162" s="17">
        <v>2.94</v>
      </c>
      <c r="W162" s="17">
        <v>3.63</v>
      </c>
    </row>
    <row r="163" ht="15.0" customHeight="1">
      <c r="A163" s="14" t="s">
        <v>335</v>
      </c>
      <c r="B163" s="15"/>
      <c r="C163" s="17">
        <v>86.4</v>
      </c>
      <c r="D163" s="17">
        <v>50.99</v>
      </c>
      <c r="E163" s="17">
        <v>68.45</v>
      </c>
      <c r="F163" s="17">
        <v>24.69</v>
      </c>
      <c r="G163" s="17">
        <v>3.08</v>
      </c>
      <c r="H163" s="17">
        <v>58.91</v>
      </c>
      <c r="I163" s="17">
        <v>60.86</v>
      </c>
      <c r="J163" s="17">
        <v>60.47</v>
      </c>
      <c r="K163" s="17">
        <v>62.44</v>
      </c>
      <c r="L163" s="17">
        <v>0.04</v>
      </c>
      <c r="M163" s="17">
        <v>0.03</v>
      </c>
      <c r="N163" s="17">
        <v>0.05</v>
      </c>
      <c r="O163" s="17">
        <v>0.01</v>
      </c>
      <c r="P163" s="17">
        <v>0.02</v>
      </c>
      <c r="Q163" s="17">
        <v>0.26</v>
      </c>
      <c r="R163" s="15"/>
      <c r="S163" s="15"/>
      <c r="T163" s="15"/>
      <c r="U163" s="15"/>
      <c r="V163" s="15"/>
      <c r="W163" s="15"/>
    </row>
    <row r="164" ht="15.0" customHeight="1">
      <c r="A164" s="14" t="s">
        <v>355</v>
      </c>
      <c r="B164" s="15"/>
      <c r="C164" s="17">
        <v>12.64</v>
      </c>
      <c r="D164" s="17">
        <v>17.94</v>
      </c>
      <c r="E164" s="17">
        <v>3.52</v>
      </c>
      <c r="F164" s="17">
        <v>5.13</v>
      </c>
      <c r="G164" s="17">
        <v>14.97</v>
      </c>
      <c r="H164" s="17">
        <v>9.57</v>
      </c>
      <c r="I164" s="17">
        <v>9.78</v>
      </c>
      <c r="J164" s="17">
        <v>14.09</v>
      </c>
      <c r="K164" s="17">
        <v>32.23</v>
      </c>
      <c r="L164" s="17">
        <v>47.18</v>
      </c>
      <c r="M164" s="17">
        <v>48.21</v>
      </c>
      <c r="N164" s="17">
        <v>41.7</v>
      </c>
      <c r="O164" s="17">
        <v>53.65</v>
      </c>
      <c r="P164" s="17">
        <v>32.23</v>
      </c>
      <c r="Q164" s="15"/>
      <c r="R164" s="15"/>
      <c r="S164" s="15"/>
      <c r="T164" s="15"/>
      <c r="U164" s="15"/>
      <c r="V164" s="15"/>
      <c r="W164" s="15"/>
    </row>
    <row r="165" ht="15.0" customHeight="1">
      <c r="A165" s="14" t="s">
        <v>356</v>
      </c>
      <c r="B165" s="15"/>
      <c r="C165" s="15"/>
      <c r="D165" s="15"/>
      <c r="E165" s="15"/>
      <c r="F165" s="15"/>
      <c r="G165" s="15"/>
      <c r="H165" s="15"/>
      <c r="I165" s="15">
        <v>0.0</v>
      </c>
      <c r="J165" s="17">
        <v>0.52</v>
      </c>
      <c r="K165" s="17">
        <v>1.52</v>
      </c>
      <c r="L165" s="17">
        <v>6.58</v>
      </c>
      <c r="M165" s="17">
        <v>3.18</v>
      </c>
      <c r="N165" s="17">
        <v>5.96</v>
      </c>
      <c r="O165" s="17">
        <v>1.85</v>
      </c>
      <c r="P165" s="17">
        <v>0.13</v>
      </c>
      <c r="Q165" s="15"/>
      <c r="R165" s="15"/>
      <c r="S165" s="15"/>
      <c r="T165" s="15"/>
      <c r="U165" s="15"/>
      <c r="V165" s="15"/>
      <c r="W165" s="15"/>
    </row>
    <row r="166" ht="15.0" customHeight="1">
      <c r="A166" s="14" t="s">
        <v>357</v>
      </c>
      <c r="B166" s="15"/>
      <c r="C166" s="17">
        <v>0.67</v>
      </c>
      <c r="D166" s="17">
        <v>0.51</v>
      </c>
      <c r="E166" s="17">
        <v>0.45</v>
      </c>
      <c r="F166" s="17">
        <v>0.65</v>
      </c>
      <c r="G166" s="17">
        <v>0.81</v>
      </c>
      <c r="H166" s="17">
        <v>0.69</v>
      </c>
      <c r="I166" s="17">
        <v>2.28</v>
      </c>
      <c r="J166" s="17">
        <v>4.33</v>
      </c>
      <c r="K166" s="17">
        <v>2.0</v>
      </c>
      <c r="L166" s="17">
        <v>2.59</v>
      </c>
      <c r="M166" s="17">
        <v>0.07</v>
      </c>
      <c r="N166" s="17">
        <v>0.07</v>
      </c>
      <c r="O166" s="17">
        <v>0.06</v>
      </c>
      <c r="P166" s="17">
        <v>0.06</v>
      </c>
      <c r="Q166" s="15"/>
      <c r="R166" s="15"/>
      <c r="S166" s="15"/>
      <c r="T166" s="15"/>
      <c r="U166" s="15"/>
      <c r="V166" s="15"/>
      <c r="W166" s="15"/>
    </row>
    <row r="167" ht="15.0" customHeight="1">
      <c r="A167" s="14" t="s">
        <v>358</v>
      </c>
      <c r="B167" s="15"/>
      <c r="C167" s="17">
        <v>0.01</v>
      </c>
      <c r="D167" s="15"/>
      <c r="E167" s="18">
        <v>-0.01</v>
      </c>
      <c r="F167" s="15"/>
      <c r="G167" s="18">
        <v>-0.01</v>
      </c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</row>
    <row r="168" ht="15.0" customHeight="1">
      <c r="A168" s="14" t="s">
        <v>359</v>
      </c>
      <c r="B168" s="17">
        <v>56.71</v>
      </c>
      <c r="C168" s="17">
        <v>62.58</v>
      </c>
      <c r="D168" s="17">
        <v>52.96</v>
      </c>
      <c r="E168" s="17">
        <v>50.0</v>
      </c>
      <c r="F168" s="17">
        <v>67.16</v>
      </c>
      <c r="G168" s="17">
        <v>75.27</v>
      </c>
      <c r="H168" s="17">
        <v>67.08</v>
      </c>
      <c r="I168" s="17">
        <v>62.55</v>
      </c>
      <c r="J168" s="17">
        <v>62.22</v>
      </c>
      <c r="K168" s="17">
        <v>65.08</v>
      </c>
      <c r="L168" s="17">
        <v>71.28</v>
      </c>
      <c r="M168" s="17">
        <v>69.5</v>
      </c>
      <c r="N168" s="17">
        <v>57.75</v>
      </c>
      <c r="O168" s="17">
        <v>59.69</v>
      </c>
      <c r="P168" s="17">
        <v>56.11</v>
      </c>
      <c r="Q168" s="15">
        <v>0.0</v>
      </c>
      <c r="R168" s="17">
        <v>0.52</v>
      </c>
      <c r="S168" s="15"/>
      <c r="T168" s="17">
        <v>2.0</v>
      </c>
      <c r="U168" s="17">
        <v>2.8</v>
      </c>
      <c r="V168" s="15"/>
      <c r="W168" s="15"/>
    </row>
    <row r="169" ht="15.0" customHeight="1">
      <c r="A169" s="14" t="s">
        <v>350</v>
      </c>
      <c r="B169" s="15"/>
      <c r="C169" s="15"/>
      <c r="D169" s="15"/>
      <c r="E169" s="15"/>
      <c r="F169" s="15">
        <v>0.0</v>
      </c>
      <c r="G169" s="17">
        <v>3.04</v>
      </c>
      <c r="H169" s="17">
        <v>6.76</v>
      </c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</row>
    <row r="170" ht="15.0" customHeight="1">
      <c r="A170" s="14" t="s">
        <v>360</v>
      </c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>
        <v>0.0</v>
      </c>
      <c r="M170" s="17">
        <v>64.25</v>
      </c>
      <c r="N170" s="15"/>
      <c r="O170" s="15"/>
      <c r="P170" s="15"/>
      <c r="Q170" s="15"/>
      <c r="R170" s="15"/>
      <c r="S170" s="15"/>
      <c r="T170" s="15"/>
      <c r="U170" s="15"/>
      <c r="V170" s="15"/>
      <c r="W170" s="15"/>
    </row>
    <row r="171" ht="15.0" customHeight="1">
      <c r="A171" s="14" t="s">
        <v>350</v>
      </c>
      <c r="B171" s="17">
        <v>36.62</v>
      </c>
      <c r="C171" s="17">
        <v>0.68</v>
      </c>
      <c r="D171" s="17">
        <v>10.96</v>
      </c>
      <c r="E171" s="17">
        <v>6.29</v>
      </c>
      <c r="F171" s="15"/>
      <c r="G171" s="15"/>
      <c r="H171" s="15"/>
      <c r="I171" s="15"/>
      <c r="J171" s="15"/>
      <c r="K171" s="15"/>
      <c r="L171" s="15">
        <v>0.0</v>
      </c>
      <c r="M171" s="17">
        <v>6.44</v>
      </c>
      <c r="N171" s="15"/>
      <c r="O171" s="15"/>
      <c r="P171" s="15"/>
      <c r="Q171" s="15"/>
      <c r="R171" s="15"/>
      <c r="S171" s="15"/>
      <c r="T171" s="15"/>
      <c r="U171" s="15"/>
      <c r="V171" s="15"/>
      <c r="W171" s="15"/>
    </row>
    <row r="172" ht="15.0" customHeight="1">
      <c r="A172" s="19" t="s">
        <v>361</v>
      </c>
      <c r="B172" s="21">
        <v>3370.54</v>
      </c>
      <c r="C172" s="21">
        <v>3713.93</v>
      </c>
      <c r="D172" s="21">
        <v>3538.3</v>
      </c>
      <c r="E172" s="21">
        <v>3181.85</v>
      </c>
      <c r="F172" s="21">
        <v>2448.22</v>
      </c>
      <c r="G172" s="21">
        <v>2220.05</v>
      </c>
      <c r="H172" s="21">
        <v>2175.46</v>
      </c>
      <c r="I172" s="21">
        <v>2072.32</v>
      </c>
      <c r="J172" s="21">
        <v>1811.91</v>
      </c>
      <c r="K172" s="21">
        <v>2224.74</v>
      </c>
      <c r="L172" s="21">
        <v>2056.61</v>
      </c>
      <c r="M172" s="21">
        <v>2354.23</v>
      </c>
      <c r="N172" s="21">
        <v>2277.9</v>
      </c>
      <c r="O172" s="21">
        <v>2403.1</v>
      </c>
      <c r="P172" s="21">
        <v>2758.33</v>
      </c>
      <c r="Q172" s="21">
        <v>2734.99</v>
      </c>
      <c r="R172" s="21">
        <v>2997.79</v>
      </c>
      <c r="S172" s="21">
        <v>3527.94</v>
      </c>
      <c r="T172" s="21">
        <v>1879.88</v>
      </c>
      <c r="U172" s="21">
        <v>1584.1</v>
      </c>
      <c r="V172" s="21">
        <v>1104.94</v>
      </c>
      <c r="W172" s="21">
        <v>851.01</v>
      </c>
    </row>
    <row r="173" ht="15.0" customHeight="1">
      <c r="A173" s="14" t="s">
        <v>362</v>
      </c>
      <c r="B173" s="17">
        <v>1.18</v>
      </c>
      <c r="C173" s="18">
        <v>-0.01</v>
      </c>
      <c r="D173" s="17">
        <v>0.01</v>
      </c>
      <c r="E173" s="17">
        <v>0.01</v>
      </c>
      <c r="F173" s="15"/>
      <c r="G173" s="18">
        <v>-0.01</v>
      </c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6">
        <v>3114.37</v>
      </c>
      <c r="T173" s="15"/>
      <c r="U173" s="15"/>
      <c r="V173" s="16">
        <v>922.19</v>
      </c>
      <c r="W173" s="16">
        <v>671.09</v>
      </c>
    </row>
    <row r="174" ht="15.0" customHeight="1">
      <c r="A174" s="14" t="s">
        <v>363</v>
      </c>
      <c r="B174" s="15"/>
      <c r="C174" s="17">
        <v>0.01</v>
      </c>
      <c r="D174" s="15"/>
      <c r="E174" s="15"/>
      <c r="F174" s="17">
        <v>0.01</v>
      </c>
      <c r="G174" s="17">
        <v>0.01</v>
      </c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</row>
    <row r="175" ht="15.0" customHeight="1">
      <c r="A175" s="19" t="s">
        <v>364</v>
      </c>
      <c r="B175" s="21">
        <v>6433.91</v>
      </c>
      <c r="C175" s="21">
        <v>6602.28</v>
      </c>
      <c r="D175" s="21">
        <v>6460.04</v>
      </c>
      <c r="E175" s="21">
        <v>6050.13</v>
      </c>
      <c r="F175" s="21">
        <v>4944.53</v>
      </c>
      <c r="G175" s="21">
        <v>5244.91</v>
      </c>
      <c r="H175" s="21">
        <v>4865.17</v>
      </c>
      <c r="I175" s="21">
        <v>4670.44</v>
      </c>
      <c r="J175" s="21">
        <v>4717.02</v>
      </c>
      <c r="K175" s="21">
        <v>4424.59</v>
      </c>
      <c r="L175" s="21">
        <v>4325.3</v>
      </c>
      <c r="M175" s="21">
        <v>4681.37</v>
      </c>
      <c r="N175" s="21">
        <v>4722.17</v>
      </c>
      <c r="O175" s="21">
        <v>4478.62</v>
      </c>
      <c r="P175" s="21">
        <v>4996.51</v>
      </c>
      <c r="Q175" s="21">
        <v>5183.37</v>
      </c>
      <c r="R175" s="21">
        <v>5510.57</v>
      </c>
      <c r="S175" s="21">
        <v>6791.81</v>
      </c>
      <c r="T175" s="21">
        <v>4160.27</v>
      </c>
      <c r="U175" s="21">
        <v>3447.43</v>
      </c>
      <c r="V175" s="21">
        <v>2915.05</v>
      </c>
      <c r="W175" s="21">
        <v>2098.78</v>
      </c>
    </row>
    <row r="176" ht="15.0" customHeight="1">
      <c r="A176" s="14" t="s">
        <v>365</v>
      </c>
      <c r="B176" s="16">
        <v>568.25</v>
      </c>
      <c r="C176" s="16">
        <v>565.46</v>
      </c>
      <c r="D176" s="16">
        <v>537.5</v>
      </c>
      <c r="E176" s="16">
        <v>503.82</v>
      </c>
      <c r="F176" s="16">
        <v>481.1</v>
      </c>
      <c r="G176" s="16">
        <v>503.43</v>
      </c>
      <c r="H176" s="16">
        <v>472.89</v>
      </c>
      <c r="I176" s="16">
        <v>476.11</v>
      </c>
      <c r="J176" s="16">
        <v>473.11</v>
      </c>
      <c r="K176" s="16">
        <v>436.34</v>
      </c>
      <c r="L176" s="16">
        <v>461.33</v>
      </c>
      <c r="M176" s="16">
        <v>434.36</v>
      </c>
      <c r="N176" s="16">
        <v>400.69</v>
      </c>
      <c r="O176" s="16">
        <v>352.72</v>
      </c>
      <c r="P176" s="16">
        <v>371.79</v>
      </c>
      <c r="Q176" s="16">
        <v>374.24</v>
      </c>
      <c r="R176" s="16">
        <v>398.56</v>
      </c>
      <c r="S176" s="15"/>
      <c r="T176" s="16">
        <v>381.01</v>
      </c>
      <c r="U176" s="16">
        <v>322.89</v>
      </c>
      <c r="V176" s="15"/>
      <c r="W176" s="15"/>
    </row>
    <row r="177" ht="15.0" customHeight="1">
      <c r="A177" s="14" t="s">
        <v>366</v>
      </c>
      <c r="B177" s="15"/>
      <c r="C177" s="15"/>
      <c r="D177" s="15"/>
      <c r="E177" s="15"/>
      <c r="F177" s="15"/>
      <c r="G177" s="15"/>
      <c r="H177" s="15"/>
      <c r="I177" s="15"/>
      <c r="J177" s="15"/>
      <c r="K177" s="15">
        <v>0.0</v>
      </c>
      <c r="L177" s="16">
        <v>1329.62</v>
      </c>
      <c r="M177" s="16">
        <v>1251.9</v>
      </c>
      <c r="N177" s="16">
        <v>1154.84</v>
      </c>
      <c r="O177" s="16">
        <v>1016.58</v>
      </c>
      <c r="P177" s="16">
        <v>1071.55</v>
      </c>
      <c r="Q177" s="16">
        <v>1078.63</v>
      </c>
      <c r="R177" s="16">
        <v>1148.71</v>
      </c>
      <c r="S177" s="15"/>
      <c r="T177" s="16">
        <v>1098.14</v>
      </c>
      <c r="U177" s="16">
        <v>1139.14</v>
      </c>
      <c r="V177" s="15"/>
      <c r="W177" s="15"/>
    </row>
    <row r="178" ht="15.0" customHeight="1">
      <c r="A178" s="14" t="s">
        <v>367</v>
      </c>
      <c r="B178" s="15"/>
      <c r="C178" s="15"/>
      <c r="D178" s="18">
        <v>-13.61</v>
      </c>
      <c r="E178" s="18">
        <v>-8.06</v>
      </c>
      <c r="F178" s="18">
        <v>-10.58</v>
      </c>
      <c r="G178" s="18">
        <v>-12.63</v>
      </c>
      <c r="H178" s="18">
        <v>-12.26</v>
      </c>
      <c r="I178" s="18">
        <v>-12.65</v>
      </c>
      <c r="J178" s="18">
        <v>-12.57</v>
      </c>
      <c r="K178" s="18">
        <v>-11.6</v>
      </c>
      <c r="L178" s="18">
        <v>-12.26</v>
      </c>
      <c r="M178" s="18">
        <v>-11.54</v>
      </c>
      <c r="N178" s="18">
        <v>-10.65</v>
      </c>
      <c r="O178" s="18">
        <v>-9.37</v>
      </c>
      <c r="P178" s="18">
        <v>-9.88</v>
      </c>
      <c r="Q178" s="18">
        <v>-9.9</v>
      </c>
      <c r="R178" s="18">
        <v>-10.85</v>
      </c>
      <c r="S178" s="15"/>
      <c r="T178" s="15">
        <v>0.0</v>
      </c>
      <c r="U178" s="15"/>
      <c r="V178" s="15"/>
      <c r="W178" s="15"/>
    </row>
    <row r="179" ht="15.0" customHeight="1">
      <c r="A179" s="14" t="s">
        <v>368</v>
      </c>
      <c r="B179" s="17">
        <v>1.18</v>
      </c>
      <c r="C179" s="18">
        <v>-16.33</v>
      </c>
      <c r="D179" s="17">
        <v>38.81</v>
      </c>
      <c r="E179" s="16">
        <v>240.98</v>
      </c>
      <c r="F179" s="17">
        <v>40.06</v>
      </c>
      <c r="G179" s="18">
        <v>-13.72</v>
      </c>
      <c r="H179" s="17">
        <v>1.67</v>
      </c>
      <c r="I179" s="17">
        <v>37.05</v>
      </c>
      <c r="J179" s="18">
        <v>-4.13</v>
      </c>
      <c r="K179" s="18">
        <v>-23.13</v>
      </c>
      <c r="L179" s="18">
        <v>-42.12</v>
      </c>
      <c r="M179" s="18">
        <v>-39.83</v>
      </c>
      <c r="N179" s="18">
        <v>-34.38</v>
      </c>
      <c r="O179" s="18">
        <v>-41.3</v>
      </c>
      <c r="P179" s="18">
        <v>-34.09</v>
      </c>
      <c r="Q179" s="17">
        <v>14.19</v>
      </c>
      <c r="R179" s="18">
        <v>-13.84</v>
      </c>
      <c r="S179" s="15"/>
      <c r="T179" s="17">
        <v>14.99</v>
      </c>
      <c r="U179" s="15">
        <v>0.0</v>
      </c>
      <c r="V179" s="15"/>
      <c r="W179" s="15"/>
    </row>
    <row r="180" ht="15.0" customHeight="1">
      <c r="A180" s="14" t="s">
        <v>369</v>
      </c>
      <c r="B180" s="16">
        <v>2821.18</v>
      </c>
      <c r="C180" s="16">
        <v>2809.98</v>
      </c>
      <c r="D180" s="16">
        <v>2779.18</v>
      </c>
      <c r="E180" s="16">
        <v>2611.7</v>
      </c>
      <c r="F180" s="16">
        <v>2496.8</v>
      </c>
      <c r="G180" s="16">
        <v>2614.27</v>
      </c>
      <c r="H180" s="16">
        <v>2452.66</v>
      </c>
      <c r="I180" s="16">
        <v>2469.1</v>
      </c>
      <c r="J180" s="16">
        <v>2452.16</v>
      </c>
      <c r="K180" s="16">
        <v>2261.61</v>
      </c>
      <c r="L180" s="16">
        <v>1061.48</v>
      </c>
      <c r="M180" s="16">
        <v>999.44</v>
      </c>
      <c r="N180" s="16">
        <v>921.95</v>
      </c>
      <c r="O180" s="16">
        <v>811.57</v>
      </c>
      <c r="P180" s="16">
        <v>855.45</v>
      </c>
      <c r="Q180" s="16">
        <v>861.11</v>
      </c>
      <c r="R180" s="16">
        <v>917.26</v>
      </c>
      <c r="S180" s="15"/>
      <c r="T180" s="16">
        <v>876.03</v>
      </c>
      <c r="U180" s="15">
        <v>0.0</v>
      </c>
      <c r="V180" s="15"/>
      <c r="W180" s="15"/>
    </row>
    <row r="181" ht="15.0" customHeight="1">
      <c r="A181" s="14" t="s">
        <v>370</v>
      </c>
      <c r="B181" s="23">
        <v>-177.21</v>
      </c>
      <c r="C181" s="23">
        <v>-248.4</v>
      </c>
      <c r="D181" s="23">
        <v>-198.56</v>
      </c>
      <c r="E181" s="23">
        <v>-189.85</v>
      </c>
      <c r="F181" s="23">
        <v>-199.82</v>
      </c>
      <c r="G181" s="23">
        <v>-656.52</v>
      </c>
      <c r="H181" s="23">
        <v>-549.58</v>
      </c>
      <c r="I181" s="23">
        <v>-598.66</v>
      </c>
      <c r="J181" s="23">
        <v>-500.08</v>
      </c>
      <c r="K181" s="23">
        <v>-406.21</v>
      </c>
      <c r="L181" s="23">
        <v>-493.59</v>
      </c>
      <c r="M181" s="23">
        <v>-422.86</v>
      </c>
      <c r="N181" s="23">
        <v>-182.34</v>
      </c>
      <c r="O181" s="18">
        <v>-75.84</v>
      </c>
      <c r="P181" s="23">
        <v>-133.01</v>
      </c>
      <c r="Q181" s="23">
        <v>-111.48</v>
      </c>
      <c r="R181" s="23">
        <v>-257.02</v>
      </c>
      <c r="S181" s="15"/>
      <c r="T181" s="18">
        <v>-26.2</v>
      </c>
      <c r="U181" s="17">
        <v>6.65</v>
      </c>
      <c r="V181" s="15"/>
      <c r="W181" s="15"/>
    </row>
    <row r="182" ht="15.0" customHeight="1">
      <c r="A182" s="14" t="s">
        <v>371</v>
      </c>
      <c r="B182" s="16">
        <v>1890.24</v>
      </c>
      <c r="C182" s="16">
        <v>1624.53</v>
      </c>
      <c r="D182" s="16">
        <v>1208.05</v>
      </c>
      <c r="E182" s="16">
        <v>1553.23</v>
      </c>
      <c r="F182" s="16">
        <v>1743.95</v>
      </c>
      <c r="G182" s="16">
        <v>1994.74</v>
      </c>
      <c r="H182" s="16">
        <v>1766.45</v>
      </c>
      <c r="I182" s="16">
        <v>1743.91</v>
      </c>
      <c r="J182" s="16">
        <v>1712.43</v>
      </c>
      <c r="K182" s="16">
        <v>1463.37</v>
      </c>
      <c r="L182" s="16">
        <v>1537.52</v>
      </c>
      <c r="M182" s="16">
        <v>1421.25</v>
      </c>
      <c r="N182" s="16">
        <v>1155.99</v>
      </c>
      <c r="O182" s="16">
        <v>1088.61</v>
      </c>
      <c r="P182" s="16">
        <v>1118.17</v>
      </c>
      <c r="Q182" s="16">
        <v>1244.58</v>
      </c>
      <c r="R182" s="16">
        <v>1425.87</v>
      </c>
      <c r="S182" s="15"/>
      <c r="T182" s="16">
        <v>1415.43</v>
      </c>
      <c r="U182" s="16">
        <v>1053.43</v>
      </c>
      <c r="V182" s="15"/>
      <c r="W182" s="15"/>
    </row>
    <row r="183" ht="15.0" customHeight="1">
      <c r="A183" s="14" t="s">
        <v>372</v>
      </c>
      <c r="B183" s="15"/>
      <c r="C183" s="18">
        <v>-0.01</v>
      </c>
      <c r="D183" s="15"/>
      <c r="E183" s="15"/>
      <c r="F183" s="17">
        <v>0.01</v>
      </c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</row>
    <row r="184" ht="15.0" customHeight="1">
      <c r="A184" s="19" t="s">
        <v>373</v>
      </c>
      <c r="B184" s="21">
        <v>5103.65</v>
      </c>
      <c r="C184" s="21">
        <v>4735.23</v>
      </c>
      <c r="D184" s="21">
        <v>4351.37</v>
      </c>
      <c r="E184" s="21">
        <v>4711.83</v>
      </c>
      <c r="F184" s="21">
        <v>4551.52</v>
      </c>
      <c r="G184" s="21">
        <v>4429.56</v>
      </c>
      <c r="H184" s="21">
        <v>4131.83</v>
      </c>
      <c r="I184" s="21">
        <v>4114.87</v>
      </c>
      <c r="J184" s="21">
        <v>4120.91</v>
      </c>
      <c r="K184" s="21">
        <v>3720.39</v>
      </c>
      <c r="L184" s="21">
        <v>3842.0</v>
      </c>
      <c r="M184" s="21">
        <v>3632.73</v>
      </c>
      <c r="N184" s="21">
        <v>3406.1</v>
      </c>
      <c r="O184" s="21">
        <v>3142.96</v>
      </c>
      <c r="P184" s="21">
        <v>3239.98</v>
      </c>
      <c r="Q184" s="21">
        <v>3451.38</v>
      </c>
      <c r="R184" s="21">
        <v>3608.69</v>
      </c>
      <c r="S184" s="21">
        <v>4208.48</v>
      </c>
      <c r="T184" s="21">
        <v>3759.4</v>
      </c>
      <c r="U184" s="21">
        <v>2522.1</v>
      </c>
      <c r="V184" s="21">
        <v>2034.46</v>
      </c>
      <c r="W184" s="21">
        <v>2012.3</v>
      </c>
    </row>
    <row r="185" ht="15.0" customHeight="1">
      <c r="A185" s="14" t="s">
        <v>159</v>
      </c>
      <c r="B185" s="16">
        <v>269.36</v>
      </c>
      <c r="C185" s="16">
        <v>250.51</v>
      </c>
      <c r="D185" s="16">
        <v>250.42</v>
      </c>
      <c r="E185" s="16">
        <v>192.48</v>
      </c>
      <c r="F185" s="16">
        <v>129.6</v>
      </c>
      <c r="G185" s="16">
        <v>168.27</v>
      </c>
      <c r="H185" s="16">
        <v>141.9</v>
      </c>
      <c r="I185" s="16">
        <v>127.45</v>
      </c>
      <c r="J185" s="16">
        <v>119.18</v>
      </c>
      <c r="K185" s="16">
        <v>112.84</v>
      </c>
      <c r="L185" s="17">
        <v>44.24</v>
      </c>
      <c r="M185" s="17">
        <v>33.55</v>
      </c>
      <c r="N185" s="17">
        <v>26.84</v>
      </c>
      <c r="O185" s="17">
        <v>23.78</v>
      </c>
      <c r="P185" s="17">
        <v>22.59</v>
      </c>
      <c r="Q185" s="17">
        <v>22.33</v>
      </c>
      <c r="R185" s="17">
        <v>15.03</v>
      </c>
      <c r="S185" s="17">
        <v>13.59</v>
      </c>
      <c r="T185" s="17">
        <v>14.84</v>
      </c>
      <c r="U185" s="17">
        <v>47.93</v>
      </c>
      <c r="V185" s="16">
        <v>161.36</v>
      </c>
      <c r="W185" s="16">
        <v>161.23</v>
      </c>
    </row>
    <row r="186" ht="15.0" customHeight="1">
      <c r="A186" s="19" t="s">
        <v>374</v>
      </c>
      <c r="B186" s="21">
        <v>269.36</v>
      </c>
      <c r="C186" s="21">
        <v>250.51</v>
      </c>
      <c r="D186" s="21">
        <v>250.42</v>
      </c>
      <c r="E186" s="21">
        <v>192.48</v>
      </c>
      <c r="F186" s="21">
        <v>129.6</v>
      </c>
      <c r="G186" s="21">
        <v>168.27</v>
      </c>
      <c r="H186" s="21">
        <v>141.9</v>
      </c>
      <c r="I186" s="21">
        <v>127.45</v>
      </c>
      <c r="J186" s="21">
        <v>119.18</v>
      </c>
      <c r="K186" s="21">
        <v>112.84</v>
      </c>
      <c r="L186" s="22">
        <v>44.24</v>
      </c>
      <c r="M186" s="22">
        <v>33.55</v>
      </c>
      <c r="N186" s="22">
        <v>26.84</v>
      </c>
      <c r="O186" s="22">
        <v>23.78</v>
      </c>
      <c r="P186" s="22">
        <v>22.59</v>
      </c>
      <c r="Q186" s="22">
        <v>22.33</v>
      </c>
      <c r="R186" s="22">
        <v>15.03</v>
      </c>
      <c r="S186" s="22">
        <v>13.59</v>
      </c>
      <c r="T186" s="22">
        <v>14.84</v>
      </c>
      <c r="U186" s="22">
        <v>47.93</v>
      </c>
      <c r="V186" s="21">
        <v>161.36</v>
      </c>
      <c r="W186" s="21">
        <v>161.23</v>
      </c>
    </row>
    <row r="187" ht="15.0" customHeight="1">
      <c r="A187" s="14" t="s">
        <v>375</v>
      </c>
      <c r="B187" s="15"/>
      <c r="C187" s="15"/>
      <c r="D187" s="17">
        <v>0.01</v>
      </c>
      <c r="E187" s="18">
        <v>-0.01</v>
      </c>
      <c r="F187" s="15"/>
      <c r="G187" s="17">
        <v>0.01</v>
      </c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</row>
    <row r="188" ht="15.0" customHeight="1">
      <c r="A188" s="19" t="s">
        <v>376</v>
      </c>
      <c r="B188" s="21">
        <v>5373.01</v>
      </c>
      <c r="C188" s="21">
        <v>4985.74</v>
      </c>
      <c r="D188" s="21">
        <v>4601.8</v>
      </c>
      <c r="E188" s="21">
        <v>4904.3</v>
      </c>
      <c r="F188" s="21">
        <v>4681.12</v>
      </c>
      <c r="G188" s="21">
        <v>4597.84</v>
      </c>
      <c r="H188" s="21">
        <v>4273.73</v>
      </c>
      <c r="I188" s="21">
        <v>4242.32</v>
      </c>
      <c r="J188" s="21">
        <v>4240.08</v>
      </c>
      <c r="K188" s="21">
        <v>3833.23</v>
      </c>
      <c r="L188" s="21">
        <v>3886.23</v>
      </c>
      <c r="M188" s="21">
        <v>3666.28</v>
      </c>
      <c r="N188" s="21">
        <v>3432.95</v>
      </c>
      <c r="O188" s="21">
        <v>3166.75</v>
      </c>
      <c r="P188" s="21">
        <v>3262.57</v>
      </c>
      <c r="Q188" s="21">
        <v>3473.71</v>
      </c>
      <c r="R188" s="21">
        <v>3623.72</v>
      </c>
      <c r="S188" s="21">
        <v>4222.07</v>
      </c>
      <c r="T188" s="21">
        <v>3774.24</v>
      </c>
      <c r="U188" s="21">
        <v>2570.04</v>
      </c>
      <c r="V188" s="21">
        <v>2195.82</v>
      </c>
      <c r="W188" s="21">
        <v>2173.53</v>
      </c>
    </row>
    <row r="189" ht="15.0" customHeight="1">
      <c r="A189" s="14" t="s">
        <v>377</v>
      </c>
      <c r="B189" s="15"/>
      <c r="C189" s="15"/>
      <c r="D189" s="18">
        <v>-0.01</v>
      </c>
      <c r="E189" s="17">
        <v>0.01</v>
      </c>
      <c r="F189" s="15"/>
      <c r="G189" s="18">
        <v>-0.01</v>
      </c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</row>
    <row r="190" ht="15.0" customHeight="1">
      <c r="A190" s="19" t="s">
        <v>378</v>
      </c>
      <c r="B190" s="20">
        <v>11806.92</v>
      </c>
      <c r="C190" s="20">
        <v>11588.02</v>
      </c>
      <c r="D190" s="20">
        <v>11061.84</v>
      </c>
      <c r="E190" s="20">
        <v>10954.43</v>
      </c>
      <c r="F190" s="21">
        <v>9625.65</v>
      </c>
      <c r="G190" s="21">
        <v>9842.74</v>
      </c>
      <c r="H190" s="21">
        <v>9138.9</v>
      </c>
      <c r="I190" s="21">
        <v>8912.76</v>
      </c>
      <c r="J190" s="21">
        <v>8957.1</v>
      </c>
      <c r="K190" s="21">
        <v>8257.82</v>
      </c>
      <c r="L190" s="21">
        <v>8211.54</v>
      </c>
      <c r="M190" s="21">
        <v>8347.65</v>
      </c>
      <c r="N190" s="21">
        <v>8155.12</v>
      </c>
      <c r="O190" s="21">
        <v>7645.37</v>
      </c>
      <c r="P190" s="21">
        <v>8259.09</v>
      </c>
      <c r="Q190" s="21">
        <v>8657.08</v>
      </c>
      <c r="R190" s="21">
        <v>9134.29</v>
      </c>
      <c r="S190" s="20">
        <v>11013.88</v>
      </c>
      <c r="T190" s="21">
        <v>7934.51</v>
      </c>
      <c r="U190" s="21">
        <v>6017.47</v>
      </c>
      <c r="V190" s="21">
        <v>5110.88</v>
      </c>
      <c r="W190" s="21">
        <v>4272.3</v>
      </c>
    </row>
    <row r="191" ht="15.0" customHeight="1">
      <c r="A191" s="14" t="s">
        <v>379</v>
      </c>
      <c r="B191" s="17">
        <v>28.2</v>
      </c>
      <c r="C191" s="17">
        <v>28.18</v>
      </c>
      <c r="D191" s="17">
        <v>28.16</v>
      </c>
      <c r="E191" s="17">
        <v>28.2</v>
      </c>
      <c r="F191" s="17">
        <v>28.18</v>
      </c>
      <c r="G191" s="17">
        <v>28.16</v>
      </c>
      <c r="H191" s="17">
        <v>28.16</v>
      </c>
      <c r="I191" s="17">
        <v>28.16</v>
      </c>
      <c r="J191" s="17">
        <v>28.16</v>
      </c>
      <c r="K191" s="17">
        <v>28.16</v>
      </c>
      <c r="L191" s="17">
        <v>28.16</v>
      </c>
      <c r="M191" s="17">
        <v>28.16</v>
      </c>
      <c r="N191" s="17">
        <v>28.16</v>
      </c>
      <c r="O191" s="17">
        <v>28.16</v>
      </c>
      <c r="P191" s="17">
        <v>28.16</v>
      </c>
      <c r="Q191" s="17">
        <v>28.16</v>
      </c>
      <c r="R191" s="17">
        <v>28.15</v>
      </c>
      <c r="S191" s="17">
        <v>28.22</v>
      </c>
      <c r="T191" s="17">
        <v>28.27</v>
      </c>
      <c r="U191" s="17">
        <v>23.09</v>
      </c>
      <c r="V191" s="17">
        <v>21.09</v>
      </c>
      <c r="W191" s="17">
        <v>21.09</v>
      </c>
    </row>
    <row r="192" ht="15.0" customHeight="1">
      <c r="A192" s="14" t="s">
        <v>380</v>
      </c>
      <c r="B192" s="17">
        <v>28.27</v>
      </c>
      <c r="C192" s="17">
        <v>28.27</v>
      </c>
      <c r="D192" s="17">
        <v>28.27</v>
      </c>
      <c r="E192" s="17">
        <v>28.27</v>
      </c>
      <c r="F192" s="17">
        <v>28.27</v>
      </c>
      <c r="G192" s="17">
        <v>28.27</v>
      </c>
      <c r="H192" s="17">
        <v>28.27</v>
      </c>
      <c r="I192" s="17">
        <v>28.27</v>
      </c>
      <c r="J192" s="17">
        <v>28.27</v>
      </c>
      <c r="K192" s="17">
        <v>28.27</v>
      </c>
      <c r="L192" s="17">
        <v>28.27</v>
      </c>
      <c r="M192" s="17">
        <v>28.27</v>
      </c>
      <c r="N192" s="17">
        <v>28.27</v>
      </c>
      <c r="O192" s="17">
        <v>28.27</v>
      </c>
      <c r="P192" s="17">
        <v>28.27</v>
      </c>
      <c r="Q192" s="17">
        <v>19.06</v>
      </c>
      <c r="R192" s="17">
        <v>19.06</v>
      </c>
      <c r="S192" s="17">
        <v>28.27</v>
      </c>
      <c r="T192" s="17">
        <v>28.27</v>
      </c>
      <c r="U192" s="17">
        <v>23.09</v>
      </c>
      <c r="V192" s="17">
        <v>21.09</v>
      </c>
      <c r="W192" s="17">
        <v>21.09</v>
      </c>
    </row>
    <row r="193" ht="15.0" customHeight="1">
      <c r="A193" s="14" t="s">
        <v>381</v>
      </c>
      <c r="B193" s="17">
        <v>0.06</v>
      </c>
      <c r="C193" s="17">
        <v>0.09</v>
      </c>
      <c r="D193" s="17">
        <v>0.11</v>
      </c>
      <c r="E193" s="17">
        <v>0.07</v>
      </c>
      <c r="F193" s="17">
        <v>0.09</v>
      </c>
      <c r="G193" s="17">
        <v>0.11</v>
      </c>
      <c r="H193" s="17">
        <v>0.11</v>
      </c>
      <c r="I193" s="17">
        <v>0.11</v>
      </c>
      <c r="J193" s="17">
        <v>0.11</v>
      </c>
      <c r="K193" s="17">
        <v>0.11</v>
      </c>
      <c r="L193" s="17">
        <v>0.11</v>
      </c>
      <c r="M193" s="17">
        <v>0.11</v>
      </c>
      <c r="N193" s="17">
        <v>0.11</v>
      </c>
      <c r="O193" s="17">
        <v>0.11</v>
      </c>
      <c r="P193" s="17">
        <v>0.11</v>
      </c>
      <c r="Q193" s="17">
        <v>0.11</v>
      </c>
      <c r="R193" s="17">
        <v>0.11</v>
      </c>
      <c r="S193" s="17">
        <v>0.05</v>
      </c>
      <c r="T193" s="15">
        <v>0.0</v>
      </c>
      <c r="U193" s="15">
        <v>0.0</v>
      </c>
      <c r="V193" s="15">
        <v>0.0</v>
      </c>
      <c r="W193" s="15">
        <v>0.0</v>
      </c>
    </row>
    <row r="194" ht="15.0" customHeight="1">
      <c r="A194" s="14" t="s">
        <v>382</v>
      </c>
      <c r="B194" s="15"/>
      <c r="C194" s="15"/>
      <c r="D194" s="15"/>
      <c r="E194" s="15"/>
      <c r="F194" s="16">
        <v>1762.81</v>
      </c>
      <c r="G194" s="16">
        <v>1454.49</v>
      </c>
      <c r="H194" s="16">
        <v>1386.22</v>
      </c>
      <c r="I194" s="16">
        <v>1513.44</v>
      </c>
      <c r="J194" s="16">
        <v>1205.28</v>
      </c>
      <c r="K194" s="16">
        <v>1615.02</v>
      </c>
      <c r="L194" s="16">
        <v>1494.01</v>
      </c>
      <c r="M194" s="16">
        <v>1830.9</v>
      </c>
      <c r="N194" s="16">
        <v>1799.69</v>
      </c>
      <c r="O194" s="16">
        <v>1940.19</v>
      </c>
      <c r="P194" s="16">
        <v>2298.79</v>
      </c>
      <c r="Q194" s="16">
        <v>2357.99</v>
      </c>
      <c r="R194" s="16">
        <v>2644.76</v>
      </c>
      <c r="S194" s="15"/>
      <c r="T194" s="16">
        <v>1538.8</v>
      </c>
      <c r="U194" s="16">
        <v>1360.0</v>
      </c>
      <c r="V194" s="15"/>
      <c r="W194" s="15"/>
    </row>
    <row r="195" ht="15.0" customHeight="1">
      <c r="A195" s="14" t="s">
        <v>383</v>
      </c>
      <c r="B195" s="15"/>
      <c r="C195" s="15"/>
      <c r="D195" s="15"/>
      <c r="E195" s="15"/>
      <c r="F195" s="15">
        <v>0.0</v>
      </c>
      <c r="G195" s="15">
        <v>0.0</v>
      </c>
      <c r="H195" s="15">
        <v>0.0</v>
      </c>
      <c r="I195" s="15">
        <v>0.0</v>
      </c>
      <c r="J195" s="15">
        <v>0.0</v>
      </c>
      <c r="K195" s="15">
        <v>0.0</v>
      </c>
      <c r="L195" s="15"/>
      <c r="M195" s="15"/>
      <c r="N195" s="17">
        <v>94.86</v>
      </c>
      <c r="O195" s="15"/>
      <c r="P195" s="15"/>
      <c r="Q195" s="16">
        <v>977.85</v>
      </c>
      <c r="R195" s="16">
        <v>878.91</v>
      </c>
      <c r="S195" s="15"/>
      <c r="T195" s="16">
        <v>224.79</v>
      </c>
      <c r="U195" s="16">
        <v>294.36</v>
      </c>
      <c r="V195" s="15"/>
      <c r="W195" s="15"/>
    </row>
    <row r="196" ht="15.0" customHeight="1">
      <c r="A196" s="14" t="s">
        <v>384</v>
      </c>
      <c r="B196" s="15"/>
      <c r="C196" s="15"/>
      <c r="D196" s="15"/>
      <c r="E196" s="15"/>
      <c r="F196" s="15">
        <v>0.0</v>
      </c>
      <c r="G196" s="17">
        <v>21.92</v>
      </c>
      <c r="H196" s="17">
        <v>20.59</v>
      </c>
      <c r="I196" s="16">
        <v>114.39</v>
      </c>
      <c r="J196" s="17">
        <v>40.56</v>
      </c>
      <c r="K196" s="16">
        <v>507.19</v>
      </c>
      <c r="L196" s="17">
        <v>70.65</v>
      </c>
      <c r="M196" s="17">
        <v>75.66</v>
      </c>
      <c r="N196" s="17">
        <v>66.23</v>
      </c>
      <c r="O196" s="16">
        <v>671.93</v>
      </c>
      <c r="P196" s="16">
        <v>627.0</v>
      </c>
      <c r="Q196" s="16">
        <v>197.06</v>
      </c>
      <c r="R196" s="16">
        <v>1160.36</v>
      </c>
      <c r="S196" s="15"/>
      <c r="T196" s="16">
        <v>162.98</v>
      </c>
      <c r="U196" s="16">
        <v>260.6</v>
      </c>
      <c r="V196" s="15"/>
      <c r="W196" s="15"/>
    </row>
    <row r="197" ht="15.0" customHeight="1">
      <c r="A197" s="14" t="s">
        <v>385</v>
      </c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7">
        <v>46.82</v>
      </c>
      <c r="R197" s="15"/>
      <c r="S197" s="15"/>
      <c r="T197" s="15"/>
      <c r="U197" s="15"/>
      <c r="V197" s="15"/>
      <c r="W197" s="15"/>
    </row>
    <row r="198" ht="15.0" customHeight="1">
      <c r="A198" s="14" t="s">
        <v>386</v>
      </c>
      <c r="B198" s="15"/>
      <c r="C198" s="15"/>
      <c r="D198" s="15"/>
      <c r="E198" s="15"/>
      <c r="F198" s="15"/>
      <c r="G198" s="15"/>
      <c r="H198" s="15"/>
      <c r="I198" s="15"/>
      <c r="J198" s="17">
        <v>0.01</v>
      </c>
      <c r="K198" s="17">
        <v>0.02</v>
      </c>
      <c r="L198" s="15"/>
      <c r="M198" s="17">
        <v>0.01</v>
      </c>
      <c r="N198" s="18">
        <v>-0.01</v>
      </c>
      <c r="O198" s="15"/>
      <c r="P198" s="15"/>
      <c r="Q198" s="15"/>
      <c r="R198" s="16">
        <v>273.81</v>
      </c>
      <c r="S198" s="15"/>
      <c r="T198" s="15"/>
      <c r="U198" s="15"/>
      <c r="V198" s="15"/>
      <c r="W198" s="15"/>
    </row>
    <row r="199" ht="15.0" customHeight="1">
      <c r="A199" s="14" t="s">
        <v>387</v>
      </c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7">
        <v>97.0</v>
      </c>
      <c r="P199" s="16">
        <v>453.59</v>
      </c>
      <c r="Q199" s="15"/>
      <c r="R199" s="15"/>
      <c r="S199" s="15"/>
      <c r="T199" s="15"/>
      <c r="U199" s="15"/>
      <c r="V199" s="15"/>
      <c r="W199" s="15"/>
    </row>
    <row r="200" ht="15.0" customHeight="1">
      <c r="A200" s="14" t="s">
        <v>388</v>
      </c>
      <c r="B200" s="15"/>
      <c r="C200" s="16">
        <v>601.14</v>
      </c>
      <c r="D200" s="16">
        <v>494.04</v>
      </c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</row>
    <row r="201" ht="15.0" customHeight="1">
      <c r="A201" s="14" t="s">
        <v>389</v>
      </c>
      <c r="B201" s="15"/>
      <c r="C201" s="17">
        <v>10.77</v>
      </c>
      <c r="D201" s="17">
        <v>37.81</v>
      </c>
      <c r="E201" s="17">
        <v>28.64</v>
      </c>
      <c r="F201" s="17">
        <v>10.93</v>
      </c>
      <c r="G201" s="16">
        <v>849.53</v>
      </c>
      <c r="H201" s="16">
        <v>315.8</v>
      </c>
      <c r="I201" s="17">
        <v>20.73</v>
      </c>
      <c r="J201" s="17">
        <v>20.6</v>
      </c>
      <c r="K201" s="17">
        <v>33.07</v>
      </c>
      <c r="L201" s="16">
        <v>1012.26</v>
      </c>
      <c r="M201" s="16">
        <v>687.72</v>
      </c>
      <c r="N201" s="16">
        <v>654.19</v>
      </c>
      <c r="O201" s="17">
        <v>79.97</v>
      </c>
      <c r="P201" s="16">
        <v>692.98</v>
      </c>
      <c r="Q201" s="16">
        <v>618.96</v>
      </c>
      <c r="R201" s="16">
        <v>661.35</v>
      </c>
      <c r="S201" s="15"/>
      <c r="T201" s="17">
        <v>63.83</v>
      </c>
      <c r="U201" s="16">
        <v>219.38</v>
      </c>
      <c r="V201" s="15"/>
      <c r="W201" s="15"/>
    </row>
    <row r="202" ht="15.0" customHeight="1">
      <c r="A202" s="14" t="s">
        <v>390</v>
      </c>
      <c r="B202" s="15"/>
      <c r="C202" s="16">
        <v>360.17</v>
      </c>
      <c r="D202" s="17">
        <v>11.31</v>
      </c>
      <c r="E202" s="16">
        <v>279.66</v>
      </c>
      <c r="F202" s="17">
        <v>0.92</v>
      </c>
      <c r="G202" s="17">
        <v>0.96</v>
      </c>
      <c r="H202" s="16">
        <v>797.99</v>
      </c>
      <c r="I202" s="16">
        <v>317.96</v>
      </c>
      <c r="J202" s="17">
        <v>20.6</v>
      </c>
      <c r="K202" s="17">
        <v>19.0</v>
      </c>
      <c r="L202" s="17">
        <v>35.45</v>
      </c>
      <c r="M202" s="16">
        <v>953.09</v>
      </c>
      <c r="N202" s="16">
        <v>879.19</v>
      </c>
      <c r="O202" s="17">
        <v>58.61</v>
      </c>
      <c r="P202" s="17">
        <v>68.62</v>
      </c>
      <c r="Q202" s="16">
        <v>704.42</v>
      </c>
      <c r="R202" s="16">
        <v>381.91</v>
      </c>
      <c r="S202" s="15"/>
      <c r="T202" s="17">
        <v>49.53</v>
      </c>
      <c r="U202" s="16">
        <v>117.79</v>
      </c>
      <c r="V202" s="15"/>
      <c r="W202" s="15"/>
    </row>
    <row r="203" ht="15.0" customHeight="1">
      <c r="A203" s="14" t="s">
        <v>391</v>
      </c>
      <c r="B203" s="15"/>
      <c r="C203" s="16">
        <v>1415.98</v>
      </c>
      <c r="D203" s="16">
        <v>343.44</v>
      </c>
      <c r="E203" s="16">
        <v>639.66</v>
      </c>
      <c r="F203" s="16">
        <v>251.21</v>
      </c>
      <c r="G203" s="16">
        <v>262.87</v>
      </c>
      <c r="H203" s="16">
        <v>246.92</v>
      </c>
      <c r="I203" s="16">
        <v>1051.13</v>
      </c>
      <c r="J203" s="16">
        <v>709.76</v>
      </c>
      <c r="K203" s="16">
        <v>382.2</v>
      </c>
      <c r="L203" s="17">
        <v>20.57</v>
      </c>
      <c r="M203" s="17">
        <v>33.38</v>
      </c>
      <c r="N203" s="17">
        <v>30.79</v>
      </c>
      <c r="O203" s="16">
        <v>625.43</v>
      </c>
      <c r="P203" s="17">
        <v>46.51</v>
      </c>
      <c r="Q203" s="16">
        <v>260.17</v>
      </c>
      <c r="R203" s="17">
        <v>38.31</v>
      </c>
      <c r="S203" s="15"/>
      <c r="T203" s="16">
        <v>595.84</v>
      </c>
      <c r="U203" s="17">
        <v>87.17</v>
      </c>
      <c r="V203" s="15"/>
      <c r="W203" s="15"/>
    </row>
    <row r="204" ht="15.0" customHeight="1">
      <c r="A204" s="14" t="s">
        <v>392</v>
      </c>
      <c r="B204" s="15"/>
      <c r="C204" s="16">
        <v>1180.1</v>
      </c>
      <c r="D204" s="16">
        <v>2462.64</v>
      </c>
      <c r="E204" s="16">
        <v>846.13</v>
      </c>
      <c r="F204" s="16">
        <v>600.86</v>
      </c>
      <c r="G204" s="15"/>
      <c r="H204" s="15"/>
      <c r="I204" s="15"/>
      <c r="J204" s="15"/>
      <c r="K204" s="16">
        <v>291.4</v>
      </c>
      <c r="L204" s="15"/>
      <c r="M204" s="17">
        <v>19.37</v>
      </c>
      <c r="N204" s="15"/>
      <c r="O204" s="15"/>
      <c r="P204" s="15"/>
      <c r="Q204" s="15"/>
      <c r="R204" s="15"/>
      <c r="S204" s="15"/>
      <c r="T204" s="15"/>
      <c r="U204" s="15"/>
      <c r="V204" s="15"/>
      <c r="W204" s="15"/>
    </row>
    <row r="205" ht="15.0" customHeight="1">
      <c r="A205" s="14" t="s">
        <v>393</v>
      </c>
      <c r="B205" s="15"/>
      <c r="C205" s="17">
        <v>16.57</v>
      </c>
      <c r="D205" s="17">
        <v>12.91</v>
      </c>
      <c r="E205" s="16">
        <v>642.96</v>
      </c>
      <c r="F205" s="16">
        <v>898.89</v>
      </c>
      <c r="G205" s="16">
        <v>319.21</v>
      </c>
      <c r="H205" s="17">
        <v>4.92</v>
      </c>
      <c r="I205" s="17">
        <v>9.23</v>
      </c>
      <c r="J205" s="16">
        <v>413.76</v>
      </c>
      <c r="K205" s="16">
        <v>382.15</v>
      </c>
      <c r="L205" s="16">
        <v>355.09</v>
      </c>
      <c r="M205" s="17">
        <v>61.68</v>
      </c>
      <c r="N205" s="17">
        <v>74.43</v>
      </c>
      <c r="O205" s="16">
        <v>407.25</v>
      </c>
      <c r="P205" s="16">
        <v>410.08</v>
      </c>
      <c r="Q205" s="16">
        <v>530.55</v>
      </c>
      <c r="R205" s="16">
        <v>129.01</v>
      </c>
      <c r="S205" s="15"/>
      <c r="T205" s="16">
        <v>441.84</v>
      </c>
      <c r="U205" s="16">
        <v>380.71</v>
      </c>
      <c r="V205" s="15"/>
      <c r="W205" s="15"/>
    </row>
    <row r="206" ht="15.0" customHeight="1">
      <c r="A206" s="14" t="s">
        <v>394</v>
      </c>
      <c r="B206" s="15"/>
      <c r="C206" s="15"/>
      <c r="D206" s="15"/>
      <c r="E206" s="15"/>
      <c r="F206" s="15"/>
      <c r="G206" s="15"/>
      <c r="H206" s="15"/>
      <c r="I206" s="17">
        <v>11.26</v>
      </c>
      <c r="J206" s="17">
        <v>7.13</v>
      </c>
      <c r="K206" s="17">
        <v>7.44</v>
      </c>
      <c r="L206" s="17">
        <v>11.49</v>
      </c>
      <c r="M206" s="17">
        <v>7.63</v>
      </c>
      <c r="N206" s="17">
        <v>7.75</v>
      </c>
      <c r="O206" s="17">
        <v>13.53</v>
      </c>
      <c r="P206" s="17">
        <v>24.53</v>
      </c>
      <c r="Q206" s="17">
        <v>33.33</v>
      </c>
      <c r="R206" s="17">
        <v>26.32</v>
      </c>
      <c r="S206" s="15"/>
      <c r="T206" s="16">
        <v>118.95</v>
      </c>
      <c r="U206" s="16">
        <v>112.41</v>
      </c>
      <c r="V206" s="15"/>
      <c r="W206" s="15"/>
    </row>
    <row r="207" ht="15.0" customHeight="1">
      <c r="A207" s="14" t="s">
        <v>395</v>
      </c>
      <c r="B207" s="15"/>
      <c r="C207" s="15"/>
      <c r="D207" s="15"/>
      <c r="E207" s="15"/>
      <c r="F207" s="15"/>
      <c r="G207" s="15"/>
      <c r="H207" s="15"/>
      <c r="I207" s="17">
        <v>3.94</v>
      </c>
      <c r="J207" s="17">
        <v>2.54</v>
      </c>
      <c r="K207" s="17">
        <v>2.67</v>
      </c>
      <c r="L207" s="17">
        <v>4.17</v>
      </c>
      <c r="M207" s="17">
        <v>0.16</v>
      </c>
      <c r="N207" s="17">
        <v>1.7</v>
      </c>
      <c r="O207" s="17">
        <v>7.59</v>
      </c>
      <c r="P207" s="17">
        <v>11.15</v>
      </c>
      <c r="Q207" s="17">
        <v>13.34</v>
      </c>
      <c r="R207" s="17">
        <v>8.09</v>
      </c>
      <c r="S207" s="15"/>
      <c r="T207" s="17">
        <v>25.54</v>
      </c>
      <c r="U207" s="17">
        <v>23.98</v>
      </c>
      <c r="V207" s="15"/>
      <c r="W207" s="15"/>
    </row>
    <row r="208" ht="15.0" customHeight="1">
      <c r="A208" s="14" t="s">
        <v>396</v>
      </c>
      <c r="B208" s="15"/>
      <c r="C208" s="15"/>
      <c r="D208" s="15"/>
      <c r="E208" s="15"/>
      <c r="F208" s="15"/>
      <c r="G208" s="15"/>
      <c r="H208" s="15"/>
      <c r="I208" s="17">
        <v>7.31</v>
      </c>
      <c r="J208" s="17">
        <v>4.59</v>
      </c>
      <c r="K208" s="17">
        <v>4.77</v>
      </c>
      <c r="L208" s="17">
        <v>7.32</v>
      </c>
      <c r="M208" s="17">
        <v>7.47</v>
      </c>
      <c r="N208" s="17">
        <v>6.05</v>
      </c>
      <c r="O208" s="17">
        <v>5.94</v>
      </c>
      <c r="P208" s="17">
        <v>13.14</v>
      </c>
      <c r="Q208" s="17">
        <v>19.57</v>
      </c>
      <c r="R208" s="17">
        <v>17.64</v>
      </c>
      <c r="S208" s="15"/>
      <c r="T208" s="17">
        <v>67.65</v>
      </c>
      <c r="U208" s="17">
        <v>64.61</v>
      </c>
      <c r="V208" s="15"/>
      <c r="W208" s="15"/>
    </row>
    <row r="209" ht="15.0" customHeight="1">
      <c r="A209" s="14" t="s">
        <v>397</v>
      </c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7">
        <v>0.23</v>
      </c>
      <c r="Q209" s="17">
        <v>0.42</v>
      </c>
      <c r="R209" s="17">
        <v>0.6</v>
      </c>
      <c r="S209" s="15"/>
      <c r="T209" s="17">
        <v>25.76</v>
      </c>
      <c r="U209" s="17">
        <v>23.81</v>
      </c>
      <c r="V209" s="15"/>
      <c r="W209" s="15"/>
    </row>
    <row r="210" ht="15.0" customHeight="1">
      <c r="A210" s="14" t="s">
        <v>398</v>
      </c>
      <c r="B210" s="17">
        <v>9.2</v>
      </c>
      <c r="C210" s="17">
        <v>9.2</v>
      </c>
      <c r="D210" s="17">
        <v>9.2</v>
      </c>
      <c r="E210" s="17">
        <v>9.2</v>
      </c>
      <c r="F210" s="17">
        <v>9.2</v>
      </c>
      <c r="G210" s="17">
        <v>9.2</v>
      </c>
      <c r="H210" s="17">
        <v>9.2</v>
      </c>
      <c r="I210" s="17">
        <v>9.2</v>
      </c>
      <c r="J210" s="17">
        <v>9.2</v>
      </c>
      <c r="K210" s="17">
        <v>9.2</v>
      </c>
      <c r="L210" s="17">
        <v>9.2</v>
      </c>
      <c r="M210" s="17">
        <v>9.2</v>
      </c>
      <c r="N210" s="17">
        <v>9.2</v>
      </c>
      <c r="O210" s="17">
        <v>9.2</v>
      </c>
      <c r="P210" s="17">
        <v>9.2</v>
      </c>
      <c r="Q210" s="17">
        <v>9.2</v>
      </c>
      <c r="R210" s="17">
        <v>9.2</v>
      </c>
      <c r="S210" s="17">
        <v>9.2</v>
      </c>
      <c r="T210" s="17">
        <v>9.2</v>
      </c>
      <c r="U210" s="17">
        <v>9.2</v>
      </c>
      <c r="V210" s="17">
        <v>9.2</v>
      </c>
      <c r="W210" s="17">
        <v>9.2</v>
      </c>
    </row>
    <row r="211" ht="15.0" customHeight="1">
      <c r="A211" s="14" t="s">
        <v>399</v>
      </c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7">
        <v>0.11</v>
      </c>
      <c r="P211" s="17">
        <v>0.11</v>
      </c>
      <c r="Q211" s="17">
        <v>0.11</v>
      </c>
      <c r="R211" s="17">
        <v>0.11</v>
      </c>
      <c r="S211" s="17">
        <v>0.05</v>
      </c>
      <c r="T211" s="15">
        <v>0.0</v>
      </c>
      <c r="U211" s="15">
        <v>0.0</v>
      </c>
      <c r="V211" s="15">
        <v>0.0</v>
      </c>
      <c r="W211" s="15">
        <v>0.0</v>
      </c>
    </row>
    <row r="212" ht="15.0" customHeight="1">
      <c r="A212" s="14" t="s">
        <v>400</v>
      </c>
      <c r="B212" s="17">
        <v>9.2</v>
      </c>
      <c r="C212" s="17">
        <v>9.2</v>
      </c>
      <c r="D212" s="17">
        <v>9.2</v>
      </c>
      <c r="E212" s="17">
        <v>9.2</v>
      </c>
      <c r="F212" s="17">
        <v>9.2</v>
      </c>
      <c r="G212" s="17">
        <v>9.2</v>
      </c>
      <c r="H212" s="17">
        <v>9.2</v>
      </c>
      <c r="I212" s="17">
        <v>9.2</v>
      </c>
      <c r="J212" s="17">
        <v>9.2</v>
      </c>
      <c r="K212" s="17">
        <v>9.2</v>
      </c>
      <c r="L212" s="17">
        <v>9.2</v>
      </c>
      <c r="M212" s="17">
        <v>9.2</v>
      </c>
      <c r="N212" s="17">
        <v>9.2</v>
      </c>
      <c r="O212" s="17">
        <v>9.32</v>
      </c>
      <c r="P212" s="17">
        <v>9.32</v>
      </c>
      <c r="Q212" s="17">
        <v>9.31</v>
      </c>
      <c r="R212" s="17">
        <v>9.32</v>
      </c>
      <c r="S212" s="17">
        <v>9.25</v>
      </c>
      <c r="T212" s="17">
        <v>9.2</v>
      </c>
      <c r="U212" s="17">
        <v>9.2</v>
      </c>
      <c r="V212" s="17">
        <v>9.2</v>
      </c>
      <c r="W212" s="17">
        <v>9.2</v>
      </c>
    </row>
    <row r="213" ht="15.0" customHeight="1">
      <c r="A213" s="14" t="s">
        <v>401</v>
      </c>
      <c r="B213" s="17">
        <v>0.33</v>
      </c>
      <c r="C213" s="17">
        <v>0.33</v>
      </c>
      <c r="D213" s="17">
        <v>0.33</v>
      </c>
      <c r="E213" s="17">
        <v>0.33</v>
      </c>
      <c r="F213" s="17">
        <v>0.33</v>
      </c>
      <c r="G213" s="17">
        <v>0.33</v>
      </c>
      <c r="H213" s="15"/>
      <c r="I213" s="17">
        <v>0.33</v>
      </c>
      <c r="J213" s="17">
        <v>0.33</v>
      </c>
      <c r="K213" s="17">
        <v>0.33</v>
      </c>
      <c r="L213" s="17">
        <v>0.33</v>
      </c>
      <c r="M213" s="17">
        <v>0.33</v>
      </c>
      <c r="N213" s="17">
        <v>0.33</v>
      </c>
      <c r="O213" s="17">
        <v>0.33</v>
      </c>
      <c r="P213" s="17">
        <v>0.33</v>
      </c>
      <c r="Q213" s="17">
        <v>0.33</v>
      </c>
      <c r="R213" s="17">
        <v>0.33</v>
      </c>
      <c r="S213" s="17">
        <v>0.33</v>
      </c>
      <c r="T213" s="17">
        <v>0.33</v>
      </c>
      <c r="U213" s="17">
        <v>0.4</v>
      </c>
      <c r="V213" s="17">
        <v>0.44</v>
      </c>
      <c r="W213" s="17">
        <v>0.44</v>
      </c>
    </row>
    <row r="214" ht="15.0" customHeight="1">
      <c r="A214" s="14" t="s">
        <v>402</v>
      </c>
      <c r="B214" s="17">
        <v>19.0</v>
      </c>
      <c r="C214" s="17">
        <v>18.98</v>
      </c>
      <c r="D214" s="17">
        <v>18.95</v>
      </c>
      <c r="E214" s="17">
        <v>19.0</v>
      </c>
      <c r="F214" s="17">
        <v>18.97</v>
      </c>
      <c r="G214" s="17">
        <v>18.96</v>
      </c>
      <c r="H214" s="17">
        <v>18.96</v>
      </c>
      <c r="I214" s="17">
        <v>18.95</v>
      </c>
      <c r="J214" s="17">
        <v>18.95</v>
      </c>
      <c r="K214" s="17">
        <v>18.95</v>
      </c>
      <c r="L214" s="17">
        <v>18.95</v>
      </c>
      <c r="M214" s="17">
        <v>18.95</v>
      </c>
      <c r="N214" s="17">
        <v>18.95</v>
      </c>
      <c r="O214" s="17">
        <v>18.95</v>
      </c>
      <c r="P214" s="17">
        <v>18.95</v>
      </c>
      <c r="Q214" s="17">
        <v>18.95</v>
      </c>
      <c r="R214" s="17">
        <v>18.95</v>
      </c>
      <c r="S214" s="17">
        <v>19.02</v>
      </c>
      <c r="T214" s="17">
        <v>19.06</v>
      </c>
      <c r="U214" s="17">
        <v>13.89</v>
      </c>
      <c r="V214" s="17">
        <v>11.89</v>
      </c>
      <c r="W214" s="17">
        <v>11.89</v>
      </c>
    </row>
    <row r="215" ht="15.0" customHeight="1">
      <c r="A215" s="14" t="s">
        <v>403</v>
      </c>
      <c r="B215" s="17">
        <v>0.06</v>
      </c>
      <c r="C215" s="17">
        <v>0.09</v>
      </c>
      <c r="D215" s="17">
        <v>0.11</v>
      </c>
      <c r="E215" s="17">
        <v>0.07</v>
      </c>
      <c r="F215" s="17">
        <v>0.09</v>
      </c>
      <c r="G215" s="17">
        <v>0.11</v>
      </c>
      <c r="H215" s="17">
        <v>0.11</v>
      </c>
      <c r="I215" s="17">
        <v>0.11</v>
      </c>
      <c r="J215" s="17">
        <v>0.11</v>
      </c>
      <c r="K215" s="17">
        <v>0.11</v>
      </c>
      <c r="L215" s="17">
        <v>0.11</v>
      </c>
      <c r="M215" s="17">
        <v>0.11</v>
      </c>
      <c r="N215" s="17">
        <v>0.11</v>
      </c>
      <c r="O215" s="15"/>
      <c r="P215" s="15"/>
      <c r="Q215" s="15"/>
      <c r="R215" s="15"/>
      <c r="S215" s="15"/>
      <c r="T215" s="15">
        <v>0.0</v>
      </c>
      <c r="U215" s="15">
        <v>0.0</v>
      </c>
      <c r="V215" s="15">
        <v>0.0</v>
      </c>
      <c r="W215" s="15">
        <v>0.0</v>
      </c>
    </row>
    <row r="216" ht="15.0" customHeight="1">
      <c r="A216" s="14" t="s">
        <v>404</v>
      </c>
      <c r="B216" s="17">
        <v>19.06</v>
      </c>
      <c r="C216" s="17">
        <v>19.06</v>
      </c>
      <c r="D216" s="17">
        <v>19.06</v>
      </c>
      <c r="E216" s="17">
        <v>19.06</v>
      </c>
      <c r="F216" s="17">
        <v>19.06</v>
      </c>
      <c r="G216" s="17">
        <v>19.06</v>
      </c>
      <c r="H216" s="17">
        <v>19.06</v>
      </c>
      <c r="I216" s="17">
        <v>19.06</v>
      </c>
      <c r="J216" s="17">
        <v>19.06</v>
      </c>
      <c r="K216" s="17">
        <v>19.06</v>
      </c>
      <c r="L216" s="17">
        <v>19.06</v>
      </c>
      <c r="M216" s="17">
        <v>19.06</v>
      </c>
      <c r="N216" s="17">
        <v>19.06</v>
      </c>
      <c r="O216" s="17">
        <v>18.95</v>
      </c>
      <c r="P216" s="17">
        <v>18.95</v>
      </c>
      <c r="Q216" s="17">
        <v>18.95</v>
      </c>
      <c r="R216" s="17">
        <v>18.95</v>
      </c>
      <c r="S216" s="17">
        <v>19.02</v>
      </c>
      <c r="T216" s="17">
        <v>19.06</v>
      </c>
      <c r="U216" s="17">
        <v>13.89</v>
      </c>
      <c r="V216" s="17">
        <v>11.89</v>
      </c>
      <c r="W216" s="17">
        <v>11.89</v>
      </c>
    </row>
    <row r="217" ht="15.0" customHeight="1">
      <c r="A217" s="14" t="s">
        <v>401</v>
      </c>
      <c r="B217" s="17">
        <v>0.67</v>
      </c>
      <c r="C217" s="17">
        <v>0.67</v>
      </c>
      <c r="D217" s="17">
        <v>0.67</v>
      </c>
      <c r="E217" s="17">
        <v>0.67</v>
      </c>
      <c r="F217" s="17">
        <v>0.67</v>
      </c>
      <c r="G217" s="17">
        <v>0.67</v>
      </c>
      <c r="H217" s="17">
        <v>0.67</v>
      </c>
      <c r="I217" s="17">
        <v>0.67</v>
      </c>
      <c r="J217" s="17">
        <v>0.67</v>
      </c>
      <c r="K217" s="17">
        <v>0.67</v>
      </c>
      <c r="L217" s="17">
        <v>0.67</v>
      </c>
      <c r="M217" s="17">
        <v>0.67</v>
      </c>
      <c r="N217" s="17">
        <v>0.67</v>
      </c>
      <c r="O217" s="17">
        <v>0.67</v>
      </c>
      <c r="P217" s="17">
        <v>0.67</v>
      </c>
      <c r="Q217" s="17">
        <v>0.67</v>
      </c>
      <c r="R217" s="17">
        <v>0.67</v>
      </c>
      <c r="S217" s="17">
        <v>0.67</v>
      </c>
      <c r="T217" s="17">
        <v>0.67</v>
      </c>
      <c r="U217" s="17">
        <v>0.6</v>
      </c>
      <c r="V217" s="17">
        <v>0.56</v>
      </c>
      <c r="W217" s="17">
        <v>0.56</v>
      </c>
    </row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3" width="15.71"/>
    <col customWidth="1" min="24" max="26" width="8.86"/>
  </cols>
  <sheetData>
    <row r="1" ht="15.0" customHeight="1">
      <c r="A1" s="1" t="s">
        <v>405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46096.5221665278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42735.0</v>
      </c>
      <c r="M13" s="9">
        <v>42369.0</v>
      </c>
      <c r="N13" s="9">
        <v>41639.0</v>
      </c>
      <c r="O13" s="9">
        <v>41639.0</v>
      </c>
      <c r="P13" s="9">
        <v>41274.0</v>
      </c>
      <c r="Q13" s="9">
        <v>40543.0</v>
      </c>
      <c r="R13" s="9">
        <v>40178.0</v>
      </c>
      <c r="S13" s="9">
        <v>39813.0</v>
      </c>
      <c r="T13" s="9">
        <v>39813.0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406</v>
      </c>
      <c r="C15" s="10" t="s">
        <v>406</v>
      </c>
      <c r="D15" s="10" t="s">
        <v>406</v>
      </c>
      <c r="E15" s="10" t="s">
        <v>406</v>
      </c>
      <c r="F15" s="10" t="s">
        <v>406</v>
      </c>
      <c r="G15" s="10" t="s">
        <v>406</v>
      </c>
      <c r="H15" s="10" t="s">
        <v>406</v>
      </c>
      <c r="I15" s="10" t="s">
        <v>406</v>
      </c>
      <c r="J15" s="10" t="s">
        <v>406</v>
      </c>
      <c r="K15" s="10" t="s">
        <v>406</v>
      </c>
      <c r="L15" s="10" t="s">
        <v>406</v>
      </c>
      <c r="M15" s="10" t="s">
        <v>406</v>
      </c>
      <c r="N15" s="10" t="s">
        <v>406</v>
      </c>
      <c r="O15" s="10" t="s">
        <v>406</v>
      </c>
      <c r="P15" s="10" t="s">
        <v>406</v>
      </c>
      <c r="Q15" s="10" t="s">
        <v>406</v>
      </c>
      <c r="R15" s="10" t="s">
        <v>406</v>
      </c>
      <c r="S15" s="10" t="s">
        <v>406</v>
      </c>
      <c r="T15" s="10" t="s">
        <v>406</v>
      </c>
      <c r="U15" s="10" t="s">
        <v>406</v>
      </c>
      <c r="V15" s="10" t="s">
        <v>406</v>
      </c>
      <c r="W15" s="10" t="s">
        <v>406</v>
      </c>
    </row>
    <row r="16" ht="15.0" customHeight="1" outlineLevel="1">
      <c r="A16" s="8" t="s">
        <v>47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</row>
    <row r="18">
      <c r="A18" s="12" t="s">
        <v>407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408</v>
      </c>
      <c r="B20" s="16">
        <v>1617.3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</row>
    <row r="21" ht="15.0" customHeight="1">
      <c r="A21" s="14" t="s">
        <v>409</v>
      </c>
      <c r="B21" s="23">
        <v>-212.99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</row>
    <row r="22" ht="15.0" customHeight="1">
      <c r="A22" s="14" t="s">
        <v>410</v>
      </c>
      <c r="B22" s="15"/>
      <c r="C22" s="17">
        <v>32.84</v>
      </c>
      <c r="D22" s="17">
        <v>26.97</v>
      </c>
      <c r="E22" s="17">
        <v>66.13</v>
      </c>
      <c r="F22" s="17">
        <v>60.16</v>
      </c>
      <c r="G22" s="17">
        <v>32.37</v>
      </c>
      <c r="H22" s="17">
        <v>31.05</v>
      </c>
      <c r="I22" s="17">
        <v>34.72</v>
      </c>
      <c r="J22" s="17">
        <v>26.28</v>
      </c>
      <c r="K22" s="17">
        <v>27.4</v>
      </c>
      <c r="L22" s="17">
        <v>18.08</v>
      </c>
      <c r="M22" s="17">
        <v>18.04</v>
      </c>
      <c r="N22" s="17">
        <v>19.31</v>
      </c>
      <c r="O22" s="17">
        <v>15.53</v>
      </c>
      <c r="P22" s="17">
        <v>51.9</v>
      </c>
      <c r="Q22" s="17">
        <v>61.04</v>
      </c>
      <c r="R22" s="17">
        <v>40.55</v>
      </c>
      <c r="S22" s="17">
        <v>30.35</v>
      </c>
      <c r="T22" s="17">
        <v>27.17</v>
      </c>
      <c r="U22" s="17">
        <v>8.69</v>
      </c>
      <c r="V22" s="17">
        <v>15.08</v>
      </c>
      <c r="W22" s="17">
        <v>5.41</v>
      </c>
    </row>
    <row r="23" ht="15.0" customHeight="1">
      <c r="A23" s="14" t="s">
        <v>411</v>
      </c>
      <c r="B23" s="15"/>
      <c r="C23" s="28">
        <v>-19227.86</v>
      </c>
      <c r="D23" s="28">
        <v>-18750.61</v>
      </c>
      <c r="E23" s="28">
        <v>-16390.82</v>
      </c>
      <c r="F23" s="28">
        <v>-14605.97</v>
      </c>
      <c r="G23" s="28">
        <v>-14886.37</v>
      </c>
      <c r="H23" s="28">
        <v>-13296.91</v>
      </c>
      <c r="I23" s="28">
        <v>-13403.09</v>
      </c>
      <c r="J23" s="28">
        <v>-12591.89</v>
      </c>
      <c r="K23" s="28">
        <v>-11940.47</v>
      </c>
      <c r="L23" s="28">
        <v>-11180.42</v>
      </c>
      <c r="M23" s="28">
        <v>-10976.62</v>
      </c>
      <c r="N23" s="28">
        <v>-10331.19</v>
      </c>
      <c r="O23" s="23">
        <v>-9496.99</v>
      </c>
      <c r="P23" s="23">
        <v>-9849.23</v>
      </c>
      <c r="Q23" s="23">
        <v>-9800.32</v>
      </c>
      <c r="R23" s="28">
        <v>-10858.54</v>
      </c>
      <c r="S23" s="28">
        <v>-10556.49</v>
      </c>
      <c r="T23" s="23">
        <v>-9392.07</v>
      </c>
      <c r="U23" s="23">
        <v>-8315.04</v>
      </c>
      <c r="V23" s="23">
        <v>-7222.39</v>
      </c>
      <c r="W23" s="23">
        <v>-6312.59</v>
      </c>
    </row>
    <row r="24" ht="15.0" customHeight="1">
      <c r="A24" s="14" t="s">
        <v>412</v>
      </c>
      <c r="B24" s="15"/>
      <c r="C24" s="23">
        <v>-294.64</v>
      </c>
      <c r="D24" s="23">
        <v>-288.71</v>
      </c>
      <c r="E24" s="18">
        <v>-80.27</v>
      </c>
      <c r="F24" s="23">
        <v>-148.16</v>
      </c>
      <c r="G24" s="23">
        <v>-201.59</v>
      </c>
      <c r="H24" s="23">
        <v>-141.93</v>
      </c>
      <c r="I24" s="23">
        <v>-156.23</v>
      </c>
      <c r="J24" s="23">
        <v>-153.42</v>
      </c>
      <c r="K24" s="23">
        <v>-129.03</v>
      </c>
      <c r="L24" s="23">
        <v>-179.64</v>
      </c>
      <c r="M24" s="23">
        <v>-306.34</v>
      </c>
      <c r="N24" s="23">
        <v>-244.18</v>
      </c>
      <c r="O24" s="23">
        <v>-226.51</v>
      </c>
      <c r="P24" s="23">
        <v>-203.93</v>
      </c>
      <c r="Q24" s="23">
        <v>-341.91</v>
      </c>
      <c r="R24" s="23">
        <v>-338.75</v>
      </c>
      <c r="S24" s="23">
        <v>-535.38</v>
      </c>
      <c r="T24" s="23">
        <v>-173.31</v>
      </c>
      <c r="U24" s="18">
        <v>-79.57</v>
      </c>
      <c r="V24" s="18">
        <v>-52.0</v>
      </c>
      <c r="W24" s="18">
        <v>-53.28</v>
      </c>
    </row>
    <row r="25" ht="15.0" customHeight="1">
      <c r="A25" s="14" t="s">
        <v>413</v>
      </c>
      <c r="B25" s="15"/>
      <c r="C25" s="15"/>
      <c r="D25" s="15"/>
      <c r="E25" s="15"/>
      <c r="F25" s="15"/>
      <c r="G25" s="15"/>
      <c r="H25" s="15"/>
      <c r="I25" s="15"/>
      <c r="J25" s="15"/>
      <c r="K25" s="15">
        <v>0.0</v>
      </c>
      <c r="L25" s="17">
        <v>0.21</v>
      </c>
      <c r="M25" s="17">
        <v>0.64</v>
      </c>
      <c r="N25" s="17">
        <v>0.65</v>
      </c>
      <c r="O25" s="17">
        <v>0.61</v>
      </c>
      <c r="P25" s="17">
        <v>0.34</v>
      </c>
      <c r="Q25" s="17">
        <v>0.1</v>
      </c>
      <c r="R25" s="17">
        <v>0.04</v>
      </c>
      <c r="S25" s="17">
        <v>0.21</v>
      </c>
      <c r="T25" s="17">
        <v>0.54</v>
      </c>
      <c r="U25" s="17">
        <v>2.29</v>
      </c>
      <c r="V25" s="17">
        <v>2.03</v>
      </c>
      <c r="W25" s="17">
        <v>1.72</v>
      </c>
    </row>
    <row r="26" ht="15.0" customHeight="1">
      <c r="A26" s="14" t="s">
        <v>414</v>
      </c>
      <c r="B26" s="15"/>
      <c r="C26" s="15">
        <v>20530.91</v>
      </c>
      <c r="D26" s="15">
        <v>20061.6</v>
      </c>
      <c r="E26" s="15">
        <v>16969.91</v>
      </c>
      <c r="F26" s="15">
        <v>15619.08</v>
      </c>
      <c r="G26" s="15">
        <v>16089.3</v>
      </c>
      <c r="H26" s="15">
        <v>14278.96</v>
      </c>
      <c r="I26" s="15">
        <v>13885.41</v>
      </c>
      <c r="J26" s="15">
        <v>13333.86</v>
      </c>
      <c r="K26" s="15">
        <v>12604.3</v>
      </c>
      <c r="L26" s="15">
        <v>12024.4</v>
      </c>
      <c r="M26" s="15">
        <v>11905.16</v>
      </c>
      <c r="N26" s="15">
        <v>11175.86</v>
      </c>
      <c r="O26" s="15">
        <v>10372.13</v>
      </c>
      <c r="P26" s="15">
        <v>10272.76</v>
      </c>
      <c r="Q26" s="15">
        <v>10423.87</v>
      </c>
      <c r="R26" s="15">
        <v>11627.38</v>
      </c>
      <c r="S26" s="15">
        <v>11101.37</v>
      </c>
      <c r="T26" s="15">
        <v>10097.33</v>
      </c>
      <c r="U26" s="16">
        <v>8806.83</v>
      </c>
      <c r="V26" s="16">
        <v>7681.51</v>
      </c>
      <c r="W26" s="16">
        <v>6915.08</v>
      </c>
    </row>
    <row r="27" ht="15.0" customHeight="1">
      <c r="A27" s="14" t="s">
        <v>415</v>
      </c>
      <c r="B27" s="15"/>
      <c r="C27" s="16">
        <v>112.78</v>
      </c>
      <c r="D27" s="16">
        <v>176.7</v>
      </c>
      <c r="E27" s="17">
        <v>56.04</v>
      </c>
      <c r="F27" s="17">
        <v>77.86</v>
      </c>
      <c r="G27" s="16">
        <v>178.71</v>
      </c>
      <c r="H27" s="17">
        <v>99.89</v>
      </c>
      <c r="I27" s="16">
        <v>160.82</v>
      </c>
      <c r="J27" s="17">
        <v>77.65</v>
      </c>
      <c r="K27" s="16">
        <v>107.38</v>
      </c>
      <c r="L27" s="16">
        <v>113.59</v>
      </c>
      <c r="M27" s="16">
        <v>164.62</v>
      </c>
      <c r="N27" s="16">
        <v>113.57</v>
      </c>
      <c r="O27" s="16">
        <v>108.73</v>
      </c>
      <c r="P27" s="16">
        <v>107.52</v>
      </c>
      <c r="Q27" s="16">
        <v>214.13</v>
      </c>
      <c r="R27" s="16">
        <v>151.75</v>
      </c>
      <c r="S27" s="16">
        <v>350.22</v>
      </c>
      <c r="T27" s="17">
        <v>62.89</v>
      </c>
      <c r="U27" s="17">
        <v>26.54</v>
      </c>
      <c r="V27" s="17">
        <v>28.47</v>
      </c>
      <c r="W27" s="17">
        <v>6.33</v>
      </c>
    </row>
    <row r="28" ht="15.0" customHeight="1">
      <c r="A28" s="14" t="s">
        <v>416</v>
      </c>
      <c r="B28" s="15"/>
      <c r="C28" s="18">
        <v>-79.93</v>
      </c>
      <c r="D28" s="23">
        <v>-162.34</v>
      </c>
      <c r="E28" s="18">
        <v>-78.39</v>
      </c>
      <c r="F28" s="23">
        <v>-106.8</v>
      </c>
      <c r="G28" s="23">
        <v>-116.28</v>
      </c>
      <c r="H28" s="18">
        <v>-99.89</v>
      </c>
      <c r="I28" s="18">
        <v>-68.84</v>
      </c>
      <c r="J28" s="18">
        <v>-90.62</v>
      </c>
      <c r="K28" s="18">
        <v>-67.26</v>
      </c>
      <c r="L28" s="18">
        <v>-7.1</v>
      </c>
      <c r="M28" s="18">
        <v>-35.1</v>
      </c>
      <c r="N28" s="18">
        <v>-39.75</v>
      </c>
      <c r="O28" s="18">
        <v>-29.06</v>
      </c>
      <c r="P28" s="17">
        <v>12.52</v>
      </c>
      <c r="Q28" s="23">
        <v>-199.23</v>
      </c>
      <c r="R28" s="18">
        <v>-83.64</v>
      </c>
      <c r="S28" s="18">
        <v>-80.94</v>
      </c>
      <c r="T28" s="23">
        <v>-117.63</v>
      </c>
      <c r="U28" s="18">
        <v>-66.22</v>
      </c>
      <c r="V28" s="18">
        <v>-77.48</v>
      </c>
      <c r="W28" s="18">
        <v>-67.06</v>
      </c>
    </row>
    <row r="29" ht="15.0" customHeight="1">
      <c r="A29" s="14" t="s">
        <v>417</v>
      </c>
      <c r="B29" s="15"/>
      <c r="C29" s="15"/>
      <c r="D29" s="15"/>
      <c r="E29" s="15"/>
      <c r="F29" s="15"/>
      <c r="G29" s="18">
        <v>-0.01</v>
      </c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ht="15.0" customHeight="1">
      <c r="A30" s="19" t="s">
        <v>418</v>
      </c>
      <c r="B30" s="21">
        <v>1404.31</v>
      </c>
      <c r="C30" s="21">
        <v>1074.1</v>
      </c>
      <c r="D30" s="21">
        <v>1063.62</v>
      </c>
      <c r="E30" s="21">
        <v>542.61</v>
      </c>
      <c r="F30" s="21">
        <v>896.17</v>
      </c>
      <c r="G30" s="21">
        <v>1096.14</v>
      </c>
      <c r="H30" s="21">
        <v>871.17</v>
      </c>
      <c r="I30" s="21">
        <v>452.79</v>
      </c>
      <c r="J30" s="21">
        <v>601.86</v>
      </c>
      <c r="K30" s="21">
        <v>602.32</v>
      </c>
      <c r="L30" s="21">
        <v>789.12</v>
      </c>
      <c r="M30" s="21">
        <v>770.4</v>
      </c>
      <c r="N30" s="21">
        <v>694.26</v>
      </c>
      <c r="O30" s="21">
        <v>744.44</v>
      </c>
      <c r="P30" s="21">
        <v>391.89</v>
      </c>
      <c r="Q30" s="21">
        <v>357.68</v>
      </c>
      <c r="R30" s="21">
        <v>538.79</v>
      </c>
      <c r="S30" s="21">
        <v>309.34</v>
      </c>
      <c r="T30" s="21">
        <v>504.93</v>
      </c>
      <c r="U30" s="21">
        <v>383.52</v>
      </c>
      <c r="V30" s="21">
        <v>375.21</v>
      </c>
      <c r="W30" s="21">
        <v>495.61</v>
      </c>
    </row>
    <row r="31" ht="15.0" customHeight="1">
      <c r="A31" s="14" t="s">
        <v>419</v>
      </c>
      <c r="B31" s="23">
        <v>-633.11</v>
      </c>
      <c r="C31" s="23">
        <v>-450.04</v>
      </c>
      <c r="D31" s="23">
        <v>-1249.21</v>
      </c>
      <c r="E31" s="23">
        <v>-1275.84</v>
      </c>
      <c r="F31" s="23">
        <v>-567.19</v>
      </c>
      <c r="G31" s="23">
        <v>-437.94</v>
      </c>
      <c r="H31" s="23">
        <v>-388.07</v>
      </c>
      <c r="I31" s="23">
        <v>-426.91</v>
      </c>
      <c r="J31" s="23">
        <v>-495.85</v>
      </c>
      <c r="K31" s="23">
        <v>-396.06</v>
      </c>
      <c r="L31" s="23">
        <v>-449.25</v>
      </c>
      <c r="M31" s="23">
        <v>-283.3</v>
      </c>
      <c r="N31" s="23">
        <v>-302.06</v>
      </c>
      <c r="O31" s="23">
        <v>-376.54</v>
      </c>
      <c r="P31" s="23">
        <v>-266.5</v>
      </c>
      <c r="Q31" s="23">
        <v>-317.04</v>
      </c>
      <c r="R31" s="23">
        <v>-282.24</v>
      </c>
      <c r="S31" s="23">
        <v>-538.88</v>
      </c>
      <c r="T31" s="23">
        <v>-738.62</v>
      </c>
      <c r="U31" s="23">
        <v>-424.2</v>
      </c>
      <c r="V31" s="23">
        <v>-491.07</v>
      </c>
      <c r="W31" s="23">
        <v>-286.9</v>
      </c>
    </row>
    <row r="32" ht="15.0" customHeight="1">
      <c r="A32" s="14" t="s">
        <v>420</v>
      </c>
      <c r="B32" s="15">
        <v>0.0</v>
      </c>
      <c r="C32" s="17">
        <v>8.06</v>
      </c>
      <c r="D32" s="15">
        <v>0.0</v>
      </c>
      <c r="E32" s="17">
        <v>74.38</v>
      </c>
      <c r="F32" s="16">
        <v>308.27</v>
      </c>
      <c r="G32" s="15"/>
      <c r="H32" s="15"/>
      <c r="I32" s="15">
        <v>0.0</v>
      </c>
      <c r="J32" s="17">
        <v>37.6</v>
      </c>
      <c r="K32" s="17">
        <v>48.68</v>
      </c>
      <c r="L32" s="16">
        <v>301.43</v>
      </c>
      <c r="M32" s="17">
        <v>99.8</v>
      </c>
      <c r="N32" s="17">
        <v>12.44</v>
      </c>
      <c r="O32" s="15"/>
      <c r="P32" s="15"/>
      <c r="Q32" s="15"/>
      <c r="R32" s="15"/>
      <c r="S32" s="15"/>
      <c r="T32" s="15"/>
      <c r="U32" s="15"/>
      <c r="V32" s="15"/>
      <c r="W32" s="15"/>
    </row>
    <row r="33" ht="15.0" customHeight="1">
      <c r="A33" s="14" t="s">
        <v>421</v>
      </c>
      <c r="B33" s="17">
        <v>37.45</v>
      </c>
      <c r="C33" s="18">
        <v>-30.54</v>
      </c>
      <c r="D33" s="18">
        <v>-4.73</v>
      </c>
      <c r="E33" s="18">
        <v>-1.89</v>
      </c>
      <c r="F33" s="18">
        <v>-4.12</v>
      </c>
      <c r="G33" s="17">
        <v>7.22</v>
      </c>
      <c r="H33" s="17">
        <v>22.81</v>
      </c>
      <c r="I33" s="18">
        <v>-8.36</v>
      </c>
      <c r="J33" s="17">
        <v>21.54</v>
      </c>
      <c r="K33" s="17">
        <v>13.12</v>
      </c>
      <c r="L33" s="17">
        <v>2.13</v>
      </c>
      <c r="M33" s="18">
        <v>-23.26</v>
      </c>
      <c r="N33" s="17">
        <v>16.02</v>
      </c>
      <c r="O33" s="17">
        <v>6.35</v>
      </c>
      <c r="P33" s="18">
        <v>-13.82</v>
      </c>
      <c r="Q33" s="15"/>
      <c r="R33" s="15"/>
      <c r="S33" s="15"/>
      <c r="T33" s="15"/>
      <c r="U33" s="15"/>
      <c r="V33" s="15"/>
      <c r="W33" s="15"/>
    </row>
    <row r="34" ht="15.0" customHeight="1">
      <c r="A34" s="14" t="s">
        <v>413</v>
      </c>
      <c r="B34" s="17">
        <v>4.68</v>
      </c>
      <c r="C34" s="17">
        <v>6.45</v>
      </c>
      <c r="D34" s="17">
        <v>18.79</v>
      </c>
      <c r="E34" s="17">
        <v>21.42</v>
      </c>
      <c r="F34" s="17">
        <v>7.13</v>
      </c>
      <c r="G34" s="17">
        <v>5.47</v>
      </c>
      <c r="H34" s="17">
        <v>0.58</v>
      </c>
      <c r="I34" s="17">
        <v>6.91</v>
      </c>
      <c r="J34" s="17">
        <v>7.44</v>
      </c>
      <c r="K34" s="17">
        <v>1.25</v>
      </c>
      <c r="L34" s="17">
        <v>5.15</v>
      </c>
      <c r="M34" s="17">
        <v>69.85</v>
      </c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 ht="15.0" customHeight="1">
      <c r="A35" s="14" t="s">
        <v>422</v>
      </c>
      <c r="B35" s="18">
        <v>-9.36</v>
      </c>
      <c r="C35" s="18">
        <v>-14.27</v>
      </c>
      <c r="D35" s="17">
        <v>26.18</v>
      </c>
      <c r="E35" s="18">
        <v>-8.11</v>
      </c>
      <c r="F35" s="18">
        <v>-5.47</v>
      </c>
      <c r="G35" s="18">
        <v>-1.6</v>
      </c>
      <c r="H35" s="18">
        <v>-0.5</v>
      </c>
      <c r="I35" s="18">
        <v>-5.43</v>
      </c>
      <c r="J35" s="15"/>
      <c r="K35" s="15"/>
      <c r="L35" s="15"/>
      <c r="M35" s="15"/>
      <c r="N35" s="17">
        <v>9.19</v>
      </c>
      <c r="O35" s="17">
        <v>10.58</v>
      </c>
      <c r="P35" s="18">
        <v>-5.84</v>
      </c>
      <c r="Q35" s="18">
        <v>-4.77</v>
      </c>
      <c r="R35" s="18">
        <v>-16.15</v>
      </c>
      <c r="S35" s="17">
        <v>29.84</v>
      </c>
      <c r="T35" s="18">
        <v>-3.68</v>
      </c>
      <c r="U35" s="18">
        <v>-17.09</v>
      </c>
      <c r="V35" s="18">
        <v>-27.63</v>
      </c>
      <c r="W35" s="17">
        <v>4.54</v>
      </c>
    </row>
    <row r="36" ht="15.0" customHeight="1">
      <c r="A36" s="14" t="s">
        <v>423</v>
      </c>
      <c r="B36" s="15">
        <v>0.0</v>
      </c>
      <c r="C36" s="23">
        <v>-132.42</v>
      </c>
      <c r="D36" s="18">
        <v>-2.85</v>
      </c>
      <c r="E36" s="18">
        <v>-42.88</v>
      </c>
      <c r="F36" s="18">
        <v>-0.77</v>
      </c>
      <c r="G36" s="18">
        <v>-36.84</v>
      </c>
      <c r="H36" s="15"/>
      <c r="I36" s="15"/>
      <c r="J36" s="15"/>
      <c r="K36" s="23">
        <v>-280.66</v>
      </c>
      <c r="L36" s="18">
        <v>-49.03</v>
      </c>
      <c r="M36" s="23">
        <v>-271.84</v>
      </c>
      <c r="N36" s="15">
        <v>0.0</v>
      </c>
      <c r="O36" s="18">
        <v>-13.66</v>
      </c>
      <c r="P36" s="18">
        <v>-47.16</v>
      </c>
      <c r="Q36" s="15">
        <v>0.0</v>
      </c>
      <c r="R36" s="15">
        <v>0.0</v>
      </c>
      <c r="S36" s="23">
        <v>-339.81</v>
      </c>
      <c r="T36" s="23">
        <v>-998.4</v>
      </c>
      <c r="U36" s="23">
        <v>-129.87</v>
      </c>
      <c r="V36" s="23">
        <v>-295.51</v>
      </c>
      <c r="W36" s="15"/>
    </row>
    <row r="37" ht="15.0" customHeight="1">
      <c r="A37" s="14" t="s">
        <v>424</v>
      </c>
      <c r="B37" s="17">
        <v>11.7</v>
      </c>
      <c r="C37" s="17">
        <v>22.3</v>
      </c>
      <c r="D37" s="17">
        <v>5.98</v>
      </c>
      <c r="E37" s="16">
        <v>208.59</v>
      </c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 ht="15.0" customHeight="1">
      <c r="A38" s="14" t="s">
        <v>425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8">
        <v>-0.93</v>
      </c>
      <c r="N38" s="18">
        <v>-7.5</v>
      </c>
      <c r="O38" s="15"/>
      <c r="P38" s="15"/>
      <c r="Q38" s="15"/>
      <c r="R38" s="15"/>
      <c r="S38" s="15"/>
      <c r="T38" s="15"/>
      <c r="U38" s="15"/>
      <c r="V38" s="15"/>
      <c r="W38" s="15"/>
    </row>
    <row r="39" ht="15.0" customHeight="1">
      <c r="A39" s="14" t="s">
        <v>426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7">
        <v>15.47</v>
      </c>
      <c r="Q39" s="15">
        <v>0.0</v>
      </c>
      <c r="R39" s="15"/>
      <c r="S39" s="15">
        <v>0.0</v>
      </c>
      <c r="T39" s="16">
        <v>313.36</v>
      </c>
      <c r="U39" s="15"/>
      <c r="V39" s="15"/>
      <c r="W39" s="15"/>
    </row>
    <row r="40" ht="15.0" customHeight="1">
      <c r="A40" s="14" t="s">
        <v>427</v>
      </c>
      <c r="B40" s="15"/>
      <c r="C40" s="15"/>
      <c r="D40" s="15"/>
      <c r="E40" s="15"/>
      <c r="F40" s="15"/>
      <c r="G40" s="15"/>
      <c r="H40" s="15"/>
      <c r="I40" s="15"/>
      <c r="J40" s="17">
        <v>6.26</v>
      </c>
      <c r="K40" s="18">
        <v>-11.61</v>
      </c>
      <c r="L40" s="18">
        <v>-9.73</v>
      </c>
      <c r="M40" s="17">
        <v>9.82</v>
      </c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ht="15.0" customHeight="1">
      <c r="A41" s="14" t="s">
        <v>428</v>
      </c>
      <c r="B41" s="17">
        <v>1.17</v>
      </c>
      <c r="C41" s="18">
        <v>-0.01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 ht="15.0" customHeight="1">
      <c r="A42" s="19" t="s">
        <v>429</v>
      </c>
      <c r="B42" s="25">
        <v>-587.47</v>
      </c>
      <c r="C42" s="25">
        <v>-590.46</v>
      </c>
      <c r="D42" s="25">
        <v>-1205.85</v>
      </c>
      <c r="E42" s="25">
        <v>-1024.33</v>
      </c>
      <c r="F42" s="25">
        <v>-262.14</v>
      </c>
      <c r="G42" s="25">
        <v>-463.69</v>
      </c>
      <c r="H42" s="25">
        <v>-365.18</v>
      </c>
      <c r="I42" s="25">
        <v>-433.79</v>
      </c>
      <c r="J42" s="25">
        <v>-423.0</v>
      </c>
      <c r="K42" s="25">
        <v>-625.27</v>
      </c>
      <c r="L42" s="25">
        <v>-199.31</v>
      </c>
      <c r="M42" s="25">
        <v>-399.85</v>
      </c>
      <c r="N42" s="25">
        <v>-271.92</v>
      </c>
      <c r="O42" s="25">
        <v>-373.28</v>
      </c>
      <c r="P42" s="25">
        <v>-317.85</v>
      </c>
      <c r="Q42" s="25">
        <v>-321.81</v>
      </c>
      <c r="R42" s="25">
        <v>-298.38</v>
      </c>
      <c r="S42" s="25">
        <v>-848.84</v>
      </c>
      <c r="T42" s="25">
        <v>-1427.34</v>
      </c>
      <c r="U42" s="25">
        <v>-571.16</v>
      </c>
      <c r="V42" s="25">
        <v>-814.21</v>
      </c>
      <c r="W42" s="25">
        <v>-282.36</v>
      </c>
    </row>
    <row r="43" ht="15.0" customHeight="1">
      <c r="A43" s="14" t="s">
        <v>430</v>
      </c>
      <c r="B43" s="17">
        <v>70.22</v>
      </c>
      <c r="C43" s="17">
        <v>9.3</v>
      </c>
      <c r="D43" s="16">
        <v>570.37</v>
      </c>
      <c r="E43" s="16">
        <v>757.03</v>
      </c>
      <c r="F43" s="16">
        <v>1219.4</v>
      </c>
      <c r="G43" s="16">
        <v>396.76</v>
      </c>
      <c r="H43" s="17">
        <v>5.72</v>
      </c>
      <c r="I43" s="16">
        <v>336.05</v>
      </c>
      <c r="J43" s="15"/>
      <c r="K43" s="16">
        <v>1051.95</v>
      </c>
      <c r="L43" s="16">
        <v>269.75</v>
      </c>
      <c r="M43" s="15">
        <v>0.0</v>
      </c>
      <c r="N43" s="16">
        <v>390.43</v>
      </c>
      <c r="O43" s="16">
        <v>373.69</v>
      </c>
      <c r="P43" s="16">
        <v>389.61</v>
      </c>
      <c r="Q43" s="16">
        <v>326.63</v>
      </c>
      <c r="R43" s="16">
        <v>364.86</v>
      </c>
      <c r="S43" s="16">
        <v>1413.97</v>
      </c>
      <c r="T43" s="16">
        <v>2436.31</v>
      </c>
      <c r="U43" s="16">
        <v>802.3</v>
      </c>
      <c r="V43" s="16">
        <v>731.84</v>
      </c>
      <c r="W43" s="16">
        <v>107.08</v>
      </c>
    </row>
    <row r="44" ht="15.0" customHeight="1">
      <c r="A44" s="14" t="s">
        <v>431</v>
      </c>
      <c r="B44" s="23">
        <v>-392.04</v>
      </c>
      <c r="C44" s="18">
        <v>-30.75</v>
      </c>
      <c r="D44" s="23">
        <v>-299.13</v>
      </c>
      <c r="E44" s="23">
        <v>-273.58</v>
      </c>
      <c r="F44" s="23">
        <v>-911.34</v>
      </c>
      <c r="G44" s="23">
        <v>-447.34</v>
      </c>
      <c r="H44" s="18">
        <v>-36.15</v>
      </c>
      <c r="I44" s="23">
        <v>-540.43</v>
      </c>
      <c r="J44" s="18">
        <v>-50.97</v>
      </c>
      <c r="K44" s="23">
        <v>-820.04</v>
      </c>
      <c r="L44" s="23">
        <v>-364.99</v>
      </c>
      <c r="M44" s="23">
        <v>-436.72</v>
      </c>
      <c r="N44" s="23">
        <v>-486.44</v>
      </c>
      <c r="O44" s="23">
        <v>-295.95</v>
      </c>
      <c r="P44" s="23">
        <v>-500.16</v>
      </c>
      <c r="Q44" s="23">
        <v>-450.13</v>
      </c>
      <c r="R44" s="23">
        <v>-565.24</v>
      </c>
      <c r="S44" s="23">
        <v>-708.81</v>
      </c>
      <c r="T44" s="23">
        <v>-2339.77</v>
      </c>
      <c r="U44" s="23">
        <v>-530.86</v>
      </c>
      <c r="V44" s="23">
        <v>-153.56</v>
      </c>
      <c r="W44" s="23">
        <v>-238.73</v>
      </c>
    </row>
    <row r="45" ht="15.0" customHeight="1">
      <c r="A45" s="14" t="s">
        <v>432</v>
      </c>
      <c r="B45" s="15">
        <v>0.0</v>
      </c>
      <c r="C45" s="23">
        <v>-232.39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 ht="15.0" customHeight="1">
      <c r="A46" s="14" t="s">
        <v>433</v>
      </c>
      <c r="B46" s="17">
        <v>2.34</v>
      </c>
      <c r="C46" s="16">
        <v>244.26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 ht="15.0" customHeight="1">
      <c r="A47" s="14" t="s">
        <v>434</v>
      </c>
      <c r="B47" s="15"/>
      <c r="C47" s="15"/>
      <c r="D47" s="17">
        <v>3.06</v>
      </c>
      <c r="E47" s="17">
        <v>3.31</v>
      </c>
      <c r="F47" s="23">
        <v>-358.21</v>
      </c>
      <c r="G47" s="18">
        <v>-89.12</v>
      </c>
      <c r="H47" s="23">
        <v>-279.16</v>
      </c>
      <c r="I47" s="16">
        <v>325.17</v>
      </c>
      <c r="J47" s="17">
        <v>18.53</v>
      </c>
      <c r="K47" s="18">
        <v>-88.99</v>
      </c>
      <c r="L47" s="23">
        <v>-396.09</v>
      </c>
      <c r="M47" s="18">
        <v>-93.28</v>
      </c>
      <c r="N47" s="23">
        <v>-101.31</v>
      </c>
      <c r="O47" s="23">
        <v>-411.16</v>
      </c>
      <c r="P47" s="15"/>
      <c r="Q47" s="15"/>
      <c r="R47" s="15"/>
      <c r="S47" s="15"/>
      <c r="T47" s="15"/>
      <c r="U47" s="15"/>
      <c r="V47" s="15"/>
      <c r="W47" s="15"/>
    </row>
    <row r="48" ht="15.0" customHeight="1">
      <c r="A48" s="14" t="s">
        <v>435</v>
      </c>
      <c r="B48" s="23">
        <v>-243.41</v>
      </c>
      <c r="C48" s="23">
        <v>-221.24</v>
      </c>
      <c r="D48" s="23">
        <v>-235.72</v>
      </c>
      <c r="E48" s="23">
        <v>-186.93</v>
      </c>
      <c r="F48" s="23">
        <v>-148.51</v>
      </c>
      <c r="G48" s="23">
        <v>-128.01</v>
      </c>
      <c r="H48" s="23">
        <v>-114.01</v>
      </c>
      <c r="I48" s="23">
        <v>-141.69</v>
      </c>
      <c r="J48" s="23">
        <v>-122.38</v>
      </c>
      <c r="K48" s="23">
        <v>-104.61</v>
      </c>
      <c r="L48" s="23">
        <v>-100.74</v>
      </c>
      <c r="M48" s="18">
        <v>-51.76</v>
      </c>
      <c r="N48" s="18">
        <v>-48.37</v>
      </c>
      <c r="O48" s="18">
        <v>-42.09</v>
      </c>
      <c r="P48" s="18">
        <v>-54.85</v>
      </c>
      <c r="Q48" s="18">
        <v>-56.33</v>
      </c>
      <c r="R48" s="18">
        <v>-49.33</v>
      </c>
      <c r="S48" s="23">
        <v>-162.96</v>
      </c>
      <c r="T48" s="23">
        <v>-110.07</v>
      </c>
      <c r="U48" s="23">
        <v>-104.64</v>
      </c>
      <c r="V48" s="23">
        <v>-101.6</v>
      </c>
      <c r="W48" s="18">
        <v>-75.0</v>
      </c>
    </row>
    <row r="49" ht="15.0" customHeight="1">
      <c r="A49" s="14" t="s">
        <v>436</v>
      </c>
      <c r="B49" s="15"/>
      <c r="C49" s="15"/>
      <c r="D49" s="23">
        <v>-225.39</v>
      </c>
      <c r="E49" s="23">
        <v>-179.34</v>
      </c>
      <c r="F49" s="15"/>
      <c r="G49" s="18">
        <v>-1.18</v>
      </c>
      <c r="H49" s="18">
        <v>-3.13</v>
      </c>
      <c r="I49" s="18">
        <v>-6.53</v>
      </c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</row>
    <row r="50" ht="15.0" customHeight="1">
      <c r="A50" s="14" t="s">
        <v>437</v>
      </c>
      <c r="B50" s="15"/>
      <c r="C50" s="15"/>
      <c r="D50" s="18">
        <v>-10.34</v>
      </c>
      <c r="E50" s="18">
        <v>-7.59</v>
      </c>
      <c r="F50" s="15"/>
      <c r="G50" s="23">
        <v>-126.83</v>
      </c>
      <c r="H50" s="23">
        <v>-110.88</v>
      </c>
      <c r="I50" s="23">
        <v>-135.16</v>
      </c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ht="15.0" customHeight="1">
      <c r="A51" s="14" t="s">
        <v>438</v>
      </c>
      <c r="B51" s="15"/>
      <c r="C51" s="15">
        <v>0.0</v>
      </c>
      <c r="D51" s="18">
        <v>-12.33</v>
      </c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</row>
    <row r="52" ht="15.0" customHeight="1">
      <c r="A52" s="14" t="s">
        <v>439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>
        <v>0.0</v>
      </c>
      <c r="T52" s="16">
        <v>933.36</v>
      </c>
      <c r="U52" s="16">
        <v>168.12</v>
      </c>
      <c r="V52" s="15"/>
      <c r="W52" s="15"/>
    </row>
    <row r="53" ht="15.0" customHeight="1">
      <c r="A53" s="14" t="s">
        <v>440</v>
      </c>
      <c r="B53" s="15">
        <v>0.0</v>
      </c>
      <c r="C53" s="18">
        <v>-34.14</v>
      </c>
      <c r="D53" s="15"/>
      <c r="E53" s="15">
        <v>0.0</v>
      </c>
      <c r="F53" s="18">
        <v>-40.86</v>
      </c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ht="15.0" customHeight="1">
      <c r="A54" s="14" t="s">
        <v>441</v>
      </c>
      <c r="B54" s="15"/>
      <c r="C54" s="15">
        <v>0.0</v>
      </c>
      <c r="D54" s="17">
        <v>4.81</v>
      </c>
      <c r="E54" s="15">
        <v>0.0</v>
      </c>
      <c r="F54" s="17">
        <v>8.85</v>
      </c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ht="15.0" customHeight="1">
      <c r="A55" s="14" t="s">
        <v>442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8">
        <v>-6.69</v>
      </c>
      <c r="S55" s="18">
        <v>-7.96</v>
      </c>
      <c r="T55" s="15">
        <v>0.0</v>
      </c>
      <c r="U55" s="15"/>
      <c r="V55" s="15"/>
      <c r="W55" s="15"/>
    </row>
    <row r="56" ht="15.0" customHeight="1">
      <c r="A56" s="14" t="s">
        <v>443</v>
      </c>
      <c r="B56" s="23">
        <v>-124.05</v>
      </c>
      <c r="C56" s="23">
        <v>-110.78</v>
      </c>
      <c r="D56" s="23">
        <v>-119.64</v>
      </c>
      <c r="E56" s="18">
        <v>-94.56</v>
      </c>
      <c r="F56" s="18">
        <v>-96.82</v>
      </c>
      <c r="G56" s="23">
        <v>-100.93</v>
      </c>
      <c r="H56" s="18">
        <v>-83.68</v>
      </c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</row>
    <row r="57" ht="15.0" customHeight="1">
      <c r="A57" s="14" t="s">
        <v>444</v>
      </c>
      <c r="B57" s="15"/>
      <c r="C57" s="17">
        <v>0.01</v>
      </c>
      <c r="D57" s="18">
        <v>-0.01</v>
      </c>
      <c r="E57" s="17">
        <v>0.01</v>
      </c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ht="15.0" customHeight="1">
      <c r="A58" s="19" t="s">
        <v>445</v>
      </c>
      <c r="B58" s="25">
        <v>-686.94</v>
      </c>
      <c r="C58" s="25">
        <v>-375.73</v>
      </c>
      <c r="D58" s="24">
        <v>-88.59</v>
      </c>
      <c r="E58" s="21">
        <v>205.29</v>
      </c>
      <c r="F58" s="25">
        <v>-327.49</v>
      </c>
      <c r="G58" s="25">
        <v>-368.64</v>
      </c>
      <c r="H58" s="25">
        <v>-507.29</v>
      </c>
      <c r="I58" s="24">
        <v>-20.89</v>
      </c>
      <c r="J58" s="25">
        <v>-154.83</v>
      </c>
      <c r="K58" s="22">
        <v>38.3</v>
      </c>
      <c r="L58" s="25">
        <v>-592.07</v>
      </c>
      <c r="M58" s="25">
        <v>-581.77</v>
      </c>
      <c r="N58" s="25">
        <v>-245.69</v>
      </c>
      <c r="O58" s="25">
        <v>-375.52</v>
      </c>
      <c r="P58" s="25">
        <v>-165.4</v>
      </c>
      <c r="Q58" s="25">
        <v>-179.83</v>
      </c>
      <c r="R58" s="25">
        <v>-256.41</v>
      </c>
      <c r="S58" s="21">
        <v>534.24</v>
      </c>
      <c r="T58" s="21">
        <v>919.82</v>
      </c>
      <c r="U58" s="21">
        <v>334.92</v>
      </c>
      <c r="V58" s="21">
        <v>476.69</v>
      </c>
      <c r="W58" s="25">
        <v>-206.66</v>
      </c>
    </row>
    <row r="59" ht="15.0" customHeight="1">
      <c r="A59" s="14" t="s">
        <v>446</v>
      </c>
      <c r="B59" s="16">
        <v>129.9</v>
      </c>
      <c r="C59" s="16">
        <v>107.91</v>
      </c>
      <c r="D59" s="23">
        <v>-230.83</v>
      </c>
      <c r="E59" s="23">
        <v>-276.43</v>
      </c>
      <c r="F59" s="16">
        <v>306.54</v>
      </c>
      <c r="G59" s="16">
        <v>263.8</v>
      </c>
      <c r="H59" s="18">
        <v>-1.3</v>
      </c>
      <c r="I59" s="18">
        <v>-1.89</v>
      </c>
      <c r="J59" s="17">
        <v>24.03</v>
      </c>
      <c r="K59" s="17">
        <v>15.35</v>
      </c>
      <c r="L59" s="17">
        <v>2.26</v>
      </c>
      <c r="M59" s="23">
        <v>-211.22</v>
      </c>
      <c r="N59" s="16">
        <v>176.65</v>
      </c>
      <c r="O59" s="18">
        <v>-4.36</v>
      </c>
      <c r="P59" s="18">
        <v>-91.36</v>
      </c>
      <c r="Q59" s="15"/>
      <c r="R59" s="15"/>
      <c r="S59" s="15"/>
      <c r="T59" s="15"/>
      <c r="U59" s="15"/>
      <c r="V59" s="15"/>
      <c r="W59" s="15"/>
    </row>
    <row r="60" ht="15.0" customHeight="1">
      <c r="A60" s="14" t="s">
        <v>447</v>
      </c>
      <c r="B60" s="16">
        <v>235.1</v>
      </c>
      <c r="C60" s="16">
        <v>118.27</v>
      </c>
      <c r="D60" s="16">
        <v>346.84</v>
      </c>
      <c r="E60" s="16">
        <v>601.08</v>
      </c>
      <c r="F60" s="16">
        <v>266.07</v>
      </c>
      <c r="G60" s="17">
        <v>46.04</v>
      </c>
      <c r="H60" s="17">
        <v>39.19</v>
      </c>
      <c r="I60" s="17">
        <v>31.08</v>
      </c>
      <c r="J60" s="17">
        <v>45.2</v>
      </c>
      <c r="K60" s="17">
        <v>37.59</v>
      </c>
      <c r="L60" s="17">
        <v>32.49</v>
      </c>
      <c r="M60" s="16">
        <v>260.72</v>
      </c>
      <c r="N60" s="17">
        <v>54.66</v>
      </c>
      <c r="O60" s="17">
        <v>48.57</v>
      </c>
      <c r="P60" s="16">
        <v>143.36</v>
      </c>
      <c r="Q60" s="16">
        <v>274.91</v>
      </c>
      <c r="R60" s="16">
        <v>308.02</v>
      </c>
      <c r="S60" s="16">
        <v>345.53</v>
      </c>
      <c r="T60" s="16">
        <v>280.89</v>
      </c>
      <c r="U60" s="16">
        <v>143.6</v>
      </c>
      <c r="V60" s="16">
        <v>100.9</v>
      </c>
      <c r="W60" s="17">
        <v>81.79</v>
      </c>
    </row>
    <row r="61" ht="15.0" customHeight="1">
      <c r="A61" s="14" t="s">
        <v>448</v>
      </c>
      <c r="B61" s="16">
        <v>365.05</v>
      </c>
      <c r="C61" s="16">
        <v>234.29</v>
      </c>
      <c r="D61" s="16">
        <v>112.42</v>
      </c>
      <c r="E61" s="16">
        <v>325.11</v>
      </c>
      <c r="F61" s="16">
        <v>573.98</v>
      </c>
      <c r="G61" s="16">
        <v>278.42</v>
      </c>
      <c r="H61" s="17">
        <v>43.25</v>
      </c>
      <c r="I61" s="17">
        <v>39.45</v>
      </c>
      <c r="J61" s="17">
        <v>30.88</v>
      </c>
      <c r="K61" s="17">
        <v>41.69</v>
      </c>
      <c r="L61" s="17">
        <v>39.74</v>
      </c>
      <c r="M61" s="17">
        <v>30.59</v>
      </c>
      <c r="N61" s="16">
        <v>240.5</v>
      </c>
      <c r="O61" s="17">
        <v>48.12</v>
      </c>
      <c r="P61" s="17">
        <v>51.2</v>
      </c>
      <c r="Q61" s="16">
        <v>144.31</v>
      </c>
      <c r="R61" s="16">
        <v>292.77</v>
      </c>
      <c r="S61" s="16">
        <v>360.54</v>
      </c>
      <c r="T61" s="16">
        <v>282.2</v>
      </c>
      <c r="U61" s="16">
        <v>291.38</v>
      </c>
      <c r="V61" s="16">
        <v>139.41</v>
      </c>
      <c r="W61" s="16">
        <v>104.1</v>
      </c>
    </row>
    <row r="62" ht="15.0" customHeight="1">
      <c r="A62" s="14" t="s">
        <v>449</v>
      </c>
      <c r="B62" s="18">
        <v>-1.17</v>
      </c>
      <c r="C62" s="17">
        <v>6.66</v>
      </c>
      <c r="D62" s="18">
        <v>-8.25</v>
      </c>
      <c r="E62" s="17">
        <v>10.74</v>
      </c>
      <c r="F62" s="17">
        <v>5.99</v>
      </c>
      <c r="G62" s="18">
        <v>-25.95</v>
      </c>
      <c r="H62" s="17">
        <v>5.37</v>
      </c>
      <c r="I62" s="17">
        <v>10.0</v>
      </c>
      <c r="J62" s="18">
        <v>-37.6</v>
      </c>
      <c r="K62" s="18">
        <v>-11.16</v>
      </c>
      <c r="L62" s="17">
        <v>9.03</v>
      </c>
      <c r="M62" s="18">
        <v>-1.54</v>
      </c>
      <c r="N62" s="18">
        <v>-2.62</v>
      </c>
      <c r="O62" s="17">
        <v>3.89</v>
      </c>
      <c r="P62" s="18">
        <v>-1.46</v>
      </c>
      <c r="Q62" s="17">
        <v>9.75</v>
      </c>
      <c r="R62" s="18">
        <v>-0.04</v>
      </c>
      <c r="S62" s="17">
        <v>17.99</v>
      </c>
      <c r="T62" s="17">
        <v>3.9</v>
      </c>
      <c r="U62" s="18">
        <v>-2.76</v>
      </c>
      <c r="V62" s="17">
        <v>0.94</v>
      </c>
      <c r="W62" s="17">
        <v>16.09</v>
      </c>
    </row>
    <row r="63" ht="15.0" customHeight="1">
      <c r="A63" s="14" t="s">
        <v>450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8">
        <v>-0.02</v>
      </c>
    </row>
    <row r="64" ht="15.0" customHeight="1">
      <c r="A64" s="19" t="s">
        <v>446</v>
      </c>
      <c r="B64" s="21">
        <v>128.73</v>
      </c>
      <c r="C64" s="21">
        <v>114.57</v>
      </c>
      <c r="D64" s="25">
        <v>-239.08</v>
      </c>
      <c r="E64" s="25">
        <v>-265.69</v>
      </c>
      <c r="F64" s="21">
        <v>312.52</v>
      </c>
      <c r="G64" s="21">
        <v>237.85</v>
      </c>
      <c r="H64" s="22">
        <v>4.07</v>
      </c>
      <c r="I64" s="22">
        <v>8.11</v>
      </c>
      <c r="J64" s="24">
        <v>-13.57</v>
      </c>
      <c r="K64" s="22">
        <v>4.19</v>
      </c>
      <c r="L64" s="22">
        <v>6.76</v>
      </c>
      <c r="M64" s="25">
        <v>-212.76</v>
      </c>
      <c r="N64" s="21">
        <v>174.04</v>
      </c>
      <c r="O64" s="24">
        <v>-0.46</v>
      </c>
      <c r="P64" s="24">
        <v>-92.82</v>
      </c>
      <c r="Q64" s="25">
        <v>-134.21</v>
      </c>
      <c r="R64" s="24">
        <v>-16.04</v>
      </c>
      <c r="S64" s="22">
        <v>12.73</v>
      </c>
      <c r="T64" s="22">
        <v>1.32</v>
      </c>
      <c r="U64" s="21">
        <v>144.53</v>
      </c>
      <c r="V64" s="22">
        <v>38.63</v>
      </c>
      <c r="W64" s="22">
        <v>22.67</v>
      </c>
    </row>
    <row r="65" ht="15.0" customHeight="1">
      <c r="A65" s="14" t="s">
        <v>114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6">
        <v>389.8</v>
      </c>
      <c r="R65" s="16">
        <v>411.9</v>
      </c>
      <c r="S65" s="16">
        <v>372.78</v>
      </c>
      <c r="T65" s="15"/>
      <c r="U65" s="16">
        <v>263.38</v>
      </c>
      <c r="V65" s="16">
        <v>225.24</v>
      </c>
      <c r="W65" s="16">
        <v>211.53</v>
      </c>
    </row>
    <row r="66" ht="15.0" customHeight="1">
      <c r="A66" s="14" t="s">
        <v>451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23">
        <v>-339.81</v>
      </c>
      <c r="T66" s="23">
        <v>-998.4</v>
      </c>
      <c r="U66" s="23">
        <v>-129.87</v>
      </c>
      <c r="V66" s="23">
        <v>-295.51</v>
      </c>
      <c r="W66" s="15"/>
    </row>
    <row r="67" ht="15.0" customHeight="1">
      <c r="A67" s="14" t="s">
        <v>452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7">
        <v>22.31</v>
      </c>
      <c r="R67" s="17">
        <v>27.66</v>
      </c>
      <c r="S67" s="17">
        <v>22.3</v>
      </c>
      <c r="T67" s="15"/>
      <c r="U67" s="17">
        <v>28.38</v>
      </c>
      <c r="V67" s="17">
        <v>25.86</v>
      </c>
      <c r="W67" s="17">
        <v>22.46</v>
      </c>
    </row>
    <row r="68" ht="15.0" customHeight="1">
      <c r="A68" s="14" t="s">
        <v>453</v>
      </c>
      <c r="B68" s="16">
        <v>816.84</v>
      </c>
      <c r="C68" s="16">
        <v>483.38</v>
      </c>
      <c r="D68" s="23">
        <v>-142.59</v>
      </c>
      <c r="E68" s="23">
        <v>-481.47</v>
      </c>
      <c r="F68" s="16">
        <v>634.09</v>
      </c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454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46096.5221667593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455</v>
      </c>
      <c r="X11" s="7" t="s">
        <v>456</v>
      </c>
      <c r="Y11" s="7" t="s">
        <v>457</v>
      </c>
      <c r="Z11" s="7" t="s">
        <v>458</v>
      </c>
      <c r="AA11" s="7" t="s">
        <v>459</v>
      </c>
      <c r="AB11" s="7" t="s">
        <v>460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41274.0</v>
      </c>
      <c r="O13" s="9">
        <v>41274.0</v>
      </c>
      <c r="P13" s="9">
        <v>40543.0</v>
      </c>
      <c r="Q13" s="9">
        <v>40178.0</v>
      </c>
      <c r="R13" s="9">
        <v>40178.0</v>
      </c>
      <c r="S13" s="9">
        <v>39813.0</v>
      </c>
      <c r="T13" s="9">
        <v>39447.0</v>
      </c>
      <c r="U13" s="9">
        <v>38717.0</v>
      </c>
      <c r="V13" s="9">
        <v>38717.0</v>
      </c>
      <c r="W13" s="9">
        <v>38352.0</v>
      </c>
      <c r="X13" s="9">
        <v>37621.0</v>
      </c>
      <c r="Y13" s="9">
        <v>37256.0</v>
      </c>
      <c r="Z13" s="9">
        <v>36891.0</v>
      </c>
      <c r="AA13" s="9">
        <v>36525.0</v>
      </c>
      <c r="AB13" s="9">
        <v>36525.0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  <c r="X15" s="10" t="s">
        <v>46</v>
      </c>
      <c r="Y15" s="10" t="s">
        <v>46</v>
      </c>
      <c r="Z15" s="10" t="s">
        <v>45</v>
      </c>
      <c r="AA15" s="10" t="s">
        <v>45</v>
      </c>
      <c r="AB15" s="10" t="s">
        <v>45</v>
      </c>
    </row>
    <row r="16" ht="15.0" customHeight="1" outlineLevel="1">
      <c r="A16" s="8" t="s">
        <v>47</v>
      </c>
      <c r="B16" s="11">
        <v>11.6196062043841</v>
      </c>
      <c r="C16" s="11">
        <v>11.4074066677061</v>
      </c>
      <c r="D16" s="11">
        <v>10.0937655485784</v>
      </c>
      <c r="E16" s="11">
        <v>10.1616806527303</v>
      </c>
      <c r="F16" s="11">
        <v>10.7232185687186</v>
      </c>
      <c r="G16" s="11">
        <v>9.84490135990916</v>
      </c>
      <c r="H16" s="11">
        <v>9.60145435437055</v>
      </c>
      <c r="I16" s="11">
        <v>9.33022578261692</v>
      </c>
      <c r="J16" s="11">
        <v>9.28816641115982</v>
      </c>
      <c r="K16" s="11">
        <v>8.94466098775814</v>
      </c>
      <c r="L16" s="11">
        <v>8.35659675055938</v>
      </c>
      <c r="M16" s="11">
        <v>7.80859905975257</v>
      </c>
      <c r="N16" s="11">
        <v>7.47374398260313</v>
      </c>
      <c r="O16" s="11">
        <v>7.79215228480176</v>
      </c>
      <c r="P16" s="11">
        <v>8.00299252211314</v>
      </c>
      <c r="Q16" s="11">
        <v>8.72720674510825</v>
      </c>
      <c r="R16" s="11">
        <v>8.23552538429517</v>
      </c>
      <c r="S16" s="11">
        <v>8.01087507095134</v>
      </c>
      <c r="T16" s="11">
        <v>8.04391932700185</v>
      </c>
      <c r="U16" s="11">
        <v>8.00937083329727</v>
      </c>
      <c r="V16" s="11">
        <v>8.36734752948311</v>
      </c>
      <c r="W16" s="11">
        <v>8.00335438388101</v>
      </c>
      <c r="X16" s="11">
        <v>7.50729371376168</v>
      </c>
      <c r="Y16" s="11">
        <v>8.04299023015842</v>
      </c>
      <c r="Z16" s="11"/>
      <c r="AA16" s="11"/>
      <c r="AB16" s="11"/>
    </row>
    <row r="18">
      <c r="A18" s="12" t="s">
        <v>461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12" t="s">
        <v>49</v>
      </c>
      <c r="B19" s="13" t="s">
        <v>51</v>
      </c>
      <c r="C19" s="13" t="s">
        <v>52</v>
      </c>
      <c r="D19" s="13" t="s">
        <v>53</v>
      </c>
      <c r="E19" s="13" t="s">
        <v>54</v>
      </c>
      <c r="F19" s="13" t="s">
        <v>55</v>
      </c>
      <c r="G19" s="13" t="s">
        <v>56</v>
      </c>
      <c r="H19" s="13" t="s">
        <v>57</v>
      </c>
      <c r="I19" s="13" t="s">
        <v>58</v>
      </c>
      <c r="J19" s="13" t="s">
        <v>59</v>
      </c>
      <c r="K19" s="13" t="s">
        <v>60</v>
      </c>
      <c r="L19" s="13" t="s">
        <v>61</v>
      </c>
      <c r="M19" s="13" t="s">
        <v>62</v>
      </c>
      <c r="N19" s="13" t="s">
        <v>63</v>
      </c>
      <c r="O19" s="13" t="s">
        <v>64</v>
      </c>
      <c r="P19" s="13" t="s">
        <v>65</v>
      </c>
      <c r="Q19" s="13" t="s">
        <v>66</v>
      </c>
      <c r="R19" s="13" t="s">
        <v>67</v>
      </c>
      <c r="S19" s="13" t="s">
        <v>68</v>
      </c>
      <c r="T19" s="13" t="s">
        <v>69</v>
      </c>
      <c r="U19" s="13" t="s">
        <v>70</v>
      </c>
      <c r="V19" s="13" t="s">
        <v>71</v>
      </c>
      <c r="W19" s="13" t="s">
        <v>462</v>
      </c>
      <c r="X19" s="13" t="s">
        <v>463</v>
      </c>
      <c r="Y19" s="13" t="s">
        <v>464</v>
      </c>
      <c r="Z19" s="13" t="s">
        <v>465</v>
      </c>
      <c r="AA19" s="13" t="s">
        <v>466</v>
      </c>
      <c r="AB19" s="13" t="s">
        <v>467</v>
      </c>
    </row>
    <row r="20" ht="15.0" customHeight="1">
      <c r="A20" s="29" t="s">
        <v>468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</row>
    <row r="21" ht="15.0" customHeight="1">
      <c r="A21" s="31" t="s">
        <v>468</v>
      </c>
      <c r="B21" s="32">
        <v>6920.24</v>
      </c>
      <c r="C21" s="32">
        <v>6528.76</v>
      </c>
      <c r="D21" s="32">
        <v>5304.0</v>
      </c>
      <c r="E21" s="32">
        <v>4822.37</v>
      </c>
      <c r="F21" s="32">
        <v>5007.37</v>
      </c>
      <c r="G21" s="32">
        <v>5056.51</v>
      </c>
      <c r="H21" s="32">
        <v>4121.49</v>
      </c>
      <c r="I21" s="32">
        <v>5454.25</v>
      </c>
      <c r="J21" s="32">
        <v>4910.28</v>
      </c>
      <c r="K21" s="32">
        <v>3520.52</v>
      </c>
      <c r="L21" s="32">
        <v>3360.73</v>
      </c>
      <c r="M21" s="32">
        <v>3767.27</v>
      </c>
      <c r="N21" s="32">
        <v>3545.81</v>
      </c>
      <c r="O21" s="32">
        <v>3991.1</v>
      </c>
      <c r="P21" s="32">
        <v>4524.31</v>
      </c>
      <c r="Q21" s="32">
        <v>4952.49</v>
      </c>
      <c r="R21" s="32">
        <v>1738.93</v>
      </c>
      <c r="S21" s="32">
        <v>4832.17</v>
      </c>
      <c r="T21" s="32">
        <v>3663.06</v>
      </c>
      <c r="U21" s="32">
        <v>1680.85</v>
      </c>
      <c r="V21" s="32">
        <v>2088.22</v>
      </c>
      <c r="W21" s="32">
        <v>1733.67</v>
      </c>
      <c r="X21" s="32">
        <v>1212.81</v>
      </c>
      <c r="Y21" s="32">
        <v>995.78</v>
      </c>
      <c r="Z21" s="32">
        <v>975.64</v>
      </c>
      <c r="AA21" s="32">
        <v>996.21</v>
      </c>
      <c r="AB21" s="32">
        <v>724.13</v>
      </c>
    </row>
    <row r="22" ht="15.0" customHeight="1">
      <c r="A22" s="31" t="s">
        <v>469</v>
      </c>
      <c r="B22" s="32">
        <v>6206.77</v>
      </c>
      <c r="C22" s="32">
        <v>5733.7</v>
      </c>
      <c r="D22" s="32">
        <v>5022.79</v>
      </c>
      <c r="E22" s="32">
        <v>4892.61</v>
      </c>
      <c r="F22" s="32">
        <v>5243.51</v>
      </c>
      <c r="G22" s="32">
        <v>4706.42</v>
      </c>
      <c r="H22" s="32">
        <v>4457.06</v>
      </c>
      <c r="I22" s="32">
        <v>4499.46</v>
      </c>
      <c r="J22" s="32">
        <v>4021.05</v>
      </c>
      <c r="K22" s="32">
        <v>4203.47</v>
      </c>
      <c r="L22" s="32">
        <v>4345.04</v>
      </c>
      <c r="M22" s="32">
        <v>4383.92</v>
      </c>
      <c r="N22" s="32">
        <v>3458.75</v>
      </c>
      <c r="O22" s="32">
        <v>3841.3</v>
      </c>
      <c r="P22" s="32">
        <v>3756.89</v>
      </c>
      <c r="Q22" s="32">
        <v>3386.53</v>
      </c>
      <c r="R22" s="32">
        <v>3296.8</v>
      </c>
      <c r="S22" s="32">
        <v>2735.98</v>
      </c>
      <c r="T22" s="32">
        <v>2109.96</v>
      </c>
      <c r="U22" s="32">
        <v>1536.72</v>
      </c>
      <c r="V22" s="32">
        <v>1433.24</v>
      </c>
      <c r="W22" s="32">
        <v>1242.05</v>
      </c>
      <c r="X22" s="32">
        <v>893.43</v>
      </c>
      <c r="Y22" s="33"/>
      <c r="Z22" s="33"/>
      <c r="AA22" s="33"/>
      <c r="AB22" s="33"/>
    </row>
    <row r="23" ht="15.0" customHeight="1">
      <c r="A23" s="29" t="s">
        <v>470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</row>
    <row r="24" ht="15.0" customHeight="1">
      <c r="A24" s="31" t="s">
        <v>470</v>
      </c>
      <c r="B24" s="32">
        <v>3592.35</v>
      </c>
      <c r="C24" s="32">
        <v>3212.71</v>
      </c>
      <c r="D24" s="32">
        <v>2668.82</v>
      </c>
      <c r="E24" s="32">
        <v>3167.03</v>
      </c>
      <c r="F24" s="32">
        <v>2833.62</v>
      </c>
      <c r="G24" s="32">
        <v>2713.04</v>
      </c>
      <c r="H24" s="32">
        <v>1790.19</v>
      </c>
      <c r="I24" s="32">
        <v>3273.92</v>
      </c>
      <c r="J24" s="32">
        <v>2864.92</v>
      </c>
      <c r="K24" s="32">
        <v>1608.94</v>
      </c>
      <c r="L24" s="32">
        <v>1108.13</v>
      </c>
      <c r="M24" s="32">
        <v>1193.62</v>
      </c>
      <c r="N24" s="32">
        <v>850.9</v>
      </c>
      <c r="O24" s="32">
        <v>852.5</v>
      </c>
      <c r="P24" s="32">
        <v>1298.01</v>
      </c>
      <c r="Q24" s="32">
        <v>1698.75</v>
      </c>
      <c r="R24" s="32">
        <v>2085.51</v>
      </c>
      <c r="S24" s="32">
        <v>2547.53</v>
      </c>
      <c r="T24" s="32">
        <v>1898.08</v>
      </c>
      <c r="U24" s="32">
        <v>1658.89</v>
      </c>
      <c r="V24" s="32">
        <v>1075.08</v>
      </c>
      <c r="W24" s="32">
        <v>877.34</v>
      </c>
      <c r="X24" s="32">
        <v>359.86</v>
      </c>
      <c r="Y24" s="32">
        <v>307.14</v>
      </c>
      <c r="Z24" s="32">
        <v>227.77</v>
      </c>
      <c r="AA24" s="32">
        <v>256.76</v>
      </c>
      <c r="AB24" s="32">
        <v>170.3</v>
      </c>
    </row>
    <row r="25" ht="15.0" customHeight="1">
      <c r="A25" s="31" t="s">
        <v>471</v>
      </c>
      <c r="B25" s="32">
        <v>3374.53</v>
      </c>
      <c r="C25" s="32">
        <v>3141.45</v>
      </c>
      <c r="D25" s="32">
        <v>2721.22</v>
      </c>
      <c r="E25" s="32">
        <v>2754.66</v>
      </c>
      <c r="F25" s="32">
        <v>2880.8</v>
      </c>
      <c r="G25" s="32">
        <v>2503.53</v>
      </c>
      <c r="H25" s="32">
        <v>2217.22</v>
      </c>
      <c r="I25" s="32">
        <v>2129.31</v>
      </c>
      <c r="J25" s="32">
        <v>1570.48</v>
      </c>
      <c r="K25" s="32">
        <v>1266.17</v>
      </c>
      <c r="L25" s="32">
        <v>1190.49</v>
      </c>
      <c r="M25" s="32">
        <v>1235.31</v>
      </c>
      <c r="N25" s="32">
        <v>1192.62</v>
      </c>
      <c r="O25" s="32">
        <v>1574.9</v>
      </c>
      <c r="P25" s="32">
        <v>1773.13</v>
      </c>
      <c r="Q25" s="32">
        <v>1956.5</v>
      </c>
      <c r="R25" s="32">
        <v>2145.84</v>
      </c>
      <c r="S25" s="32">
        <v>1577.6</v>
      </c>
      <c r="T25" s="32">
        <v>1189.39</v>
      </c>
      <c r="U25" s="32">
        <v>847.67</v>
      </c>
      <c r="V25" s="32">
        <v>577.7</v>
      </c>
      <c r="W25" s="32">
        <v>422.96</v>
      </c>
      <c r="X25" s="32">
        <v>242.12</v>
      </c>
      <c r="Y25" s="33"/>
      <c r="Z25" s="33"/>
      <c r="AA25" s="33"/>
      <c r="AB25" s="33"/>
    </row>
    <row r="26" ht="15.0" customHeight="1">
      <c r="A26" s="29" t="s">
        <v>472</v>
      </c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</row>
    <row r="27" ht="15.0" customHeight="1">
      <c r="A27" s="31" t="s">
        <v>473</v>
      </c>
      <c r="B27" s="32">
        <v>127.08</v>
      </c>
      <c r="C27" s="32">
        <v>113.65</v>
      </c>
      <c r="D27" s="34">
        <v>94.41</v>
      </c>
      <c r="E27" s="32">
        <v>112.04</v>
      </c>
      <c r="F27" s="32">
        <v>100.24</v>
      </c>
      <c r="G27" s="34">
        <v>95.98</v>
      </c>
      <c r="H27" s="34">
        <v>63.33</v>
      </c>
      <c r="I27" s="32">
        <v>115.82</v>
      </c>
      <c r="J27" s="32">
        <v>101.35</v>
      </c>
      <c r="K27" s="34">
        <v>84.4</v>
      </c>
      <c r="L27" s="34">
        <v>58.13</v>
      </c>
      <c r="M27" s="34">
        <v>62.61</v>
      </c>
      <c r="N27" s="34">
        <v>44.63</v>
      </c>
      <c r="O27" s="34">
        <v>44.72</v>
      </c>
      <c r="P27" s="34">
        <v>68.09</v>
      </c>
      <c r="Q27" s="34">
        <v>89.11</v>
      </c>
      <c r="R27" s="32">
        <v>109.4</v>
      </c>
      <c r="S27" s="32">
        <v>133.63</v>
      </c>
      <c r="T27" s="32">
        <v>146.13</v>
      </c>
      <c r="U27" s="32">
        <v>139.53</v>
      </c>
      <c r="V27" s="34">
        <v>90.43</v>
      </c>
      <c r="W27" s="34">
        <v>73.8</v>
      </c>
      <c r="X27" s="34">
        <v>46.98</v>
      </c>
      <c r="Y27" s="34">
        <v>40.1</v>
      </c>
      <c r="Z27" s="34">
        <v>29.73</v>
      </c>
      <c r="AA27" s="34">
        <v>33.52</v>
      </c>
      <c r="AB27" s="34">
        <v>33.44</v>
      </c>
    </row>
    <row r="28" ht="15.0" customHeight="1">
      <c r="A28" s="31" t="s">
        <v>474</v>
      </c>
      <c r="B28" s="32">
        <v>119.38</v>
      </c>
      <c r="C28" s="32">
        <v>111.13</v>
      </c>
      <c r="D28" s="34">
        <v>96.27</v>
      </c>
      <c r="E28" s="34">
        <v>97.45</v>
      </c>
      <c r="F28" s="32">
        <v>101.91</v>
      </c>
      <c r="G28" s="34">
        <v>94.2</v>
      </c>
      <c r="H28" s="34">
        <v>88.26</v>
      </c>
      <c r="I28" s="34">
        <v>89.9</v>
      </c>
      <c r="J28" s="34">
        <v>72.59</v>
      </c>
      <c r="K28" s="34">
        <v>66.42</v>
      </c>
      <c r="L28" s="34">
        <v>62.45</v>
      </c>
      <c r="M28" s="34">
        <v>64.8</v>
      </c>
      <c r="N28" s="34">
        <v>62.56</v>
      </c>
      <c r="O28" s="34">
        <v>82.61</v>
      </c>
      <c r="P28" s="32">
        <v>101.83</v>
      </c>
      <c r="Q28" s="32">
        <v>122.93</v>
      </c>
      <c r="R28" s="32">
        <v>144.35</v>
      </c>
      <c r="S28" s="32">
        <v>113.96</v>
      </c>
      <c r="T28" s="32">
        <v>101.12</v>
      </c>
      <c r="U28" s="34">
        <v>77.83</v>
      </c>
      <c r="V28" s="34">
        <v>57.44</v>
      </c>
      <c r="W28" s="34">
        <v>47.07</v>
      </c>
      <c r="X28" s="34">
        <v>33.43</v>
      </c>
      <c r="Y28" s="33"/>
      <c r="Z28" s="33"/>
      <c r="AA28" s="33"/>
      <c r="AB28" s="33"/>
    </row>
    <row r="29" ht="15.0" customHeight="1">
      <c r="A29" s="29" t="s">
        <v>475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</row>
    <row r="30" ht="15.0" customHeight="1">
      <c r="A30" s="31" t="s">
        <v>476</v>
      </c>
      <c r="B30" s="35">
        <v>17.83</v>
      </c>
      <c r="C30" s="36">
        <v>-5.11</v>
      </c>
      <c r="D30" s="36">
        <v>-27.78</v>
      </c>
      <c r="E30" s="35">
        <v>10.51</v>
      </c>
      <c r="F30" s="35">
        <v>22.97</v>
      </c>
      <c r="G30" s="35">
        <v>17.89</v>
      </c>
      <c r="H30" s="35">
        <v>1.9</v>
      </c>
      <c r="I30" s="35">
        <v>3.67</v>
      </c>
      <c r="J30" s="35">
        <v>7.11</v>
      </c>
      <c r="K30" s="35">
        <v>15.58</v>
      </c>
      <c r="L30" s="35">
        <v>36.66</v>
      </c>
      <c r="M30" s="35">
        <v>23.76</v>
      </c>
      <c r="N30" s="35">
        <v>28.75</v>
      </c>
      <c r="O30" s="35">
        <v>9.89</v>
      </c>
      <c r="P30" s="35">
        <v>2.06</v>
      </c>
      <c r="Q30" s="35">
        <v>9.72</v>
      </c>
      <c r="R30" s="36">
        <v>-21.7</v>
      </c>
      <c r="S30" s="36">
        <v>-34.82</v>
      </c>
      <c r="T30" s="36">
        <v>-5.47</v>
      </c>
      <c r="U30" s="36">
        <v>-13.93</v>
      </c>
      <c r="V30" s="35">
        <v>10.77</v>
      </c>
      <c r="W30" s="35">
        <v>1.65</v>
      </c>
      <c r="X30" s="36">
        <v>-27.62</v>
      </c>
      <c r="Y30" s="35">
        <v>13.8</v>
      </c>
      <c r="Z30" s="35">
        <v>4.01</v>
      </c>
      <c r="AA30" s="36">
        <v>-41.47</v>
      </c>
      <c r="AB30" s="35">
        <v>11.25</v>
      </c>
    </row>
    <row r="31" ht="15.0" customHeight="1">
      <c r="A31" s="31" t="s">
        <v>477</v>
      </c>
      <c r="B31" s="35">
        <v>4.49</v>
      </c>
      <c r="C31" s="35">
        <v>4.22</v>
      </c>
      <c r="D31" s="35">
        <v>5.96</v>
      </c>
      <c r="E31" s="35">
        <v>11.65</v>
      </c>
      <c r="F31" s="35">
        <v>10.87</v>
      </c>
      <c r="G31" s="35">
        <v>9.32</v>
      </c>
      <c r="H31" s="35">
        <v>11.39</v>
      </c>
      <c r="I31" s="35">
        <v>14.76</v>
      </c>
      <c r="J31" s="35">
        <v>20.15</v>
      </c>
      <c r="K31" s="35">
        <v>22.64</v>
      </c>
      <c r="L31" s="35">
        <v>19.23</v>
      </c>
      <c r="M31" s="35">
        <v>13.71</v>
      </c>
      <c r="N31" s="35">
        <v>2.58</v>
      </c>
      <c r="O31" s="36">
        <v>-12.21</v>
      </c>
      <c r="P31" s="36">
        <v>-12.33</v>
      </c>
      <c r="Q31" s="36">
        <v>-14.41</v>
      </c>
      <c r="R31" s="36">
        <v>-14.17</v>
      </c>
      <c r="S31" s="36">
        <v>-11.06</v>
      </c>
      <c r="T31" s="36">
        <v>-6.28</v>
      </c>
      <c r="U31" s="36">
        <v>-4.51</v>
      </c>
      <c r="V31" s="35">
        <v>1.1</v>
      </c>
      <c r="W31" s="36">
        <v>-9.0</v>
      </c>
      <c r="X31" s="36">
        <v>-9.78</v>
      </c>
      <c r="Y31" s="35"/>
      <c r="Z31" s="35"/>
      <c r="AA31" s="35"/>
      <c r="AB31" s="35"/>
    </row>
    <row r="32" ht="15.0" customHeight="1">
      <c r="A32" s="29" t="s">
        <v>478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</row>
    <row r="33" ht="15.0" customHeight="1">
      <c r="A33" s="31" t="s">
        <v>479</v>
      </c>
      <c r="B33" s="35">
        <v>2.78</v>
      </c>
      <c r="C33" s="35">
        <v>6.89</v>
      </c>
      <c r="D33" s="35">
        <v>7.0</v>
      </c>
      <c r="E33" s="35">
        <v>4.47</v>
      </c>
      <c r="F33" s="35">
        <v>4.39</v>
      </c>
      <c r="G33" s="35">
        <v>4.1</v>
      </c>
      <c r="H33" s="35">
        <v>7.82</v>
      </c>
      <c r="I33" s="35">
        <v>3.91</v>
      </c>
      <c r="J33" s="35">
        <v>3.58</v>
      </c>
      <c r="K33" s="35">
        <v>4.55</v>
      </c>
      <c r="L33" s="35">
        <v>3.42</v>
      </c>
      <c r="M33" s="35">
        <v>2.93</v>
      </c>
      <c r="N33" s="35"/>
      <c r="O33" s="35">
        <v>3.48</v>
      </c>
      <c r="P33" s="35">
        <v>2.3</v>
      </c>
      <c r="Q33" s="35">
        <v>1.5</v>
      </c>
      <c r="R33" s="35">
        <v>4.99</v>
      </c>
      <c r="S33" s="35">
        <v>2.84</v>
      </c>
      <c r="T33" s="35">
        <v>2.69</v>
      </c>
      <c r="U33" s="35"/>
      <c r="V33" s="35">
        <v>5.42</v>
      </c>
      <c r="W33" s="35">
        <v>4.18</v>
      </c>
      <c r="X33" s="35">
        <v>5.68</v>
      </c>
      <c r="Y33" s="35">
        <v>4.33</v>
      </c>
      <c r="Z33" s="35">
        <v>6.05</v>
      </c>
      <c r="AA33" s="35">
        <v>5.25</v>
      </c>
      <c r="AB33" s="35">
        <v>5.83</v>
      </c>
    </row>
    <row r="34" ht="15.0" customHeight="1">
      <c r="A34" s="31" t="s">
        <v>480</v>
      </c>
      <c r="B34" s="35">
        <v>5.03</v>
      </c>
      <c r="C34" s="35">
        <v>5.33</v>
      </c>
      <c r="D34" s="35">
        <v>5.34</v>
      </c>
      <c r="E34" s="35">
        <v>4.68</v>
      </c>
      <c r="F34" s="35">
        <v>4.48</v>
      </c>
      <c r="G34" s="35">
        <v>4.51</v>
      </c>
      <c r="H34" s="35">
        <v>4.45</v>
      </c>
      <c r="I34" s="35">
        <v>3.72</v>
      </c>
      <c r="J34" s="35"/>
      <c r="K34" s="35"/>
      <c r="L34" s="35"/>
      <c r="M34" s="35"/>
      <c r="N34" s="35"/>
      <c r="O34" s="35">
        <v>3.0</v>
      </c>
      <c r="P34" s="35">
        <v>2.88</v>
      </c>
      <c r="Q34" s="35"/>
      <c r="R34" s="35"/>
      <c r="S34" s="35"/>
      <c r="T34" s="35"/>
      <c r="U34" s="35"/>
      <c r="V34" s="35">
        <v>5.06</v>
      </c>
      <c r="W34" s="35">
        <v>4.95</v>
      </c>
      <c r="X34" s="35">
        <v>5.39</v>
      </c>
      <c r="Y34" s="35"/>
      <c r="Z34" s="35"/>
      <c r="AA34" s="35"/>
      <c r="AB34" s="35"/>
    </row>
    <row r="35" ht="15.0" customHeight="1">
      <c r="A35" s="31" t="s">
        <v>481</v>
      </c>
      <c r="B35" s="35">
        <v>2.78</v>
      </c>
      <c r="C35" s="35">
        <v>6.89</v>
      </c>
      <c r="D35" s="35">
        <v>7.0</v>
      </c>
      <c r="E35" s="35">
        <v>4.47</v>
      </c>
      <c r="F35" s="35">
        <v>4.39</v>
      </c>
      <c r="G35" s="35">
        <v>4.1</v>
      </c>
      <c r="H35" s="35">
        <v>7.82</v>
      </c>
      <c r="I35" s="35">
        <v>3.91</v>
      </c>
      <c r="J35" s="35">
        <v>3.58</v>
      </c>
      <c r="K35" s="35">
        <v>4.55</v>
      </c>
      <c r="L35" s="35">
        <v>3.42</v>
      </c>
      <c r="M35" s="35">
        <v>2.93</v>
      </c>
      <c r="N35" s="35">
        <v>3.29</v>
      </c>
      <c r="O35" s="35">
        <v>4.33</v>
      </c>
      <c r="P35" s="35">
        <v>2.86</v>
      </c>
      <c r="Q35" s="35">
        <v>1.86</v>
      </c>
      <c r="R35" s="35">
        <v>6.21</v>
      </c>
      <c r="S35" s="35">
        <v>3.53</v>
      </c>
      <c r="T35" s="35">
        <v>3.35</v>
      </c>
      <c r="U35" s="35">
        <v>3.4</v>
      </c>
      <c r="V35" s="35">
        <v>3.87</v>
      </c>
      <c r="W35" s="35">
        <v>4.18</v>
      </c>
      <c r="X35" s="35">
        <v>5.68</v>
      </c>
      <c r="Y35" s="35">
        <v>4.33</v>
      </c>
      <c r="Z35" s="35">
        <v>6.05</v>
      </c>
      <c r="AA35" s="35">
        <v>5.25</v>
      </c>
      <c r="AB35" s="35">
        <v>5.83</v>
      </c>
    </row>
    <row r="36" ht="15.0" customHeight="1">
      <c r="A36" s="31" t="s">
        <v>482</v>
      </c>
      <c r="B36" s="35">
        <v>5.03</v>
      </c>
      <c r="C36" s="35">
        <v>5.33</v>
      </c>
      <c r="D36" s="35">
        <v>5.34</v>
      </c>
      <c r="E36" s="35">
        <v>4.68</v>
      </c>
      <c r="F36" s="35">
        <v>4.48</v>
      </c>
      <c r="G36" s="35">
        <v>4.51</v>
      </c>
      <c r="H36" s="35">
        <v>4.45</v>
      </c>
      <c r="I36" s="35">
        <v>3.72</v>
      </c>
      <c r="J36" s="35">
        <v>3.6</v>
      </c>
      <c r="K36" s="35">
        <v>3.73</v>
      </c>
      <c r="L36" s="35">
        <v>3.3</v>
      </c>
      <c r="M36" s="35">
        <v>2.88</v>
      </c>
      <c r="N36" s="35">
        <v>3.75</v>
      </c>
      <c r="O36" s="35">
        <v>3.74</v>
      </c>
      <c r="P36" s="35">
        <v>3.58</v>
      </c>
      <c r="Q36" s="35">
        <v>3.62</v>
      </c>
      <c r="R36" s="35">
        <v>3.91</v>
      </c>
      <c r="S36" s="35">
        <v>3.59</v>
      </c>
      <c r="T36" s="35">
        <v>3.82</v>
      </c>
      <c r="U36" s="35">
        <v>4.05</v>
      </c>
      <c r="V36" s="35">
        <v>4.57</v>
      </c>
      <c r="W36" s="35">
        <v>4.95</v>
      </c>
      <c r="X36" s="35">
        <v>5.39</v>
      </c>
      <c r="Y36" s="35"/>
      <c r="Z36" s="35"/>
      <c r="AA36" s="35"/>
      <c r="AB36" s="35"/>
    </row>
    <row r="37" ht="15.0" customHeight="1">
      <c r="A37" s="29" t="s">
        <v>483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</row>
    <row r="38" ht="15.0" customHeight="1">
      <c r="A38" s="31" t="s">
        <v>484</v>
      </c>
      <c r="B38" s="34">
        <v>0.76</v>
      </c>
      <c r="C38" s="34">
        <v>0.74</v>
      </c>
      <c r="D38" s="34">
        <v>0.57</v>
      </c>
      <c r="E38" s="34">
        <v>0.69</v>
      </c>
      <c r="F38" s="34">
        <v>0.64</v>
      </c>
      <c r="G38" s="34">
        <v>0.65</v>
      </c>
      <c r="H38" s="34">
        <v>0.43</v>
      </c>
      <c r="I38" s="34">
        <v>0.79</v>
      </c>
      <c r="J38" s="34">
        <v>0.77</v>
      </c>
      <c r="K38" s="34">
        <v>0.62</v>
      </c>
      <c r="L38" s="34">
        <v>0.45</v>
      </c>
      <c r="M38" s="34">
        <v>0.52</v>
      </c>
      <c r="N38" s="34">
        <v>0.4</v>
      </c>
      <c r="O38" s="34">
        <v>0.39</v>
      </c>
      <c r="P38" s="34">
        <v>0.56</v>
      </c>
      <c r="Q38" s="34">
        <v>0.7</v>
      </c>
      <c r="R38" s="34">
        <v>0.73</v>
      </c>
      <c r="S38" s="34">
        <v>1.0</v>
      </c>
      <c r="T38" s="34">
        <v>1.34</v>
      </c>
      <c r="U38" s="34">
        <v>1.45</v>
      </c>
      <c r="V38" s="34">
        <v>0.95</v>
      </c>
      <c r="W38" s="34">
        <v>0.83</v>
      </c>
      <c r="X38" s="34">
        <v>0.63</v>
      </c>
      <c r="Y38" s="34">
        <v>0.51</v>
      </c>
      <c r="Z38" s="34">
        <v>0.37</v>
      </c>
      <c r="AA38" s="34">
        <v>0.43</v>
      </c>
      <c r="AB38" s="34">
        <v>0.43</v>
      </c>
    </row>
    <row r="39" ht="15.0" customHeight="1">
      <c r="A39" s="31" t="s">
        <v>485</v>
      </c>
      <c r="B39" s="34">
        <v>0.67</v>
      </c>
      <c r="C39" s="34">
        <v>0.66</v>
      </c>
      <c r="D39" s="34">
        <v>0.6</v>
      </c>
      <c r="E39" s="34">
        <v>0.64</v>
      </c>
      <c r="F39" s="34">
        <v>0.66</v>
      </c>
      <c r="G39" s="34">
        <v>0.65</v>
      </c>
      <c r="H39" s="34">
        <v>0.61</v>
      </c>
      <c r="I39" s="34">
        <v>0.63</v>
      </c>
      <c r="J39" s="34">
        <v>0.55</v>
      </c>
      <c r="K39" s="34">
        <v>0.47</v>
      </c>
      <c r="L39" s="34">
        <v>0.46</v>
      </c>
      <c r="M39" s="34">
        <v>0.51</v>
      </c>
      <c r="N39" s="34">
        <v>0.56</v>
      </c>
      <c r="O39" s="34">
        <v>0.68</v>
      </c>
      <c r="P39" s="34">
        <v>0.85</v>
      </c>
      <c r="Q39" s="34">
        <v>1.02</v>
      </c>
      <c r="R39" s="34">
        <v>1.08</v>
      </c>
      <c r="S39" s="34">
        <v>1.12</v>
      </c>
      <c r="T39" s="34">
        <v>1.06</v>
      </c>
      <c r="U39" s="34">
        <v>0.9</v>
      </c>
      <c r="V39" s="34">
        <v>0.67</v>
      </c>
      <c r="W39" s="34">
        <v>0.56</v>
      </c>
      <c r="X39" s="34">
        <v>0.48</v>
      </c>
      <c r="Y39" s="33"/>
      <c r="Z39" s="33"/>
      <c r="AA39" s="33"/>
      <c r="AB39" s="33"/>
    </row>
    <row r="40" ht="15.0" customHeight="1">
      <c r="A40" s="29" t="s">
        <v>486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</row>
    <row r="41" ht="15.0" customHeight="1">
      <c r="A41" s="31" t="s">
        <v>487</v>
      </c>
      <c r="B41" s="34">
        <v>1.17</v>
      </c>
      <c r="C41" s="34">
        <v>1.13</v>
      </c>
      <c r="D41" s="34">
        <v>0.95</v>
      </c>
      <c r="E41" s="34">
        <v>1.47</v>
      </c>
      <c r="F41" s="34">
        <v>1.55</v>
      </c>
      <c r="G41" s="34">
        <v>1.57</v>
      </c>
      <c r="H41" s="34">
        <v>1.08</v>
      </c>
      <c r="I41" s="34">
        <v>2.04</v>
      </c>
      <c r="J41" s="34">
        <v>2.15</v>
      </c>
      <c r="K41" s="34">
        <v>1.52</v>
      </c>
      <c r="L41" s="34">
        <v>1.11</v>
      </c>
      <c r="M41" s="34">
        <v>1.27</v>
      </c>
      <c r="N41" s="34">
        <v>0.94</v>
      </c>
      <c r="O41" s="34">
        <v>0.9</v>
      </c>
      <c r="P41" s="34">
        <v>1.17</v>
      </c>
      <c r="Q41" s="34">
        <v>2.09</v>
      </c>
      <c r="R41" s="34">
        <v>1.5</v>
      </c>
      <c r="S41" s="34">
        <v>1.35</v>
      </c>
      <c r="T41" s="34">
        <v>2.17</v>
      </c>
      <c r="U41" s="34">
        <v>1.53</v>
      </c>
      <c r="V41" s="34">
        <v>1.18</v>
      </c>
      <c r="W41" s="34">
        <v>1.05</v>
      </c>
      <c r="X41" s="34">
        <v>0.79</v>
      </c>
      <c r="Y41" s="34">
        <v>0.61</v>
      </c>
      <c r="Z41" s="34">
        <v>0.42</v>
      </c>
      <c r="AA41" s="34">
        <v>0.51</v>
      </c>
      <c r="AB41" s="34">
        <v>0.54</v>
      </c>
    </row>
    <row r="42" ht="15.0" customHeight="1">
      <c r="A42" s="31" t="s">
        <v>488</v>
      </c>
      <c r="B42" s="34">
        <v>1.22</v>
      </c>
      <c r="C42" s="34">
        <v>1.29</v>
      </c>
      <c r="D42" s="34">
        <v>1.3</v>
      </c>
      <c r="E42" s="34">
        <v>1.54</v>
      </c>
      <c r="F42" s="34">
        <v>1.66</v>
      </c>
      <c r="G42" s="34">
        <v>1.66</v>
      </c>
      <c r="H42" s="34">
        <v>1.57</v>
      </c>
      <c r="I42" s="34">
        <v>1.6</v>
      </c>
      <c r="J42" s="34">
        <v>1.37</v>
      </c>
      <c r="K42" s="34">
        <v>1.14</v>
      </c>
      <c r="L42" s="34">
        <v>1.08</v>
      </c>
      <c r="M42" s="34">
        <v>1.24</v>
      </c>
      <c r="N42" s="34">
        <v>1.29</v>
      </c>
      <c r="O42" s="34">
        <v>1.37</v>
      </c>
      <c r="P42" s="34">
        <v>1.6</v>
      </c>
      <c r="Q42" s="34">
        <v>1.66</v>
      </c>
      <c r="R42" s="34">
        <v>1.52</v>
      </c>
      <c r="S42" s="34">
        <v>1.44</v>
      </c>
      <c r="T42" s="34">
        <v>1.35</v>
      </c>
      <c r="U42" s="34">
        <v>1.07</v>
      </c>
      <c r="V42" s="34">
        <v>0.82</v>
      </c>
      <c r="W42" s="34">
        <v>0.67</v>
      </c>
      <c r="X42" s="34">
        <v>0.57</v>
      </c>
      <c r="Y42" s="33"/>
      <c r="Z42" s="33"/>
      <c r="AA42" s="33"/>
      <c r="AB42" s="33"/>
    </row>
    <row r="43" ht="15.0" customHeight="1">
      <c r="A43" s="29" t="s">
        <v>489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</row>
    <row r="44" ht="15.0" customHeight="1">
      <c r="A44" s="31" t="s">
        <v>490</v>
      </c>
      <c r="B44" s="34">
        <v>0.17</v>
      </c>
      <c r="C44" s="34">
        <v>0.16</v>
      </c>
      <c r="D44" s="34">
        <v>0.15</v>
      </c>
      <c r="E44" s="34">
        <v>0.2</v>
      </c>
      <c r="F44" s="34">
        <v>0.18</v>
      </c>
      <c r="G44" s="34">
        <v>0.19</v>
      </c>
      <c r="H44" s="34">
        <v>0.13</v>
      </c>
      <c r="I44" s="34">
        <v>0.23</v>
      </c>
      <c r="J44" s="34">
        <v>0.23</v>
      </c>
      <c r="K44" s="34">
        <v>0.18</v>
      </c>
      <c r="L44" s="34">
        <v>0.13</v>
      </c>
      <c r="M44" s="34">
        <v>0.15</v>
      </c>
      <c r="N44" s="34">
        <v>0.13</v>
      </c>
      <c r="O44" s="34">
        <v>0.13</v>
      </c>
      <c r="P44" s="34">
        <v>0.19</v>
      </c>
      <c r="Q44" s="34">
        <v>0.23</v>
      </c>
      <c r="R44" s="34">
        <v>0.23</v>
      </c>
      <c r="S44" s="34">
        <v>0.35</v>
      </c>
      <c r="T44" s="34">
        <v>0.35</v>
      </c>
      <c r="U44" s="34">
        <v>0.38</v>
      </c>
      <c r="V44" s="34">
        <v>0.28</v>
      </c>
      <c r="W44" s="34">
        <v>0.24</v>
      </c>
      <c r="X44" s="34">
        <v>0.15</v>
      </c>
      <c r="Y44" s="34">
        <v>0.13</v>
      </c>
      <c r="Z44" s="34">
        <v>0.1</v>
      </c>
      <c r="AA44" s="34">
        <v>0.13</v>
      </c>
      <c r="AB44" s="34">
        <v>0.12</v>
      </c>
    </row>
    <row r="45" ht="15.0" customHeight="1">
      <c r="A45" s="31" t="s">
        <v>491</v>
      </c>
      <c r="B45" s="34">
        <v>0.17</v>
      </c>
      <c r="C45" s="34">
        <v>0.18</v>
      </c>
      <c r="D45" s="34">
        <v>0.17</v>
      </c>
      <c r="E45" s="34">
        <v>0.19</v>
      </c>
      <c r="F45" s="34">
        <v>0.19</v>
      </c>
      <c r="G45" s="34">
        <v>0.19</v>
      </c>
      <c r="H45" s="34">
        <v>0.18</v>
      </c>
      <c r="I45" s="34">
        <v>0.18</v>
      </c>
      <c r="J45" s="34">
        <v>0.16</v>
      </c>
      <c r="K45" s="34">
        <v>0.14</v>
      </c>
      <c r="L45" s="34">
        <v>0.14</v>
      </c>
      <c r="M45" s="34">
        <v>0.16</v>
      </c>
      <c r="N45" s="34">
        <v>0.18</v>
      </c>
      <c r="O45" s="34">
        <v>0.23</v>
      </c>
      <c r="P45" s="34">
        <v>0.27</v>
      </c>
      <c r="Q45" s="34">
        <v>0.31</v>
      </c>
      <c r="R45" s="34">
        <v>0.32</v>
      </c>
      <c r="S45" s="34">
        <v>0.32</v>
      </c>
      <c r="T45" s="34">
        <v>0.29</v>
      </c>
      <c r="U45" s="34">
        <v>0.24</v>
      </c>
      <c r="V45" s="34">
        <v>0.18</v>
      </c>
      <c r="W45" s="34">
        <v>0.15</v>
      </c>
      <c r="X45" s="34">
        <v>0.13</v>
      </c>
      <c r="Y45" s="33"/>
      <c r="Z45" s="33"/>
      <c r="AA45" s="33"/>
      <c r="AB45" s="33"/>
    </row>
    <row r="46" ht="15.0" customHeight="1">
      <c r="A46" s="29" t="s">
        <v>492</v>
      </c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</row>
    <row r="47" ht="15.0" customHeight="1">
      <c r="A47" s="31" t="s">
        <v>493</v>
      </c>
      <c r="B47" s="34">
        <v>5.61</v>
      </c>
      <c r="C47" s="33"/>
      <c r="D47" s="33"/>
      <c r="E47" s="34">
        <v>9.52</v>
      </c>
      <c r="F47" s="34">
        <v>4.35</v>
      </c>
      <c r="G47" s="34">
        <v>5.59</v>
      </c>
      <c r="H47" s="34">
        <v>52.69</v>
      </c>
      <c r="I47" s="34">
        <v>27.24</v>
      </c>
      <c r="J47" s="34">
        <v>14.07</v>
      </c>
      <c r="K47" s="34">
        <v>6.42</v>
      </c>
      <c r="L47" s="34">
        <v>2.73</v>
      </c>
      <c r="M47" s="34">
        <v>4.21</v>
      </c>
      <c r="N47" s="34">
        <v>3.48</v>
      </c>
      <c r="O47" s="34">
        <v>10.11</v>
      </c>
      <c r="P47" s="34">
        <v>48.48</v>
      </c>
      <c r="Q47" s="34">
        <v>10.29</v>
      </c>
      <c r="R47" s="33"/>
      <c r="S47" s="33"/>
      <c r="T47" s="33"/>
      <c r="U47" s="33"/>
      <c r="V47" s="34">
        <v>9.28</v>
      </c>
      <c r="W47" s="34">
        <v>60.54</v>
      </c>
      <c r="X47" s="33"/>
      <c r="Y47" s="34">
        <v>7.25</v>
      </c>
      <c r="Z47" s="34">
        <v>24.95</v>
      </c>
      <c r="AA47" s="33"/>
      <c r="AB47" s="34">
        <v>8.89</v>
      </c>
    </row>
    <row r="48" ht="15.0" customHeight="1">
      <c r="A48" s="31" t="s">
        <v>494</v>
      </c>
      <c r="B48" s="34">
        <v>22.25</v>
      </c>
      <c r="C48" s="34">
        <v>23.68</v>
      </c>
      <c r="D48" s="34">
        <v>16.76</v>
      </c>
      <c r="E48" s="34">
        <v>8.58</v>
      </c>
      <c r="F48" s="34">
        <v>9.2</v>
      </c>
      <c r="G48" s="34">
        <v>10.73</v>
      </c>
      <c r="H48" s="34">
        <v>8.78</v>
      </c>
      <c r="I48" s="34">
        <v>6.78</v>
      </c>
      <c r="J48" s="34">
        <v>4.96</v>
      </c>
      <c r="K48" s="34">
        <v>4.42</v>
      </c>
      <c r="L48" s="34">
        <v>5.2</v>
      </c>
      <c r="M48" s="34">
        <v>7.29</v>
      </c>
      <c r="N48" s="34">
        <v>38.8</v>
      </c>
      <c r="O48" s="33"/>
      <c r="P48" s="33"/>
      <c r="Q48" s="33"/>
      <c r="R48" s="33"/>
      <c r="S48" s="33"/>
      <c r="T48" s="33"/>
      <c r="U48" s="33"/>
      <c r="V48" s="34">
        <v>91.27</v>
      </c>
      <c r="W48" s="33"/>
      <c r="X48" s="33"/>
      <c r="Y48" s="33"/>
      <c r="Z48" s="33"/>
      <c r="AA48" s="33"/>
      <c r="AB48" s="33"/>
    </row>
    <row r="49" ht="15.0" customHeight="1">
      <c r="A49" s="29" t="s">
        <v>495</v>
      </c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</row>
    <row r="50" ht="15.0" customHeight="1">
      <c r="A50" s="31" t="s">
        <v>496</v>
      </c>
      <c r="B50" s="34">
        <v>2.92</v>
      </c>
      <c r="C50" s="34">
        <v>7.05</v>
      </c>
      <c r="D50" s="34">
        <v>5.21</v>
      </c>
      <c r="E50" s="34">
        <v>6.18</v>
      </c>
      <c r="F50" s="34">
        <v>3.35</v>
      </c>
      <c r="G50" s="34">
        <v>3.86</v>
      </c>
      <c r="H50" s="34">
        <v>2.86</v>
      </c>
      <c r="I50" s="34">
        <v>4.45</v>
      </c>
      <c r="J50" s="34">
        <v>4.73</v>
      </c>
      <c r="K50" s="34">
        <v>4.04</v>
      </c>
      <c r="L50" s="34">
        <v>2.43</v>
      </c>
      <c r="M50" s="34">
        <v>3.52</v>
      </c>
      <c r="N50" s="34">
        <v>2.86</v>
      </c>
      <c r="O50" s="34">
        <v>3.75</v>
      </c>
      <c r="P50" s="34">
        <v>4.38</v>
      </c>
      <c r="Q50" s="34">
        <v>5.08</v>
      </c>
      <c r="R50" s="34">
        <v>5.36</v>
      </c>
      <c r="S50" s="34">
        <v>3.94</v>
      </c>
      <c r="T50" s="34">
        <v>6.06</v>
      </c>
      <c r="U50" s="34">
        <v>5.98</v>
      </c>
      <c r="V50" s="34">
        <v>3.6</v>
      </c>
      <c r="W50" s="34">
        <v>4.29</v>
      </c>
      <c r="X50" s="34">
        <v>2.98</v>
      </c>
      <c r="Y50" s="34">
        <v>2.94</v>
      </c>
      <c r="Z50" s="34">
        <v>2.39</v>
      </c>
      <c r="AA50" s="34">
        <v>2.7</v>
      </c>
      <c r="AB50" s="34">
        <v>2.42</v>
      </c>
    </row>
    <row r="51" ht="15.0" customHeight="1">
      <c r="A51" s="31" t="s">
        <v>497</v>
      </c>
      <c r="B51" s="34">
        <v>4.4</v>
      </c>
      <c r="C51" s="34">
        <v>4.79</v>
      </c>
      <c r="D51" s="34">
        <v>4.11</v>
      </c>
      <c r="E51" s="34">
        <v>4.03</v>
      </c>
      <c r="F51" s="34">
        <v>3.85</v>
      </c>
      <c r="G51" s="34">
        <v>4.01</v>
      </c>
      <c r="H51" s="34">
        <v>3.69</v>
      </c>
      <c r="I51" s="34">
        <v>3.82</v>
      </c>
      <c r="J51" s="34">
        <v>3.49</v>
      </c>
      <c r="K51" s="34">
        <v>3.26</v>
      </c>
      <c r="L51" s="34">
        <v>3.31</v>
      </c>
      <c r="M51" s="34">
        <v>3.92</v>
      </c>
      <c r="N51" s="34">
        <v>4.31</v>
      </c>
      <c r="O51" s="34">
        <v>4.44</v>
      </c>
      <c r="P51" s="34">
        <v>4.87</v>
      </c>
      <c r="Q51" s="34">
        <v>5.16</v>
      </c>
      <c r="R51" s="34">
        <v>4.86</v>
      </c>
      <c r="S51" s="34">
        <v>4.72</v>
      </c>
      <c r="T51" s="34">
        <v>4.68</v>
      </c>
      <c r="U51" s="34">
        <v>4.1</v>
      </c>
      <c r="V51" s="34">
        <v>3.33</v>
      </c>
      <c r="W51" s="34">
        <v>3.13</v>
      </c>
      <c r="X51" s="34">
        <v>2.72</v>
      </c>
      <c r="Y51" s="33"/>
      <c r="Z51" s="33"/>
      <c r="AA51" s="33"/>
      <c r="AB51" s="33"/>
    </row>
    <row r="52" ht="15.0" customHeight="1">
      <c r="A52" s="29" t="s">
        <v>498</v>
      </c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</row>
    <row r="53" ht="15.0" customHeight="1">
      <c r="A53" s="31" t="s">
        <v>499</v>
      </c>
      <c r="B53" s="34">
        <v>7.67</v>
      </c>
      <c r="C53" s="33"/>
      <c r="D53" s="33"/>
      <c r="E53" s="33"/>
      <c r="F53" s="34">
        <v>11.76</v>
      </c>
      <c r="G53" s="34">
        <v>18.2</v>
      </c>
      <c r="H53" s="34">
        <v>11.0</v>
      </c>
      <c r="I53" s="34">
        <v>12.81</v>
      </c>
      <c r="J53" s="34">
        <v>17.28</v>
      </c>
      <c r="K53" s="34">
        <v>17.94</v>
      </c>
      <c r="L53" s="34">
        <v>6.94</v>
      </c>
      <c r="M53" s="33"/>
      <c r="N53" s="34">
        <v>17.43</v>
      </c>
      <c r="O53" s="33"/>
      <c r="P53" s="33"/>
      <c r="Q53" s="34">
        <v>42.78</v>
      </c>
      <c r="R53" s="34">
        <v>27.08</v>
      </c>
      <c r="S53" s="34">
        <v>6.61</v>
      </c>
      <c r="T53" s="34">
        <v>15.45</v>
      </c>
      <c r="U53" s="34">
        <v>14.09</v>
      </c>
      <c r="V53" s="34">
        <v>6.94</v>
      </c>
      <c r="W53" s="34">
        <v>12.33</v>
      </c>
      <c r="X53" s="34">
        <v>7.75</v>
      </c>
      <c r="Y53" s="34">
        <v>5.34</v>
      </c>
      <c r="Z53" s="34">
        <v>7.38</v>
      </c>
      <c r="AA53" s="34">
        <v>7.91</v>
      </c>
      <c r="AB53" s="34">
        <v>10.56</v>
      </c>
    </row>
    <row r="54" ht="15.0" customHeight="1">
      <c r="A54" s="31" t="s">
        <v>500</v>
      </c>
      <c r="B54" s="34">
        <v>46.77</v>
      </c>
      <c r="C54" s="32">
        <v>233.34</v>
      </c>
      <c r="D54" s="34">
        <v>30.67</v>
      </c>
      <c r="E54" s="34">
        <v>18.69</v>
      </c>
      <c r="F54" s="34">
        <v>13.92</v>
      </c>
      <c r="G54" s="34">
        <v>15.09</v>
      </c>
      <c r="H54" s="34">
        <v>12.51</v>
      </c>
      <c r="I54" s="34">
        <v>16.15</v>
      </c>
      <c r="J54" s="34">
        <v>17.71</v>
      </c>
      <c r="K54" s="34">
        <v>25.17</v>
      </c>
      <c r="L54" s="34">
        <v>49.05</v>
      </c>
      <c r="M54" s="32">
        <v>1327.09</v>
      </c>
      <c r="N54" s="34">
        <v>71.08</v>
      </c>
      <c r="O54" s="34">
        <v>19.07</v>
      </c>
      <c r="P54" s="34">
        <v>15.62</v>
      </c>
      <c r="Q54" s="34">
        <v>13.22</v>
      </c>
      <c r="R54" s="34">
        <v>10.72</v>
      </c>
      <c r="S54" s="34">
        <v>9.93</v>
      </c>
      <c r="T54" s="34">
        <v>11.14</v>
      </c>
      <c r="U54" s="34">
        <v>9.18</v>
      </c>
      <c r="V54" s="34">
        <v>7.65</v>
      </c>
      <c r="W54" s="34">
        <v>8.01</v>
      </c>
      <c r="X54" s="34">
        <v>7.31</v>
      </c>
      <c r="Y54" s="33"/>
      <c r="Z54" s="33"/>
      <c r="AA54" s="33"/>
      <c r="AB54" s="33"/>
    </row>
    <row r="55" ht="15.0" customHeight="1">
      <c r="A55" s="29" t="s">
        <v>501</v>
      </c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</row>
    <row r="56" ht="15.0" customHeight="1">
      <c r="A56" s="31" t="s">
        <v>502</v>
      </c>
      <c r="B56" s="34">
        <v>7.93</v>
      </c>
      <c r="C56" s="34">
        <v>12.42</v>
      </c>
      <c r="D56" s="34">
        <v>6.43</v>
      </c>
      <c r="E56" s="34">
        <v>4.79</v>
      </c>
      <c r="F56" s="34">
        <v>10.42</v>
      </c>
      <c r="G56" s="34">
        <v>19.49</v>
      </c>
      <c r="H56" s="34">
        <v>18.94</v>
      </c>
      <c r="I56" s="34">
        <v>20.61</v>
      </c>
      <c r="J56" s="34">
        <v>25.08</v>
      </c>
      <c r="K56" s="34">
        <v>21.4</v>
      </c>
      <c r="L56" s="34">
        <v>24.52</v>
      </c>
      <c r="M56" s="34">
        <v>14.46</v>
      </c>
      <c r="N56" s="34">
        <v>14.95</v>
      </c>
      <c r="O56" s="33"/>
      <c r="P56" s="32">
        <v>879.56</v>
      </c>
      <c r="Q56" s="34">
        <v>15.82</v>
      </c>
      <c r="R56" s="34">
        <v>39.63</v>
      </c>
      <c r="S56" s="34">
        <v>6.61</v>
      </c>
      <c r="T56" s="34">
        <v>15.45</v>
      </c>
      <c r="U56" s="34">
        <v>14.09</v>
      </c>
      <c r="V56" s="34">
        <v>6.94</v>
      </c>
      <c r="W56" s="34">
        <v>10.25</v>
      </c>
      <c r="X56" s="34">
        <v>6.37</v>
      </c>
      <c r="Y56" s="34">
        <v>7.87</v>
      </c>
      <c r="Z56" s="34">
        <v>5.56</v>
      </c>
      <c r="AA56" s="34">
        <v>6.23</v>
      </c>
      <c r="AB56" s="34">
        <v>7.87</v>
      </c>
    </row>
    <row r="57" ht="15.0" customHeight="1">
      <c r="A57" s="31" t="s">
        <v>503</v>
      </c>
      <c r="B57" s="34">
        <v>0.67</v>
      </c>
      <c r="C57" s="34">
        <v>0.66</v>
      </c>
      <c r="D57" s="34">
        <v>0.6</v>
      </c>
      <c r="E57" s="34">
        <v>0.64</v>
      </c>
      <c r="F57" s="34">
        <v>0.66</v>
      </c>
      <c r="G57" s="34">
        <v>0.65</v>
      </c>
      <c r="H57" s="34">
        <v>0.61</v>
      </c>
      <c r="I57" s="34">
        <v>0.63</v>
      </c>
      <c r="J57" s="34">
        <v>0.55</v>
      </c>
      <c r="K57" s="34">
        <v>0.47</v>
      </c>
      <c r="L57" s="34">
        <v>0.46</v>
      </c>
      <c r="M57" s="34">
        <v>0.51</v>
      </c>
      <c r="N57" s="34">
        <v>0.56</v>
      </c>
      <c r="O57" s="34">
        <v>0.68</v>
      </c>
      <c r="P57" s="34">
        <v>0.85</v>
      </c>
      <c r="Q57" s="34">
        <v>1.02</v>
      </c>
      <c r="R57" s="34">
        <v>1.08</v>
      </c>
      <c r="S57" s="34">
        <v>1.12</v>
      </c>
      <c r="T57" s="34">
        <v>1.05</v>
      </c>
      <c r="U57" s="34">
        <v>0.87</v>
      </c>
      <c r="V57" s="34">
        <v>0.63</v>
      </c>
      <c r="W57" s="34">
        <v>0.5</v>
      </c>
      <c r="X57" s="34">
        <v>0.42</v>
      </c>
      <c r="Y57" s="33"/>
      <c r="Z57" s="33"/>
      <c r="AA57" s="33"/>
      <c r="AB57" s="33"/>
    </row>
    <row r="58" ht="15.0" customHeight="1">
      <c r="A58" s="29" t="s">
        <v>504</v>
      </c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</row>
    <row r="59" ht="15.0" customHeight="1">
      <c r="A59" s="31" t="s">
        <v>505</v>
      </c>
      <c r="B59" s="34">
        <v>0.03</v>
      </c>
      <c r="C59" s="33"/>
      <c r="D59" s="33"/>
      <c r="E59" s="33"/>
      <c r="F59" s="34">
        <v>0.23</v>
      </c>
      <c r="G59" s="37">
        <v>-2.33</v>
      </c>
      <c r="H59" s="37">
        <v>-0.3</v>
      </c>
      <c r="I59" s="34">
        <v>0.3</v>
      </c>
      <c r="J59" s="34">
        <v>0.54</v>
      </c>
      <c r="K59" s="37">
        <v>-0.38</v>
      </c>
      <c r="L59" s="34">
        <v>0.01</v>
      </c>
      <c r="M59" s="33"/>
      <c r="N59" s="34">
        <v>0.07</v>
      </c>
      <c r="O59" s="33"/>
      <c r="P59" s="33"/>
      <c r="Q59" s="37">
        <v>-1.08</v>
      </c>
      <c r="R59" s="37">
        <v>-0.32</v>
      </c>
      <c r="S59" s="34">
        <v>0.05</v>
      </c>
      <c r="T59" s="37">
        <v>-2.12</v>
      </c>
      <c r="U59" s="37">
        <v>-0.65</v>
      </c>
      <c r="V59" s="34">
        <v>0.06</v>
      </c>
      <c r="W59" s="37">
        <v>-0.85</v>
      </c>
      <c r="X59" s="37">
        <v>-0.67</v>
      </c>
      <c r="Y59" s="34">
        <v>0.06</v>
      </c>
      <c r="Z59" s="37">
        <v>-1.04</v>
      </c>
      <c r="AA59" s="34">
        <v>0.16</v>
      </c>
      <c r="AB59" s="33"/>
    </row>
    <row r="60" ht="15.0" customHeight="1">
      <c r="A60" s="31" t="s">
        <v>506</v>
      </c>
      <c r="B60" s="34">
        <v>2.19</v>
      </c>
      <c r="C60" s="33"/>
      <c r="D60" s="33"/>
      <c r="E60" s="33"/>
      <c r="F60" s="34">
        <v>1.3</v>
      </c>
      <c r="G60" s="37">
        <v>-1.46</v>
      </c>
      <c r="H60" s="33"/>
      <c r="I60" s="34">
        <v>0.76</v>
      </c>
      <c r="J60" s="33"/>
      <c r="K60" s="33"/>
      <c r="L60" s="34">
        <v>1.64</v>
      </c>
      <c r="M60" s="33"/>
      <c r="N60" s="37">
        <v>-2.17</v>
      </c>
      <c r="O60" s="33"/>
      <c r="P60" s="33"/>
      <c r="Q60" s="37">
        <v>-0.43</v>
      </c>
      <c r="R60" s="37">
        <v>-1.05</v>
      </c>
      <c r="S60" s="34">
        <v>0.4</v>
      </c>
      <c r="T60" s="34">
        <v>2.74</v>
      </c>
      <c r="U60" s="34">
        <v>0.45</v>
      </c>
      <c r="V60" s="34">
        <v>0.31</v>
      </c>
      <c r="W60" s="34">
        <v>0.53</v>
      </c>
      <c r="X60" s="33"/>
      <c r="Y60" s="33"/>
      <c r="Z60" s="33"/>
      <c r="AA60" s="33"/>
      <c r="AB60" s="33"/>
    </row>
    <row r="61" ht="15.0" customHeight="1">
      <c r="A61" s="29" t="s">
        <v>507</v>
      </c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</row>
    <row r="62" ht="15.0" customHeight="1">
      <c r="A62" s="31" t="s">
        <v>508</v>
      </c>
      <c r="B62" s="34">
        <v>0.34</v>
      </c>
      <c r="C62" s="34">
        <v>0.33</v>
      </c>
      <c r="D62" s="34">
        <v>0.3</v>
      </c>
      <c r="E62" s="34">
        <v>0.31</v>
      </c>
      <c r="F62" s="34">
        <v>0.32</v>
      </c>
      <c r="G62" s="34">
        <v>0.35</v>
      </c>
      <c r="H62" s="34">
        <v>0.29</v>
      </c>
      <c r="I62" s="34">
        <v>0.39</v>
      </c>
      <c r="J62" s="34">
        <v>0.4</v>
      </c>
      <c r="K62" s="34">
        <v>0.27</v>
      </c>
      <c r="L62" s="34">
        <v>0.26</v>
      </c>
      <c r="M62" s="34">
        <v>0.32</v>
      </c>
      <c r="N62" s="34">
        <v>0.36</v>
      </c>
      <c r="O62" s="34">
        <v>0.4</v>
      </c>
      <c r="P62" s="34">
        <v>0.45</v>
      </c>
      <c r="Q62" s="34">
        <v>0.45</v>
      </c>
      <c r="R62" s="34">
        <v>0.13</v>
      </c>
      <c r="S62" s="34">
        <v>0.48</v>
      </c>
      <c r="T62" s="34">
        <v>0.4</v>
      </c>
      <c r="U62" s="34">
        <v>0.21</v>
      </c>
      <c r="V62" s="34">
        <v>0.3</v>
      </c>
      <c r="W62" s="34">
        <v>0.27</v>
      </c>
      <c r="X62" s="34">
        <v>0.24</v>
      </c>
      <c r="Y62" s="34">
        <v>0.2</v>
      </c>
      <c r="Z62" s="34">
        <v>0.19</v>
      </c>
      <c r="AA62" s="34">
        <v>0.22</v>
      </c>
      <c r="AB62" s="34">
        <v>0.16</v>
      </c>
    </row>
    <row r="63" ht="15.0" customHeight="1">
      <c r="A63" s="31" t="s">
        <v>509</v>
      </c>
      <c r="B63" s="34">
        <v>0.32</v>
      </c>
      <c r="C63" s="34">
        <v>0.32</v>
      </c>
      <c r="D63" s="34">
        <v>0.31</v>
      </c>
      <c r="E63" s="34">
        <v>0.33</v>
      </c>
      <c r="F63" s="34">
        <v>0.35</v>
      </c>
      <c r="G63" s="34">
        <v>0.34</v>
      </c>
      <c r="H63" s="34">
        <v>0.32</v>
      </c>
      <c r="I63" s="34">
        <v>0.33</v>
      </c>
      <c r="J63" s="34">
        <v>0.32</v>
      </c>
      <c r="K63" s="34">
        <v>0.32</v>
      </c>
      <c r="L63" s="34">
        <v>0.35</v>
      </c>
      <c r="M63" s="34">
        <v>0.39</v>
      </c>
      <c r="N63" s="34">
        <v>0.36</v>
      </c>
      <c r="O63" s="34">
        <v>0.38</v>
      </c>
      <c r="P63" s="34">
        <v>0.38</v>
      </c>
      <c r="Q63" s="34">
        <v>0.34</v>
      </c>
      <c r="R63" s="34">
        <v>0.31</v>
      </c>
      <c r="S63" s="34">
        <v>0.35</v>
      </c>
      <c r="T63" s="34">
        <v>0.29</v>
      </c>
      <c r="U63" s="34">
        <v>0.25</v>
      </c>
      <c r="V63" s="34">
        <v>0.24</v>
      </c>
      <c r="W63" s="34">
        <v>0.22</v>
      </c>
      <c r="X63" s="34">
        <v>0.2</v>
      </c>
      <c r="Y63" s="33"/>
      <c r="Z63" s="33"/>
      <c r="AA63" s="33"/>
      <c r="AB63" s="33"/>
    </row>
    <row r="64" ht="15.0" customHeight="1">
      <c r="A64" s="29" t="s">
        <v>510</v>
      </c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</row>
    <row r="65" ht="15.0" customHeight="1">
      <c r="A65" s="31" t="s">
        <v>511</v>
      </c>
      <c r="B65" s="34">
        <v>4.7</v>
      </c>
      <c r="C65" s="34">
        <v>5.89</v>
      </c>
      <c r="D65" s="34">
        <v>5.0</v>
      </c>
      <c r="E65" s="34">
        <v>4.57</v>
      </c>
      <c r="F65" s="34">
        <v>4.9</v>
      </c>
      <c r="G65" s="34">
        <v>6.17</v>
      </c>
      <c r="H65" s="34">
        <v>5.91</v>
      </c>
      <c r="I65" s="34">
        <v>6.82</v>
      </c>
      <c r="J65" s="34">
        <v>7.2</v>
      </c>
      <c r="K65" s="34">
        <v>5.23</v>
      </c>
      <c r="L65" s="34">
        <v>4.51</v>
      </c>
      <c r="M65" s="34">
        <v>4.83</v>
      </c>
      <c r="N65" s="34">
        <v>6.33</v>
      </c>
      <c r="O65" s="34">
        <v>9.5</v>
      </c>
      <c r="P65" s="34">
        <v>2.68</v>
      </c>
      <c r="Q65" s="34">
        <v>2.45</v>
      </c>
      <c r="R65" s="34">
        <v>0.78</v>
      </c>
      <c r="S65" s="34">
        <v>0.48</v>
      </c>
      <c r="T65" s="34">
        <v>5.25</v>
      </c>
      <c r="U65" s="34">
        <v>2.81</v>
      </c>
      <c r="V65" s="34">
        <v>3.17</v>
      </c>
      <c r="W65" s="34">
        <v>3.34</v>
      </c>
      <c r="X65" s="34">
        <v>0.22</v>
      </c>
      <c r="Y65" s="34">
        <v>0.18</v>
      </c>
      <c r="Z65" s="34">
        <v>3.05</v>
      </c>
      <c r="AA65" s="34">
        <v>3.36</v>
      </c>
      <c r="AB65" s="34">
        <v>2.2</v>
      </c>
    </row>
    <row r="66" ht="15.0" customHeight="1">
      <c r="A66" s="31" t="s">
        <v>512</v>
      </c>
      <c r="B66" s="34">
        <v>4.99</v>
      </c>
      <c r="C66" s="34">
        <v>5.27</v>
      </c>
      <c r="D66" s="34">
        <v>5.23</v>
      </c>
      <c r="E66" s="34">
        <v>5.58</v>
      </c>
      <c r="F66" s="34">
        <v>6.14</v>
      </c>
      <c r="G66" s="34">
        <v>6.29</v>
      </c>
      <c r="H66" s="34">
        <v>5.93</v>
      </c>
      <c r="I66" s="34">
        <v>5.68</v>
      </c>
      <c r="J66" s="34">
        <v>5.57</v>
      </c>
      <c r="K66" s="34">
        <v>5.81</v>
      </c>
      <c r="L66" s="34">
        <v>4.59</v>
      </c>
      <c r="M66" s="34">
        <v>3.84</v>
      </c>
      <c r="N66" s="34">
        <v>2.87</v>
      </c>
      <c r="O66" s="34">
        <v>1.23</v>
      </c>
      <c r="P66" s="34">
        <v>1.18</v>
      </c>
      <c r="Q66" s="34">
        <v>1.07</v>
      </c>
      <c r="R66" s="34">
        <v>0.97</v>
      </c>
      <c r="S66" s="34">
        <v>1.1</v>
      </c>
      <c r="T66" s="34">
        <v>1.21</v>
      </c>
      <c r="U66" s="34">
        <v>0.58</v>
      </c>
      <c r="V66" s="34">
        <v>0.53</v>
      </c>
      <c r="W66" s="34">
        <v>0.47</v>
      </c>
      <c r="X66" s="34">
        <v>0.39</v>
      </c>
      <c r="Y66" s="33"/>
      <c r="Z66" s="33"/>
      <c r="AA66" s="33"/>
      <c r="AB66" s="33"/>
    </row>
    <row r="67" ht="15.0" customHeight="1">
      <c r="A67" s="29" t="s">
        <v>513</v>
      </c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</row>
    <row r="68" ht="15.0" customHeight="1">
      <c r="A68" s="31" t="s">
        <v>514</v>
      </c>
      <c r="B68" s="34">
        <v>6.32</v>
      </c>
      <c r="C68" s="34">
        <v>6.15</v>
      </c>
      <c r="D68" s="34">
        <v>9.05</v>
      </c>
      <c r="E68" s="34">
        <v>5.42</v>
      </c>
      <c r="F68" s="34">
        <v>4.65</v>
      </c>
      <c r="G68" s="34">
        <v>5.8</v>
      </c>
      <c r="H68" s="34">
        <v>8.69</v>
      </c>
      <c r="I68" s="34">
        <v>8.48</v>
      </c>
      <c r="J68" s="34">
        <v>8.32</v>
      </c>
      <c r="K68" s="34">
        <v>4.13</v>
      </c>
      <c r="L68" s="34">
        <v>3.7</v>
      </c>
      <c r="M68" s="34">
        <v>5.08</v>
      </c>
      <c r="N68" s="34">
        <v>4.85</v>
      </c>
      <c r="O68" s="34">
        <v>10.26</v>
      </c>
      <c r="P68" s="34">
        <v>13.0</v>
      </c>
      <c r="Q68" s="34">
        <v>9.67</v>
      </c>
      <c r="R68" s="34">
        <v>4.77</v>
      </c>
      <c r="S68" s="34">
        <v>9.67</v>
      </c>
      <c r="T68" s="34">
        <v>9.34</v>
      </c>
      <c r="U68" s="34">
        <v>4.49</v>
      </c>
      <c r="V68" s="34">
        <v>4.28</v>
      </c>
      <c r="W68" s="34">
        <v>5.24</v>
      </c>
      <c r="X68" s="34">
        <v>4.63</v>
      </c>
      <c r="Y68" s="34">
        <v>3.58</v>
      </c>
      <c r="Z68" s="34">
        <v>3.42</v>
      </c>
      <c r="AA68" s="34">
        <v>4.48</v>
      </c>
      <c r="AB68" s="34">
        <v>3.08</v>
      </c>
    </row>
    <row r="69" ht="15.0" customHeight="1">
      <c r="A69" s="31" t="s">
        <v>515</v>
      </c>
      <c r="B69" s="34">
        <v>6.06</v>
      </c>
      <c r="C69" s="34">
        <v>5.95</v>
      </c>
      <c r="D69" s="34">
        <v>6.24</v>
      </c>
      <c r="E69" s="34">
        <v>6.21</v>
      </c>
      <c r="F69" s="34">
        <v>6.77</v>
      </c>
      <c r="G69" s="34">
        <v>6.73</v>
      </c>
      <c r="H69" s="34">
        <v>6.12</v>
      </c>
      <c r="I69" s="34">
        <v>5.59</v>
      </c>
      <c r="J69" s="34">
        <v>5.0</v>
      </c>
      <c r="K69" s="34">
        <v>5.11</v>
      </c>
      <c r="L69" s="34">
        <v>6.26</v>
      </c>
      <c r="M69" s="34">
        <v>7.61</v>
      </c>
      <c r="N69" s="34">
        <v>8.02</v>
      </c>
      <c r="O69" s="34">
        <v>9.65</v>
      </c>
      <c r="P69" s="34">
        <v>9.47</v>
      </c>
      <c r="Q69" s="34">
        <v>7.95</v>
      </c>
      <c r="R69" s="34">
        <v>6.68</v>
      </c>
      <c r="S69" s="34">
        <v>6.73</v>
      </c>
      <c r="T69" s="34">
        <v>5.6</v>
      </c>
      <c r="U69" s="34">
        <v>4.45</v>
      </c>
      <c r="V69" s="34">
        <v>4.26</v>
      </c>
      <c r="W69" s="34">
        <v>4.29</v>
      </c>
      <c r="X69" s="34">
        <v>3.86</v>
      </c>
      <c r="Y69" s="33"/>
      <c r="Z69" s="33"/>
      <c r="AA69" s="33"/>
      <c r="AB69" s="33"/>
    </row>
    <row r="70" ht="15.0" customHeight="1">
      <c r="A70" s="29" t="s">
        <v>516</v>
      </c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</row>
    <row r="71" ht="15.0" customHeight="1">
      <c r="A71" s="31" t="s">
        <v>517</v>
      </c>
      <c r="B71" s="34">
        <v>10.84</v>
      </c>
      <c r="C71" s="33"/>
      <c r="D71" s="33"/>
      <c r="E71" s="34">
        <v>14.56</v>
      </c>
      <c r="F71" s="34">
        <v>7.72</v>
      </c>
      <c r="G71" s="34">
        <v>10.46</v>
      </c>
      <c r="H71" s="32">
        <v>121.78</v>
      </c>
      <c r="I71" s="34">
        <v>45.56</v>
      </c>
      <c r="J71" s="34">
        <v>24.2</v>
      </c>
      <c r="K71" s="34">
        <v>9.51</v>
      </c>
      <c r="L71" s="34">
        <v>5.58</v>
      </c>
      <c r="M71" s="34">
        <v>9.0</v>
      </c>
      <c r="N71" s="34">
        <v>9.81</v>
      </c>
      <c r="O71" s="34">
        <v>32.06</v>
      </c>
      <c r="P71" s="32">
        <v>114.4</v>
      </c>
      <c r="Q71" s="34">
        <v>20.31</v>
      </c>
      <c r="R71" s="33"/>
      <c r="S71" s="33"/>
      <c r="T71" s="33"/>
      <c r="U71" s="33"/>
      <c r="V71" s="34">
        <v>10.16</v>
      </c>
      <c r="W71" s="34">
        <v>67.43</v>
      </c>
      <c r="X71" s="33"/>
      <c r="Y71" s="34">
        <v>10.67</v>
      </c>
      <c r="Z71" s="34">
        <v>48.54</v>
      </c>
      <c r="AA71" s="33"/>
      <c r="AB71" s="34">
        <v>11.42</v>
      </c>
    </row>
    <row r="72" ht="15.0" customHeight="1">
      <c r="A72" s="31" t="s">
        <v>518</v>
      </c>
      <c r="B72" s="34">
        <v>41.15</v>
      </c>
      <c r="C72" s="34">
        <v>43.48</v>
      </c>
      <c r="D72" s="34">
        <v>31.11</v>
      </c>
      <c r="E72" s="34">
        <v>15.3</v>
      </c>
      <c r="F72" s="34">
        <v>16.8</v>
      </c>
      <c r="G72" s="34">
        <v>19.04</v>
      </c>
      <c r="H72" s="34">
        <v>15.71</v>
      </c>
      <c r="I72" s="34">
        <v>12.03</v>
      </c>
      <c r="J72" s="34">
        <v>9.75</v>
      </c>
      <c r="K72" s="34">
        <v>9.92</v>
      </c>
      <c r="L72" s="34">
        <v>12.83</v>
      </c>
      <c r="M72" s="34">
        <v>17.52</v>
      </c>
      <c r="N72" s="34">
        <v>76.85</v>
      </c>
      <c r="O72" s="33"/>
      <c r="P72" s="33"/>
      <c r="Q72" s="33"/>
      <c r="R72" s="33"/>
      <c r="S72" s="33"/>
      <c r="T72" s="33"/>
      <c r="U72" s="33"/>
      <c r="V72" s="34">
        <v>72.16</v>
      </c>
      <c r="W72" s="33"/>
      <c r="X72" s="33"/>
      <c r="Y72" s="33"/>
      <c r="Z72" s="33"/>
      <c r="AA72" s="33"/>
      <c r="AB72" s="33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2026-03-15T12:32:05Z</dcterms:created>
</cp:coreProperties>
</file>