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co1WXOXxNRDcJ5tr0RjpugAMcqDgHtXWrXPYl9GjdiA="/>
    </ext>
  </extLst>
</workbook>
</file>

<file path=xl/sharedStrings.xml><?xml version="1.0" encoding="utf-8"?>
<sst xmlns="http://schemas.openxmlformats.org/spreadsheetml/2006/main" count="890" uniqueCount="491">
  <si>
    <t>Company Fundamentals - Income Statement</t>
  </si>
  <si>
    <t>Company Name</t>
  </si>
  <si>
    <t>Orion Oyj (ORNAV.HE)</t>
  </si>
  <si>
    <t>Country of Exchange</t>
  </si>
  <si>
    <t>Finland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</si>
  <si>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</si>
  <si>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</si>
  <si>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</si>
  <si>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</si>
  <si>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</si>
  <si>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</si>
  <si>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</si>
  <si>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</si>
  <si>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</si>
  <si>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</si>
  <si>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</si>
  <si>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</si>
  <si>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</si>
  <si>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</si>
  <si>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</si>
  <si>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</si>
  <si>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</si>
  <si>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</si>
  <si>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</si>
  <si>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</si>
  <si>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</si>
  <si>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</si>
  <si>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</si>
  <si>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</si>
  <si>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</si>
  <si>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</si>
  <si>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</si>
  <si>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</si>
  <si>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</si>
  <si>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</si>
  <si>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</si>
  <si>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</si>
  <si>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</si>
  <si>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</si>
  <si>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</si>
  <si>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</si>
  <si>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</si>
  <si>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</si>
  <si>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</si>
  <si>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</si>
  <si>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</si>
  <si>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</si>
  <si>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</si>
  <si>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</si>
  <si>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</si>
  <si>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</si>
  <si>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</si>
  <si>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</si>
  <si>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</si>
  <si>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</si>
  <si>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</si>
  <si>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</si>
  <si>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</si>
  <si>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</si>
  <si>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</si>
  <si>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</si>
  <si>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</si>
  <si>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</si>
  <si>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</si>
  <si>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</si>
  <si>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</si>
  <si>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</si>
  <si>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</si>
  <si>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</si>
  <si>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</si>
  <si>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</si>
  <si>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</si>
  <si>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</si>
  <si>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</si>
  <si>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Depreciation and Amortization in Cost of Goods Sold</t>
  </si>
  <si>
    <t>Impairment - Fixed Assets</t>
  </si>
  <si>
    <t>Depreciation/Amortization in COR/COGS - Balancing value</t>
  </si>
  <si>
    <t>Other Cost of Goods Sold</t>
  </si>
  <si>
    <t>Cost of revenues/COGS</t>
  </si>
  <si>
    <t>Balancing Item - Gross Margin</t>
  </si>
  <si>
    <t>Gross profit</t>
  </si>
  <si>
    <t>Sales and marketing expenses</t>
  </si>
  <si>
    <t>Depreciation, amortisation  Selling and marketing</t>
  </si>
  <si>
    <t>Impairment - Intangibles excluding Goodwill</t>
  </si>
  <si>
    <t>Depreciation/Amortization in SGA</t>
  </si>
  <si>
    <t>Other Sales and marketing expenses</t>
  </si>
  <si>
    <t>Research and development expenses</t>
  </si>
  <si>
    <t>Research and development</t>
  </si>
  <si>
    <t>Other R&amp;D expenses</t>
  </si>
  <si>
    <t>Administrative Expenses</t>
  </si>
  <si>
    <t>Administration</t>
  </si>
  <si>
    <t>Other Administrative Expenses</t>
  </si>
  <si>
    <t>Other Operating Income and Expenses</t>
  </si>
  <si>
    <t>Other operating income and expenses</t>
  </si>
  <si>
    <t>Sale of Tangible and Intangible Assets</t>
  </si>
  <si>
    <t>Settlement gain of the transfer of Pension Funds B fund</t>
  </si>
  <si>
    <t>Rental Income</t>
  </si>
  <si>
    <t>Foreign exchange gains and losses</t>
  </si>
  <si>
    <t>Other Operating Income</t>
  </si>
  <si>
    <t>Other Operating Expense</t>
  </si>
  <si>
    <t>Other Operating Income and Expenses - Balancing value</t>
  </si>
  <si>
    <t>Gain on Sale of Assets</t>
  </si>
  <si>
    <t>Gain on Sale of Real Estate</t>
  </si>
  <si>
    <t>Depreciation</t>
  </si>
  <si>
    <t>Intangible Amortization</t>
  </si>
  <si>
    <t>Operating (Income)/Expense, Net</t>
  </si>
  <si>
    <t>Balancing Item - Income from Operations, net</t>
  </si>
  <si>
    <t>Operating profit</t>
  </si>
  <si>
    <t>Other operating expenses</t>
  </si>
  <si>
    <t>Finance Income - Balancing value</t>
  </si>
  <si>
    <t>Interest Income on HFS Assets</t>
  </si>
  <si>
    <t>Finance income and expenses</t>
  </si>
  <si>
    <t>Other Total Financial Expense</t>
  </si>
  <si>
    <t>Share of associated companies results</t>
  </si>
  <si>
    <t>Adjustment</t>
  </si>
  <si>
    <t>Financial Income</t>
  </si>
  <si>
    <t>Interest income</t>
  </si>
  <si>
    <t>Dividend Income</t>
  </si>
  <si>
    <t>Exchange Gains</t>
  </si>
  <si>
    <t>Finance income</t>
  </si>
  <si>
    <t>Interest Expenses</t>
  </si>
  <si>
    <t>Interest Expense on Financial Lease Liabilities</t>
  </si>
  <si>
    <t>Interest Expenses - Balancing value</t>
  </si>
  <si>
    <t>Exchange Losses</t>
  </si>
  <si>
    <t>Financial Expense</t>
  </si>
  <si>
    <t>Finance income and expenses - Balancing value</t>
  </si>
  <si>
    <t>Balancing Item - Pretax Income</t>
  </si>
  <si>
    <t>Profit before taxes</t>
  </si>
  <si>
    <t>Income Tax Expense</t>
  </si>
  <si>
    <t>Current Taxes</t>
  </si>
  <si>
    <t>Changes in deferred taxes</t>
  </si>
  <si>
    <t>Adjustments for current tax of prior periods</t>
  </si>
  <si>
    <t>Other Provision for Income Taxes</t>
  </si>
  <si>
    <t>Current Tax - Total</t>
  </si>
  <si>
    <t>Income Taxes - Total</t>
  </si>
  <si>
    <t>Balancing Item - Net Income After Tax</t>
  </si>
  <si>
    <t>Items that  be reclassified subsequently to profit and loss</t>
  </si>
  <si>
    <t>Discontinued Operations - Net - Income/Expense</t>
  </si>
  <si>
    <t>Extraordinary Items (after Tax)</t>
  </si>
  <si>
    <t>Non-controlling interests</t>
  </si>
  <si>
    <t>Minority interests</t>
  </si>
  <si>
    <t>Rounding Adjustment</t>
  </si>
  <si>
    <t>Profit for the period</t>
  </si>
  <si>
    <t>Profit for the period for continuing operations</t>
  </si>
  <si>
    <t>Income Available to Com Excl ExtraOrd</t>
  </si>
  <si>
    <t>Profit for the Period - Starting Line</t>
  </si>
  <si>
    <t>Translation differences</t>
  </si>
  <si>
    <t>Items that will not be reclassified to profit and loss</t>
  </si>
  <si>
    <t>OCI - Hedging Gain/Loss - Net of Tax</t>
  </si>
  <si>
    <t>OCI - Unrealized Investment Gain/Loss - Net of Tax</t>
  </si>
  <si>
    <t>Balancing Item - Other Comprehensive Income</t>
  </si>
  <si>
    <t>Other comprehensive income net of tax</t>
  </si>
  <si>
    <t>Balancing Item - Total Comprehensive Income</t>
  </si>
  <si>
    <t>Comprehensive income for the period</t>
  </si>
  <si>
    <t>Basic Weighted Average Shares</t>
  </si>
  <si>
    <t>Diluted Weighted Average Shares</t>
  </si>
  <si>
    <t>Basic EPS Excluding ExtraOrdinary Items</t>
  </si>
  <si>
    <t>Reported Basic EPS</t>
  </si>
  <si>
    <t>Diluted EPS Excluding ExtraOrd Items</t>
  </si>
  <si>
    <t>Reported Diluted EPS</t>
  </si>
  <si>
    <t>Dilution Adjustment</t>
  </si>
  <si>
    <t>Diluted Net Income</t>
  </si>
  <si>
    <t>Diluted Net Income excluding Extra Items applicable to Common - (Company Level)</t>
  </si>
  <si>
    <t>Research &amp; Development</t>
  </si>
  <si>
    <t>Depreciation of Financial Lease Right-of-Use Assets - Supplemental</t>
  </si>
  <si>
    <t>Amortization of Licenses, Copyrights, Property Rights &amp; Designs - Supplemental</t>
  </si>
  <si>
    <t>Amortization of Other Intangibles excluding Goodwill - Supplemental</t>
  </si>
  <si>
    <t>Interest Expense on Financial Lease Liabilities - Supplemental</t>
  </si>
  <si>
    <t>Expense from short-term lease</t>
  </si>
  <si>
    <t>Expense from leases of low-value assets</t>
  </si>
  <si>
    <t>Lease income from third parties</t>
  </si>
  <si>
    <t>Stock-Based Compensation, Supplemental</t>
  </si>
  <si>
    <t>Staff Expenses</t>
  </si>
  <si>
    <t>Rental Expense</t>
  </si>
  <si>
    <t>Auditor Fees - Total</t>
  </si>
  <si>
    <t>Audit Fees</t>
  </si>
  <si>
    <t>Tax Fees</t>
  </si>
  <si>
    <t>Other Fees</t>
  </si>
  <si>
    <t>Other Auditor Fees - Total</t>
  </si>
  <si>
    <t>Depreciation, amortization &amp; impairment</t>
  </si>
  <si>
    <t>Other Intangible Amortization</t>
  </si>
  <si>
    <t>Total Depreciation of Fixed Assets</t>
  </si>
  <si>
    <t>Total Amortization of Intangible Assets (incl Goodwill)</t>
  </si>
  <si>
    <t>Total Depreciation &amp; Amortization (Combined)</t>
  </si>
  <si>
    <t>Total Amortization of Intangible Assets (excl Goodwill)</t>
  </si>
  <si>
    <t>Impairment of Intangibles excl Goodwill</t>
  </si>
  <si>
    <t>Diluted Weighted Average Shares used to Calculate EPS - (Instrument Level)</t>
  </si>
  <si>
    <t>Basic Weighted Average Shares used to Calculate EPS - (Instrument Level)</t>
  </si>
  <si>
    <t>Diluted EPS - Net Inc incl Extra Items appl to Common - (Instrument Level)</t>
  </si>
  <si>
    <t>Diluted EPS - Net Income excl Extra Items applicable to Common - (Instrument Level)</t>
  </si>
  <si>
    <t>Basic EPS - Net Inc incl Extra Items appl to Common - (Instrument Level)</t>
  </si>
  <si>
    <t>Basic EPS - Net Income excl Extra Items applicable to Common - (Instrument Level)</t>
  </si>
  <si>
    <t>Diluted Earnings Allocation Factor - (Instrument Level)</t>
  </si>
  <si>
    <t>Diluted Net Income excluding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</si>
  <si>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</si>
  <si>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</si>
  <si>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</si>
  <si>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</si>
  <si>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</si>
  <si>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</si>
  <si>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</si>
  <si>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</si>
  <si>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</si>
  <si>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</si>
  <si>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Finished products and goods</t>
  </si>
  <si>
    <t>Other STOCKS</t>
  </si>
  <si>
    <t>Receivable from Associates</t>
  </si>
  <si>
    <t>Trade receivables</t>
  </si>
  <si>
    <t>Trade receivables - Balancing value</t>
  </si>
  <si>
    <t>Provision for Doubtful Accounts</t>
  </si>
  <si>
    <t>Current tax receivables</t>
  </si>
  <si>
    <t>Other receivables</t>
  </si>
  <si>
    <t>Other current receivables</t>
  </si>
  <si>
    <t>VAT receivables</t>
  </si>
  <si>
    <t>Derivatives</t>
  </si>
  <si>
    <t>Prepaid expenses and accrued incom</t>
  </si>
  <si>
    <t>Contract Assets - Short-Term - Unbilled Revenue in Excess of Advance Consideration &amp; Progress Billings</t>
  </si>
  <si>
    <t>Prepaid expenses and accrued incom - Balancing value</t>
  </si>
  <si>
    <t>Remaining Prepaid exp and Accrued Income</t>
  </si>
  <si>
    <t>Other Other Receivables, Net - Total</t>
  </si>
  <si>
    <t>Cash and cash equivalents</t>
  </si>
  <si>
    <t>Cash</t>
  </si>
  <si>
    <t>Money Market Investments</t>
  </si>
  <si>
    <t>Cash and cash equivalents - Balancing value</t>
  </si>
  <si>
    <t>ST Investments - Money Market Investments</t>
  </si>
  <si>
    <t>Balancing Item - Current Assets</t>
  </si>
  <si>
    <t>Current assets total</t>
  </si>
  <si>
    <t>Total Property/Plant/Equipment, Gross</t>
  </si>
  <si>
    <t>Property, Plant &amp; Equipment</t>
  </si>
  <si>
    <t>Land-NBV</t>
  </si>
  <si>
    <t>Land &amp; Water, Gross</t>
  </si>
  <si>
    <t>Accumulated Depr Land &amp; Water</t>
  </si>
  <si>
    <t>Accumulated Depr Land &amp; Water contra item</t>
  </si>
  <si>
    <t>Other Land-NBV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</si>
  <si>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</si>
  <si>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</si>
  <si>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</si>
  <si>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Buildings-NBV</t>
  </si>
  <si>
    <t>Buildings, Gross</t>
  </si>
  <si>
    <t>Buildings - acc depn</t>
  </si>
  <si>
    <t>Buildings, Net - Balancing value</t>
  </si>
  <si>
    <t>Plant/machinery-NBV</t>
  </si>
  <si>
    <t>Machinery &amp; Equipment, Gross</t>
  </si>
  <si>
    <t>Plant/mach - acc depn</t>
  </si>
  <si>
    <t>Plant/machinery-NBV - Balancing value</t>
  </si>
  <si>
    <t>Machinery &amp; Equipment, Net - Balancing value</t>
  </si>
  <si>
    <t>Other Tangible Fixed Assets, Net</t>
  </si>
  <si>
    <t>Other Tangible Assets, Gross</t>
  </si>
  <si>
    <t>Acc Depr Other Tangible Fixed Assets</t>
  </si>
  <si>
    <t>Other Tangible Fixed Assets, Net - Balancing value</t>
  </si>
  <si>
    <t>Advance payments and construction in progress</t>
  </si>
  <si>
    <t>Construction in Progress, Gross</t>
  </si>
  <si>
    <t>Acc Depr/Imp Construction in Progress</t>
  </si>
  <si>
    <t>Other Total Tangible Assets, Net</t>
  </si>
  <si>
    <t>Mach./Equip. under Capit Lease, Net</t>
  </si>
  <si>
    <t>Cap leases - acc depn</t>
  </si>
  <si>
    <t>Cap leases-cost/valn</t>
  </si>
  <si>
    <t>Goodwill</t>
  </si>
  <si>
    <t>Goodwill, Gross</t>
  </si>
  <si>
    <t>Accumulated Goodwill Amortization</t>
  </si>
  <si>
    <t>Intangible rights</t>
  </si>
  <si>
    <t>Licences, gross</t>
  </si>
  <si>
    <t>Licences, amortn</t>
  </si>
  <si>
    <t>Other Licences, net</t>
  </si>
  <si>
    <t>Other intangible assets</t>
  </si>
  <si>
    <t>Other Intangibles, Gross</t>
  </si>
  <si>
    <t>Misc intang FA amortn</t>
  </si>
  <si>
    <t>Other Intangibles, Net - Balancing value</t>
  </si>
  <si>
    <t>Acc Amort. Other Intangibles</t>
  </si>
  <si>
    <t>Investment in associate</t>
  </si>
  <si>
    <t>Available-for-sale financial assets</t>
  </si>
  <si>
    <t>Other investments</t>
  </si>
  <si>
    <t>Pension assets</t>
  </si>
  <si>
    <t>Deferred Tax Assets</t>
  </si>
  <si>
    <t>Other non-current assets</t>
  </si>
  <si>
    <t>Loan Receivables</t>
  </si>
  <si>
    <t>Other Non-current Receivables</t>
  </si>
  <si>
    <t>Other Loan Receivables</t>
  </si>
  <si>
    <t>Other non-current receivables - Balancing value</t>
  </si>
  <si>
    <t>Accumulated Intangible Amortization</t>
  </si>
  <si>
    <t>Other Capitalized Expenditure</t>
  </si>
  <si>
    <t>Balancing Item - Noncurrent Assets</t>
  </si>
  <si>
    <t>Non-current assets total</t>
  </si>
  <si>
    <t>Balancing Item - Assets</t>
  </si>
  <si>
    <t>Assets total</t>
  </si>
  <si>
    <t>Trade Payables</t>
  </si>
  <si>
    <t>Current tax liabilities</t>
  </si>
  <si>
    <t>Other current liabilities</t>
  </si>
  <si>
    <t>Other Current Liabilities to Assoc.</t>
  </si>
  <si>
    <t>Accrued expenses</t>
  </si>
  <si>
    <t>Employee-related Liabilities</t>
  </si>
  <si>
    <t>Liabilities Based on Contracts</t>
  </si>
  <si>
    <t>Sales Revenue Received in Advance</t>
  </si>
  <si>
    <t>Accrued Liabilities/Deferred Income</t>
  </si>
  <si>
    <t>Other current liabilities - Balancing value</t>
  </si>
  <si>
    <t>Liabilities on Derivative Contracts</t>
  </si>
  <si>
    <t>Other Current Liabilities</t>
  </si>
  <si>
    <t>Current Provisions</t>
  </si>
  <si>
    <t>Interest-bearing current liabilities</t>
  </si>
  <si>
    <t>Interest-bearing current liabilities - Balancing value</t>
  </si>
  <si>
    <t>S/T finance leases</t>
  </si>
  <si>
    <t>Current Portion of Long-Term Debt excluding Capitalized Leases</t>
  </si>
  <si>
    <t>Balancing Item - Current Liabilities</t>
  </si>
  <si>
    <t>Current liabilities total</t>
  </si>
  <si>
    <t>Deferred tax liabilities</t>
  </si>
  <si>
    <t>Pension liabilities</t>
  </si>
  <si>
    <t>Non-current provisions</t>
  </si>
  <si>
    <t>Interest-bearing non-current liabilities</t>
  </si>
  <si>
    <t>Loans from Financial Institutions</t>
  </si>
  <si>
    <t>Bonds</t>
  </si>
  <si>
    <t>Finance Lease Liabilities</t>
  </si>
  <si>
    <t>Other Interest Bearing Liabilities</t>
  </si>
  <si>
    <t>Other Non-Current Liabilities</t>
  </si>
  <si>
    <t>Liabilities based on contracts</t>
  </si>
  <si>
    <t>Other non-current liabilities -Other</t>
  </si>
  <si>
    <t>Other non-current liabilities - Balancing value</t>
  </si>
  <si>
    <t>Other non-current liabilities</t>
  </si>
  <si>
    <t>Pension Loans</t>
  </si>
  <si>
    <t>Adjustments</t>
  </si>
  <si>
    <t>Balancing Item - Noncurrent Liabilities</t>
  </si>
  <si>
    <t>Non-current liabilities total</t>
  </si>
  <si>
    <t>Balancing Item - Liabilities</t>
  </si>
  <si>
    <t>Liabilities total</t>
  </si>
  <si>
    <t>Share Capital</t>
  </si>
  <si>
    <t>Expendable fund</t>
  </si>
  <si>
    <t>Other Reserves</t>
  </si>
  <si>
    <t>Retained earnings</t>
  </si>
  <si>
    <t>Remeasurement of Defined Benefit Plans</t>
  </si>
  <si>
    <t>Common Stock - Treasury/Repurchased</t>
  </si>
  <si>
    <t>Retained Earnings</t>
  </si>
  <si>
    <t>Common Stock</t>
  </si>
  <si>
    <t>Retained Earnings - Balancing Value</t>
  </si>
  <si>
    <t>Cumulative Translation Adjustments</t>
  </si>
  <si>
    <t>Share Premium</t>
  </si>
  <si>
    <t>Balancing Item - Shareholders Equity</t>
  </si>
  <si>
    <t>Equity attributable to owners of the parent company</t>
  </si>
  <si>
    <t>Minority Interest</t>
  </si>
  <si>
    <t>Balancing Item - Total Equity</t>
  </si>
  <si>
    <t>Equity total</t>
  </si>
  <si>
    <t>Balancing Item - Total Liability and Equity</t>
  </si>
  <si>
    <t>Equity and liabilities total</t>
  </si>
  <si>
    <t>Total Equivalent No of Common Shares O/S</t>
  </si>
  <si>
    <t>Common Shares Treasury - (Company Level)</t>
  </si>
  <si>
    <t>Common Shares Issued - (Company Level)</t>
  </si>
  <si>
    <t>Reported Total LT Debt, Supplemental</t>
  </si>
  <si>
    <t>Current maturities</t>
  </si>
  <si>
    <t>LT Debt Within 2 Years</t>
  </si>
  <si>
    <t>LT Debt Within 3 Years</t>
  </si>
  <si>
    <t>LT Debt Within 4 Years</t>
  </si>
  <si>
    <t>LT Debt After 5 Years</t>
  </si>
  <si>
    <t>LT Debt Within 5 Years</t>
  </si>
  <si>
    <t>ST Receivables from Derivatives</t>
  </si>
  <si>
    <t>Non Curr Derv Fin'l Instrument-hedging</t>
  </si>
  <si>
    <t>Misc other L/T liabs</t>
  </si>
  <si>
    <t>Reported Total Capital Leases, Sup</t>
  </si>
  <si>
    <t>Financial Leasing due within 1 Year</t>
  </si>
  <si>
    <t>Financial Leasing due within 1-5 Years</t>
  </si>
  <si>
    <t>Remaining Maturities</t>
  </si>
  <si>
    <t>Finance Charges</t>
  </si>
  <si>
    <t>Other Reported Total Capital Leases, Sup</t>
  </si>
  <si>
    <t>T/S-A-Shares</t>
  </si>
  <si>
    <t>Common Shares Issued - A (Instrument Level)</t>
  </si>
  <si>
    <t>S/O-A-Shares</t>
  </si>
  <si>
    <t>Common Shares - Authorized A</t>
  </si>
  <si>
    <t>Asset Allocation Factor - (Instrument Level)</t>
  </si>
  <si>
    <t>Common Shares Issued - B (Instrument Level)</t>
  </si>
  <si>
    <t>T/S-B-Shares</t>
  </si>
  <si>
    <t>S/O-B-Shares</t>
  </si>
  <si>
    <t>Common Shares - Authorized B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</si>
  <si>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</si>
  <si>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</si>
  <si>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</si>
  <si>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</si>
  <si>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</si>
  <si>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</si>
  <si>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</si>
  <si>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</si>
  <si>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</si>
  <si>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Net financial items</t>
  </si>
  <si>
    <t>Depreciation, Depletion &amp; Amortization including Impairment - Cash Flow - to Reconcile</t>
  </si>
  <si>
    <t>Total adjustments to profit before taxes</t>
  </si>
  <si>
    <t>Dep, depletion, impairment and amort</t>
  </si>
  <si>
    <t>Amortization</t>
  </si>
  <si>
    <t>Impairment</t>
  </si>
  <si>
    <t>Depreciation, Amortization &amp; Impairment - Balancing value</t>
  </si>
  <si>
    <t>Sale of assets</t>
  </si>
  <si>
    <t>Unrealised foreign exchange gains and losses</t>
  </si>
  <si>
    <t>Change in pension assets and pension liabilities</t>
  </si>
  <si>
    <t>Change in Provisions</t>
  </si>
  <si>
    <t>Other Adjustments</t>
  </si>
  <si>
    <t>Total adjustments to operating profit - Balancing value</t>
  </si>
  <si>
    <t>Change in Working Capital</t>
  </si>
  <si>
    <t>Change in working capital</t>
  </si>
  <si>
    <t>Change in trade and other receivables</t>
  </si>
  <si>
    <t>Change in Inventories</t>
  </si>
  <si>
    <t>Change in trade and other payables</t>
  </si>
  <si>
    <t>Other Change in working capita</t>
  </si>
  <si>
    <t>Working Capital - Increase/Decrease - Cash Flow</t>
  </si>
  <si>
    <t>Interest and other financial expenses paid</t>
  </si>
  <si>
    <t>Interest and other financial income received</t>
  </si>
  <si>
    <t>Dividends received</t>
  </si>
  <si>
    <t>Income taxes paid</t>
  </si>
  <si>
    <t>Repayments of current loans</t>
  </si>
  <si>
    <t>Rounding Adjustments</t>
  </si>
  <si>
    <t>Operating Activities</t>
  </si>
  <si>
    <t>Balancing Item - Operating (Indirect)</t>
  </si>
  <si>
    <t>Total net cash flow from operating activities</t>
  </si>
  <si>
    <t>Investments in property, plant and equipment</t>
  </si>
  <si>
    <t>Investments in intangible assets</t>
  </si>
  <si>
    <t>Sales of Property and Other Investments</t>
  </si>
  <si>
    <t>Acquired in business combination, net of cash</t>
  </si>
  <si>
    <t>Sale of Subsidiaries</t>
  </si>
  <si>
    <t>Sales of intangible assets</t>
  </si>
  <si>
    <t>Investing Activities</t>
  </si>
  <si>
    <t>Balancing Item - Investing</t>
  </si>
  <si>
    <t>Total net cash flow from investing activities</t>
  </si>
  <si>
    <t>Current loans issued/reduced</t>
  </si>
  <si>
    <t>Lease liabilities - Reduced - Cash flow</t>
  </si>
  <si>
    <t>Changes in current loans including leasing liabilities</t>
  </si>
  <si>
    <t>Proceeds of Non-Current Loans</t>
  </si>
  <si>
    <t>Repayment of non-current loans</t>
  </si>
  <si>
    <t>Repurchase of treasury shares</t>
  </si>
  <si>
    <t>Dividend Paid before IPO</t>
  </si>
  <si>
    <t>Dividends paid and other distribution of profits</t>
  </si>
  <si>
    <t>Change in ST. Loans</t>
  </si>
  <si>
    <t>Change in LT. Debt</t>
  </si>
  <si>
    <t>Share Issue</t>
  </si>
  <si>
    <t>Financing Activities</t>
  </si>
  <si>
    <t>Balancing Item - Financing</t>
  </si>
  <si>
    <t>Total net cash flow from financing activities</t>
  </si>
  <si>
    <t>Net change in cash and cash equivalents</t>
  </si>
  <si>
    <t>Effect of Discontinued Operations</t>
  </si>
  <si>
    <t>Foreign exchange differences</t>
  </si>
  <si>
    <t>Cash and cash equivalents at the beginning of the period</t>
  </si>
  <si>
    <t>Cash and cash equivalents at the end of the period</t>
  </si>
  <si>
    <t>Balancing Item - Change in Cash</t>
  </si>
  <si>
    <t>Net Change in Cash</t>
  </si>
  <si>
    <t>Net inc adj-non cash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</si>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</sst>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46097.3856290394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39903.0</v>
      </c>
      <c r="T13" s="9">
        <v>39813.0</v>
      </c>
      <c r="U13" s="9">
        <v>39355.0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22112.01</v>
      </c>
      <c r="C20" s="15">
        <v>17922.08</v>
      </c>
      <c r="D20" s="15">
        <v>13571.39</v>
      </c>
      <c r="E20" s="15">
        <v>13531.7</v>
      </c>
      <c r="F20" s="15">
        <v>10578.31</v>
      </c>
      <c r="G20" s="15">
        <v>11560.7</v>
      </c>
      <c r="H20" s="15">
        <v>10346.99</v>
      </c>
      <c r="I20" s="16">
        <v>9385.42</v>
      </c>
      <c r="J20" s="16">
        <v>9643.72</v>
      </c>
      <c r="K20" s="16">
        <v>9970.85</v>
      </c>
      <c r="L20" s="16">
        <v>9084.2</v>
      </c>
      <c r="M20" s="16">
        <v>8484.45</v>
      </c>
      <c r="N20" s="16">
        <v>7862.48</v>
      </c>
      <c r="O20" s="16">
        <v>7327.26</v>
      </c>
      <c r="P20" s="16">
        <v>7152.42</v>
      </c>
      <c r="Q20" s="16">
        <v>6801.74</v>
      </c>
      <c r="R20" s="16">
        <v>6733.04</v>
      </c>
      <c r="S20" s="16">
        <v>5852.99</v>
      </c>
      <c r="T20" s="16">
        <v>5447.4</v>
      </c>
      <c r="U20" s="16">
        <v>5156.96</v>
      </c>
      <c r="V20" s="16">
        <v>4690.29</v>
      </c>
      <c r="W20" s="16">
        <v>4627.14</v>
      </c>
    </row>
    <row r="21" ht="15.0" customHeight="1">
      <c r="A21" s="17" t="s">
        <v>72</v>
      </c>
      <c r="B21" s="18">
        <v>22112.01</v>
      </c>
      <c r="C21" s="18">
        <v>17922.08</v>
      </c>
      <c r="D21" s="18">
        <v>13571.39</v>
      </c>
      <c r="E21" s="18">
        <v>13531.7</v>
      </c>
      <c r="F21" s="18">
        <v>10578.31</v>
      </c>
      <c r="G21" s="18">
        <v>11560.7</v>
      </c>
      <c r="H21" s="18">
        <v>10346.99</v>
      </c>
      <c r="I21" s="19">
        <v>9385.42</v>
      </c>
      <c r="J21" s="19">
        <v>9643.72</v>
      </c>
      <c r="K21" s="19">
        <v>9970.85</v>
      </c>
      <c r="L21" s="19">
        <v>9084.2</v>
      </c>
      <c r="M21" s="19">
        <v>8484.45</v>
      </c>
      <c r="N21" s="19">
        <v>7862.48</v>
      </c>
      <c r="O21" s="19">
        <v>7327.26</v>
      </c>
      <c r="P21" s="19">
        <v>7152.42</v>
      </c>
      <c r="Q21" s="19">
        <v>6801.74</v>
      </c>
      <c r="R21" s="19">
        <v>6733.04</v>
      </c>
      <c r="S21" s="19">
        <v>5852.99</v>
      </c>
      <c r="T21" s="19">
        <v>5447.4</v>
      </c>
      <c r="U21" s="19">
        <v>5156.96</v>
      </c>
      <c r="V21" s="19">
        <v>4690.29</v>
      </c>
      <c r="W21" s="19">
        <v>4627.14</v>
      </c>
    </row>
    <row r="22" ht="15.0" customHeight="1">
      <c r="A22" s="14" t="s">
        <v>73</v>
      </c>
      <c r="B22" s="16">
        <v>7916.79</v>
      </c>
      <c r="C22" s="16">
        <v>6925.29</v>
      </c>
      <c r="D22" s="16">
        <v>6067.6</v>
      </c>
      <c r="E22" s="16">
        <v>4963.1</v>
      </c>
      <c r="F22" s="16">
        <v>4547.35</v>
      </c>
      <c r="G22" s="16">
        <v>4578.81</v>
      </c>
      <c r="H22" s="16">
        <v>4111.23</v>
      </c>
      <c r="I22" s="16">
        <v>3724.4</v>
      </c>
      <c r="J22" s="16">
        <v>3896.3</v>
      </c>
      <c r="K22" s="16">
        <v>3916.82</v>
      </c>
      <c r="L22" s="16">
        <v>3629.74</v>
      </c>
      <c r="M22" s="16">
        <v>3356.84</v>
      </c>
      <c r="N22" s="16">
        <v>3072.68</v>
      </c>
      <c r="O22" s="16">
        <v>2621.79</v>
      </c>
      <c r="P22" s="16">
        <v>2377.39</v>
      </c>
      <c r="Q22" s="16">
        <v>2266.45</v>
      </c>
      <c r="R22" s="16">
        <v>2314.46</v>
      </c>
      <c r="S22" s="16">
        <v>2004.53</v>
      </c>
      <c r="T22" s="16">
        <v>1756.78</v>
      </c>
      <c r="U22" s="16">
        <v>1650.61</v>
      </c>
      <c r="V22" s="16">
        <v>1512.97</v>
      </c>
      <c r="W22" s="16">
        <v>1449.22</v>
      </c>
    </row>
    <row r="23" ht="15.0" customHeight="1">
      <c r="A23" s="14" t="s">
        <v>74</v>
      </c>
      <c r="B23" s="16">
        <v>386.18</v>
      </c>
      <c r="C23" s="16">
        <v>366.02</v>
      </c>
      <c r="D23" s="16">
        <v>361.61</v>
      </c>
      <c r="E23" s="16">
        <v>283.63</v>
      </c>
      <c r="F23" s="16">
        <v>274.37</v>
      </c>
      <c r="G23" s="16">
        <v>278.8</v>
      </c>
      <c r="H23" s="16">
        <v>249.08</v>
      </c>
      <c r="I23" s="16">
        <v>216.99</v>
      </c>
      <c r="J23" s="16">
        <v>204.33</v>
      </c>
      <c r="K23" s="16">
        <v>204.34</v>
      </c>
      <c r="L23" s="16">
        <v>188.73</v>
      </c>
      <c r="M23" s="16">
        <v>157.94</v>
      </c>
      <c r="N23" s="16">
        <v>132.75</v>
      </c>
      <c r="O23" s="16">
        <v>112.11</v>
      </c>
      <c r="P23" s="16">
        <v>114.54</v>
      </c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75</v>
      </c>
      <c r="B24" s="15"/>
      <c r="C24" s="15"/>
      <c r="D24" s="15"/>
      <c r="E24" s="15"/>
      <c r="F24" s="15"/>
      <c r="G24" s="15"/>
      <c r="H24" s="15"/>
      <c r="I24" s="15">
        <v>0.0</v>
      </c>
      <c r="J24" s="20">
        <v>1.87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76</v>
      </c>
      <c r="B25" s="15"/>
      <c r="C25" s="15"/>
      <c r="D25" s="15"/>
      <c r="E25" s="15"/>
      <c r="F25" s="15"/>
      <c r="G25" s="15"/>
      <c r="H25" s="15"/>
      <c r="I25" s="16">
        <v>216.99</v>
      </c>
      <c r="J25" s="16">
        <v>202.47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6">
        <v>7530.61</v>
      </c>
      <c r="C26" s="16">
        <v>6559.27</v>
      </c>
      <c r="D26" s="16">
        <v>5705.98</v>
      </c>
      <c r="E26" s="16">
        <v>4679.47</v>
      </c>
      <c r="F26" s="16">
        <v>4272.99</v>
      </c>
      <c r="G26" s="16">
        <v>4300.01</v>
      </c>
      <c r="H26" s="16">
        <v>3862.15</v>
      </c>
      <c r="I26" s="16">
        <v>3507.41</v>
      </c>
      <c r="J26" s="16">
        <v>3691.97</v>
      </c>
      <c r="K26" s="16">
        <v>3712.48</v>
      </c>
      <c r="L26" s="16">
        <v>3441.01</v>
      </c>
      <c r="M26" s="16">
        <v>3198.91</v>
      </c>
      <c r="N26" s="16">
        <v>2939.94</v>
      </c>
      <c r="O26" s="16">
        <v>2509.68</v>
      </c>
      <c r="P26" s="16">
        <v>2262.84</v>
      </c>
      <c r="Q26" s="15"/>
      <c r="R26" s="15"/>
      <c r="S26" s="15"/>
      <c r="T26" s="15"/>
      <c r="U26" s="15"/>
      <c r="V26" s="15"/>
      <c r="W26" s="15"/>
    </row>
    <row r="27" ht="15.0" customHeight="1">
      <c r="A27" s="17" t="s">
        <v>78</v>
      </c>
      <c r="B27" s="19">
        <v>7916.79</v>
      </c>
      <c r="C27" s="19">
        <v>6925.29</v>
      </c>
      <c r="D27" s="19">
        <v>6067.6</v>
      </c>
      <c r="E27" s="19">
        <v>4963.1</v>
      </c>
      <c r="F27" s="19">
        <v>4547.35</v>
      </c>
      <c r="G27" s="19">
        <v>4578.81</v>
      </c>
      <c r="H27" s="19">
        <v>4111.23</v>
      </c>
      <c r="I27" s="19">
        <v>3724.4</v>
      </c>
      <c r="J27" s="19">
        <v>3896.3</v>
      </c>
      <c r="K27" s="19">
        <v>3916.82</v>
      </c>
      <c r="L27" s="19">
        <v>3629.74</v>
      </c>
      <c r="M27" s="19">
        <v>3356.84</v>
      </c>
      <c r="N27" s="19">
        <v>3072.68</v>
      </c>
      <c r="O27" s="19">
        <v>2621.79</v>
      </c>
      <c r="P27" s="19">
        <v>2377.39</v>
      </c>
      <c r="Q27" s="19">
        <v>2266.45</v>
      </c>
      <c r="R27" s="19">
        <v>2314.46</v>
      </c>
      <c r="S27" s="19">
        <v>2004.53</v>
      </c>
      <c r="T27" s="19">
        <v>1756.78</v>
      </c>
      <c r="U27" s="19">
        <v>1650.61</v>
      </c>
      <c r="V27" s="19">
        <v>1512.97</v>
      </c>
      <c r="W27" s="19">
        <v>1449.22</v>
      </c>
    </row>
    <row r="28" ht="15.0" customHeight="1">
      <c r="A28" s="14" t="s">
        <v>79</v>
      </c>
      <c r="B28" s="15"/>
      <c r="C28" s="15"/>
      <c r="D28" s="21">
        <v>-1.14</v>
      </c>
      <c r="E28" s="15"/>
      <c r="F28" s="15"/>
      <c r="G28" s="21">
        <v>-1.07</v>
      </c>
      <c r="H28" s="15"/>
      <c r="I28" s="15"/>
      <c r="J28" s="15"/>
      <c r="K28" s="15"/>
      <c r="L28" s="15"/>
      <c r="M28" s="15"/>
      <c r="N28" s="15"/>
      <c r="O28" s="15"/>
      <c r="P28" s="15"/>
      <c r="Q28" s="20">
        <v>0.8</v>
      </c>
      <c r="R28" s="15"/>
      <c r="S28" s="15"/>
      <c r="T28" s="15"/>
      <c r="U28" s="15"/>
      <c r="V28" s="15"/>
      <c r="W28" s="15"/>
    </row>
    <row r="29" ht="15.0" customHeight="1">
      <c r="A29" s="17" t="s">
        <v>80</v>
      </c>
      <c r="B29" s="18">
        <v>14195.22</v>
      </c>
      <c r="C29" s="18">
        <v>10996.8</v>
      </c>
      <c r="D29" s="19">
        <v>7502.65</v>
      </c>
      <c r="E29" s="19">
        <v>8568.6</v>
      </c>
      <c r="F29" s="19">
        <v>6030.96</v>
      </c>
      <c r="G29" s="19">
        <v>6980.82</v>
      </c>
      <c r="H29" s="19">
        <v>6235.76</v>
      </c>
      <c r="I29" s="19">
        <v>5661.02</v>
      </c>
      <c r="J29" s="19">
        <v>5747.42</v>
      </c>
      <c r="K29" s="19">
        <v>6054.03</v>
      </c>
      <c r="L29" s="19">
        <v>5454.45</v>
      </c>
      <c r="M29" s="19">
        <v>5127.61</v>
      </c>
      <c r="N29" s="19">
        <v>4789.79</v>
      </c>
      <c r="O29" s="19">
        <v>4705.47</v>
      </c>
      <c r="P29" s="19">
        <v>4775.03</v>
      </c>
      <c r="Q29" s="19">
        <v>4536.1</v>
      </c>
      <c r="R29" s="19">
        <v>4418.58</v>
      </c>
      <c r="S29" s="19">
        <v>3848.46</v>
      </c>
      <c r="T29" s="19">
        <v>3690.61</v>
      </c>
      <c r="U29" s="19">
        <v>3506.34</v>
      </c>
      <c r="V29" s="19">
        <v>3177.32</v>
      </c>
      <c r="W29" s="19">
        <v>3177.92</v>
      </c>
    </row>
    <row r="30" ht="15.0" customHeight="1">
      <c r="A30" s="14" t="s">
        <v>81</v>
      </c>
      <c r="B30" s="16">
        <v>3387.89</v>
      </c>
      <c r="C30" s="16">
        <v>3231.41</v>
      </c>
      <c r="D30" s="16">
        <v>2564.39</v>
      </c>
      <c r="E30" s="16">
        <v>2122.72</v>
      </c>
      <c r="F30" s="16">
        <v>1940.88</v>
      </c>
      <c r="G30" s="16">
        <v>2190.75</v>
      </c>
      <c r="H30" s="16">
        <v>2123.55</v>
      </c>
      <c r="I30" s="16">
        <v>1875.16</v>
      </c>
      <c r="J30" s="16">
        <v>1762.48</v>
      </c>
      <c r="K30" s="16">
        <v>1808.41</v>
      </c>
      <c r="L30" s="16">
        <v>1703.06</v>
      </c>
      <c r="M30" s="16">
        <v>1616.17</v>
      </c>
      <c r="N30" s="16">
        <v>1599.98</v>
      </c>
      <c r="O30" s="16">
        <v>1540.34</v>
      </c>
      <c r="P30" s="16">
        <v>1595.83</v>
      </c>
      <c r="Q30" s="16">
        <v>1433.34</v>
      </c>
      <c r="R30" s="16">
        <v>1396.35</v>
      </c>
      <c r="S30" s="16">
        <v>1185.09</v>
      </c>
      <c r="T30" s="16">
        <v>1148.76</v>
      </c>
      <c r="U30" s="16">
        <v>1036.86</v>
      </c>
      <c r="V30" s="16">
        <v>1035.61</v>
      </c>
      <c r="W30" s="16">
        <v>1128.76</v>
      </c>
    </row>
    <row r="31" ht="15.0" customHeight="1">
      <c r="A31" s="14" t="s">
        <v>82</v>
      </c>
      <c r="B31" s="20">
        <v>74.9</v>
      </c>
      <c r="C31" s="16">
        <v>348.59</v>
      </c>
      <c r="D31" s="20">
        <v>85.56</v>
      </c>
      <c r="E31" s="20">
        <v>78.73</v>
      </c>
      <c r="F31" s="20">
        <v>79.26</v>
      </c>
      <c r="G31" s="16">
        <v>214.46</v>
      </c>
      <c r="H31" s="16">
        <v>202.8</v>
      </c>
      <c r="I31" s="20">
        <v>78.73</v>
      </c>
      <c r="J31" s="20">
        <v>68.11</v>
      </c>
      <c r="K31" s="20">
        <v>66.87</v>
      </c>
      <c r="L31" s="20">
        <v>76.03</v>
      </c>
      <c r="M31" s="20">
        <v>78.55</v>
      </c>
      <c r="N31" s="20">
        <v>74.96</v>
      </c>
      <c r="O31" s="20">
        <v>91.93</v>
      </c>
      <c r="P31" s="16">
        <v>110.65</v>
      </c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83</v>
      </c>
      <c r="B32" s="20">
        <v>4.68</v>
      </c>
      <c r="C32" s="16">
        <v>273.06</v>
      </c>
      <c r="D32" s="20">
        <v>11.41</v>
      </c>
      <c r="E32" s="20">
        <v>4.04</v>
      </c>
      <c r="F32" s="20">
        <v>6.1</v>
      </c>
      <c r="G32" s="20">
        <v>12.87</v>
      </c>
      <c r="H32" s="15">
        <v>0.0</v>
      </c>
      <c r="I32" s="20">
        <v>2.88</v>
      </c>
      <c r="J32" s="20">
        <v>6.53</v>
      </c>
      <c r="K32" s="20">
        <v>2.79</v>
      </c>
      <c r="L32" s="20">
        <v>11.63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20">
        <v>70.22</v>
      </c>
      <c r="C33" s="20">
        <v>75.53</v>
      </c>
      <c r="D33" s="20">
        <v>74.15</v>
      </c>
      <c r="E33" s="20">
        <v>74.69</v>
      </c>
      <c r="F33" s="20">
        <v>73.16</v>
      </c>
      <c r="G33" s="16">
        <v>201.6</v>
      </c>
      <c r="H33" s="16">
        <v>202.8</v>
      </c>
      <c r="I33" s="20">
        <v>75.85</v>
      </c>
      <c r="J33" s="20">
        <v>61.58</v>
      </c>
      <c r="K33" s="20">
        <v>64.09</v>
      </c>
      <c r="L33" s="20">
        <v>64.4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85</v>
      </c>
      <c r="B34" s="16">
        <v>3313.0</v>
      </c>
      <c r="C34" s="16">
        <v>2882.82</v>
      </c>
      <c r="D34" s="16">
        <v>2478.83</v>
      </c>
      <c r="E34" s="16">
        <v>2043.99</v>
      </c>
      <c r="F34" s="16">
        <v>1861.62</v>
      </c>
      <c r="G34" s="16">
        <v>1976.29</v>
      </c>
      <c r="H34" s="16">
        <v>1920.74</v>
      </c>
      <c r="I34" s="16">
        <v>1796.43</v>
      </c>
      <c r="J34" s="16">
        <v>1694.37</v>
      </c>
      <c r="K34" s="16">
        <v>1741.53</v>
      </c>
      <c r="L34" s="16">
        <v>1627.03</v>
      </c>
      <c r="M34" s="16">
        <v>1537.61</v>
      </c>
      <c r="N34" s="16">
        <v>1525.02</v>
      </c>
      <c r="O34" s="16">
        <v>1448.41</v>
      </c>
      <c r="P34" s="16">
        <v>1485.18</v>
      </c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6">
        <v>2462.22</v>
      </c>
      <c r="C35" s="16">
        <v>2086.88</v>
      </c>
      <c r="D35" s="16">
        <v>1447.6</v>
      </c>
      <c r="E35" s="16">
        <v>1370.73</v>
      </c>
      <c r="F35" s="16">
        <v>1196.03</v>
      </c>
      <c r="G35" s="16">
        <v>1321.1</v>
      </c>
      <c r="H35" s="16">
        <v>1174.5</v>
      </c>
      <c r="I35" s="16">
        <v>998.55</v>
      </c>
      <c r="J35" s="16">
        <v>924.63</v>
      </c>
      <c r="K35" s="16">
        <v>1097.86</v>
      </c>
      <c r="L35" s="16">
        <v>966.92</v>
      </c>
      <c r="M35" s="16">
        <v>887.47</v>
      </c>
      <c r="N35" s="16">
        <v>795.7</v>
      </c>
      <c r="O35" s="16">
        <v>790.72</v>
      </c>
      <c r="P35" s="16">
        <v>681.81</v>
      </c>
      <c r="Q35" s="16">
        <v>633.84</v>
      </c>
      <c r="R35" s="16">
        <v>830.83</v>
      </c>
      <c r="S35" s="16">
        <v>741.2</v>
      </c>
      <c r="T35" s="16">
        <v>789.07</v>
      </c>
      <c r="U35" s="16">
        <v>676.49</v>
      </c>
      <c r="V35" s="16">
        <v>641.55</v>
      </c>
      <c r="W35" s="16">
        <v>597.43</v>
      </c>
    </row>
    <row r="36" ht="15.0" customHeight="1">
      <c r="A36" s="14" t="s">
        <v>87</v>
      </c>
      <c r="B36" s="20">
        <v>70.22</v>
      </c>
      <c r="C36" s="16">
        <v>262.6</v>
      </c>
      <c r="D36" s="20">
        <v>52.47</v>
      </c>
      <c r="E36" s="20">
        <v>47.44</v>
      </c>
      <c r="F36" s="20">
        <v>37.6</v>
      </c>
      <c r="G36" s="20">
        <v>37.53</v>
      </c>
      <c r="H36" s="20">
        <v>32.49</v>
      </c>
      <c r="I36" s="20">
        <v>32.64</v>
      </c>
      <c r="J36" s="20">
        <v>36.39</v>
      </c>
      <c r="K36" s="20">
        <v>43.65</v>
      </c>
      <c r="L36" s="20">
        <v>41.15</v>
      </c>
      <c r="M36" s="20">
        <v>35.1</v>
      </c>
      <c r="N36" s="20">
        <v>33.58</v>
      </c>
      <c r="O36" s="20">
        <v>35.87</v>
      </c>
      <c r="P36" s="20">
        <v>42.08</v>
      </c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83</v>
      </c>
      <c r="B37" s="15"/>
      <c r="C37" s="16">
        <v>203.34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87</v>
      </c>
      <c r="B38" s="15"/>
      <c r="C38" s="20">
        <v>59.26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88</v>
      </c>
      <c r="B39" s="16">
        <v>2392.01</v>
      </c>
      <c r="C39" s="16">
        <v>1824.28</v>
      </c>
      <c r="D39" s="16">
        <v>1395.13</v>
      </c>
      <c r="E39" s="16">
        <v>1323.29</v>
      </c>
      <c r="F39" s="16">
        <v>1158.43</v>
      </c>
      <c r="G39" s="16">
        <v>1283.57</v>
      </c>
      <c r="H39" s="16">
        <v>1142.01</v>
      </c>
      <c r="I39" s="16">
        <v>965.91</v>
      </c>
      <c r="J39" s="16">
        <v>888.24</v>
      </c>
      <c r="K39" s="16">
        <v>1054.21</v>
      </c>
      <c r="L39" s="16">
        <v>925.77</v>
      </c>
      <c r="M39" s="16">
        <v>852.37</v>
      </c>
      <c r="N39" s="16">
        <v>762.12</v>
      </c>
      <c r="O39" s="16">
        <v>754.85</v>
      </c>
      <c r="P39" s="16">
        <v>639.74</v>
      </c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89</v>
      </c>
      <c r="B40" s="16">
        <v>1015.78</v>
      </c>
      <c r="C40" s="16">
        <v>949.32</v>
      </c>
      <c r="D40" s="16">
        <v>853.27</v>
      </c>
      <c r="E40" s="16">
        <v>694.45</v>
      </c>
      <c r="F40" s="16">
        <v>486.74</v>
      </c>
      <c r="G40" s="16">
        <v>524.37</v>
      </c>
      <c r="H40" s="16">
        <v>470.59</v>
      </c>
      <c r="I40" s="16">
        <v>412.86</v>
      </c>
      <c r="J40" s="16">
        <v>455.32</v>
      </c>
      <c r="K40" s="16">
        <v>452.33</v>
      </c>
      <c r="L40" s="16">
        <v>413.24</v>
      </c>
      <c r="M40" s="16">
        <v>361.84</v>
      </c>
      <c r="N40" s="16">
        <v>347.48</v>
      </c>
      <c r="O40" s="16">
        <v>341.55</v>
      </c>
      <c r="P40" s="16">
        <v>316.36</v>
      </c>
      <c r="Q40" s="16">
        <v>253.69</v>
      </c>
      <c r="R40" s="16">
        <v>438.11</v>
      </c>
      <c r="S40" s="16">
        <v>424.13</v>
      </c>
      <c r="T40" s="16">
        <v>310.82</v>
      </c>
      <c r="U40" s="16">
        <v>320.95</v>
      </c>
      <c r="V40" s="16">
        <v>347.61</v>
      </c>
      <c r="W40" s="16">
        <v>268.59</v>
      </c>
    </row>
    <row r="41" ht="15.0" customHeight="1">
      <c r="A41" s="14" t="s">
        <v>90</v>
      </c>
      <c r="B41" s="16">
        <v>127.56</v>
      </c>
      <c r="C41" s="16">
        <v>101.09</v>
      </c>
      <c r="D41" s="20">
        <v>88.98</v>
      </c>
      <c r="E41" s="20">
        <v>70.66</v>
      </c>
      <c r="F41" s="20">
        <v>73.16</v>
      </c>
      <c r="G41" s="20">
        <v>75.06</v>
      </c>
      <c r="H41" s="20">
        <v>67.93</v>
      </c>
      <c r="I41" s="20">
        <v>67.21</v>
      </c>
      <c r="J41" s="20">
        <v>59.71</v>
      </c>
      <c r="K41" s="20">
        <v>63.16</v>
      </c>
      <c r="L41" s="20">
        <v>67.08</v>
      </c>
      <c r="M41" s="20">
        <v>59.33</v>
      </c>
      <c r="N41" s="20">
        <v>59.35</v>
      </c>
      <c r="O41" s="20">
        <v>59.79</v>
      </c>
      <c r="P41" s="20">
        <v>63.9</v>
      </c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91</v>
      </c>
      <c r="B42" s="16">
        <v>888.23</v>
      </c>
      <c r="C42" s="16">
        <v>848.23</v>
      </c>
      <c r="D42" s="16">
        <v>764.3</v>
      </c>
      <c r="E42" s="16">
        <v>623.79</v>
      </c>
      <c r="F42" s="16">
        <v>413.58</v>
      </c>
      <c r="G42" s="16">
        <v>449.3</v>
      </c>
      <c r="H42" s="16">
        <v>402.66</v>
      </c>
      <c r="I42" s="16">
        <v>345.65</v>
      </c>
      <c r="J42" s="16">
        <v>395.6</v>
      </c>
      <c r="K42" s="16">
        <v>389.17</v>
      </c>
      <c r="L42" s="16">
        <v>346.16</v>
      </c>
      <c r="M42" s="16">
        <v>302.51</v>
      </c>
      <c r="N42" s="16">
        <v>288.14</v>
      </c>
      <c r="O42" s="16">
        <v>281.76</v>
      </c>
      <c r="P42" s="16">
        <v>252.47</v>
      </c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92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21">
        <v>-9.6</v>
      </c>
      <c r="R43" s="21">
        <v>-52.36</v>
      </c>
      <c r="S43" s="15"/>
      <c r="T43" s="15"/>
      <c r="U43" s="15"/>
      <c r="V43" s="15"/>
      <c r="W43" s="15"/>
    </row>
    <row r="44" ht="15.0" customHeight="1">
      <c r="A44" s="14" t="s">
        <v>93</v>
      </c>
      <c r="B44" s="21">
        <v>-63.19</v>
      </c>
      <c r="C44" s="22">
        <v>-110.39</v>
      </c>
      <c r="D44" s="22">
        <v>-498.5</v>
      </c>
      <c r="E44" s="21">
        <v>-57.53</v>
      </c>
      <c r="F44" s="21">
        <v>-65.03</v>
      </c>
      <c r="G44" s="21">
        <v>-57.91</v>
      </c>
      <c r="H44" s="21">
        <v>-21.66</v>
      </c>
      <c r="I44" s="21">
        <v>-52.81</v>
      </c>
      <c r="J44" s="21">
        <v>-45.72</v>
      </c>
      <c r="K44" s="22">
        <v>-225.7</v>
      </c>
      <c r="L44" s="21">
        <v>-13.42</v>
      </c>
      <c r="M44" s="21">
        <v>-14.21</v>
      </c>
      <c r="N44" s="21">
        <v>-43.73</v>
      </c>
      <c r="O44" s="21">
        <v>-47.08</v>
      </c>
      <c r="P44" s="21">
        <v>-23.38</v>
      </c>
      <c r="Q44" s="20">
        <v>24.81</v>
      </c>
      <c r="R44" s="21">
        <v>-50.62</v>
      </c>
      <c r="S44" s="21">
        <v>-25.53</v>
      </c>
      <c r="T44" s="21">
        <v>-74.5</v>
      </c>
      <c r="U44" s="22">
        <v>-111.01</v>
      </c>
      <c r="V44" s="21">
        <v>-91.31</v>
      </c>
      <c r="W44" s="21">
        <v>-48.53</v>
      </c>
    </row>
    <row r="45" ht="15.0" customHeight="1">
      <c r="A45" s="14" t="s">
        <v>94</v>
      </c>
      <c r="B45" s="21">
        <v>-2.34</v>
      </c>
      <c r="C45" s="21">
        <v>-6.97</v>
      </c>
      <c r="D45" s="21">
        <v>-90.12</v>
      </c>
      <c r="E45" s="21">
        <v>-4.04</v>
      </c>
      <c r="F45" s="21">
        <v>-40.65</v>
      </c>
      <c r="G45" s="21">
        <v>-3.22</v>
      </c>
      <c r="H45" s="21">
        <v>-1.97</v>
      </c>
      <c r="I45" s="21">
        <v>-6.72</v>
      </c>
      <c r="J45" s="21">
        <v>-7.46</v>
      </c>
      <c r="K45" s="22">
        <v>-208.98</v>
      </c>
      <c r="L45" s="21">
        <v>-2.68</v>
      </c>
      <c r="M45" s="21">
        <v>-5.01</v>
      </c>
      <c r="N45" s="21">
        <v>-7.03</v>
      </c>
      <c r="O45" s="21">
        <v>-3.74</v>
      </c>
      <c r="P45" s="21">
        <v>-2.34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95</v>
      </c>
      <c r="B46" s="15"/>
      <c r="C46" s="21">
        <v>-39.51</v>
      </c>
      <c r="D46" s="22">
        <v>-350.21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96</v>
      </c>
      <c r="B47" s="21">
        <v>-28.09</v>
      </c>
      <c r="C47" s="21">
        <v>-27.89</v>
      </c>
      <c r="D47" s="21">
        <v>-26.24</v>
      </c>
      <c r="E47" s="21">
        <v>-21.2</v>
      </c>
      <c r="F47" s="21">
        <v>-21.34</v>
      </c>
      <c r="G47" s="21">
        <v>-23.59</v>
      </c>
      <c r="H47" s="21">
        <v>-21.66</v>
      </c>
      <c r="I47" s="21">
        <v>-17.28</v>
      </c>
      <c r="J47" s="21">
        <v>-5.6</v>
      </c>
      <c r="K47" s="21">
        <v>-3.72</v>
      </c>
      <c r="L47" s="21">
        <v>-3.58</v>
      </c>
      <c r="M47" s="21">
        <v>-3.34</v>
      </c>
      <c r="N47" s="21">
        <v>-2.34</v>
      </c>
      <c r="O47" s="21">
        <v>-3.74</v>
      </c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97</v>
      </c>
      <c r="B48" s="20">
        <v>1.17</v>
      </c>
      <c r="C48" s="20">
        <v>11.62</v>
      </c>
      <c r="D48" s="20">
        <v>4.56</v>
      </c>
      <c r="E48" s="21">
        <v>-8.08</v>
      </c>
      <c r="F48" s="20">
        <v>4.06</v>
      </c>
      <c r="G48" s="21">
        <v>-12.87</v>
      </c>
      <c r="H48" s="20">
        <v>12.8</v>
      </c>
      <c r="I48" s="20">
        <v>6.72</v>
      </c>
      <c r="J48" s="20">
        <v>9.33</v>
      </c>
      <c r="K48" s="20">
        <v>4.64</v>
      </c>
      <c r="L48" s="20">
        <v>15.21</v>
      </c>
      <c r="M48" s="20">
        <v>0.84</v>
      </c>
      <c r="N48" s="21">
        <v>-14.84</v>
      </c>
      <c r="O48" s="20">
        <v>2.99</v>
      </c>
      <c r="P48" s="21">
        <v>-5.45</v>
      </c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98</v>
      </c>
      <c r="B49" s="21">
        <v>-35.11</v>
      </c>
      <c r="C49" s="21">
        <v>-51.13</v>
      </c>
      <c r="D49" s="21">
        <v>-39.93</v>
      </c>
      <c r="E49" s="21">
        <v>-27.25</v>
      </c>
      <c r="F49" s="21">
        <v>-9.15</v>
      </c>
      <c r="G49" s="21">
        <v>-21.45</v>
      </c>
      <c r="H49" s="21">
        <v>-5.91</v>
      </c>
      <c r="I49" s="21">
        <v>-26.88</v>
      </c>
      <c r="J49" s="21">
        <v>-16.79</v>
      </c>
      <c r="K49" s="21">
        <v>-21.36</v>
      </c>
      <c r="L49" s="21">
        <v>-24.15</v>
      </c>
      <c r="M49" s="21">
        <v>-13.37</v>
      </c>
      <c r="N49" s="21">
        <v>-22.64</v>
      </c>
      <c r="O49" s="21">
        <v>-44.1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99</v>
      </c>
      <c r="B50" s="20">
        <v>3.51</v>
      </c>
      <c r="C50" s="20">
        <v>2.32</v>
      </c>
      <c r="D50" s="20">
        <v>2.28</v>
      </c>
      <c r="E50" s="20">
        <v>4.04</v>
      </c>
      <c r="F50" s="20">
        <v>1.02</v>
      </c>
      <c r="G50" s="20">
        <v>2.14</v>
      </c>
      <c r="H50" s="20">
        <v>1.97</v>
      </c>
      <c r="I50" s="20">
        <v>0.96</v>
      </c>
      <c r="J50" s="20">
        <v>1.87</v>
      </c>
      <c r="K50" s="20">
        <v>3.72</v>
      </c>
      <c r="L50" s="20">
        <v>0.89</v>
      </c>
      <c r="M50" s="20">
        <v>5.85</v>
      </c>
      <c r="N50" s="20">
        <v>3.9</v>
      </c>
      <c r="O50" s="20">
        <v>1.49</v>
      </c>
      <c r="P50" s="15"/>
      <c r="Q50" s="15"/>
      <c r="R50" s="15"/>
      <c r="S50" s="15"/>
      <c r="T50" s="20">
        <v>28.04</v>
      </c>
      <c r="U50" s="15"/>
      <c r="V50" s="15"/>
      <c r="W50" s="15"/>
    </row>
    <row r="51" ht="15.0" customHeight="1">
      <c r="A51" s="14" t="s">
        <v>100</v>
      </c>
      <c r="B51" s="21">
        <v>-2.34</v>
      </c>
      <c r="C51" s="20">
        <v>1.16</v>
      </c>
      <c r="D51" s="20">
        <v>1.14</v>
      </c>
      <c r="E51" s="21">
        <v>-1.01</v>
      </c>
      <c r="F51" s="20">
        <v>1.02</v>
      </c>
      <c r="G51" s="20">
        <v>1.07</v>
      </c>
      <c r="H51" s="21">
        <v>-6.89</v>
      </c>
      <c r="I51" s="21">
        <v>-9.6</v>
      </c>
      <c r="J51" s="21">
        <v>-27.06</v>
      </c>
      <c r="K51" s="15"/>
      <c r="L51" s="20">
        <v>0.89</v>
      </c>
      <c r="M51" s="20">
        <v>0.84</v>
      </c>
      <c r="N51" s="21">
        <v>-0.78</v>
      </c>
      <c r="O51" s="15"/>
      <c r="P51" s="21">
        <v>-15.58</v>
      </c>
      <c r="Q51" s="20">
        <v>9.6</v>
      </c>
      <c r="R51" s="20">
        <v>52.36</v>
      </c>
      <c r="S51" s="20">
        <v>25.53</v>
      </c>
      <c r="T51" s="15"/>
      <c r="U51" s="15"/>
      <c r="V51" s="15"/>
      <c r="W51" s="15"/>
    </row>
    <row r="52" ht="15.0" customHeight="1">
      <c r="A52" s="14" t="s">
        <v>101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1">
        <v>-1.6</v>
      </c>
      <c r="R52" s="21">
        <v>-1.75</v>
      </c>
      <c r="S52" s="15"/>
      <c r="T52" s="21">
        <v>-49.67</v>
      </c>
      <c r="U52" s="15"/>
      <c r="V52" s="15"/>
      <c r="W52" s="21">
        <v>-7.53</v>
      </c>
    </row>
    <row r="53" ht="15.0" customHeight="1">
      <c r="A53" s="14" t="s">
        <v>102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21">
        <v>-32.81</v>
      </c>
      <c r="R53" s="15"/>
      <c r="S53" s="15"/>
      <c r="T53" s="15"/>
      <c r="U53" s="15"/>
      <c r="V53" s="15"/>
      <c r="W53" s="15"/>
    </row>
    <row r="54" ht="15.0" customHeight="1">
      <c r="A54" s="14" t="s">
        <v>103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6">
        <v>188.87</v>
      </c>
      <c r="R54" s="15"/>
      <c r="S54" s="15"/>
      <c r="T54" s="15"/>
      <c r="U54" s="15"/>
      <c r="V54" s="15"/>
      <c r="W54" s="16">
        <v>249.35</v>
      </c>
    </row>
    <row r="55" ht="15.0" customHeight="1">
      <c r="A55" s="14" t="s">
        <v>104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6">
        <v>108.78</v>
      </c>
    </row>
    <row r="56" ht="15.0" customHeight="1">
      <c r="A56" s="17" t="s">
        <v>105</v>
      </c>
      <c r="B56" s="19">
        <v>6802.71</v>
      </c>
      <c r="C56" s="19">
        <v>6157.23</v>
      </c>
      <c r="D56" s="19">
        <v>4366.76</v>
      </c>
      <c r="E56" s="19">
        <v>4130.37</v>
      </c>
      <c r="F56" s="19">
        <v>3558.62</v>
      </c>
      <c r="G56" s="19">
        <v>3978.31</v>
      </c>
      <c r="H56" s="19">
        <v>3746.97</v>
      </c>
      <c r="I56" s="19">
        <v>3233.77</v>
      </c>
      <c r="J56" s="19">
        <v>3096.7</v>
      </c>
      <c r="K56" s="19">
        <v>3132.9</v>
      </c>
      <c r="L56" s="19">
        <v>3069.81</v>
      </c>
      <c r="M56" s="19">
        <v>2851.27</v>
      </c>
      <c r="N56" s="19">
        <v>2699.43</v>
      </c>
      <c r="O56" s="19">
        <v>2625.53</v>
      </c>
      <c r="P56" s="19">
        <v>2570.63</v>
      </c>
      <c r="Q56" s="19">
        <v>2500.13</v>
      </c>
      <c r="R56" s="19">
        <v>2612.93</v>
      </c>
      <c r="S56" s="19">
        <v>2324.89</v>
      </c>
      <c r="T56" s="19">
        <v>2124.48</v>
      </c>
      <c r="U56" s="19">
        <v>1923.3</v>
      </c>
      <c r="V56" s="19">
        <v>1933.46</v>
      </c>
      <c r="W56" s="19">
        <v>2296.84</v>
      </c>
    </row>
    <row r="57" ht="15.0" customHeight="1">
      <c r="A57" s="14" t="s">
        <v>106</v>
      </c>
      <c r="B57" s="21">
        <v>-1.17</v>
      </c>
      <c r="C57" s="20">
        <v>1.16</v>
      </c>
      <c r="D57" s="15"/>
      <c r="E57" s="21">
        <v>-1.01</v>
      </c>
      <c r="F57" s="15"/>
      <c r="G57" s="20">
        <v>1.07</v>
      </c>
      <c r="H57" s="15"/>
      <c r="I57" s="15"/>
      <c r="J57" s="15"/>
      <c r="K57" s="20">
        <v>0.93</v>
      </c>
      <c r="L57" s="15"/>
      <c r="M57" s="15"/>
      <c r="N57" s="15"/>
      <c r="O57" s="15"/>
      <c r="P57" s="15"/>
      <c r="Q57" s="21">
        <v>-1.6</v>
      </c>
      <c r="R57" s="20">
        <v>0.87</v>
      </c>
      <c r="S57" s="15"/>
      <c r="T57" s="21">
        <v>-28.04</v>
      </c>
      <c r="U57" s="15"/>
      <c r="V57" s="15"/>
      <c r="W57" s="15"/>
    </row>
    <row r="58" ht="15.0" customHeight="1">
      <c r="A58" s="17" t="s">
        <v>107</v>
      </c>
      <c r="B58" s="19">
        <v>7391.34</v>
      </c>
      <c r="C58" s="19">
        <v>4840.73</v>
      </c>
      <c r="D58" s="19">
        <v>3135.9</v>
      </c>
      <c r="E58" s="19">
        <v>4437.22</v>
      </c>
      <c r="F58" s="19">
        <v>2472.34</v>
      </c>
      <c r="G58" s="19">
        <v>3003.57</v>
      </c>
      <c r="H58" s="19">
        <v>2488.79</v>
      </c>
      <c r="I58" s="19">
        <v>2427.25</v>
      </c>
      <c r="J58" s="19">
        <v>2650.72</v>
      </c>
      <c r="K58" s="19">
        <v>2922.06</v>
      </c>
      <c r="L58" s="19">
        <v>2384.65</v>
      </c>
      <c r="M58" s="19">
        <v>2276.34</v>
      </c>
      <c r="N58" s="19">
        <v>2090.36</v>
      </c>
      <c r="O58" s="19">
        <v>2079.94</v>
      </c>
      <c r="P58" s="19">
        <v>2204.4</v>
      </c>
      <c r="Q58" s="19">
        <v>2034.36</v>
      </c>
      <c r="R58" s="19">
        <v>1806.53</v>
      </c>
      <c r="S58" s="19">
        <v>1523.57</v>
      </c>
      <c r="T58" s="19">
        <v>1538.09</v>
      </c>
      <c r="U58" s="19">
        <v>1583.04</v>
      </c>
      <c r="V58" s="19">
        <v>1243.86</v>
      </c>
      <c r="W58" s="19">
        <v>881.08</v>
      </c>
    </row>
    <row r="59" ht="15.0" customHeight="1">
      <c r="A59" s="14" t="s">
        <v>108</v>
      </c>
      <c r="B59" s="15"/>
      <c r="C59" s="15"/>
      <c r="D59" s="15"/>
      <c r="E59" s="15"/>
      <c r="F59" s="15"/>
      <c r="G59" s="20">
        <v>2.14</v>
      </c>
      <c r="H59" s="20">
        <v>6.89</v>
      </c>
      <c r="I59" s="20">
        <v>2.88</v>
      </c>
      <c r="J59" s="20">
        <v>0.93</v>
      </c>
      <c r="K59" s="20">
        <v>7.43</v>
      </c>
      <c r="L59" s="20">
        <v>7.16</v>
      </c>
      <c r="M59" s="20">
        <v>6.69</v>
      </c>
      <c r="N59" s="20">
        <v>34.36</v>
      </c>
      <c r="O59" s="20">
        <v>36.62</v>
      </c>
      <c r="P59" s="20">
        <v>38.96</v>
      </c>
      <c r="Q59" s="21">
        <v>-33.61</v>
      </c>
      <c r="R59" s="21">
        <v>-44.51</v>
      </c>
      <c r="S59" s="21">
        <v>-18.12</v>
      </c>
      <c r="T59" s="21">
        <v>-31.24</v>
      </c>
      <c r="U59" s="21">
        <v>-28.15</v>
      </c>
      <c r="V59" s="15"/>
      <c r="W59" s="15"/>
    </row>
    <row r="60" ht="15.0" customHeight="1">
      <c r="A60" s="14" t="s">
        <v>109</v>
      </c>
      <c r="B60" s="15"/>
      <c r="C60" s="15"/>
      <c r="D60" s="15"/>
      <c r="E60" s="15"/>
      <c r="F60" s="15"/>
      <c r="G60" s="15"/>
      <c r="H60" s="15"/>
      <c r="I60" s="15"/>
      <c r="J60" s="21">
        <v>-0.93</v>
      </c>
      <c r="K60" s="20">
        <v>0.93</v>
      </c>
      <c r="L60" s="15"/>
      <c r="M60" s="15"/>
      <c r="N60" s="20">
        <v>0.78</v>
      </c>
      <c r="O60" s="20">
        <v>0.75</v>
      </c>
      <c r="P60" s="15"/>
      <c r="Q60" s="21">
        <v>-68.03</v>
      </c>
      <c r="R60" s="21">
        <v>-61.09</v>
      </c>
      <c r="S60" s="21">
        <v>-50.24</v>
      </c>
      <c r="T60" s="21">
        <v>-61.68</v>
      </c>
      <c r="U60" s="15"/>
      <c r="V60" s="15"/>
      <c r="W60" s="15"/>
    </row>
    <row r="61" ht="15.0" customHeight="1">
      <c r="A61" s="14" t="s">
        <v>110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0">
        <v>0.78</v>
      </c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111</v>
      </c>
      <c r="B62" s="15"/>
      <c r="C62" s="15"/>
      <c r="D62" s="15"/>
      <c r="E62" s="15"/>
      <c r="F62" s="15"/>
      <c r="G62" s="21">
        <v>-21.45</v>
      </c>
      <c r="H62" s="21">
        <v>-25.6</v>
      </c>
      <c r="I62" s="21">
        <v>-45.13</v>
      </c>
      <c r="J62" s="21">
        <v>-61.58</v>
      </c>
      <c r="K62" s="21">
        <v>-45.51</v>
      </c>
      <c r="L62" s="21">
        <v>-49.2</v>
      </c>
      <c r="M62" s="21">
        <v>-49.3</v>
      </c>
      <c r="N62" s="21">
        <v>-64.81</v>
      </c>
      <c r="O62" s="21">
        <v>-49.33</v>
      </c>
      <c r="P62" s="21">
        <v>-46.75</v>
      </c>
      <c r="Q62" s="20">
        <v>47.22</v>
      </c>
      <c r="R62" s="20">
        <v>73.31</v>
      </c>
      <c r="S62" s="21">
        <v>-19.77</v>
      </c>
      <c r="T62" s="20">
        <v>20.03</v>
      </c>
      <c r="U62" s="21">
        <v>-24.13</v>
      </c>
      <c r="V62" s="15"/>
      <c r="W62" s="15"/>
    </row>
    <row r="63" ht="15.0" customHeight="1">
      <c r="A63" s="14" t="s">
        <v>112</v>
      </c>
      <c r="B63" s="15"/>
      <c r="C63" s="15"/>
      <c r="D63" s="15"/>
      <c r="E63" s="15"/>
      <c r="F63" s="15"/>
      <c r="G63" s="15"/>
      <c r="H63" s="20">
        <v>0.98</v>
      </c>
      <c r="I63" s="15"/>
      <c r="J63" s="15"/>
      <c r="K63" s="21">
        <v>-0.93</v>
      </c>
      <c r="L63" s="15"/>
      <c r="M63" s="21">
        <v>-0.84</v>
      </c>
      <c r="N63" s="21">
        <v>-0.78</v>
      </c>
      <c r="O63" s="15"/>
      <c r="P63" s="15"/>
      <c r="Q63" s="20">
        <v>94.44</v>
      </c>
      <c r="R63" s="16">
        <v>146.62</v>
      </c>
      <c r="S63" s="20">
        <v>50.24</v>
      </c>
      <c r="T63" s="20">
        <v>40.05</v>
      </c>
      <c r="U63" s="15"/>
      <c r="V63" s="15"/>
      <c r="W63" s="15"/>
    </row>
    <row r="64" ht="15.0" customHeight="1">
      <c r="A64" s="14" t="s">
        <v>113</v>
      </c>
      <c r="B64" s="15"/>
      <c r="C64" s="15"/>
      <c r="D64" s="15"/>
      <c r="E64" s="15"/>
      <c r="F64" s="15"/>
      <c r="G64" s="15"/>
      <c r="H64" s="15"/>
      <c r="I64" s="15"/>
      <c r="J64" s="15"/>
      <c r="K64" s="20">
        <v>3.72</v>
      </c>
      <c r="L64" s="20">
        <v>3.58</v>
      </c>
      <c r="M64" s="20">
        <v>3.34</v>
      </c>
      <c r="N64" s="20">
        <v>2.34</v>
      </c>
      <c r="O64" s="20">
        <v>0.75</v>
      </c>
      <c r="P64" s="15">
        <v>0.0</v>
      </c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114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21">
        <v>-0.8</v>
      </c>
      <c r="R65" s="20">
        <v>1.75</v>
      </c>
      <c r="S65" s="15"/>
      <c r="T65" s="20">
        <v>0.8</v>
      </c>
      <c r="U65" s="15"/>
      <c r="V65" s="15"/>
      <c r="W65" s="15"/>
    </row>
    <row r="66" ht="15.0" customHeight="1">
      <c r="A66" s="14" t="s">
        <v>115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0">
        <v>27.05</v>
      </c>
      <c r="S66" s="20">
        <v>30.47</v>
      </c>
      <c r="T66" s="15"/>
      <c r="U66" s="15"/>
      <c r="V66" s="15"/>
      <c r="W66" s="15"/>
    </row>
    <row r="67" ht="15.0" customHeight="1">
      <c r="A67" s="14" t="s">
        <v>111</v>
      </c>
      <c r="B67" s="21">
        <v>-45.64</v>
      </c>
      <c r="C67" s="21">
        <v>-40.67</v>
      </c>
      <c r="D67" s="21">
        <v>-34.22</v>
      </c>
      <c r="E67" s="20">
        <v>7.07</v>
      </c>
      <c r="F67" s="21">
        <v>-10.16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20">
        <v>12.8</v>
      </c>
      <c r="R67" s="20">
        <v>28.8</v>
      </c>
      <c r="S67" s="15"/>
      <c r="T67" s="21">
        <v>-11.22</v>
      </c>
      <c r="U67" s="15"/>
      <c r="V67" s="21">
        <v>-8.01</v>
      </c>
      <c r="W67" s="20">
        <v>16.73</v>
      </c>
    </row>
    <row r="68" ht="15.0" customHeight="1">
      <c r="A68" s="14" t="s">
        <v>116</v>
      </c>
      <c r="B68" s="20">
        <v>53.83</v>
      </c>
      <c r="C68" s="20">
        <v>53.45</v>
      </c>
      <c r="D68" s="20">
        <v>33.08</v>
      </c>
      <c r="E68" s="20">
        <v>10.09</v>
      </c>
      <c r="F68" s="20">
        <v>1.02</v>
      </c>
      <c r="G68" s="20">
        <v>2.14</v>
      </c>
      <c r="H68" s="20">
        <v>3.94</v>
      </c>
      <c r="I68" s="20">
        <v>2.88</v>
      </c>
      <c r="J68" s="20">
        <v>1.87</v>
      </c>
      <c r="K68" s="20">
        <v>0.93</v>
      </c>
      <c r="L68" s="20">
        <v>1.79</v>
      </c>
      <c r="M68" s="20">
        <v>4.18</v>
      </c>
      <c r="N68" s="20">
        <v>3.12</v>
      </c>
      <c r="O68" s="20">
        <v>5.98</v>
      </c>
      <c r="P68" s="20">
        <v>7.79</v>
      </c>
      <c r="Q68" s="20">
        <v>5.6</v>
      </c>
      <c r="R68" s="20">
        <v>16.58</v>
      </c>
      <c r="S68" s="20">
        <v>32.12</v>
      </c>
      <c r="T68" s="20">
        <v>22.43</v>
      </c>
      <c r="U68" s="15"/>
      <c r="V68" s="15"/>
      <c r="W68" s="20">
        <v>15.06</v>
      </c>
    </row>
    <row r="69" ht="15.0" customHeight="1">
      <c r="A69" s="14" t="s">
        <v>117</v>
      </c>
      <c r="B69" s="15">
        <v>0.0</v>
      </c>
      <c r="C69" s="15">
        <v>0.0</v>
      </c>
      <c r="D69" s="15">
        <v>0.0</v>
      </c>
      <c r="E69" s="15">
        <v>0.0</v>
      </c>
      <c r="F69" s="15">
        <v>0.0</v>
      </c>
      <c r="G69" s="15">
        <v>0.0</v>
      </c>
      <c r="H69" s="15">
        <v>0.0</v>
      </c>
      <c r="I69" s="15">
        <v>0.0</v>
      </c>
      <c r="J69" s="15">
        <v>0.0</v>
      </c>
      <c r="K69" s="20">
        <v>0.93</v>
      </c>
      <c r="L69" s="20">
        <v>1.79</v>
      </c>
      <c r="M69" s="20">
        <v>1.67</v>
      </c>
      <c r="N69" s="20">
        <v>2.34</v>
      </c>
      <c r="O69" s="15">
        <v>0.0</v>
      </c>
      <c r="P69" s="20">
        <v>0.78</v>
      </c>
      <c r="Q69" s="20">
        <v>0.8</v>
      </c>
      <c r="R69" s="15"/>
      <c r="S69" s="15"/>
      <c r="T69" s="15">
        <v>0.0</v>
      </c>
      <c r="U69" s="15"/>
      <c r="V69" s="15"/>
      <c r="W69" s="20">
        <v>2.51</v>
      </c>
    </row>
    <row r="70" ht="15.0" customHeight="1">
      <c r="A70" s="14" t="s">
        <v>118</v>
      </c>
      <c r="B70" s="20">
        <v>2.34</v>
      </c>
      <c r="C70" s="20">
        <v>3.49</v>
      </c>
      <c r="D70" s="15"/>
      <c r="E70" s="20">
        <v>15.14</v>
      </c>
      <c r="F70" s="15"/>
      <c r="G70" s="15"/>
      <c r="H70" s="20">
        <v>2.95</v>
      </c>
      <c r="I70" s="15"/>
      <c r="J70" s="15"/>
      <c r="K70" s="20">
        <v>4.64</v>
      </c>
      <c r="L70" s="20">
        <v>3.58</v>
      </c>
      <c r="M70" s="20">
        <v>0.84</v>
      </c>
      <c r="N70" s="20">
        <v>28.11</v>
      </c>
      <c r="O70" s="20">
        <v>29.89</v>
      </c>
      <c r="P70" s="20">
        <v>29.61</v>
      </c>
      <c r="Q70" s="20">
        <v>28.01</v>
      </c>
      <c r="R70" s="15"/>
      <c r="S70" s="15"/>
      <c r="T70" s="20">
        <v>8.01</v>
      </c>
      <c r="U70" s="15"/>
      <c r="V70" s="15"/>
      <c r="W70" s="20">
        <v>12.55</v>
      </c>
    </row>
    <row r="71" ht="15.0" customHeight="1">
      <c r="A71" s="14" t="s">
        <v>119</v>
      </c>
      <c r="B71" s="15">
        <v>0.0</v>
      </c>
      <c r="C71" s="15">
        <v>0.0</v>
      </c>
      <c r="D71" s="15">
        <v>0.0</v>
      </c>
      <c r="E71" s="15">
        <v>0.0</v>
      </c>
      <c r="F71" s="15">
        <v>0.0</v>
      </c>
      <c r="G71" s="15">
        <v>0.0</v>
      </c>
      <c r="H71" s="15">
        <v>0.0</v>
      </c>
      <c r="I71" s="15">
        <v>0.0</v>
      </c>
      <c r="J71" s="15">
        <v>0.0</v>
      </c>
      <c r="K71" s="15">
        <v>0.0</v>
      </c>
      <c r="L71" s="15">
        <v>0.0</v>
      </c>
      <c r="M71" s="15">
        <v>0.0</v>
      </c>
      <c r="N71" s="15">
        <v>0.0</v>
      </c>
      <c r="O71" s="15">
        <v>0.0</v>
      </c>
      <c r="P71" s="15"/>
      <c r="Q71" s="15"/>
      <c r="R71" s="15"/>
      <c r="S71" s="15"/>
      <c r="T71" s="15">
        <v>0.0</v>
      </c>
      <c r="U71" s="15"/>
      <c r="V71" s="15"/>
      <c r="W71" s="15"/>
    </row>
    <row r="72" ht="15.0" customHeight="1">
      <c r="A72" s="14" t="s">
        <v>120</v>
      </c>
      <c r="B72" s="21">
        <v>-95.96</v>
      </c>
      <c r="C72" s="21">
        <v>-88.31</v>
      </c>
      <c r="D72" s="21">
        <v>-59.32</v>
      </c>
      <c r="E72" s="21">
        <v>-15.14</v>
      </c>
      <c r="F72" s="21">
        <v>-10.16</v>
      </c>
      <c r="G72" s="21">
        <v>-9.65</v>
      </c>
      <c r="H72" s="21">
        <v>-22.64</v>
      </c>
      <c r="I72" s="21">
        <v>-43.21</v>
      </c>
      <c r="J72" s="21">
        <v>-41.99</v>
      </c>
      <c r="K72" s="21">
        <v>-42.73</v>
      </c>
      <c r="L72" s="21">
        <v>-46.51</v>
      </c>
      <c r="M72" s="21">
        <v>-45.96</v>
      </c>
      <c r="N72" s="21">
        <v>-31.23</v>
      </c>
      <c r="O72" s="21">
        <v>-19.43</v>
      </c>
      <c r="P72" s="21">
        <v>-16.36</v>
      </c>
      <c r="Q72" s="21">
        <v>-17.61</v>
      </c>
      <c r="R72" s="21">
        <v>-41.02</v>
      </c>
      <c r="S72" s="21">
        <v>-34.59</v>
      </c>
      <c r="T72" s="21">
        <v>-8.81</v>
      </c>
      <c r="U72" s="15"/>
      <c r="V72" s="15"/>
      <c r="W72" s="21">
        <v>-20.92</v>
      </c>
    </row>
    <row r="73" ht="15.0" customHeight="1">
      <c r="A73" s="14" t="s">
        <v>121</v>
      </c>
      <c r="B73" s="21">
        <v>-7.02</v>
      </c>
      <c r="C73" s="21">
        <v>-3.49</v>
      </c>
      <c r="D73" s="21">
        <v>-2.28</v>
      </c>
      <c r="E73" s="21">
        <v>-2.02</v>
      </c>
      <c r="F73" s="21">
        <v>-2.03</v>
      </c>
      <c r="G73" s="21">
        <v>-2.14</v>
      </c>
      <c r="H73" s="21">
        <v>-1.97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122</v>
      </c>
      <c r="B74" s="21">
        <v>-88.94</v>
      </c>
      <c r="C74" s="21">
        <v>-84.82</v>
      </c>
      <c r="D74" s="21">
        <v>-57.04</v>
      </c>
      <c r="E74" s="21">
        <v>-13.12</v>
      </c>
      <c r="F74" s="21">
        <v>-8.13</v>
      </c>
      <c r="G74" s="21">
        <v>-7.51</v>
      </c>
      <c r="H74" s="21">
        <v>-20.67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123</v>
      </c>
      <c r="B75" s="15"/>
      <c r="C75" s="15">
        <v>0.0</v>
      </c>
      <c r="D75" s="21">
        <v>-2.28</v>
      </c>
      <c r="E75" s="15"/>
      <c r="F75" s="15"/>
      <c r="G75" s="21">
        <v>-8.58</v>
      </c>
      <c r="H75" s="15"/>
      <c r="I75" s="21">
        <v>-0.96</v>
      </c>
      <c r="J75" s="21">
        <v>-3.73</v>
      </c>
      <c r="K75" s="15"/>
      <c r="L75" s="15"/>
      <c r="M75" s="15"/>
      <c r="N75" s="21">
        <v>-28.89</v>
      </c>
      <c r="O75" s="21">
        <v>-23.17</v>
      </c>
      <c r="P75" s="21">
        <v>-27.27</v>
      </c>
      <c r="Q75" s="21">
        <v>-25.61</v>
      </c>
      <c r="R75" s="15"/>
      <c r="S75" s="15"/>
      <c r="T75" s="21">
        <v>-10.41</v>
      </c>
      <c r="U75" s="15"/>
      <c r="V75" s="15"/>
      <c r="W75" s="21">
        <v>-16.73</v>
      </c>
    </row>
    <row r="76" ht="15.0" customHeight="1">
      <c r="A76" s="14" t="s">
        <v>124</v>
      </c>
      <c r="B76" s="21">
        <v>-4.68</v>
      </c>
      <c r="C76" s="21">
        <v>-9.3</v>
      </c>
      <c r="D76" s="21">
        <v>-5.7</v>
      </c>
      <c r="E76" s="21">
        <v>-3.03</v>
      </c>
      <c r="F76" s="21">
        <v>-3.05</v>
      </c>
      <c r="G76" s="21">
        <v>-3.22</v>
      </c>
      <c r="H76" s="21">
        <v>-3.94</v>
      </c>
      <c r="I76" s="21">
        <v>-0.96</v>
      </c>
      <c r="J76" s="21">
        <v>-15.86</v>
      </c>
      <c r="K76" s="21">
        <v>-1.86</v>
      </c>
      <c r="L76" s="21">
        <v>-2.68</v>
      </c>
      <c r="M76" s="21">
        <v>-2.51</v>
      </c>
      <c r="N76" s="21">
        <v>-3.9</v>
      </c>
      <c r="O76" s="21">
        <v>-6.73</v>
      </c>
      <c r="P76" s="21">
        <v>-3.12</v>
      </c>
      <c r="Q76" s="21">
        <v>-4.0</v>
      </c>
      <c r="R76" s="21">
        <v>-32.29</v>
      </c>
      <c r="S76" s="21">
        <v>-35.41</v>
      </c>
      <c r="T76" s="21">
        <v>-0.8</v>
      </c>
      <c r="U76" s="15"/>
      <c r="V76" s="15"/>
      <c r="W76" s="21">
        <v>-3.35</v>
      </c>
    </row>
    <row r="77" ht="15.0" customHeight="1">
      <c r="A77" s="14" t="s">
        <v>125</v>
      </c>
      <c r="B77" s="21">
        <v>-1.17</v>
      </c>
      <c r="C77" s="15"/>
      <c r="D77" s="15"/>
      <c r="E77" s="15"/>
      <c r="F77" s="20">
        <v>2.03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7" t="s">
        <v>111</v>
      </c>
      <c r="B78" s="23">
        <v>-45.64</v>
      </c>
      <c r="C78" s="23">
        <v>-40.67</v>
      </c>
      <c r="D78" s="23">
        <v>-34.22</v>
      </c>
      <c r="E78" s="24">
        <v>7.07</v>
      </c>
      <c r="F78" s="23">
        <v>-10.16</v>
      </c>
      <c r="G78" s="23">
        <v>-19.3</v>
      </c>
      <c r="H78" s="23">
        <v>-18.71</v>
      </c>
      <c r="I78" s="23">
        <v>-42.25</v>
      </c>
      <c r="J78" s="23">
        <v>-60.65</v>
      </c>
      <c r="K78" s="23">
        <v>-34.37</v>
      </c>
      <c r="L78" s="23">
        <v>-38.46</v>
      </c>
      <c r="M78" s="23">
        <v>-39.28</v>
      </c>
      <c r="N78" s="23">
        <v>-28.11</v>
      </c>
      <c r="O78" s="23">
        <v>-11.96</v>
      </c>
      <c r="P78" s="23">
        <v>-7.79</v>
      </c>
      <c r="Q78" s="24">
        <v>25.61</v>
      </c>
      <c r="R78" s="24">
        <v>86.4</v>
      </c>
      <c r="S78" s="23">
        <v>-7.41</v>
      </c>
      <c r="T78" s="23">
        <v>-21.63</v>
      </c>
      <c r="U78" s="23">
        <v>-52.29</v>
      </c>
      <c r="V78" s="23">
        <v>-8.01</v>
      </c>
      <c r="W78" s="24">
        <v>5.86</v>
      </c>
    </row>
    <row r="79" ht="15.0" customHeight="1">
      <c r="A79" s="14" t="s">
        <v>126</v>
      </c>
      <c r="B79" s="20">
        <v>1.17</v>
      </c>
      <c r="C79" s="15"/>
      <c r="D79" s="15"/>
      <c r="E79" s="15"/>
      <c r="F79" s="15"/>
      <c r="G79" s="15"/>
      <c r="H79" s="21">
        <v>-0.98</v>
      </c>
      <c r="I79" s="15"/>
      <c r="J79" s="20">
        <v>0.93</v>
      </c>
      <c r="K79" s="15"/>
      <c r="L79" s="15"/>
      <c r="M79" s="20">
        <v>0.84</v>
      </c>
      <c r="N79" s="21">
        <v>-0.78</v>
      </c>
      <c r="O79" s="21">
        <v>-0.75</v>
      </c>
      <c r="P79" s="20">
        <v>0.78</v>
      </c>
      <c r="Q79" s="21">
        <v>-38.41</v>
      </c>
      <c r="R79" s="22">
        <v>-115.2</v>
      </c>
      <c r="S79" s="15"/>
      <c r="T79" s="20">
        <v>32.84</v>
      </c>
      <c r="U79" s="20">
        <v>56.31</v>
      </c>
      <c r="V79" s="15"/>
      <c r="W79" s="21">
        <v>-16.73</v>
      </c>
    </row>
    <row r="80" ht="15.0" customHeight="1">
      <c r="A80" s="17" t="s">
        <v>127</v>
      </c>
      <c r="B80" s="19">
        <v>7346.87</v>
      </c>
      <c r="C80" s="19">
        <v>4800.06</v>
      </c>
      <c r="D80" s="19">
        <v>3101.67</v>
      </c>
      <c r="E80" s="19">
        <v>4444.28</v>
      </c>
      <c r="F80" s="19">
        <v>2462.18</v>
      </c>
      <c r="G80" s="19">
        <v>2984.27</v>
      </c>
      <c r="H80" s="19">
        <v>2469.1</v>
      </c>
      <c r="I80" s="19">
        <v>2385.0</v>
      </c>
      <c r="J80" s="19">
        <v>2591.0</v>
      </c>
      <c r="K80" s="19">
        <v>2887.69</v>
      </c>
      <c r="L80" s="19">
        <v>2346.18</v>
      </c>
      <c r="M80" s="19">
        <v>2237.9</v>
      </c>
      <c r="N80" s="19">
        <v>2061.47</v>
      </c>
      <c r="O80" s="19">
        <v>2067.24</v>
      </c>
      <c r="P80" s="19">
        <v>2197.39</v>
      </c>
      <c r="Q80" s="19">
        <v>2021.56</v>
      </c>
      <c r="R80" s="19">
        <v>1777.73</v>
      </c>
      <c r="S80" s="19">
        <v>1516.16</v>
      </c>
      <c r="T80" s="19">
        <v>1549.3</v>
      </c>
      <c r="U80" s="19">
        <v>1587.07</v>
      </c>
      <c r="V80" s="19">
        <v>1235.85</v>
      </c>
      <c r="W80" s="19">
        <v>870.2</v>
      </c>
    </row>
    <row r="81" ht="15.0" customHeight="1">
      <c r="A81" s="14" t="s">
        <v>128</v>
      </c>
      <c r="B81" s="16">
        <v>1492.08</v>
      </c>
      <c r="C81" s="16">
        <v>966.75</v>
      </c>
      <c r="D81" s="16">
        <v>628.55</v>
      </c>
      <c r="E81" s="16">
        <v>916.51</v>
      </c>
      <c r="F81" s="16">
        <v>492.84</v>
      </c>
      <c r="G81" s="16">
        <v>626.24</v>
      </c>
      <c r="H81" s="16">
        <v>497.17</v>
      </c>
      <c r="I81" s="16">
        <v>489.67</v>
      </c>
      <c r="J81" s="16">
        <v>546.75</v>
      </c>
      <c r="K81" s="16">
        <v>574.94</v>
      </c>
      <c r="L81" s="16">
        <v>484.8</v>
      </c>
      <c r="M81" s="16">
        <v>472.98</v>
      </c>
      <c r="N81" s="16">
        <v>451.34</v>
      </c>
      <c r="O81" s="16">
        <v>520.92</v>
      </c>
      <c r="P81" s="16">
        <v>564.15</v>
      </c>
      <c r="Q81" s="16">
        <v>543.4</v>
      </c>
      <c r="R81" s="16">
        <v>456.43</v>
      </c>
      <c r="S81" s="16">
        <v>393.66</v>
      </c>
      <c r="T81" s="16">
        <v>396.54</v>
      </c>
      <c r="U81" s="16">
        <v>419.89</v>
      </c>
      <c r="V81" s="16">
        <v>323.58</v>
      </c>
      <c r="W81" s="16">
        <v>257.71</v>
      </c>
    </row>
    <row r="82" ht="15.0" customHeight="1">
      <c r="A82" s="14" t="s">
        <v>129</v>
      </c>
      <c r="B82" s="16">
        <v>1439.42</v>
      </c>
      <c r="C82" s="16">
        <v>978.37</v>
      </c>
      <c r="D82" s="16">
        <v>710.68</v>
      </c>
      <c r="E82" s="16">
        <v>902.38</v>
      </c>
      <c r="F82" s="16">
        <v>504.02</v>
      </c>
      <c r="G82" s="16">
        <v>616.59</v>
      </c>
      <c r="H82" s="16">
        <v>521.78</v>
      </c>
      <c r="I82" s="16">
        <v>466.63</v>
      </c>
      <c r="J82" s="16">
        <v>551.42</v>
      </c>
      <c r="K82" s="16">
        <v>581.44</v>
      </c>
      <c r="L82" s="16">
        <v>478.54</v>
      </c>
      <c r="M82" s="16">
        <v>455.43</v>
      </c>
      <c r="N82" s="16">
        <v>507.56</v>
      </c>
      <c r="O82" s="16">
        <v>523.16</v>
      </c>
      <c r="P82" s="16">
        <v>568.05</v>
      </c>
      <c r="Q82" s="22">
        <v>-513.79</v>
      </c>
      <c r="R82" s="16">
        <v>461.67</v>
      </c>
      <c r="S82" s="22">
        <v>-391.19</v>
      </c>
      <c r="T82" s="22">
        <v>-452.61</v>
      </c>
      <c r="U82" s="15"/>
      <c r="V82" s="15"/>
      <c r="W82" s="22">
        <v>-315.45</v>
      </c>
    </row>
    <row r="83" ht="15.0" customHeight="1">
      <c r="A83" s="14" t="s">
        <v>130</v>
      </c>
      <c r="B83" s="20">
        <v>52.66</v>
      </c>
      <c r="C83" s="21">
        <v>-8.13</v>
      </c>
      <c r="D83" s="21">
        <v>-83.27</v>
      </c>
      <c r="E83" s="20">
        <v>11.1</v>
      </c>
      <c r="F83" s="21">
        <v>-8.13</v>
      </c>
      <c r="G83" s="20">
        <v>15.01</v>
      </c>
      <c r="H83" s="21">
        <v>-32.49</v>
      </c>
      <c r="I83" s="20">
        <v>27.84</v>
      </c>
      <c r="J83" s="21">
        <v>-14.93</v>
      </c>
      <c r="K83" s="20">
        <v>7.43</v>
      </c>
      <c r="L83" s="20">
        <v>7.16</v>
      </c>
      <c r="M83" s="20">
        <v>15.04</v>
      </c>
      <c r="N83" s="21">
        <v>-57.78</v>
      </c>
      <c r="O83" s="21">
        <v>-2.24</v>
      </c>
      <c r="P83" s="21">
        <v>-4.68</v>
      </c>
      <c r="Q83" s="21">
        <v>-31.21</v>
      </c>
      <c r="R83" s="21">
        <v>-5.24</v>
      </c>
      <c r="S83" s="21">
        <v>-1.65</v>
      </c>
      <c r="T83" s="20">
        <v>55.28</v>
      </c>
      <c r="U83" s="15"/>
      <c r="V83" s="15"/>
      <c r="W83" s="20">
        <v>62.76</v>
      </c>
    </row>
    <row r="84" ht="15.0" customHeight="1">
      <c r="A84" s="14" t="s">
        <v>131</v>
      </c>
      <c r="B84" s="21">
        <v>-1.17</v>
      </c>
      <c r="C84" s="21">
        <v>-2.32</v>
      </c>
      <c r="D84" s="20">
        <v>1.14</v>
      </c>
      <c r="E84" s="20">
        <v>2.02</v>
      </c>
      <c r="F84" s="21">
        <v>-3.05</v>
      </c>
      <c r="G84" s="21">
        <v>-4.29</v>
      </c>
      <c r="H84" s="20">
        <v>6.89</v>
      </c>
      <c r="I84" s="21">
        <v>-4.8</v>
      </c>
      <c r="J84" s="20">
        <v>9.33</v>
      </c>
      <c r="K84" s="21">
        <v>-0.93</v>
      </c>
      <c r="L84" s="21">
        <v>-0.89</v>
      </c>
      <c r="M84" s="20">
        <v>2.51</v>
      </c>
      <c r="N84" s="20">
        <v>1.56</v>
      </c>
      <c r="O84" s="15">
        <v>0.0</v>
      </c>
      <c r="P84" s="15"/>
      <c r="Q84" s="20">
        <v>0.8</v>
      </c>
      <c r="R84" s="15">
        <v>0.0</v>
      </c>
      <c r="S84" s="21">
        <v>-0.82</v>
      </c>
      <c r="T84" s="20">
        <v>0.8</v>
      </c>
      <c r="U84" s="15"/>
      <c r="V84" s="15"/>
      <c r="W84" s="21">
        <v>-5.02</v>
      </c>
    </row>
    <row r="85" ht="15.0" customHeight="1">
      <c r="A85" s="14" t="s">
        <v>132</v>
      </c>
      <c r="B85" s="20">
        <v>1.17</v>
      </c>
      <c r="C85" s="21">
        <v>-1.16</v>
      </c>
      <c r="D85" s="15"/>
      <c r="E85" s="20">
        <v>1.01</v>
      </c>
      <c r="F85" s="15"/>
      <c r="G85" s="21">
        <v>-1.07</v>
      </c>
      <c r="H85" s="20">
        <v>0.98</v>
      </c>
      <c r="I85" s="15"/>
      <c r="J85" s="20">
        <v>0.93</v>
      </c>
      <c r="K85" s="21">
        <v>-13.0</v>
      </c>
      <c r="L85" s="15"/>
      <c r="M85" s="15"/>
      <c r="N85" s="15"/>
      <c r="O85" s="15"/>
      <c r="P85" s="20">
        <v>0.78</v>
      </c>
      <c r="Q85" s="16">
        <v>1055.59</v>
      </c>
      <c r="R85" s="15"/>
      <c r="S85" s="16">
        <v>787.32</v>
      </c>
      <c r="T85" s="16">
        <v>793.08</v>
      </c>
      <c r="U85" s="15"/>
      <c r="V85" s="15"/>
      <c r="W85" s="16">
        <v>515.43</v>
      </c>
    </row>
    <row r="86" ht="15.0" customHeight="1">
      <c r="A86" s="14" t="s">
        <v>114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20">
        <v>0.8</v>
      </c>
      <c r="R86" s="15"/>
      <c r="S86" s="15"/>
      <c r="T86" s="15"/>
      <c r="U86" s="15"/>
      <c r="V86" s="15"/>
      <c r="W86" s="15"/>
    </row>
    <row r="87" ht="15.0" customHeight="1">
      <c r="A87" s="14" t="s">
        <v>133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6">
        <v>512.99</v>
      </c>
      <c r="R87" s="15"/>
      <c r="S87" s="15"/>
      <c r="T87" s="15"/>
      <c r="U87" s="15"/>
      <c r="V87" s="15"/>
      <c r="W87" s="15"/>
    </row>
    <row r="88" ht="15.0" customHeight="1">
      <c r="A88" s="17" t="s">
        <v>134</v>
      </c>
      <c r="B88" s="19">
        <v>1492.08</v>
      </c>
      <c r="C88" s="19">
        <v>966.75</v>
      </c>
      <c r="D88" s="19">
        <v>628.55</v>
      </c>
      <c r="E88" s="19">
        <v>916.51</v>
      </c>
      <c r="F88" s="19">
        <v>492.84</v>
      </c>
      <c r="G88" s="19">
        <v>626.24</v>
      </c>
      <c r="H88" s="19">
        <v>497.17</v>
      </c>
      <c r="I88" s="19">
        <v>489.67</v>
      </c>
      <c r="J88" s="19">
        <v>546.75</v>
      </c>
      <c r="K88" s="19">
        <v>574.94</v>
      </c>
      <c r="L88" s="19">
        <v>484.8</v>
      </c>
      <c r="M88" s="19">
        <v>472.98</v>
      </c>
      <c r="N88" s="19">
        <v>451.34</v>
      </c>
      <c r="O88" s="19">
        <v>520.92</v>
      </c>
      <c r="P88" s="19">
        <v>564.15</v>
      </c>
      <c r="Q88" s="19">
        <v>543.4</v>
      </c>
      <c r="R88" s="19">
        <v>456.43</v>
      </c>
      <c r="S88" s="19">
        <v>393.66</v>
      </c>
      <c r="T88" s="19">
        <v>396.54</v>
      </c>
      <c r="U88" s="19">
        <v>419.89</v>
      </c>
      <c r="V88" s="19">
        <v>323.58</v>
      </c>
      <c r="W88" s="19">
        <v>257.71</v>
      </c>
    </row>
    <row r="89" ht="15.0" customHeight="1">
      <c r="A89" s="14" t="s">
        <v>135</v>
      </c>
      <c r="B89" s="15"/>
      <c r="C89" s="15"/>
      <c r="D89" s="15"/>
      <c r="E89" s="15"/>
      <c r="F89" s="15"/>
      <c r="G89" s="15"/>
      <c r="H89" s="20">
        <v>0.98</v>
      </c>
      <c r="I89" s="21">
        <v>-0.96</v>
      </c>
      <c r="J89" s="15"/>
      <c r="K89" s="15"/>
      <c r="L89" s="15"/>
      <c r="M89" s="15"/>
      <c r="N89" s="15"/>
      <c r="O89" s="15"/>
      <c r="P89" s="21">
        <v>-0.78</v>
      </c>
      <c r="Q89" s="15"/>
      <c r="R89" s="15"/>
      <c r="S89" s="15"/>
      <c r="T89" s="15"/>
      <c r="U89" s="15"/>
      <c r="V89" s="15"/>
      <c r="W89" s="15"/>
    </row>
    <row r="90" ht="15.0" customHeight="1">
      <c r="A90" s="17" t="s">
        <v>136</v>
      </c>
      <c r="B90" s="19">
        <v>5854.8</v>
      </c>
      <c r="C90" s="19">
        <v>3833.31</v>
      </c>
      <c r="D90" s="19">
        <v>2473.13</v>
      </c>
      <c r="E90" s="19">
        <v>3527.77</v>
      </c>
      <c r="F90" s="19">
        <v>1969.33</v>
      </c>
      <c r="G90" s="19">
        <v>2358.04</v>
      </c>
      <c r="H90" s="19">
        <v>1972.92</v>
      </c>
      <c r="I90" s="19">
        <v>1894.37</v>
      </c>
      <c r="J90" s="19">
        <v>2044.25</v>
      </c>
      <c r="K90" s="19">
        <v>2312.75</v>
      </c>
      <c r="L90" s="19">
        <v>1861.38</v>
      </c>
      <c r="M90" s="19">
        <v>1764.91</v>
      </c>
      <c r="N90" s="19">
        <v>1610.13</v>
      </c>
      <c r="O90" s="19">
        <v>1546.32</v>
      </c>
      <c r="P90" s="19">
        <v>1632.46</v>
      </c>
      <c r="Q90" s="19">
        <v>1478.15</v>
      </c>
      <c r="R90" s="19">
        <v>1321.3</v>
      </c>
      <c r="S90" s="19">
        <v>1122.5</v>
      </c>
      <c r="T90" s="19">
        <v>1152.76</v>
      </c>
      <c r="U90" s="19">
        <v>1167.17</v>
      </c>
      <c r="V90" s="19">
        <v>912.27</v>
      </c>
      <c r="W90" s="19">
        <v>612.49</v>
      </c>
    </row>
    <row r="91" ht="15.0" customHeight="1">
      <c r="A91" s="14" t="s">
        <v>137</v>
      </c>
      <c r="B91" s="15"/>
      <c r="C91" s="15"/>
      <c r="D91" s="15"/>
      <c r="E91" s="15"/>
      <c r="F91" s="15"/>
      <c r="G91" s="15"/>
      <c r="H91" s="15"/>
      <c r="I91" s="16">
        <v>1276.03</v>
      </c>
      <c r="J91" s="20">
        <v>64.38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7" t="s">
        <v>138</v>
      </c>
      <c r="B92" s="18"/>
      <c r="C92" s="18"/>
      <c r="D92" s="18"/>
      <c r="E92" s="18"/>
      <c r="F92" s="18"/>
      <c r="G92" s="18"/>
      <c r="H92" s="18"/>
      <c r="I92" s="19">
        <v>1276.03</v>
      </c>
      <c r="J92" s="24">
        <v>64.38</v>
      </c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4" t="s">
        <v>139</v>
      </c>
      <c r="B93" s="15"/>
      <c r="C93" s="15"/>
      <c r="D93" s="15"/>
      <c r="E93" s="15"/>
      <c r="F93" s="15"/>
      <c r="G93" s="15"/>
      <c r="H93" s="15"/>
      <c r="I93" s="15"/>
      <c r="J93" s="15">
        <v>0.0</v>
      </c>
      <c r="K93" s="15">
        <v>0.0</v>
      </c>
      <c r="L93" s="15">
        <v>0.0</v>
      </c>
      <c r="M93" s="15">
        <v>0.0</v>
      </c>
      <c r="N93" s="15"/>
      <c r="O93" s="15"/>
      <c r="P93" s="15">
        <v>0.0</v>
      </c>
      <c r="Q93" s="15">
        <v>0.0</v>
      </c>
      <c r="R93" s="15">
        <v>0.0</v>
      </c>
      <c r="S93" s="15">
        <v>0.0</v>
      </c>
      <c r="T93" s="15">
        <v>0.0</v>
      </c>
      <c r="U93" s="15">
        <v>0.0</v>
      </c>
      <c r="V93" s="15"/>
      <c r="W93" s="15"/>
    </row>
    <row r="94" ht="15.0" customHeight="1">
      <c r="A94" s="17" t="s">
        <v>140</v>
      </c>
      <c r="B94" s="18"/>
      <c r="C94" s="18"/>
      <c r="D94" s="18"/>
      <c r="E94" s="18"/>
      <c r="F94" s="18"/>
      <c r="G94" s="18"/>
      <c r="H94" s="18"/>
      <c r="I94" s="18"/>
      <c r="J94" s="18">
        <v>0.0</v>
      </c>
      <c r="K94" s="18">
        <v>0.0</v>
      </c>
      <c r="L94" s="18">
        <v>0.0</v>
      </c>
      <c r="M94" s="18">
        <v>0.0</v>
      </c>
      <c r="N94" s="18"/>
      <c r="O94" s="18"/>
      <c r="P94" s="18">
        <v>0.0</v>
      </c>
      <c r="Q94" s="18">
        <v>0.0</v>
      </c>
      <c r="R94" s="18">
        <v>0.0</v>
      </c>
      <c r="S94" s="18">
        <v>0.0</v>
      </c>
      <c r="T94" s="18">
        <v>0.0</v>
      </c>
      <c r="U94" s="18">
        <v>0.0</v>
      </c>
      <c r="V94" s="18"/>
      <c r="W94" s="18"/>
    </row>
    <row r="95" ht="15.0" customHeight="1">
      <c r="A95" s="14" t="s">
        <v>141</v>
      </c>
      <c r="B95" s="15"/>
      <c r="C95" s="15"/>
      <c r="D95" s="15"/>
      <c r="E95" s="15"/>
      <c r="F95" s="15"/>
      <c r="G95" s="15"/>
      <c r="H95" s="15"/>
      <c r="I95" s="20">
        <v>0.96</v>
      </c>
      <c r="J95" s="15"/>
      <c r="K95" s="15"/>
      <c r="L95" s="20">
        <v>0.89</v>
      </c>
      <c r="M95" s="20">
        <v>0.84</v>
      </c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7" t="s">
        <v>142</v>
      </c>
      <c r="B96" s="19">
        <v>5854.8</v>
      </c>
      <c r="C96" s="19">
        <v>3833.31</v>
      </c>
      <c r="D96" s="19">
        <v>2473.13</v>
      </c>
      <c r="E96" s="19">
        <v>3527.77</v>
      </c>
      <c r="F96" s="19">
        <v>1969.33</v>
      </c>
      <c r="G96" s="19">
        <v>2358.04</v>
      </c>
      <c r="H96" s="19">
        <v>1972.92</v>
      </c>
      <c r="I96" s="19">
        <v>3170.4</v>
      </c>
      <c r="J96" s="19">
        <v>2108.63</v>
      </c>
      <c r="K96" s="19">
        <v>2312.75</v>
      </c>
      <c r="L96" s="19">
        <v>1861.38</v>
      </c>
      <c r="M96" s="19">
        <v>1764.91</v>
      </c>
      <c r="N96" s="19">
        <v>1610.13</v>
      </c>
      <c r="O96" s="19">
        <v>1546.32</v>
      </c>
      <c r="P96" s="19">
        <v>1632.46</v>
      </c>
      <c r="Q96" s="19">
        <v>1478.15</v>
      </c>
      <c r="R96" s="19">
        <v>1321.3</v>
      </c>
      <c r="S96" s="19">
        <v>1122.5</v>
      </c>
      <c r="T96" s="19">
        <v>1152.76</v>
      </c>
      <c r="U96" s="19">
        <v>1167.17</v>
      </c>
      <c r="V96" s="19">
        <v>912.27</v>
      </c>
      <c r="W96" s="19">
        <v>612.49</v>
      </c>
    </row>
    <row r="97" ht="15.0" customHeight="1">
      <c r="A97" s="17" t="s">
        <v>143</v>
      </c>
      <c r="B97" s="19">
        <v>5854.8</v>
      </c>
      <c r="C97" s="19">
        <v>3833.31</v>
      </c>
      <c r="D97" s="19">
        <v>2473.13</v>
      </c>
      <c r="E97" s="19">
        <v>3527.77</v>
      </c>
      <c r="F97" s="19">
        <v>1969.33</v>
      </c>
      <c r="G97" s="19">
        <v>2358.04</v>
      </c>
      <c r="H97" s="19">
        <v>1972.92</v>
      </c>
      <c r="I97" s="19">
        <v>1894.37</v>
      </c>
      <c r="J97" s="19">
        <v>2044.25</v>
      </c>
      <c r="K97" s="19">
        <v>2312.75</v>
      </c>
      <c r="L97" s="19">
        <v>1861.38</v>
      </c>
      <c r="M97" s="19">
        <v>1764.91</v>
      </c>
      <c r="N97" s="19">
        <v>1610.13</v>
      </c>
      <c r="O97" s="19">
        <v>1546.32</v>
      </c>
      <c r="P97" s="19">
        <v>1632.46</v>
      </c>
      <c r="Q97" s="19">
        <v>1478.15</v>
      </c>
      <c r="R97" s="19">
        <v>1321.3</v>
      </c>
      <c r="S97" s="19">
        <v>1122.5</v>
      </c>
      <c r="T97" s="19">
        <v>1152.76</v>
      </c>
      <c r="U97" s="19">
        <v>1167.17</v>
      </c>
      <c r="V97" s="19">
        <v>912.27</v>
      </c>
      <c r="W97" s="19">
        <v>612.49</v>
      </c>
    </row>
    <row r="98" ht="15.0" customHeight="1">
      <c r="A98" s="17" t="s">
        <v>144</v>
      </c>
      <c r="B98" s="19">
        <v>5854.8</v>
      </c>
      <c r="C98" s="19">
        <v>3833.31</v>
      </c>
      <c r="D98" s="19">
        <v>2473.13</v>
      </c>
      <c r="E98" s="19">
        <v>3527.77</v>
      </c>
      <c r="F98" s="19">
        <v>1969.33</v>
      </c>
      <c r="G98" s="19">
        <v>2358.04</v>
      </c>
      <c r="H98" s="19">
        <v>1972.92</v>
      </c>
      <c r="I98" s="19">
        <v>1894.37</v>
      </c>
      <c r="J98" s="19">
        <v>2044.25</v>
      </c>
      <c r="K98" s="19">
        <v>2312.75</v>
      </c>
      <c r="L98" s="19">
        <v>1861.38</v>
      </c>
      <c r="M98" s="19">
        <v>1764.91</v>
      </c>
      <c r="N98" s="19">
        <v>1610.13</v>
      </c>
      <c r="O98" s="19">
        <v>1546.32</v>
      </c>
      <c r="P98" s="19">
        <v>1632.46</v>
      </c>
      <c r="Q98" s="19">
        <v>1478.15</v>
      </c>
      <c r="R98" s="19">
        <v>1321.3</v>
      </c>
      <c r="S98" s="19">
        <v>1122.5</v>
      </c>
      <c r="T98" s="19">
        <v>1152.76</v>
      </c>
      <c r="U98" s="19">
        <v>1167.17</v>
      </c>
      <c r="V98" s="19">
        <v>912.27</v>
      </c>
      <c r="W98" s="19">
        <v>612.49</v>
      </c>
    </row>
    <row r="99" ht="15.0" customHeight="1">
      <c r="A99" s="17" t="s">
        <v>142</v>
      </c>
      <c r="B99" s="19">
        <v>5854.8</v>
      </c>
      <c r="C99" s="19">
        <v>3833.31</v>
      </c>
      <c r="D99" s="19">
        <v>2473.13</v>
      </c>
      <c r="E99" s="19">
        <v>3527.77</v>
      </c>
      <c r="F99" s="19">
        <v>1969.33</v>
      </c>
      <c r="G99" s="19">
        <v>2358.04</v>
      </c>
      <c r="H99" s="19">
        <v>1972.92</v>
      </c>
      <c r="I99" s="19">
        <v>3171.36</v>
      </c>
      <c r="J99" s="19">
        <v>2108.63</v>
      </c>
      <c r="K99" s="19">
        <v>2312.75</v>
      </c>
      <c r="L99" s="19">
        <v>1862.28</v>
      </c>
      <c r="M99" s="19">
        <v>1765.75</v>
      </c>
      <c r="N99" s="19">
        <v>1610.13</v>
      </c>
      <c r="O99" s="19">
        <v>1546.32</v>
      </c>
      <c r="P99" s="19">
        <v>1632.46</v>
      </c>
      <c r="Q99" s="19">
        <v>1478.15</v>
      </c>
      <c r="R99" s="19">
        <v>1321.3</v>
      </c>
      <c r="S99" s="19">
        <v>1122.5</v>
      </c>
      <c r="T99" s="19">
        <v>1152.76</v>
      </c>
      <c r="U99" s="19">
        <v>1167.17</v>
      </c>
      <c r="V99" s="19">
        <v>912.27</v>
      </c>
      <c r="W99" s="19">
        <v>612.49</v>
      </c>
    </row>
    <row r="100" ht="15.0" customHeight="1">
      <c r="A100" s="14" t="s">
        <v>145</v>
      </c>
      <c r="B100" s="16">
        <v>5854.8</v>
      </c>
      <c r="C100" s="16">
        <v>3833.31</v>
      </c>
      <c r="D100" s="16">
        <v>2473.13</v>
      </c>
      <c r="E100" s="16">
        <v>3527.77</v>
      </c>
      <c r="F100" s="16">
        <v>1969.33</v>
      </c>
      <c r="G100" s="16">
        <v>2358.04</v>
      </c>
      <c r="H100" s="16">
        <v>1972.92</v>
      </c>
      <c r="I100" s="16">
        <v>3171.36</v>
      </c>
      <c r="J100" s="16">
        <v>2108.63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146</v>
      </c>
      <c r="B101" s="20">
        <v>1.17</v>
      </c>
      <c r="C101" s="20">
        <v>3.49</v>
      </c>
      <c r="D101" s="21">
        <v>-3.42</v>
      </c>
      <c r="E101" s="21">
        <v>-29.27</v>
      </c>
      <c r="F101" s="20">
        <v>16.26</v>
      </c>
      <c r="G101" s="21">
        <v>-15.01</v>
      </c>
      <c r="H101" s="20">
        <v>8.86</v>
      </c>
      <c r="I101" s="21">
        <v>-16.32</v>
      </c>
      <c r="J101" s="21">
        <v>-13.06</v>
      </c>
      <c r="K101" s="15"/>
      <c r="L101" s="15"/>
      <c r="M101" s="15"/>
      <c r="N101" s="15"/>
      <c r="O101" s="15"/>
      <c r="P101" s="20">
        <v>4.68</v>
      </c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147</v>
      </c>
      <c r="B102" s="20">
        <v>19.89</v>
      </c>
      <c r="C102" s="20">
        <v>42.99</v>
      </c>
      <c r="D102" s="22">
        <v>-184.8</v>
      </c>
      <c r="E102" s="16">
        <v>373.47</v>
      </c>
      <c r="F102" s="16">
        <v>294.69</v>
      </c>
      <c r="G102" s="22">
        <v>-636.96</v>
      </c>
      <c r="H102" s="16">
        <v>195.91</v>
      </c>
      <c r="I102" s="22">
        <v>-177.63</v>
      </c>
      <c r="J102" s="16">
        <v>278.97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148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21">
        <v>-10.91</v>
      </c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149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21">
        <v>-2.34</v>
      </c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150</v>
      </c>
      <c r="B105" s="15"/>
      <c r="C105" s="15"/>
      <c r="D105" s="15"/>
      <c r="E105" s="20">
        <v>1.01</v>
      </c>
      <c r="F105" s="15"/>
      <c r="G105" s="15"/>
      <c r="H105" s="20">
        <v>0.98</v>
      </c>
      <c r="I105" s="20">
        <v>0.96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7" t="s">
        <v>151</v>
      </c>
      <c r="B106" s="24">
        <v>21.06</v>
      </c>
      <c r="C106" s="24">
        <v>46.48</v>
      </c>
      <c r="D106" s="25">
        <v>-188.22</v>
      </c>
      <c r="E106" s="19">
        <v>345.21</v>
      </c>
      <c r="F106" s="19">
        <v>310.95</v>
      </c>
      <c r="G106" s="25">
        <v>-651.97</v>
      </c>
      <c r="H106" s="19">
        <v>205.76</v>
      </c>
      <c r="I106" s="25">
        <v>-192.99</v>
      </c>
      <c r="J106" s="19">
        <v>265.91</v>
      </c>
      <c r="K106" s="18"/>
      <c r="L106" s="18"/>
      <c r="M106" s="18"/>
      <c r="N106" s="18"/>
      <c r="O106" s="18"/>
      <c r="P106" s="23">
        <v>-8.57</v>
      </c>
      <c r="Q106" s="18"/>
      <c r="R106" s="18"/>
      <c r="S106" s="18"/>
      <c r="T106" s="18"/>
      <c r="U106" s="18"/>
      <c r="V106" s="18"/>
      <c r="W106" s="18"/>
    </row>
    <row r="107" ht="15.0" customHeight="1">
      <c r="A107" s="14" t="s">
        <v>152</v>
      </c>
      <c r="B107" s="15"/>
      <c r="C107" s="15"/>
      <c r="D107" s="15"/>
      <c r="E107" s="20">
        <v>1.01</v>
      </c>
      <c r="F107" s="15"/>
      <c r="G107" s="15"/>
      <c r="H107" s="15"/>
      <c r="I107" s="15"/>
      <c r="J107" s="21">
        <v>-0.93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7" t="s">
        <v>153</v>
      </c>
      <c r="B108" s="19">
        <v>5875.86</v>
      </c>
      <c r="C108" s="19">
        <v>3879.79</v>
      </c>
      <c r="D108" s="19">
        <v>2284.9</v>
      </c>
      <c r="E108" s="19">
        <v>3872.98</v>
      </c>
      <c r="F108" s="19">
        <v>2280.28</v>
      </c>
      <c r="G108" s="19">
        <v>1706.06</v>
      </c>
      <c r="H108" s="19">
        <v>2177.69</v>
      </c>
      <c r="I108" s="19">
        <v>2977.41</v>
      </c>
      <c r="J108" s="19">
        <v>2373.61</v>
      </c>
      <c r="K108" s="18"/>
      <c r="L108" s="18"/>
      <c r="M108" s="18"/>
      <c r="N108" s="18"/>
      <c r="O108" s="18"/>
      <c r="P108" s="19">
        <v>1623.88</v>
      </c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154</v>
      </c>
      <c r="B109" s="16">
        <v>140.66</v>
      </c>
      <c r="C109" s="16">
        <v>140.48</v>
      </c>
      <c r="D109" s="16">
        <v>140.33</v>
      </c>
      <c r="E109" s="16">
        <v>140.5</v>
      </c>
      <c r="F109" s="16">
        <v>140.55</v>
      </c>
      <c r="G109" s="16">
        <v>140.51</v>
      </c>
      <c r="H109" s="16">
        <v>140.57</v>
      </c>
      <c r="I109" s="16">
        <v>140.68</v>
      </c>
      <c r="J109" s="16">
        <v>140.57</v>
      </c>
      <c r="K109" s="16">
        <v>140.67</v>
      </c>
      <c r="L109" s="16">
        <v>140.81</v>
      </c>
      <c r="M109" s="16">
        <v>140.67</v>
      </c>
      <c r="N109" s="16">
        <v>141.01</v>
      </c>
      <c r="O109" s="16">
        <v>140.92</v>
      </c>
      <c r="P109" s="16">
        <v>140.83</v>
      </c>
      <c r="Q109" s="16">
        <v>140.92</v>
      </c>
      <c r="R109" s="16">
        <v>140.97</v>
      </c>
      <c r="S109" s="16">
        <v>140.0</v>
      </c>
      <c r="T109" s="16">
        <v>141.26</v>
      </c>
      <c r="U109" s="16">
        <v>140.56</v>
      </c>
      <c r="V109" s="16">
        <v>141.26</v>
      </c>
      <c r="W109" s="16">
        <v>141.26</v>
      </c>
    </row>
    <row r="110" ht="15.0" customHeight="1">
      <c r="A110" s="14" t="s">
        <v>155</v>
      </c>
      <c r="B110" s="16">
        <v>140.66</v>
      </c>
      <c r="C110" s="16">
        <v>140.48</v>
      </c>
      <c r="D110" s="16">
        <v>140.36</v>
      </c>
      <c r="E110" s="16">
        <v>140.59</v>
      </c>
      <c r="F110" s="16">
        <v>140.55</v>
      </c>
      <c r="G110" s="16">
        <v>140.51</v>
      </c>
      <c r="H110" s="16">
        <v>140.57</v>
      </c>
      <c r="I110" s="16">
        <v>140.68</v>
      </c>
      <c r="J110" s="16">
        <v>140.57</v>
      </c>
      <c r="K110" s="16">
        <v>140.67</v>
      </c>
      <c r="L110" s="16">
        <v>140.81</v>
      </c>
      <c r="M110" s="16">
        <v>140.67</v>
      </c>
      <c r="N110" s="16">
        <v>141.01</v>
      </c>
      <c r="O110" s="16">
        <v>140.92</v>
      </c>
      <c r="P110" s="16">
        <v>140.83</v>
      </c>
      <c r="Q110" s="16">
        <v>140.92</v>
      </c>
      <c r="R110" s="16">
        <v>140.97</v>
      </c>
      <c r="S110" s="16">
        <v>140.0</v>
      </c>
      <c r="T110" s="16">
        <v>141.26</v>
      </c>
      <c r="U110" s="16">
        <v>140.56</v>
      </c>
      <c r="V110" s="16">
        <v>141.26</v>
      </c>
      <c r="W110" s="16">
        <v>141.26</v>
      </c>
    </row>
    <row r="111" ht="15.0" customHeight="1">
      <c r="A111" s="14" t="s">
        <v>156</v>
      </c>
      <c r="B111" s="20">
        <v>41.66</v>
      </c>
      <c r="C111" s="20">
        <v>27.31</v>
      </c>
      <c r="D111" s="20">
        <v>17.57</v>
      </c>
      <c r="E111" s="20">
        <v>25.13</v>
      </c>
      <c r="F111" s="20">
        <v>14.02</v>
      </c>
      <c r="G111" s="20">
        <v>16.73</v>
      </c>
      <c r="H111" s="20">
        <v>14.08</v>
      </c>
      <c r="I111" s="20">
        <v>13.44</v>
      </c>
      <c r="J111" s="20">
        <v>14.56</v>
      </c>
      <c r="K111" s="20">
        <v>16.44</v>
      </c>
      <c r="L111" s="20">
        <v>13.24</v>
      </c>
      <c r="M111" s="20">
        <v>12.53</v>
      </c>
      <c r="N111" s="20">
        <v>11.4</v>
      </c>
      <c r="O111" s="20">
        <v>10.99</v>
      </c>
      <c r="P111" s="20">
        <v>11.61</v>
      </c>
      <c r="Q111" s="20">
        <v>10.49</v>
      </c>
      <c r="R111" s="20">
        <v>9.37</v>
      </c>
      <c r="S111" s="20">
        <v>8.02</v>
      </c>
      <c r="T111" s="20">
        <v>8.16</v>
      </c>
      <c r="U111" s="20">
        <v>8.3</v>
      </c>
      <c r="V111" s="20">
        <v>6.46</v>
      </c>
      <c r="W111" s="20">
        <v>4.34</v>
      </c>
    </row>
    <row r="112" ht="15.0" customHeight="1">
      <c r="A112" s="14" t="s">
        <v>157</v>
      </c>
      <c r="B112" s="20">
        <v>41.66</v>
      </c>
      <c r="C112" s="20">
        <v>27.31</v>
      </c>
      <c r="D112" s="20">
        <v>17.57</v>
      </c>
      <c r="E112" s="20">
        <v>25.13</v>
      </c>
      <c r="F112" s="20">
        <v>14.02</v>
      </c>
      <c r="G112" s="20">
        <v>16.73</v>
      </c>
      <c r="H112" s="20">
        <v>14.08</v>
      </c>
      <c r="I112" s="20">
        <v>22.54</v>
      </c>
      <c r="J112" s="20">
        <v>15.0</v>
      </c>
      <c r="K112" s="20">
        <v>16.44</v>
      </c>
      <c r="L112" s="20">
        <v>13.24</v>
      </c>
      <c r="M112" s="20">
        <v>12.53</v>
      </c>
      <c r="N112" s="20">
        <v>11.4</v>
      </c>
      <c r="O112" s="20">
        <v>10.99</v>
      </c>
      <c r="P112" s="20">
        <v>11.61</v>
      </c>
      <c r="Q112" s="20">
        <v>10.48</v>
      </c>
      <c r="R112" s="20">
        <v>9.34</v>
      </c>
      <c r="S112" s="20">
        <v>8.02</v>
      </c>
      <c r="T112" s="20">
        <v>8.17</v>
      </c>
      <c r="U112" s="20">
        <v>8.3</v>
      </c>
      <c r="V112" s="20">
        <v>6.46</v>
      </c>
      <c r="W112" s="20">
        <v>4.34</v>
      </c>
    </row>
    <row r="113" ht="15.0" customHeight="1">
      <c r="A113" s="14" t="s">
        <v>158</v>
      </c>
      <c r="B113" s="20">
        <v>41.66</v>
      </c>
      <c r="C113" s="20">
        <v>27.31</v>
      </c>
      <c r="D113" s="20">
        <v>17.57</v>
      </c>
      <c r="E113" s="20">
        <v>25.13</v>
      </c>
      <c r="F113" s="20">
        <v>14.02</v>
      </c>
      <c r="G113" s="20">
        <v>16.73</v>
      </c>
      <c r="H113" s="20">
        <v>14.08</v>
      </c>
      <c r="I113" s="20">
        <v>13.44</v>
      </c>
      <c r="J113" s="20">
        <v>14.56</v>
      </c>
      <c r="K113" s="20">
        <v>16.44</v>
      </c>
      <c r="L113" s="20">
        <v>13.24</v>
      </c>
      <c r="M113" s="20">
        <v>12.53</v>
      </c>
      <c r="N113" s="20">
        <v>11.4</v>
      </c>
      <c r="O113" s="20">
        <v>10.99</v>
      </c>
      <c r="P113" s="20">
        <v>11.61</v>
      </c>
      <c r="Q113" s="20">
        <v>10.49</v>
      </c>
      <c r="R113" s="20">
        <v>9.37</v>
      </c>
      <c r="S113" s="20">
        <v>8.02</v>
      </c>
      <c r="T113" s="20">
        <v>8.16</v>
      </c>
      <c r="U113" s="20">
        <v>8.3</v>
      </c>
      <c r="V113" s="20">
        <v>6.46</v>
      </c>
      <c r="W113" s="20">
        <v>4.34</v>
      </c>
    </row>
    <row r="114" ht="15.0" customHeight="1">
      <c r="A114" s="14" t="s">
        <v>159</v>
      </c>
      <c r="B114" s="20">
        <v>41.66</v>
      </c>
      <c r="C114" s="20">
        <v>27.31</v>
      </c>
      <c r="D114" s="20">
        <v>17.57</v>
      </c>
      <c r="E114" s="20">
        <v>25.13</v>
      </c>
      <c r="F114" s="20">
        <v>14.02</v>
      </c>
      <c r="G114" s="20">
        <v>16.73</v>
      </c>
      <c r="H114" s="20">
        <v>14.08</v>
      </c>
      <c r="I114" s="20">
        <v>22.54</v>
      </c>
      <c r="J114" s="20">
        <v>15.0</v>
      </c>
      <c r="K114" s="20">
        <v>16.44</v>
      </c>
      <c r="L114" s="20">
        <v>13.24</v>
      </c>
      <c r="M114" s="20">
        <v>12.53</v>
      </c>
      <c r="N114" s="20">
        <v>11.4</v>
      </c>
      <c r="O114" s="20">
        <v>10.99</v>
      </c>
      <c r="P114" s="20">
        <v>11.61</v>
      </c>
      <c r="Q114" s="20">
        <v>10.48</v>
      </c>
      <c r="R114" s="20">
        <v>9.34</v>
      </c>
      <c r="S114" s="20">
        <v>8.02</v>
      </c>
      <c r="T114" s="20">
        <v>8.17</v>
      </c>
      <c r="U114" s="20">
        <v>8.3</v>
      </c>
      <c r="V114" s="20">
        <v>6.46</v>
      </c>
      <c r="W114" s="20">
        <v>4.34</v>
      </c>
    </row>
    <row r="115" ht="15.0" customHeight="1">
      <c r="A115" s="14" t="s">
        <v>160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>
        <v>0.0</v>
      </c>
      <c r="S115" s="15"/>
      <c r="T115" s="15"/>
      <c r="U115" s="15"/>
      <c r="V115" s="15"/>
      <c r="W115" s="15"/>
    </row>
    <row r="116" ht="15.0" customHeight="1">
      <c r="A116" s="14" t="s">
        <v>161</v>
      </c>
      <c r="B116" s="16">
        <v>5854.8</v>
      </c>
      <c r="C116" s="16">
        <v>3833.31</v>
      </c>
      <c r="D116" s="16">
        <v>2473.13</v>
      </c>
      <c r="E116" s="16">
        <v>3527.77</v>
      </c>
      <c r="F116" s="16">
        <v>1969.33</v>
      </c>
      <c r="G116" s="16">
        <v>2358.04</v>
      </c>
      <c r="H116" s="16">
        <v>1972.92</v>
      </c>
      <c r="I116" s="16">
        <v>3171.36</v>
      </c>
      <c r="J116" s="16">
        <v>2108.63</v>
      </c>
      <c r="K116" s="16">
        <v>2312.75</v>
      </c>
      <c r="L116" s="16">
        <v>1862.28</v>
      </c>
      <c r="M116" s="16">
        <v>1765.75</v>
      </c>
      <c r="N116" s="16">
        <v>1610.13</v>
      </c>
      <c r="O116" s="16">
        <v>1546.32</v>
      </c>
      <c r="P116" s="16">
        <v>1632.46</v>
      </c>
      <c r="Q116" s="16">
        <v>1478.15</v>
      </c>
      <c r="R116" s="16">
        <v>1321.3</v>
      </c>
      <c r="S116" s="16">
        <v>1122.5</v>
      </c>
      <c r="T116" s="16">
        <v>1152.76</v>
      </c>
      <c r="U116" s="16">
        <v>1167.17</v>
      </c>
      <c r="V116" s="16">
        <v>912.27</v>
      </c>
      <c r="W116" s="16">
        <v>612.49</v>
      </c>
    </row>
    <row r="117" ht="15.0" customHeight="1">
      <c r="A117" s="14" t="s">
        <v>162</v>
      </c>
      <c r="B117" s="16">
        <v>5854.8</v>
      </c>
      <c r="C117" s="16">
        <v>3833.31</v>
      </c>
      <c r="D117" s="16">
        <v>2473.13</v>
      </c>
      <c r="E117" s="16">
        <v>3527.77</v>
      </c>
      <c r="F117" s="16">
        <v>1969.33</v>
      </c>
      <c r="G117" s="16">
        <v>2358.04</v>
      </c>
      <c r="H117" s="16">
        <v>1972.92</v>
      </c>
      <c r="I117" s="16">
        <v>1894.37</v>
      </c>
      <c r="J117" s="16">
        <v>2044.25</v>
      </c>
      <c r="K117" s="16">
        <v>2312.75</v>
      </c>
      <c r="L117" s="16">
        <v>1861.38</v>
      </c>
      <c r="M117" s="16">
        <v>1764.91</v>
      </c>
      <c r="N117" s="16">
        <v>1610.13</v>
      </c>
      <c r="O117" s="16">
        <v>1546.32</v>
      </c>
      <c r="P117" s="16">
        <v>1632.46</v>
      </c>
      <c r="Q117" s="16">
        <v>1478.15</v>
      </c>
      <c r="R117" s="16">
        <v>1321.3</v>
      </c>
      <c r="S117" s="16">
        <v>1122.5</v>
      </c>
      <c r="T117" s="16">
        <v>1152.76</v>
      </c>
      <c r="U117" s="16">
        <v>1167.17</v>
      </c>
      <c r="V117" s="16">
        <v>912.27</v>
      </c>
      <c r="W117" s="16">
        <v>612.49</v>
      </c>
    </row>
    <row r="118" ht="15.0" customHeight="1">
      <c r="A118" s="14" t="s">
        <v>163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6">
        <v>684.26</v>
      </c>
      <c r="R118" s="15"/>
      <c r="S118" s="20">
        <v>74.12</v>
      </c>
      <c r="T118" s="15"/>
      <c r="U118" s="15"/>
      <c r="V118" s="15"/>
      <c r="W118" s="15"/>
    </row>
    <row r="119" ht="15.0" customHeight="1">
      <c r="A119" s="14" t="s">
        <v>103</v>
      </c>
      <c r="B119" s="16">
        <v>495.02</v>
      </c>
      <c r="C119" s="16">
        <v>471.76</v>
      </c>
      <c r="D119" s="16">
        <v>449.45</v>
      </c>
      <c r="E119" s="16">
        <v>369.43</v>
      </c>
      <c r="F119" s="16">
        <v>352.61</v>
      </c>
      <c r="G119" s="16">
        <v>359.23</v>
      </c>
      <c r="H119" s="16">
        <v>323.9</v>
      </c>
      <c r="I119" s="16">
        <v>298.61</v>
      </c>
      <c r="J119" s="16">
        <v>297.63</v>
      </c>
      <c r="K119" s="15"/>
      <c r="L119" s="16">
        <v>270.13</v>
      </c>
      <c r="M119" s="16">
        <v>233.15</v>
      </c>
      <c r="N119" s="16">
        <v>204.59</v>
      </c>
      <c r="O119" s="16">
        <v>183.11</v>
      </c>
      <c r="P119" s="16">
        <v>197.92</v>
      </c>
      <c r="Q119" s="16">
        <v>212.88</v>
      </c>
      <c r="R119" s="16">
        <v>227.78</v>
      </c>
      <c r="S119" s="16">
        <v>206.71</v>
      </c>
      <c r="T119" s="16">
        <v>200.27</v>
      </c>
      <c r="U119" s="16">
        <v>205.92</v>
      </c>
      <c r="V119" s="20">
        <v>10.41</v>
      </c>
      <c r="W119" s="16">
        <v>249.35</v>
      </c>
    </row>
    <row r="120" ht="15.0" customHeight="1">
      <c r="A120" s="14" t="s">
        <v>164</v>
      </c>
      <c r="B120" s="20">
        <v>73.73</v>
      </c>
      <c r="C120" s="20">
        <v>54.61</v>
      </c>
      <c r="D120" s="20">
        <v>46.77</v>
      </c>
      <c r="E120" s="20">
        <v>44.41</v>
      </c>
      <c r="F120" s="20">
        <v>36.58</v>
      </c>
      <c r="G120" s="20">
        <v>37.53</v>
      </c>
      <c r="H120" s="20">
        <v>32.49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104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20">
        <v>9.84</v>
      </c>
      <c r="M121" s="20">
        <v>10.03</v>
      </c>
      <c r="N121" s="20">
        <v>85.11</v>
      </c>
      <c r="O121" s="20">
        <v>87.44</v>
      </c>
      <c r="P121" s="15"/>
      <c r="Q121" s="20">
        <v>75.23</v>
      </c>
      <c r="R121" s="20">
        <v>72.44</v>
      </c>
      <c r="S121" s="20">
        <v>54.35</v>
      </c>
      <c r="T121" s="20">
        <v>52.87</v>
      </c>
      <c r="U121" s="15"/>
      <c r="V121" s="15"/>
      <c r="W121" s="15"/>
    </row>
    <row r="122" ht="15.0" customHeight="1">
      <c r="A122" s="14" t="s">
        <v>165</v>
      </c>
      <c r="B122" s="20">
        <v>47.98</v>
      </c>
      <c r="C122" s="20">
        <v>49.96</v>
      </c>
      <c r="D122" s="20">
        <v>61.6</v>
      </c>
      <c r="E122" s="20">
        <v>55.52</v>
      </c>
      <c r="F122" s="20">
        <v>55.89</v>
      </c>
      <c r="G122" s="16">
        <v>186.58</v>
      </c>
      <c r="H122" s="16">
        <v>186.07</v>
      </c>
      <c r="I122" s="20">
        <v>84.49</v>
      </c>
      <c r="J122" s="20">
        <v>81.17</v>
      </c>
      <c r="K122" s="20">
        <v>82.66</v>
      </c>
      <c r="L122" s="20">
        <v>93.02</v>
      </c>
      <c r="M122" s="20">
        <v>87.74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166</v>
      </c>
      <c r="B123" s="20">
        <v>42.13</v>
      </c>
      <c r="C123" s="20">
        <v>19.75</v>
      </c>
      <c r="D123" s="20">
        <v>17.11</v>
      </c>
      <c r="E123" s="20">
        <v>10.09</v>
      </c>
      <c r="F123" s="20">
        <v>14.23</v>
      </c>
      <c r="G123" s="20">
        <v>9.65</v>
      </c>
      <c r="H123" s="20">
        <v>8.86</v>
      </c>
      <c r="I123" s="20">
        <v>7.68</v>
      </c>
      <c r="J123" s="20">
        <v>7.46</v>
      </c>
      <c r="K123" s="20">
        <v>8.36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167</v>
      </c>
      <c r="B124" s="20">
        <v>7.02</v>
      </c>
      <c r="C124" s="20">
        <v>3.49</v>
      </c>
      <c r="D124" s="20">
        <v>2.28</v>
      </c>
      <c r="E124" s="20">
        <v>2.02</v>
      </c>
      <c r="F124" s="20">
        <v>2.03</v>
      </c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168</v>
      </c>
      <c r="B125" s="20">
        <v>10.53</v>
      </c>
      <c r="C125" s="20">
        <v>12.78</v>
      </c>
      <c r="D125" s="20">
        <v>7.99</v>
      </c>
      <c r="E125" s="20">
        <v>6.06</v>
      </c>
      <c r="F125" s="20">
        <v>4.06</v>
      </c>
      <c r="G125" s="20">
        <v>7.51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169</v>
      </c>
      <c r="B126" s="20">
        <v>29.26</v>
      </c>
      <c r="C126" s="20">
        <v>30.21</v>
      </c>
      <c r="D126" s="20">
        <v>31.94</v>
      </c>
      <c r="E126" s="20">
        <v>26.24</v>
      </c>
      <c r="F126" s="20">
        <v>16.26</v>
      </c>
      <c r="G126" s="20">
        <v>18.23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170</v>
      </c>
      <c r="B127" s="21">
        <v>-28.09</v>
      </c>
      <c r="C127" s="21">
        <v>-19.75</v>
      </c>
      <c r="D127" s="21">
        <v>-19.39</v>
      </c>
      <c r="E127" s="21">
        <v>-15.14</v>
      </c>
      <c r="F127" s="21">
        <v>-17.27</v>
      </c>
      <c r="G127" s="21">
        <v>-23.59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171</v>
      </c>
      <c r="B128" s="20">
        <v>98.3</v>
      </c>
      <c r="C128" s="20">
        <v>76.69</v>
      </c>
      <c r="D128" s="20">
        <v>75.29</v>
      </c>
      <c r="E128" s="20">
        <v>57.53</v>
      </c>
      <c r="F128" s="20">
        <v>35.57</v>
      </c>
      <c r="G128" s="20">
        <v>17.16</v>
      </c>
      <c r="H128" s="20">
        <v>17.72</v>
      </c>
      <c r="I128" s="20">
        <v>37.45</v>
      </c>
      <c r="J128" s="20">
        <v>22.39</v>
      </c>
      <c r="K128" s="20">
        <v>31.58</v>
      </c>
      <c r="L128" s="20">
        <v>25.05</v>
      </c>
      <c r="M128" s="20">
        <v>18.38</v>
      </c>
      <c r="N128" s="20">
        <v>14.06</v>
      </c>
      <c r="O128" s="20">
        <v>13.45</v>
      </c>
      <c r="P128" s="15"/>
      <c r="Q128" s="20">
        <v>9.6</v>
      </c>
      <c r="R128" s="20">
        <v>20.95</v>
      </c>
      <c r="S128" s="20">
        <v>11.53</v>
      </c>
      <c r="T128" s="20">
        <v>9.61</v>
      </c>
      <c r="U128" s="15"/>
      <c r="V128" s="15"/>
      <c r="W128" s="15"/>
    </row>
    <row r="129" ht="15.0" customHeight="1">
      <c r="A129" s="14" t="s">
        <v>172</v>
      </c>
      <c r="B129" s="16">
        <v>3884.08</v>
      </c>
      <c r="C129" s="16">
        <v>3531.2</v>
      </c>
      <c r="D129" s="16">
        <v>3114.22</v>
      </c>
      <c r="E129" s="16">
        <v>2663.74</v>
      </c>
      <c r="F129" s="16">
        <v>2306.7</v>
      </c>
      <c r="G129" s="16">
        <v>2434.17</v>
      </c>
      <c r="H129" s="16">
        <v>2137.33</v>
      </c>
      <c r="I129" s="16">
        <v>1927.01</v>
      </c>
      <c r="J129" s="16">
        <v>1902.43</v>
      </c>
      <c r="K129" s="16">
        <v>2084.26</v>
      </c>
      <c r="L129" s="16">
        <v>1973.19</v>
      </c>
      <c r="M129" s="16">
        <v>1831.77</v>
      </c>
      <c r="N129" s="16">
        <v>1703.06</v>
      </c>
      <c r="O129" s="16">
        <v>1605.36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173</v>
      </c>
      <c r="B130" s="15"/>
      <c r="C130" s="15"/>
      <c r="D130" s="15"/>
      <c r="E130" s="15"/>
      <c r="F130" s="15"/>
      <c r="G130" s="15"/>
      <c r="H130" s="15"/>
      <c r="I130" s="20">
        <v>26.88</v>
      </c>
      <c r="J130" s="20">
        <v>26.12</v>
      </c>
      <c r="K130" s="20">
        <v>27.86</v>
      </c>
      <c r="L130" s="20">
        <v>26.83</v>
      </c>
      <c r="M130" s="20">
        <v>29.25</v>
      </c>
      <c r="N130" s="20">
        <v>36.7</v>
      </c>
      <c r="O130" s="20">
        <v>29.15</v>
      </c>
      <c r="P130" s="15"/>
      <c r="Q130" s="20">
        <v>20.81</v>
      </c>
      <c r="R130" s="20">
        <v>24.44</v>
      </c>
      <c r="S130" s="20">
        <v>16.47</v>
      </c>
      <c r="T130" s="20">
        <v>15.22</v>
      </c>
      <c r="U130" s="15"/>
      <c r="V130" s="15"/>
      <c r="W130" s="15"/>
    </row>
    <row r="131" ht="15.0" customHeight="1">
      <c r="A131" s="14" t="s">
        <v>174</v>
      </c>
      <c r="B131" s="20">
        <v>7.02</v>
      </c>
      <c r="C131" s="20">
        <v>6.97</v>
      </c>
      <c r="D131" s="20">
        <v>4.56</v>
      </c>
      <c r="E131" s="20">
        <v>5.05</v>
      </c>
      <c r="F131" s="20">
        <v>3.05</v>
      </c>
      <c r="G131" s="20">
        <v>3.22</v>
      </c>
      <c r="H131" s="20">
        <v>2.95</v>
      </c>
      <c r="I131" s="20">
        <v>2.88</v>
      </c>
      <c r="J131" s="20">
        <v>3.73</v>
      </c>
      <c r="K131" s="20">
        <v>3.72</v>
      </c>
      <c r="L131" s="20">
        <v>0.89</v>
      </c>
      <c r="M131" s="20">
        <v>1.67</v>
      </c>
      <c r="N131" s="20">
        <v>2.34</v>
      </c>
      <c r="O131" s="20">
        <v>2.99</v>
      </c>
      <c r="P131" s="20">
        <v>3.9</v>
      </c>
      <c r="Q131" s="20">
        <v>2.4</v>
      </c>
      <c r="R131" s="20">
        <v>4.36</v>
      </c>
      <c r="S131" s="20">
        <v>2.47</v>
      </c>
      <c r="T131" s="20">
        <v>3.2</v>
      </c>
      <c r="U131" s="15"/>
      <c r="V131" s="15"/>
      <c r="W131" s="15"/>
    </row>
    <row r="132" ht="15.0" customHeight="1">
      <c r="A132" s="14" t="s">
        <v>175</v>
      </c>
      <c r="B132" s="20">
        <v>4.68</v>
      </c>
      <c r="C132" s="20">
        <v>4.65</v>
      </c>
      <c r="D132" s="20">
        <v>3.42</v>
      </c>
      <c r="E132" s="20">
        <v>3.03</v>
      </c>
      <c r="F132" s="20">
        <v>3.05</v>
      </c>
      <c r="G132" s="20">
        <v>3.22</v>
      </c>
      <c r="H132" s="20">
        <v>1.97</v>
      </c>
      <c r="I132" s="20">
        <v>1.92</v>
      </c>
      <c r="J132" s="20">
        <v>2.8</v>
      </c>
      <c r="K132" s="20">
        <v>1.86</v>
      </c>
      <c r="L132" s="20">
        <v>0.89</v>
      </c>
      <c r="M132" s="20">
        <v>0.84</v>
      </c>
      <c r="N132" s="20">
        <v>1.56</v>
      </c>
      <c r="O132" s="20">
        <v>1.49</v>
      </c>
      <c r="P132" s="20">
        <v>1.56</v>
      </c>
      <c r="Q132" s="20">
        <v>1.6</v>
      </c>
      <c r="R132" s="20">
        <v>2.62</v>
      </c>
      <c r="S132" s="20">
        <v>1.65</v>
      </c>
      <c r="T132" s="20">
        <v>2.4</v>
      </c>
      <c r="U132" s="15"/>
      <c r="V132" s="15"/>
      <c r="W132" s="15"/>
    </row>
    <row r="133" ht="15.0" customHeight="1">
      <c r="A133" s="14" t="s">
        <v>176</v>
      </c>
      <c r="B133" s="15">
        <v>0.0</v>
      </c>
      <c r="C133" s="15">
        <v>0.0</v>
      </c>
      <c r="D133" s="15">
        <v>0.0</v>
      </c>
      <c r="E133" s="15"/>
      <c r="F133" s="15"/>
      <c r="G133" s="15"/>
      <c r="H133" s="15"/>
      <c r="I133" s="15"/>
      <c r="J133" s="15"/>
      <c r="K133" s="20">
        <v>0.93</v>
      </c>
      <c r="L133" s="15"/>
      <c r="M133" s="15">
        <v>0.0</v>
      </c>
      <c r="N133" s="15">
        <v>0.0</v>
      </c>
      <c r="O133" s="20">
        <v>0.75</v>
      </c>
      <c r="P133" s="20">
        <v>1.56</v>
      </c>
      <c r="Q133" s="20">
        <v>0.8</v>
      </c>
      <c r="R133" s="20">
        <v>0.87</v>
      </c>
      <c r="S133" s="15">
        <v>0.0</v>
      </c>
      <c r="T133" s="15">
        <v>0.0</v>
      </c>
      <c r="U133" s="15"/>
      <c r="V133" s="15"/>
      <c r="W133" s="15"/>
    </row>
    <row r="134" ht="15.0" customHeight="1">
      <c r="A134" s="14" t="s">
        <v>177</v>
      </c>
      <c r="B134" s="15"/>
      <c r="C134" s="15">
        <v>0.0</v>
      </c>
      <c r="D134" s="15">
        <v>0.0</v>
      </c>
      <c r="E134" s="20">
        <v>1.01</v>
      </c>
      <c r="F134" s="15"/>
      <c r="G134" s="15"/>
      <c r="H134" s="15">
        <v>0.0</v>
      </c>
      <c r="I134" s="15">
        <v>0.0</v>
      </c>
      <c r="J134" s="15"/>
      <c r="K134" s="15">
        <v>0.0</v>
      </c>
      <c r="L134" s="15">
        <v>0.0</v>
      </c>
      <c r="M134" s="15">
        <v>0.0</v>
      </c>
      <c r="N134" s="15"/>
      <c r="O134" s="15"/>
      <c r="P134" s="20">
        <v>0.78</v>
      </c>
      <c r="Q134" s="15">
        <v>0.0</v>
      </c>
      <c r="R134" s="20">
        <v>0.87</v>
      </c>
      <c r="S134" s="20">
        <v>0.82</v>
      </c>
      <c r="T134" s="20">
        <v>0.8</v>
      </c>
      <c r="U134" s="15"/>
      <c r="V134" s="15"/>
      <c r="W134" s="15"/>
    </row>
    <row r="135" ht="15.0" customHeight="1">
      <c r="A135" s="14" t="s">
        <v>178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20">
        <v>0.84</v>
      </c>
      <c r="N135" s="20">
        <v>0.78</v>
      </c>
      <c r="O135" s="20">
        <v>0.75</v>
      </c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179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6">
        <v>311.32</v>
      </c>
      <c r="R136" s="16">
        <v>300.22</v>
      </c>
      <c r="S136" s="15"/>
      <c r="T136" s="16">
        <v>253.14</v>
      </c>
      <c r="U136" s="15"/>
      <c r="V136" s="15"/>
      <c r="W136" s="15"/>
    </row>
    <row r="137" ht="15.0" customHeight="1">
      <c r="A137" s="14" t="s">
        <v>180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0">
        <v>84.93</v>
      </c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181</v>
      </c>
      <c r="B138" s="16">
        <v>568.74</v>
      </c>
      <c r="C138" s="16">
        <v>526.37</v>
      </c>
      <c r="D138" s="16">
        <v>496.22</v>
      </c>
      <c r="E138" s="16">
        <v>413.84</v>
      </c>
      <c r="F138" s="16">
        <v>389.19</v>
      </c>
      <c r="G138" s="16">
        <v>396.76</v>
      </c>
      <c r="H138" s="16">
        <v>357.37</v>
      </c>
      <c r="I138" s="16">
        <v>298.61</v>
      </c>
      <c r="J138" s="16">
        <v>297.63</v>
      </c>
      <c r="K138" s="16">
        <v>283.29</v>
      </c>
      <c r="L138" s="16">
        <v>270.13</v>
      </c>
      <c r="M138" s="16">
        <v>233.15</v>
      </c>
      <c r="N138" s="16">
        <v>204.59</v>
      </c>
      <c r="O138" s="16">
        <v>183.11</v>
      </c>
      <c r="P138" s="16">
        <v>197.92</v>
      </c>
      <c r="Q138" s="16">
        <v>212.88</v>
      </c>
      <c r="R138" s="16">
        <v>227.78</v>
      </c>
      <c r="S138" s="16">
        <v>260.24</v>
      </c>
      <c r="T138" s="16">
        <v>253.14</v>
      </c>
      <c r="U138" s="16">
        <v>205.92</v>
      </c>
      <c r="V138" s="20">
        <v>10.41</v>
      </c>
      <c r="W138" s="16">
        <v>249.35</v>
      </c>
    </row>
    <row r="139" ht="15.0" customHeight="1">
      <c r="A139" s="14" t="s">
        <v>182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20">
        <v>87.44</v>
      </c>
      <c r="P139" s="15"/>
      <c r="Q139" s="15"/>
      <c r="R139" s="15"/>
      <c r="S139" s="15"/>
      <c r="T139" s="15"/>
      <c r="U139" s="15"/>
      <c r="V139" s="15"/>
      <c r="W139" s="16">
        <v>108.78</v>
      </c>
    </row>
    <row r="140" ht="15.0" customHeight="1">
      <c r="A140" s="14" t="s">
        <v>183</v>
      </c>
      <c r="B140" s="16">
        <v>658.85</v>
      </c>
      <c r="C140" s="16">
        <v>596.09</v>
      </c>
      <c r="D140" s="16">
        <v>586.34</v>
      </c>
      <c r="E140" s="16">
        <v>479.45</v>
      </c>
      <c r="F140" s="16">
        <v>537.55</v>
      </c>
      <c r="G140" s="16">
        <v>592.99</v>
      </c>
      <c r="H140" s="16">
        <v>552.3</v>
      </c>
      <c r="I140" s="16">
        <v>390.78</v>
      </c>
      <c r="J140" s="16">
        <v>386.27</v>
      </c>
      <c r="K140" s="16">
        <v>374.31</v>
      </c>
      <c r="L140" s="16">
        <v>372.99</v>
      </c>
      <c r="M140" s="16">
        <v>330.92</v>
      </c>
      <c r="N140" s="16">
        <v>289.7</v>
      </c>
      <c r="O140" s="16">
        <v>270.55</v>
      </c>
      <c r="P140" s="16">
        <v>331.17</v>
      </c>
      <c r="Q140" s="16">
        <v>311.32</v>
      </c>
      <c r="R140" s="16">
        <v>300.22</v>
      </c>
      <c r="S140" s="15"/>
      <c r="T140" s="16">
        <v>253.14</v>
      </c>
      <c r="U140" s="15"/>
      <c r="V140" s="15"/>
      <c r="W140" s="15"/>
    </row>
    <row r="141" ht="15.0" customHeight="1">
      <c r="A141" s="14" t="s">
        <v>184</v>
      </c>
      <c r="B141" s="20">
        <v>90.11</v>
      </c>
      <c r="C141" s="20">
        <v>69.72</v>
      </c>
      <c r="D141" s="20">
        <v>90.12</v>
      </c>
      <c r="E141" s="20">
        <v>65.61</v>
      </c>
      <c r="F141" s="20">
        <v>70.12</v>
      </c>
      <c r="G141" s="16">
        <v>196.23</v>
      </c>
      <c r="H141" s="16">
        <v>194.93</v>
      </c>
      <c r="I141" s="20">
        <v>92.17</v>
      </c>
      <c r="J141" s="20">
        <v>88.64</v>
      </c>
      <c r="K141" s="20">
        <v>91.02</v>
      </c>
      <c r="L141" s="16">
        <v>102.86</v>
      </c>
      <c r="M141" s="20">
        <v>97.77</v>
      </c>
      <c r="N141" s="20">
        <v>85.11</v>
      </c>
      <c r="O141" s="16">
        <v>154.71</v>
      </c>
      <c r="P141" s="16">
        <v>134.03</v>
      </c>
      <c r="Q141" s="20">
        <v>97.64</v>
      </c>
      <c r="R141" s="20">
        <v>72.44</v>
      </c>
      <c r="S141" s="20">
        <v>54.35</v>
      </c>
      <c r="T141" s="20">
        <v>52.87</v>
      </c>
      <c r="U141" s="15"/>
      <c r="V141" s="15"/>
      <c r="W141" s="15"/>
    </row>
    <row r="142" ht="15.0" customHeight="1">
      <c r="A142" s="14" t="s">
        <v>185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21">
        <v>-10.93</v>
      </c>
      <c r="O142" s="21">
        <v>-28.4</v>
      </c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186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6">
        <v>140.81</v>
      </c>
      <c r="M143" s="16">
        <v>140.67</v>
      </c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187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6">
        <v>140.81</v>
      </c>
      <c r="M144" s="16">
        <v>140.67</v>
      </c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188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20">
        <v>13.24</v>
      </c>
      <c r="M145" s="20">
        <v>12.53</v>
      </c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189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20">
        <v>13.24</v>
      </c>
      <c r="M146" s="20">
        <v>12.53</v>
      </c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190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20">
        <v>13.24</v>
      </c>
      <c r="M147" s="20">
        <v>12.53</v>
      </c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191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20">
        <v>13.24</v>
      </c>
      <c r="M148" s="20">
        <v>12.53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192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20">
        <v>1.0</v>
      </c>
      <c r="M149" s="20">
        <v>1.0</v>
      </c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193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6">
        <v>1861.38</v>
      </c>
      <c r="M150" s="16">
        <v>1764.91</v>
      </c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194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6">
        <v>1862.28</v>
      </c>
      <c r="M151" s="16">
        <v>1765.75</v>
      </c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195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6">
        <v>1861.38</v>
      </c>
      <c r="M152" s="16">
        <v>1764.91</v>
      </c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196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6">
        <v>1862.28</v>
      </c>
      <c r="M153" s="16">
        <v>1765.75</v>
      </c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197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20">
        <v>1.0</v>
      </c>
      <c r="M154" s="20">
        <v>1.0</v>
      </c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198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46097.3856297569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199</v>
      </c>
      <c r="C15" s="10" t="s">
        <v>199</v>
      </c>
      <c r="D15" s="10" t="s">
        <v>199</v>
      </c>
      <c r="E15" s="10" t="s">
        <v>199</v>
      </c>
      <c r="F15" s="10" t="s">
        <v>199</v>
      </c>
      <c r="G15" s="10" t="s">
        <v>199</v>
      </c>
      <c r="H15" s="10" t="s">
        <v>199</v>
      </c>
      <c r="I15" s="10" t="s">
        <v>199</v>
      </c>
      <c r="J15" s="10" t="s">
        <v>199</v>
      </c>
      <c r="K15" s="10" t="s">
        <v>199</v>
      </c>
      <c r="L15" s="10" t="s">
        <v>199</v>
      </c>
      <c r="M15" s="10" t="s">
        <v>199</v>
      </c>
      <c r="N15" s="10" t="s">
        <v>199</v>
      </c>
      <c r="O15" s="10" t="s">
        <v>199</v>
      </c>
      <c r="P15" s="10" t="s">
        <v>199</v>
      </c>
      <c r="Q15" s="10" t="s">
        <v>199</v>
      </c>
      <c r="R15" s="10" t="s">
        <v>199</v>
      </c>
      <c r="S15" s="10" t="s">
        <v>199</v>
      </c>
      <c r="T15" s="10" t="s">
        <v>199</v>
      </c>
      <c r="U15" s="10" t="s">
        <v>199</v>
      </c>
      <c r="V15" s="10" t="s">
        <v>199</v>
      </c>
      <c r="W15" s="10" t="s">
        <v>199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201</v>
      </c>
      <c r="B20" s="16">
        <v>5390.73</v>
      </c>
      <c r="C20" s="16">
        <v>4925.65</v>
      </c>
      <c r="D20" s="16">
        <v>4051.22</v>
      </c>
      <c r="E20" s="16">
        <v>3308.83</v>
      </c>
      <c r="F20" s="16">
        <v>2655.04</v>
      </c>
      <c r="G20" s="16">
        <v>2703.9</v>
      </c>
      <c r="H20" s="16">
        <v>2266.29</v>
      </c>
      <c r="I20" s="16">
        <v>2200.49</v>
      </c>
      <c r="J20" s="16">
        <v>2219.09</v>
      </c>
      <c r="K20" s="16">
        <v>2065.72</v>
      </c>
      <c r="L20" s="16">
        <v>1974.73</v>
      </c>
      <c r="M20" s="16">
        <v>1615.25</v>
      </c>
      <c r="N20" s="16">
        <v>1630.1</v>
      </c>
      <c r="O20" s="16">
        <v>1315.3</v>
      </c>
      <c r="P20" s="16">
        <v>1171.34</v>
      </c>
      <c r="Q20" s="16">
        <v>1020.99</v>
      </c>
      <c r="R20" s="16">
        <v>1017.65</v>
      </c>
      <c r="S20" s="16">
        <v>1278.56</v>
      </c>
      <c r="T20" s="15"/>
      <c r="U20" s="16">
        <v>881.69</v>
      </c>
      <c r="V20" s="16">
        <v>793.64</v>
      </c>
      <c r="W20" s="15"/>
    </row>
    <row r="21" ht="15.0" customHeight="1">
      <c r="A21" s="14" t="s">
        <v>202</v>
      </c>
      <c r="B21" s="16">
        <v>1857.16</v>
      </c>
      <c r="C21" s="16">
        <v>1393.21</v>
      </c>
      <c r="D21" s="16">
        <v>1052.51</v>
      </c>
      <c r="E21" s="16">
        <v>905.84</v>
      </c>
      <c r="F21" s="16">
        <v>626.72</v>
      </c>
      <c r="G21" s="16">
        <v>551.05</v>
      </c>
      <c r="H21" s="16">
        <v>451.68</v>
      </c>
      <c r="I21" s="16">
        <v>401.26</v>
      </c>
      <c r="J21" s="16">
        <v>355.41</v>
      </c>
      <c r="K21" s="16">
        <v>306.91</v>
      </c>
      <c r="L21" s="16">
        <v>308.16</v>
      </c>
      <c r="M21" s="16">
        <v>285.63</v>
      </c>
      <c r="N21" s="16">
        <v>324.35</v>
      </c>
      <c r="O21" s="16">
        <v>325.89</v>
      </c>
      <c r="P21" s="15"/>
      <c r="Q21" s="16">
        <v>220.4</v>
      </c>
      <c r="R21" s="16">
        <v>244.67</v>
      </c>
      <c r="S21" s="16">
        <v>316.49</v>
      </c>
      <c r="T21" s="16">
        <v>228.35</v>
      </c>
      <c r="U21" s="15"/>
      <c r="V21" s="15"/>
      <c r="W21" s="16">
        <v>133.45</v>
      </c>
    </row>
    <row r="22" ht="15.0" customHeight="1">
      <c r="A22" s="14" t="s">
        <v>203</v>
      </c>
      <c r="B22" s="16">
        <v>1382.24</v>
      </c>
      <c r="C22" s="16">
        <v>1124.92</v>
      </c>
      <c r="D22" s="16">
        <v>978.69</v>
      </c>
      <c r="E22" s="16">
        <v>732.85</v>
      </c>
      <c r="F22" s="16">
        <v>509.58</v>
      </c>
      <c r="G22" s="16">
        <v>464.09</v>
      </c>
      <c r="H22" s="16">
        <v>384.77</v>
      </c>
      <c r="I22" s="16">
        <v>339.83</v>
      </c>
      <c r="J22" s="16">
        <v>414.48</v>
      </c>
      <c r="K22" s="16">
        <v>356.85</v>
      </c>
      <c r="L22" s="16">
        <v>350.4</v>
      </c>
      <c r="M22" s="16">
        <v>299.19</v>
      </c>
      <c r="N22" s="16">
        <v>311.01</v>
      </c>
      <c r="O22" s="16">
        <v>274.51</v>
      </c>
      <c r="P22" s="15"/>
      <c r="Q22" s="16">
        <v>252.33</v>
      </c>
      <c r="R22" s="16">
        <v>261.26</v>
      </c>
      <c r="S22" s="16">
        <v>369.88</v>
      </c>
      <c r="T22" s="16">
        <v>317.15</v>
      </c>
      <c r="U22" s="15"/>
      <c r="V22" s="15"/>
      <c r="W22" s="16">
        <v>233.96</v>
      </c>
    </row>
    <row r="23" ht="15.0" customHeight="1">
      <c r="A23" s="14" t="s">
        <v>204</v>
      </c>
      <c r="B23" s="16">
        <v>2150.15</v>
      </c>
      <c r="C23" s="16">
        <v>2407.52</v>
      </c>
      <c r="D23" s="16">
        <v>2018.9</v>
      </c>
      <c r="E23" s="16">
        <v>1670.14</v>
      </c>
      <c r="F23" s="16">
        <v>1518.74</v>
      </c>
      <c r="G23" s="16">
        <v>1688.76</v>
      </c>
      <c r="H23" s="16">
        <v>1428.85</v>
      </c>
      <c r="I23" s="16">
        <v>1458.41</v>
      </c>
      <c r="J23" s="16">
        <v>1449.2</v>
      </c>
      <c r="K23" s="16">
        <v>1401.06</v>
      </c>
      <c r="L23" s="16">
        <v>1316.16</v>
      </c>
      <c r="M23" s="16">
        <v>1029.53</v>
      </c>
      <c r="N23" s="16">
        <v>994.74</v>
      </c>
      <c r="O23" s="16">
        <v>715.63</v>
      </c>
      <c r="P23" s="15"/>
      <c r="Q23" s="16">
        <v>547.49</v>
      </c>
      <c r="R23" s="16">
        <v>511.73</v>
      </c>
      <c r="S23" s="16">
        <v>591.23</v>
      </c>
      <c r="T23" s="16">
        <v>415.46</v>
      </c>
      <c r="U23" s="16">
        <v>881.69</v>
      </c>
      <c r="V23" s="15"/>
      <c r="W23" s="16">
        <v>378.94</v>
      </c>
    </row>
    <row r="24" ht="15.0" customHeight="1">
      <c r="A24" s="14" t="s">
        <v>205</v>
      </c>
      <c r="B24" s="20">
        <v>1.18</v>
      </c>
      <c r="C24" s="15"/>
      <c r="D24" s="20">
        <v>1.12</v>
      </c>
      <c r="E24" s="15"/>
      <c r="F24" s="15"/>
      <c r="G24" s="15"/>
      <c r="H24" s="20">
        <v>0.98</v>
      </c>
      <c r="I24" s="20">
        <v>0.99</v>
      </c>
      <c r="J24" s="15"/>
      <c r="K24" s="20">
        <v>0.91</v>
      </c>
      <c r="L24" s="15"/>
      <c r="M24" s="20">
        <v>0.9</v>
      </c>
      <c r="N24" s="15"/>
      <c r="O24" s="21">
        <v>-0.73</v>
      </c>
      <c r="P24" s="15"/>
      <c r="Q24" s="15"/>
      <c r="R24" s="15"/>
      <c r="S24" s="20">
        <v>0.97</v>
      </c>
      <c r="T24" s="15"/>
      <c r="U24" s="15"/>
      <c r="V24" s="15"/>
      <c r="W24" s="15"/>
    </row>
    <row r="25" ht="15.0" customHeight="1">
      <c r="A25" s="14" t="s">
        <v>206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20">
        <v>0.78</v>
      </c>
      <c r="R25" s="20">
        <v>0.83</v>
      </c>
      <c r="S25" s="15"/>
      <c r="T25" s="15"/>
      <c r="U25" s="15"/>
      <c r="V25" s="15"/>
      <c r="W25" s="15"/>
    </row>
    <row r="26" ht="15.0" customHeight="1">
      <c r="A26" s="14" t="s">
        <v>207</v>
      </c>
      <c r="B26" s="16">
        <v>4162.07</v>
      </c>
      <c r="C26" s="16">
        <v>2999.4</v>
      </c>
      <c r="D26" s="16">
        <v>2763.82</v>
      </c>
      <c r="E26" s="16">
        <v>1894.51</v>
      </c>
      <c r="F26" s="16">
        <v>1750.01</v>
      </c>
      <c r="G26" s="16">
        <v>1648.95</v>
      </c>
      <c r="H26" s="16">
        <v>1933.68</v>
      </c>
      <c r="I26" s="16">
        <v>1870.57</v>
      </c>
      <c r="J26" s="16">
        <v>1959.18</v>
      </c>
      <c r="K26" s="16">
        <v>1816.93</v>
      </c>
      <c r="L26" s="16">
        <v>1844.17</v>
      </c>
      <c r="M26" s="16">
        <v>1572.77</v>
      </c>
      <c r="N26" s="16">
        <v>1416.64</v>
      </c>
      <c r="O26" s="16">
        <v>1111.98</v>
      </c>
      <c r="P26" s="16">
        <v>1201.51</v>
      </c>
      <c r="Q26" s="16">
        <v>921.3</v>
      </c>
      <c r="R26" s="16">
        <v>850.95</v>
      </c>
      <c r="S26" s="15"/>
      <c r="T26" s="15"/>
      <c r="U26" s="16">
        <v>616.86</v>
      </c>
      <c r="V26" s="16">
        <v>747.33</v>
      </c>
      <c r="W26" s="16">
        <v>592.3</v>
      </c>
    </row>
    <row r="27" ht="15.0" customHeight="1">
      <c r="A27" s="14" t="s">
        <v>208</v>
      </c>
      <c r="B27" s="15"/>
      <c r="C27" s="15"/>
      <c r="D27" s="15"/>
      <c r="E27" s="15"/>
      <c r="F27" s="15"/>
      <c r="G27" s="16">
        <v>1648.95</v>
      </c>
      <c r="H27" s="16">
        <v>1933.68</v>
      </c>
      <c r="I27" s="16">
        <v>1871.56</v>
      </c>
      <c r="J27" s="16">
        <v>1960.17</v>
      </c>
      <c r="K27" s="16">
        <v>1818.75</v>
      </c>
      <c r="L27" s="16">
        <v>1844.17</v>
      </c>
      <c r="M27" s="16">
        <v>1574.57</v>
      </c>
      <c r="N27" s="16">
        <v>1419.98</v>
      </c>
      <c r="O27" s="16">
        <v>1114.19</v>
      </c>
      <c r="P27" s="15"/>
      <c r="Q27" s="16">
        <v>928.31</v>
      </c>
      <c r="R27" s="16">
        <v>852.6</v>
      </c>
      <c r="S27" s="16">
        <v>806.75</v>
      </c>
      <c r="T27" s="16">
        <v>657.29</v>
      </c>
      <c r="U27" s="15"/>
      <c r="V27" s="15"/>
      <c r="W27" s="15"/>
    </row>
    <row r="28" ht="15.0" customHeight="1">
      <c r="A28" s="14" t="s">
        <v>209</v>
      </c>
      <c r="B28" s="15"/>
      <c r="C28" s="15"/>
      <c r="D28" s="15"/>
      <c r="E28" s="15"/>
      <c r="F28" s="15"/>
      <c r="G28" s="15">
        <v>0.0</v>
      </c>
      <c r="H28" s="15">
        <v>0.0</v>
      </c>
      <c r="I28" s="21">
        <v>-0.99</v>
      </c>
      <c r="J28" s="21">
        <v>-0.98</v>
      </c>
      <c r="K28" s="21">
        <v>-1.82</v>
      </c>
      <c r="L28" s="15">
        <v>0.0</v>
      </c>
      <c r="M28" s="21">
        <v>-1.81</v>
      </c>
      <c r="N28" s="21">
        <v>-3.34</v>
      </c>
      <c r="O28" s="21">
        <v>-2.2</v>
      </c>
      <c r="P28" s="15"/>
      <c r="Q28" s="21">
        <v>-7.01</v>
      </c>
      <c r="R28" s="21">
        <v>-1.66</v>
      </c>
      <c r="S28" s="15">
        <v>0.0</v>
      </c>
      <c r="T28" s="15">
        <v>0.0</v>
      </c>
      <c r="U28" s="15"/>
      <c r="V28" s="15"/>
      <c r="W28" s="15"/>
    </row>
    <row r="29" ht="15.0" customHeight="1">
      <c r="A29" s="14" t="s">
        <v>210</v>
      </c>
      <c r="B29" s="20">
        <v>10.63</v>
      </c>
      <c r="C29" s="20">
        <v>5.88</v>
      </c>
      <c r="D29" s="20">
        <v>6.71</v>
      </c>
      <c r="E29" s="20">
        <v>51.37</v>
      </c>
      <c r="F29" s="20">
        <v>33.04</v>
      </c>
      <c r="G29" s="20">
        <v>90.1</v>
      </c>
      <c r="H29" s="20">
        <v>30.51</v>
      </c>
      <c r="I29" s="20">
        <v>64.4</v>
      </c>
      <c r="J29" s="20">
        <v>21.66</v>
      </c>
      <c r="K29" s="20">
        <v>7.26</v>
      </c>
      <c r="L29" s="15"/>
      <c r="M29" s="15"/>
      <c r="N29" s="15"/>
      <c r="O29" s="15"/>
      <c r="P29" s="15"/>
      <c r="Q29" s="20">
        <v>9.35</v>
      </c>
      <c r="R29" s="15"/>
      <c r="S29" s="15"/>
      <c r="T29" s="15"/>
      <c r="U29" s="15"/>
      <c r="V29" s="15"/>
      <c r="W29" s="15"/>
    </row>
    <row r="30" ht="15.0" customHeight="1">
      <c r="A30" s="14" t="s">
        <v>211</v>
      </c>
      <c r="B30" s="16">
        <v>4418.44</v>
      </c>
      <c r="C30" s="16">
        <v>1609.72</v>
      </c>
      <c r="D30" s="16">
        <v>1216.93</v>
      </c>
      <c r="E30" s="16">
        <v>469.7</v>
      </c>
      <c r="F30" s="16">
        <v>336.39</v>
      </c>
      <c r="G30" s="16">
        <v>355.14</v>
      </c>
      <c r="H30" s="16">
        <v>239.13</v>
      </c>
      <c r="I30" s="16">
        <v>333.89</v>
      </c>
      <c r="J30" s="16">
        <v>318.98</v>
      </c>
      <c r="K30" s="16">
        <v>289.66</v>
      </c>
      <c r="L30" s="16">
        <v>298.56</v>
      </c>
      <c r="M30" s="16">
        <v>372.4</v>
      </c>
      <c r="N30" s="16">
        <v>414.4</v>
      </c>
      <c r="O30" s="16">
        <v>255.43</v>
      </c>
      <c r="P30" s="16">
        <v>238.29</v>
      </c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212</v>
      </c>
      <c r="B31" s="20">
        <v>90.97</v>
      </c>
      <c r="C31" s="16">
        <v>141.2</v>
      </c>
      <c r="D31" s="20">
        <v>53.69</v>
      </c>
      <c r="E31" s="20">
        <v>32.5</v>
      </c>
      <c r="F31" s="20">
        <v>62.07</v>
      </c>
      <c r="G31" s="20">
        <v>58.67</v>
      </c>
      <c r="H31" s="20">
        <v>86.6</v>
      </c>
      <c r="I31" s="20">
        <v>50.53</v>
      </c>
      <c r="J31" s="16">
        <v>123.06</v>
      </c>
      <c r="K31" s="20">
        <v>95.34</v>
      </c>
      <c r="L31" s="15"/>
      <c r="M31" s="15"/>
      <c r="N31" s="15"/>
      <c r="O31" s="15"/>
      <c r="P31" s="15"/>
      <c r="Q31" s="20">
        <v>52.96</v>
      </c>
      <c r="R31" s="20">
        <v>48.1</v>
      </c>
      <c r="S31" s="16">
        <v>216.49</v>
      </c>
      <c r="T31" s="16">
        <v>114.17</v>
      </c>
      <c r="U31" s="16">
        <v>118.44</v>
      </c>
      <c r="V31" s="15"/>
      <c r="W31" s="20">
        <v>46.13</v>
      </c>
    </row>
    <row r="32" ht="15.0" customHeight="1">
      <c r="A32" s="14" t="s">
        <v>213</v>
      </c>
      <c r="B32" s="16">
        <v>100.42</v>
      </c>
      <c r="C32" s="20">
        <v>82.37</v>
      </c>
      <c r="D32" s="20">
        <v>36.91</v>
      </c>
      <c r="E32" s="20">
        <v>82.83</v>
      </c>
      <c r="F32" s="20">
        <v>31.04</v>
      </c>
      <c r="G32" s="20">
        <v>23.05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214</v>
      </c>
      <c r="B33" s="20">
        <v>7.09</v>
      </c>
      <c r="C33" s="20">
        <v>2.35</v>
      </c>
      <c r="D33" s="20">
        <v>7.83</v>
      </c>
      <c r="E33" s="20">
        <v>1.05</v>
      </c>
      <c r="F33" s="20">
        <v>1.0</v>
      </c>
      <c r="G33" s="20">
        <v>3.14</v>
      </c>
      <c r="H33" s="20">
        <v>0.98</v>
      </c>
      <c r="I33" s="20">
        <v>3.96</v>
      </c>
      <c r="J33" s="20">
        <v>2.95</v>
      </c>
      <c r="K33" s="20">
        <v>0.91</v>
      </c>
      <c r="L33" s="20">
        <v>2.88</v>
      </c>
      <c r="M33" s="20">
        <v>15.37</v>
      </c>
      <c r="N33" s="20">
        <v>6.67</v>
      </c>
      <c r="O33" s="20">
        <v>5.14</v>
      </c>
      <c r="P33" s="15"/>
      <c r="Q33" s="20">
        <v>10.9</v>
      </c>
      <c r="R33" s="20">
        <v>5.81</v>
      </c>
      <c r="S33" s="15"/>
      <c r="T33" s="15"/>
      <c r="U33" s="15"/>
      <c r="V33" s="15"/>
      <c r="W33" s="15"/>
    </row>
    <row r="34" ht="15.0" customHeight="1">
      <c r="A34" s="14" t="s">
        <v>215</v>
      </c>
      <c r="B34" s="16">
        <v>4210.51</v>
      </c>
      <c r="C34" s="16">
        <v>1376.73</v>
      </c>
      <c r="D34" s="16">
        <v>1117.39</v>
      </c>
      <c r="E34" s="16">
        <v>352.27</v>
      </c>
      <c r="F34" s="16">
        <v>207.24</v>
      </c>
      <c r="G34" s="16">
        <v>179.14</v>
      </c>
      <c r="H34" s="16">
        <v>120.06</v>
      </c>
      <c r="I34" s="16">
        <v>213.02</v>
      </c>
      <c r="J34" s="16">
        <v>170.32</v>
      </c>
      <c r="K34" s="16">
        <v>185.23</v>
      </c>
      <c r="L34" s="16">
        <v>180.48</v>
      </c>
      <c r="M34" s="16">
        <v>131.06</v>
      </c>
      <c r="N34" s="16">
        <v>185.94</v>
      </c>
      <c r="O34" s="16">
        <v>182.76</v>
      </c>
      <c r="P34" s="15"/>
      <c r="Q34" s="20">
        <v>81.77</v>
      </c>
      <c r="R34" s="16">
        <v>122.75</v>
      </c>
      <c r="S34" s="15"/>
      <c r="T34" s="15"/>
      <c r="U34" s="15"/>
      <c r="V34" s="15"/>
      <c r="W34" s="16">
        <v>106.27</v>
      </c>
    </row>
    <row r="35" ht="15.0" customHeight="1">
      <c r="A35" s="14" t="s">
        <v>216</v>
      </c>
      <c r="B35" s="16">
        <v>4034.48</v>
      </c>
      <c r="C35" s="16">
        <v>1200.23</v>
      </c>
      <c r="D35" s="16">
        <v>555.9</v>
      </c>
      <c r="E35" s="16">
        <v>262.11</v>
      </c>
      <c r="F35" s="16">
        <v>110.13</v>
      </c>
      <c r="G35" s="20">
        <v>62.86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217</v>
      </c>
      <c r="B36" s="16">
        <v>176.03</v>
      </c>
      <c r="C36" s="16">
        <v>176.5</v>
      </c>
      <c r="D36" s="16">
        <v>561.49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218</v>
      </c>
      <c r="B37" s="15"/>
      <c r="C37" s="15"/>
      <c r="D37" s="15"/>
      <c r="E37" s="20">
        <v>90.16</v>
      </c>
      <c r="F37" s="20">
        <v>97.11</v>
      </c>
      <c r="G37" s="16">
        <v>116.29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219</v>
      </c>
      <c r="B38" s="20">
        <v>9.45</v>
      </c>
      <c r="C38" s="20">
        <v>7.06</v>
      </c>
      <c r="D38" s="20">
        <v>1.12</v>
      </c>
      <c r="E38" s="20">
        <v>1.05</v>
      </c>
      <c r="F38" s="20">
        <v>2.0</v>
      </c>
      <c r="G38" s="20">
        <v>1.05</v>
      </c>
      <c r="H38" s="20">
        <v>0.98</v>
      </c>
      <c r="I38" s="20">
        <v>1.98</v>
      </c>
      <c r="J38" s="20">
        <v>0.98</v>
      </c>
      <c r="K38" s="20">
        <v>0.91</v>
      </c>
      <c r="L38" s="16">
        <v>115.2</v>
      </c>
      <c r="M38" s="16">
        <v>225.97</v>
      </c>
      <c r="N38" s="16">
        <v>221.79</v>
      </c>
      <c r="O38" s="20">
        <v>67.53</v>
      </c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220</v>
      </c>
      <c r="B39" s="16">
        <v>1900.87</v>
      </c>
      <c r="C39" s="16">
        <v>2419.29</v>
      </c>
      <c r="D39" s="16">
        <v>1193.44</v>
      </c>
      <c r="E39" s="16">
        <v>3487.07</v>
      </c>
      <c r="F39" s="16">
        <v>2169.49</v>
      </c>
      <c r="G39" s="16">
        <v>3084.19</v>
      </c>
      <c r="H39" s="16">
        <v>1121.83</v>
      </c>
      <c r="I39" s="16">
        <v>2464.04</v>
      </c>
      <c r="J39" s="16">
        <v>1615.59</v>
      </c>
      <c r="K39" s="16">
        <v>1824.19</v>
      </c>
      <c r="L39" s="16">
        <v>2353.93</v>
      </c>
      <c r="M39" s="16">
        <v>1676.71</v>
      </c>
      <c r="N39" s="16">
        <v>1790.19</v>
      </c>
      <c r="O39" s="16">
        <v>1065.74</v>
      </c>
      <c r="P39" s="16">
        <v>951.61</v>
      </c>
      <c r="Q39" s="16">
        <f>Q40+Q41</f>
        <v>975.82</v>
      </c>
      <c r="R39" s="16">
        <v>262.91</v>
      </c>
      <c r="S39" s="16">
        <v>1709.6</v>
      </c>
      <c r="T39" s="16">
        <v>716.75</v>
      </c>
      <c r="U39" s="16">
        <v>904.72</v>
      </c>
      <c r="V39" s="16">
        <v>994.05</v>
      </c>
      <c r="W39" s="16">
        <v>563.47</v>
      </c>
    </row>
    <row r="40" ht="15.0" customHeight="1">
      <c r="A40" s="14" t="s">
        <v>221</v>
      </c>
      <c r="B40" s="16">
        <v>1900.87</v>
      </c>
      <c r="C40" s="16">
        <v>2419.29</v>
      </c>
      <c r="D40" s="16">
        <v>1193.44</v>
      </c>
      <c r="E40" s="16">
        <v>3487.07</v>
      </c>
      <c r="F40" s="16">
        <v>2169.49</v>
      </c>
      <c r="G40" s="16">
        <v>3084.19</v>
      </c>
      <c r="H40" s="16">
        <v>1111.99</v>
      </c>
      <c r="I40" s="16">
        <v>2325.33</v>
      </c>
      <c r="J40" s="16">
        <v>1613.62</v>
      </c>
      <c r="K40" s="16">
        <v>1805.13</v>
      </c>
      <c r="L40" s="16">
        <v>2325.13</v>
      </c>
      <c r="M40" s="16">
        <v>1622.48</v>
      </c>
      <c r="N40" s="16">
        <v>1565.06</v>
      </c>
      <c r="O40" s="16">
        <v>955.65</v>
      </c>
      <c r="P40" s="15"/>
      <c r="Q40" s="16">
        <v>370.7</v>
      </c>
      <c r="R40" s="16">
        <v>262.91</v>
      </c>
      <c r="S40" s="15"/>
      <c r="T40" s="15"/>
      <c r="U40" s="15"/>
      <c r="V40" s="15"/>
      <c r="W40" s="15"/>
    </row>
    <row r="41" ht="15.0" customHeight="1">
      <c r="A41" s="14" t="s">
        <v>222</v>
      </c>
      <c r="B41" s="15"/>
      <c r="C41" s="15"/>
      <c r="D41" s="15"/>
      <c r="E41" s="15"/>
      <c r="F41" s="15"/>
      <c r="G41" s="15">
        <v>0.0</v>
      </c>
      <c r="H41" s="20">
        <v>9.84</v>
      </c>
      <c r="I41" s="16">
        <v>138.71</v>
      </c>
      <c r="J41" s="20">
        <v>0.98</v>
      </c>
      <c r="K41" s="20">
        <v>19.07</v>
      </c>
      <c r="L41" s="20">
        <v>28.8</v>
      </c>
      <c r="M41" s="20">
        <v>54.23</v>
      </c>
      <c r="N41" s="16">
        <v>225.13</v>
      </c>
      <c r="O41" s="16">
        <v>110.1</v>
      </c>
      <c r="P41" s="15"/>
      <c r="Q41" s="16">
        <v>605.12</v>
      </c>
      <c r="R41" s="15"/>
      <c r="S41" s="15"/>
      <c r="T41" s="15"/>
      <c r="U41" s="15"/>
      <c r="V41" s="15"/>
      <c r="W41" s="15"/>
    </row>
    <row r="42" ht="15.0" customHeight="1">
      <c r="A42" s="14" t="s">
        <v>223</v>
      </c>
      <c r="B42" s="15"/>
      <c r="C42" s="15"/>
      <c r="D42" s="15"/>
      <c r="E42" s="15"/>
      <c r="F42" s="15"/>
      <c r="G42" s="15"/>
      <c r="H42" s="15"/>
      <c r="I42" s="15"/>
      <c r="J42" s="20">
        <v>0.98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224</v>
      </c>
      <c r="B43" s="15"/>
      <c r="C43" s="15"/>
      <c r="D43" s="15"/>
      <c r="E43" s="15"/>
      <c r="F43" s="15"/>
      <c r="G43" s="15"/>
      <c r="H43" s="16">
        <v>344.42</v>
      </c>
      <c r="I43" s="16">
        <v>346.77</v>
      </c>
      <c r="J43" s="15"/>
      <c r="K43" s="16">
        <v>281.48</v>
      </c>
      <c r="L43" s="15"/>
      <c r="M43" s="16">
        <v>659.84</v>
      </c>
      <c r="N43" s="15"/>
      <c r="O43" s="15"/>
      <c r="P43" s="15"/>
      <c r="Q43" s="16">
        <v>326.31</v>
      </c>
      <c r="R43" s="16">
        <v>1151.18</v>
      </c>
      <c r="S43" s="15"/>
      <c r="T43" s="15"/>
      <c r="U43" s="15"/>
      <c r="V43" s="15"/>
      <c r="W43" s="15"/>
    </row>
    <row r="44" ht="15.0" customHeight="1">
      <c r="A44" s="14" t="s">
        <v>225</v>
      </c>
      <c r="B44" s="21">
        <v>-1.18</v>
      </c>
      <c r="C44" s="15"/>
      <c r="D44" s="21">
        <v>-1.12</v>
      </c>
      <c r="E44" s="20">
        <v>1.05</v>
      </c>
      <c r="F44" s="15"/>
      <c r="G44" s="21">
        <v>-1.05</v>
      </c>
      <c r="H44" s="15"/>
      <c r="I44" s="21">
        <v>-0.99</v>
      </c>
      <c r="J44" s="21">
        <v>-0.98</v>
      </c>
      <c r="K44" s="15"/>
      <c r="L44" s="15"/>
      <c r="M44" s="15"/>
      <c r="N44" s="15"/>
      <c r="O44" s="15"/>
      <c r="P44" s="15"/>
      <c r="Q44" s="15"/>
      <c r="R44" s="15"/>
      <c r="S44" s="21">
        <v>-0.97</v>
      </c>
      <c r="T44" s="15"/>
      <c r="U44" s="15"/>
      <c r="V44" s="15"/>
      <c r="W44" s="15"/>
    </row>
    <row r="45" ht="15.0" customHeight="1">
      <c r="A45" s="17" t="s">
        <v>226</v>
      </c>
      <c r="B45" s="18">
        <v>15881.57</v>
      </c>
      <c r="C45" s="18">
        <v>11959.93</v>
      </c>
      <c r="D45" s="19">
        <v>9231.01</v>
      </c>
      <c r="E45" s="19">
        <v>9212.53</v>
      </c>
      <c r="F45" s="19">
        <v>6910.93</v>
      </c>
      <c r="G45" s="19">
        <v>7791.14</v>
      </c>
      <c r="H45" s="19">
        <v>5905.34</v>
      </c>
      <c r="I45" s="19">
        <v>7214.77</v>
      </c>
      <c r="J45" s="19">
        <v>6111.86</v>
      </c>
      <c r="K45" s="19">
        <v>6277.99</v>
      </c>
      <c r="L45" s="19">
        <v>6471.38</v>
      </c>
      <c r="M45" s="19">
        <v>5896.97</v>
      </c>
      <c r="N45" s="19">
        <v>5251.33</v>
      </c>
      <c r="O45" s="19">
        <v>3748.45</v>
      </c>
      <c r="P45" s="19">
        <v>3562.75</v>
      </c>
      <c r="Q45" s="19">
        <v>3399.39</v>
      </c>
      <c r="R45" s="19">
        <v>3460.18</v>
      </c>
      <c r="S45" s="19">
        <v>4010.43</v>
      </c>
      <c r="T45" s="19">
        <v>2449.16</v>
      </c>
      <c r="U45" s="19">
        <v>2521.71</v>
      </c>
      <c r="V45" s="19">
        <v>2535.03</v>
      </c>
      <c r="W45" s="19">
        <v>2054.52</v>
      </c>
    </row>
    <row r="46" ht="15.0" customHeight="1">
      <c r="A46" s="14" t="s">
        <v>227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6">
        <v>7103.06</v>
      </c>
      <c r="M46" s="16">
        <v>6399.54</v>
      </c>
      <c r="N46" s="16">
        <v>5558.18</v>
      </c>
      <c r="O46" s="16">
        <v>4457.48</v>
      </c>
      <c r="P46" s="16">
        <v>4490.38</v>
      </c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103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2">
        <v>-4449.61</v>
      </c>
      <c r="M47" s="22">
        <v>-3967.17</v>
      </c>
      <c r="N47" s="22">
        <v>-3496.16</v>
      </c>
      <c r="O47" s="22">
        <v>-2950.61</v>
      </c>
      <c r="P47" s="22">
        <v>-3015.77</v>
      </c>
      <c r="Q47" s="22">
        <v>-2876.83</v>
      </c>
      <c r="R47" s="22">
        <v>-2943.48</v>
      </c>
      <c r="S47" s="22">
        <v>-3276.5</v>
      </c>
      <c r="T47" s="22">
        <v>-2561.75</v>
      </c>
      <c r="U47" s="15"/>
      <c r="V47" s="15"/>
      <c r="W47" s="22">
        <v>-2234.93</v>
      </c>
    </row>
    <row r="48" ht="15.0" customHeight="1">
      <c r="A48" s="14" t="s">
        <v>228</v>
      </c>
      <c r="B48" s="16">
        <v>5403.73</v>
      </c>
      <c r="C48" s="16">
        <v>4913.88</v>
      </c>
      <c r="D48" s="16">
        <v>4484.08</v>
      </c>
      <c r="E48" s="16">
        <v>3913.78</v>
      </c>
      <c r="F48" s="16">
        <v>3329.82</v>
      </c>
      <c r="G48" s="16">
        <v>3348.19</v>
      </c>
      <c r="H48" s="16">
        <v>3157.85</v>
      </c>
      <c r="I48" s="16">
        <v>3139.74</v>
      </c>
      <c r="J48" s="16">
        <v>3180.96</v>
      </c>
      <c r="K48" s="16">
        <v>2625.06</v>
      </c>
      <c r="L48" s="16">
        <v>2653.45</v>
      </c>
      <c r="M48" s="16">
        <v>2432.37</v>
      </c>
      <c r="N48" s="16">
        <v>2062.01</v>
      </c>
      <c r="O48" s="16">
        <v>1506.87</v>
      </c>
      <c r="P48" s="16">
        <v>1475.39</v>
      </c>
      <c r="Q48" s="16">
        <f t="shared" ref="Q48:T48" si="1">Q50+Q57+Q61+Q66+Q70</f>
        <v>1432.96</v>
      </c>
      <c r="R48" s="16">
        <f t="shared" si="1"/>
        <v>1564.2</v>
      </c>
      <c r="S48" s="16">
        <f t="shared" si="1"/>
        <v>1850.37</v>
      </c>
      <c r="T48" s="16">
        <f t="shared" si="1"/>
        <v>1478.69</v>
      </c>
      <c r="U48" s="16">
        <v>1538.85</v>
      </c>
      <c r="V48" s="16">
        <v>1763.74</v>
      </c>
      <c r="W48" s="16">
        <f>SUM(W50:W71)+W47</f>
        <v>1680.53</v>
      </c>
    </row>
    <row r="49" ht="15.0" customHeight="1">
      <c r="A49" s="14" t="s">
        <v>229</v>
      </c>
      <c r="B49" s="20">
        <v>80.34</v>
      </c>
      <c r="C49" s="20">
        <v>80.02</v>
      </c>
      <c r="D49" s="20">
        <v>76.06</v>
      </c>
      <c r="E49" s="20">
        <v>71.29</v>
      </c>
      <c r="F49" s="20">
        <v>58.07</v>
      </c>
      <c r="G49" s="20">
        <v>62.86</v>
      </c>
      <c r="H49" s="20">
        <v>59.04</v>
      </c>
      <c r="I49" s="20">
        <v>67.37</v>
      </c>
      <c r="J49" s="20">
        <v>66.95</v>
      </c>
      <c r="K49" s="20">
        <v>55.39</v>
      </c>
      <c r="L49" s="20">
        <v>58.56</v>
      </c>
      <c r="M49" s="20">
        <v>55.14</v>
      </c>
      <c r="N49" s="20">
        <v>50.86</v>
      </c>
      <c r="O49" s="20">
        <v>46.24</v>
      </c>
      <c r="P49" s="20">
        <v>48.74</v>
      </c>
      <c r="Q49" s="20">
        <v>47.51</v>
      </c>
      <c r="R49" s="20">
        <v>53.08</v>
      </c>
      <c r="S49" s="20">
        <v>63.1</v>
      </c>
      <c r="T49" s="20">
        <v>51.54</v>
      </c>
      <c r="U49" s="20">
        <v>53.46</v>
      </c>
      <c r="V49" s="15"/>
      <c r="W49" s="15"/>
    </row>
    <row r="50" ht="15.0" customHeight="1">
      <c r="A50" s="14" t="s">
        <v>230</v>
      </c>
      <c r="B50" s="20">
        <v>77.97</v>
      </c>
      <c r="C50" s="20">
        <v>77.66</v>
      </c>
      <c r="D50" s="20">
        <v>73.82</v>
      </c>
      <c r="E50" s="20">
        <v>69.2</v>
      </c>
      <c r="F50" s="20">
        <v>56.06</v>
      </c>
      <c r="G50" s="20">
        <v>60.76</v>
      </c>
      <c r="H50" s="20">
        <v>57.08</v>
      </c>
      <c r="I50" s="20">
        <v>65.39</v>
      </c>
      <c r="J50" s="20">
        <v>64.98</v>
      </c>
      <c r="K50" s="20">
        <v>53.57</v>
      </c>
      <c r="L50" s="15"/>
      <c r="M50" s="20">
        <v>53.33</v>
      </c>
      <c r="N50" s="20">
        <v>49.19</v>
      </c>
      <c r="O50" s="20">
        <v>44.77</v>
      </c>
      <c r="P50" s="20">
        <v>47.19</v>
      </c>
      <c r="Q50" s="20">
        <v>47.51</v>
      </c>
      <c r="R50" s="20">
        <v>53.08</v>
      </c>
      <c r="S50" s="20">
        <v>63.1</v>
      </c>
      <c r="T50" s="20">
        <v>49.16</v>
      </c>
      <c r="U50" s="15"/>
      <c r="V50" s="15"/>
      <c r="W50" s="20">
        <v>54.37</v>
      </c>
    </row>
    <row r="51" ht="15.0" customHeight="1">
      <c r="A51" s="14" t="s">
        <v>231</v>
      </c>
      <c r="B51" s="15"/>
      <c r="C51" s="15"/>
      <c r="D51" s="15"/>
      <c r="E51" s="20">
        <v>2.1</v>
      </c>
      <c r="F51" s="20">
        <v>2.0</v>
      </c>
      <c r="G51" s="20">
        <v>2.1</v>
      </c>
      <c r="H51" s="20">
        <v>1.97</v>
      </c>
      <c r="I51" s="15"/>
      <c r="J51" s="15"/>
      <c r="K51" s="15"/>
      <c r="L51" s="15"/>
      <c r="M51" s="20">
        <v>1.81</v>
      </c>
      <c r="N51" s="20">
        <v>1.67</v>
      </c>
      <c r="O51" s="20">
        <v>1.47</v>
      </c>
      <c r="P51" s="20">
        <v>1.55</v>
      </c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232</v>
      </c>
      <c r="B52" s="20">
        <v>2.36</v>
      </c>
      <c r="C52" s="20">
        <v>2.35</v>
      </c>
      <c r="D52" s="20">
        <v>2.24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233</v>
      </c>
      <c r="B53" s="15"/>
      <c r="C53" s="15"/>
      <c r="D53" s="15"/>
      <c r="E53" s="15"/>
      <c r="F53" s="15"/>
      <c r="G53" s="15"/>
      <c r="H53" s="15"/>
      <c r="I53" s="20">
        <v>1.98</v>
      </c>
      <c r="J53" s="20">
        <v>1.97</v>
      </c>
      <c r="K53" s="20">
        <v>1.82</v>
      </c>
      <c r="L53" s="15"/>
      <c r="M53" s="15"/>
      <c r="N53" s="15"/>
      <c r="O53" s="15"/>
      <c r="P53" s="15"/>
      <c r="Q53" s="15"/>
      <c r="R53" s="15"/>
      <c r="S53" s="15"/>
      <c r="T53" s="20">
        <v>2.38</v>
      </c>
      <c r="U53" s="15"/>
      <c r="V53" s="15"/>
      <c r="W53" s="15"/>
    </row>
    <row r="54" ht="15.0" customHeight="1">
      <c r="A54" s="14" t="s">
        <v>234</v>
      </c>
      <c r="B54" s="16">
        <v>320.16</v>
      </c>
      <c r="C54" s="16">
        <v>242.4</v>
      </c>
      <c r="D54" s="16">
        <v>195.74</v>
      </c>
      <c r="E54" s="16">
        <v>198.15</v>
      </c>
      <c r="F54" s="16">
        <v>175.2</v>
      </c>
      <c r="G54" s="16">
        <v>188.57</v>
      </c>
      <c r="H54" s="16">
        <v>201.73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235</v>
      </c>
      <c r="B55" s="22">
        <v>-151.22</v>
      </c>
      <c r="C55" s="22">
        <v>-114.14</v>
      </c>
      <c r="D55" s="22">
        <v>-105.14</v>
      </c>
      <c r="E55" s="22">
        <v>-110.08</v>
      </c>
      <c r="F55" s="21">
        <v>-92.11</v>
      </c>
      <c r="G55" s="22">
        <v>-100.57</v>
      </c>
      <c r="H55" s="22">
        <v>-106.28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236</v>
      </c>
      <c r="B56" s="20">
        <v>1.18</v>
      </c>
      <c r="C56" s="21">
        <v>-1.18</v>
      </c>
      <c r="D56" s="15"/>
      <c r="E56" s="15"/>
      <c r="F56" s="15"/>
      <c r="G56" s="21">
        <v>-1.05</v>
      </c>
      <c r="H56" s="20">
        <v>0.98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237</v>
      </c>
      <c r="B57" s="16">
        <v>2449.04</v>
      </c>
      <c r="C57" s="16">
        <v>2361.63</v>
      </c>
      <c r="D57" s="16">
        <v>2164.31</v>
      </c>
      <c r="E57" s="16">
        <v>1845.23</v>
      </c>
      <c r="F57" s="16">
        <v>1676.92</v>
      </c>
      <c r="G57" s="16">
        <v>1735.9</v>
      </c>
      <c r="H57" s="16">
        <v>1644.36</v>
      </c>
      <c r="I57" s="16">
        <v>1499.03</v>
      </c>
      <c r="J57" s="16">
        <v>1460.03</v>
      </c>
      <c r="K57" s="16">
        <v>1287.56</v>
      </c>
      <c r="L57" s="16">
        <v>1345.92</v>
      </c>
      <c r="M57" s="16">
        <v>1203.08</v>
      </c>
      <c r="N57" s="16">
        <v>798.79</v>
      </c>
      <c r="O57" s="16">
        <v>643.7</v>
      </c>
      <c r="P57" s="16">
        <v>659.94</v>
      </c>
      <c r="Q57" s="16">
        <v>682.99</v>
      </c>
      <c r="R57" s="16">
        <v>746.44</v>
      </c>
      <c r="S57" s="16">
        <v>921.3</v>
      </c>
      <c r="T57" s="16">
        <v>732.61</v>
      </c>
      <c r="U57" s="16">
        <v>796.98</v>
      </c>
      <c r="V57" s="15"/>
      <c r="W57" s="15"/>
    </row>
    <row r="58" ht="15.0" customHeight="1">
      <c r="A58" s="14" t="s">
        <v>238</v>
      </c>
      <c r="B58" s="16">
        <v>5832.58</v>
      </c>
      <c r="C58" s="16">
        <v>5555.18</v>
      </c>
      <c r="D58" s="16">
        <v>5034.39</v>
      </c>
      <c r="E58" s="16">
        <v>4349.92</v>
      </c>
      <c r="F58" s="16">
        <v>3952.53</v>
      </c>
      <c r="G58" s="16">
        <v>4046.95</v>
      </c>
      <c r="H58" s="16">
        <v>3702.03</v>
      </c>
      <c r="I58" s="16">
        <v>3491.46</v>
      </c>
      <c r="J58" s="16">
        <v>3427.09</v>
      </c>
      <c r="K58" s="16">
        <v>3015.5</v>
      </c>
      <c r="L58" s="16">
        <v>3090.25</v>
      </c>
      <c r="M58" s="16">
        <v>2777.65</v>
      </c>
      <c r="N58" s="16">
        <v>2187.08</v>
      </c>
      <c r="O58" s="16">
        <v>1812.94</v>
      </c>
      <c r="P58" s="16">
        <v>1841.33</v>
      </c>
      <c r="Q58" s="16">
        <v>1818.46</v>
      </c>
      <c r="R58" s="16">
        <v>1929.97</v>
      </c>
      <c r="S58" s="16">
        <v>2237.73</v>
      </c>
      <c r="T58" s="16">
        <v>1753.03</v>
      </c>
      <c r="U58" s="15"/>
      <c r="V58" s="15"/>
      <c r="W58" s="16">
        <v>1838.69</v>
      </c>
    </row>
    <row r="59" ht="15.0" customHeight="1">
      <c r="A59" s="14" t="s">
        <v>239</v>
      </c>
      <c r="B59" s="22">
        <v>-3383.53</v>
      </c>
      <c r="C59" s="22">
        <v>-3193.55</v>
      </c>
      <c r="D59" s="22">
        <v>-2870.08</v>
      </c>
      <c r="E59" s="22">
        <v>-2504.69</v>
      </c>
      <c r="F59" s="22">
        <v>-2275.61</v>
      </c>
      <c r="G59" s="22">
        <v>-2311.05</v>
      </c>
      <c r="H59" s="22">
        <v>-2057.67</v>
      </c>
      <c r="I59" s="22">
        <v>-1992.43</v>
      </c>
      <c r="J59" s="22">
        <v>-1968.04</v>
      </c>
      <c r="K59" s="22">
        <v>-1727.94</v>
      </c>
      <c r="L59" s="22">
        <v>-1744.32</v>
      </c>
      <c r="M59" s="22">
        <v>-1574.57</v>
      </c>
      <c r="N59" s="22">
        <v>-1388.29</v>
      </c>
      <c r="O59" s="22">
        <v>-1169.23</v>
      </c>
      <c r="P59" s="22">
        <v>-1182.17</v>
      </c>
      <c r="Q59" s="22">
        <v>-1135.47</v>
      </c>
      <c r="R59" s="22">
        <v>-1183.53</v>
      </c>
      <c r="S59" s="22">
        <v>-1316.42</v>
      </c>
      <c r="T59" s="22">
        <v>-1020.42</v>
      </c>
      <c r="U59" s="22">
        <v>-1046.19</v>
      </c>
      <c r="V59" s="15"/>
      <c r="W59" s="15"/>
    </row>
    <row r="60" ht="15.0" customHeight="1">
      <c r="A60" s="14" t="s">
        <v>240</v>
      </c>
      <c r="B60" s="15"/>
      <c r="C60" s="15"/>
      <c r="D60" s="15"/>
      <c r="E60" s="15"/>
      <c r="F60" s="15"/>
      <c r="G60" s="15"/>
      <c r="H60" s="15"/>
      <c r="I60" s="15"/>
      <c r="J60" s="20">
        <v>0.98</v>
      </c>
      <c r="K60" s="15"/>
      <c r="L60" s="15"/>
      <c r="M60" s="15"/>
      <c r="N60" s="15"/>
      <c r="O60" s="15"/>
      <c r="P60" s="20">
        <v>0.77</v>
      </c>
      <c r="Q60" s="15"/>
      <c r="R60" s="15"/>
      <c r="S60" s="15"/>
      <c r="T60" s="15"/>
      <c r="U60" s="16">
        <v>1843.17</v>
      </c>
      <c r="V60" s="15"/>
      <c r="W60" s="15"/>
    </row>
    <row r="61" ht="15.0" customHeight="1">
      <c r="A61" s="14" t="s">
        <v>241</v>
      </c>
      <c r="B61" s="16">
        <v>2015.47</v>
      </c>
      <c r="C61" s="16">
        <v>1759.16</v>
      </c>
      <c r="D61" s="16">
        <v>1414.91</v>
      </c>
      <c r="E61" s="16">
        <v>1247.63</v>
      </c>
      <c r="F61" s="16">
        <v>1175.35</v>
      </c>
      <c r="G61" s="16">
        <v>1203.71</v>
      </c>
      <c r="H61" s="16">
        <v>1157.25</v>
      </c>
      <c r="I61" s="16">
        <v>1000.68</v>
      </c>
      <c r="J61" s="16">
        <v>1035.71</v>
      </c>
      <c r="K61" s="16">
        <v>988.82</v>
      </c>
      <c r="L61" s="16">
        <v>1003.2</v>
      </c>
      <c r="M61" s="16">
        <v>943.66</v>
      </c>
      <c r="N61" s="16">
        <v>770.44</v>
      </c>
      <c r="O61" s="16">
        <v>651.78</v>
      </c>
      <c r="P61" s="16">
        <v>666.13</v>
      </c>
      <c r="Q61" s="16">
        <v>670.53</v>
      </c>
      <c r="R61" s="16">
        <v>692.53</v>
      </c>
      <c r="S61" s="16">
        <v>776.65</v>
      </c>
      <c r="T61" s="16">
        <v>627.95</v>
      </c>
      <c r="U61" s="16">
        <v>648.11</v>
      </c>
      <c r="V61" s="15"/>
      <c r="W61" s="15"/>
    </row>
    <row r="62" ht="15.0" customHeight="1">
      <c r="A62" s="14" t="s">
        <v>242</v>
      </c>
      <c r="B62" s="16">
        <v>6117.29</v>
      </c>
      <c r="C62" s="16">
        <v>5714.03</v>
      </c>
      <c r="D62" s="16">
        <v>5029.91</v>
      </c>
      <c r="E62" s="16">
        <v>4436.94</v>
      </c>
      <c r="F62" s="16">
        <v>4155.77</v>
      </c>
      <c r="G62" s="16">
        <v>4357.05</v>
      </c>
      <c r="H62" s="16">
        <v>3965.76</v>
      </c>
      <c r="I62" s="16">
        <v>3837.24</v>
      </c>
      <c r="J62" s="16">
        <v>3962.67</v>
      </c>
      <c r="K62" s="16">
        <v>3583.01</v>
      </c>
      <c r="L62" s="16">
        <v>3678.73</v>
      </c>
      <c r="M62" s="16">
        <v>3308.23</v>
      </c>
      <c r="N62" s="16">
        <v>2853.3</v>
      </c>
      <c r="O62" s="16">
        <v>2411.13</v>
      </c>
      <c r="P62" s="16">
        <v>2476.52</v>
      </c>
      <c r="Q62" s="16">
        <v>2412.67</v>
      </c>
      <c r="R62" s="16">
        <v>2458.29</v>
      </c>
      <c r="S62" s="16">
        <v>2729.93</v>
      </c>
      <c r="T62" s="16">
        <v>2150.25</v>
      </c>
      <c r="U62" s="15"/>
      <c r="V62" s="15"/>
      <c r="W62" s="16">
        <v>1975.44</v>
      </c>
    </row>
    <row r="63" ht="15.0" customHeight="1">
      <c r="A63" s="14" t="s">
        <v>243</v>
      </c>
      <c r="B63" s="22">
        <v>-4101.82</v>
      </c>
      <c r="C63" s="22">
        <v>-3956.05</v>
      </c>
      <c r="D63" s="22">
        <v>-3613.89</v>
      </c>
      <c r="E63" s="22">
        <v>-3189.31</v>
      </c>
      <c r="F63" s="22">
        <v>-2979.42</v>
      </c>
      <c r="G63" s="22">
        <v>-3153.33</v>
      </c>
      <c r="H63" s="22">
        <v>-2807.52</v>
      </c>
      <c r="I63" s="22">
        <v>-2836.57</v>
      </c>
      <c r="J63" s="22">
        <v>-2926.96</v>
      </c>
      <c r="K63" s="22">
        <v>-2595.1</v>
      </c>
      <c r="L63" s="22">
        <v>-2676.49</v>
      </c>
      <c r="M63" s="22">
        <v>-2365.48</v>
      </c>
      <c r="N63" s="22">
        <v>-2082.86</v>
      </c>
      <c r="O63" s="22">
        <v>-1759.36</v>
      </c>
      <c r="P63" s="22">
        <v>-1811.16</v>
      </c>
      <c r="Q63" s="22">
        <v>-1651.8</v>
      </c>
      <c r="R63" s="22">
        <v>-1676.18</v>
      </c>
      <c r="S63" s="22">
        <v>-1876.58</v>
      </c>
      <c r="T63" s="22">
        <v>-1522.3</v>
      </c>
      <c r="U63" s="22">
        <v>-1467.3</v>
      </c>
      <c r="V63" s="15"/>
      <c r="W63" s="15"/>
    </row>
    <row r="64" ht="15.0" customHeight="1">
      <c r="A64" s="14" t="s">
        <v>244</v>
      </c>
      <c r="B64" s="15"/>
      <c r="C64" s="15"/>
      <c r="D64" s="15"/>
      <c r="E64" s="15"/>
      <c r="F64" s="15"/>
      <c r="G64" s="15"/>
      <c r="H64" s="21">
        <v>-0.98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245</v>
      </c>
      <c r="B65" s="15"/>
      <c r="C65" s="20">
        <v>1.18</v>
      </c>
      <c r="D65" s="21">
        <v>-1.12</v>
      </c>
      <c r="E65" s="15"/>
      <c r="F65" s="21">
        <v>-1.0</v>
      </c>
      <c r="G65" s="15"/>
      <c r="H65" s="15"/>
      <c r="I65" s="15"/>
      <c r="J65" s="15"/>
      <c r="K65" s="20">
        <v>0.91</v>
      </c>
      <c r="L65" s="20">
        <v>0.96</v>
      </c>
      <c r="M65" s="20">
        <v>0.9</v>
      </c>
      <c r="N65" s="15"/>
      <c r="O65" s="15"/>
      <c r="P65" s="20">
        <v>0.77</v>
      </c>
      <c r="Q65" s="21">
        <v>-90.34</v>
      </c>
      <c r="R65" s="21">
        <v>-89.57</v>
      </c>
      <c r="S65" s="21">
        <v>-76.69</v>
      </c>
      <c r="T65" s="15"/>
      <c r="U65" s="16">
        <v>2115.41</v>
      </c>
      <c r="V65" s="15"/>
      <c r="W65" s="15"/>
    </row>
    <row r="66" ht="15.0" customHeight="1">
      <c r="A66" s="14" t="s">
        <v>246</v>
      </c>
      <c r="B66" s="20">
        <v>21.27</v>
      </c>
      <c r="C66" s="20">
        <v>20.0</v>
      </c>
      <c r="D66" s="20">
        <v>19.01</v>
      </c>
      <c r="E66" s="20">
        <v>18.87</v>
      </c>
      <c r="F66" s="20">
        <v>20.02</v>
      </c>
      <c r="G66" s="20">
        <v>16.76</v>
      </c>
      <c r="H66" s="20">
        <v>14.76</v>
      </c>
      <c r="I66" s="20">
        <v>14.86</v>
      </c>
      <c r="J66" s="20">
        <v>15.75</v>
      </c>
      <c r="K66" s="20">
        <v>11.8</v>
      </c>
      <c r="L66" s="20">
        <v>13.44</v>
      </c>
      <c r="M66" s="20">
        <v>12.65</v>
      </c>
      <c r="N66" s="20">
        <v>11.67</v>
      </c>
      <c r="O66" s="20">
        <v>6.61</v>
      </c>
      <c r="P66" s="20">
        <v>5.42</v>
      </c>
      <c r="Q66" s="20">
        <v>6.23</v>
      </c>
      <c r="R66" s="20">
        <v>7.46</v>
      </c>
      <c r="S66" s="20">
        <v>10.68</v>
      </c>
      <c r="T66" s="20">
        <v>9.51</v>
      </c>
      <c r="U66" s="20">
        <v>12.34</v>
      </c>
      <c r="V66" s="15"/>
      <c r="W66" s="15"/>
    </row>
    <row r="67" ht="15.0" customHeight="1">
      <c r="A67" s="14" t="s">
        <v>247</v>
      </c>
      <c r="B67" s="20">
        <v>69.7</v>
      </c>
      <c r="C67" s="20">
        <v>64.72</v>
      </c>
      <c r="D67" s="20">
        <v>65.99</v>
      </c>
      <c r="E67" s="20">
        <v>61.86</v>
      </c>
      <c r="F67" s="20">
        <v>59.07</v>
      </c>
      <c r="G67" s="20">
        <v>55.52</v>
      </c>
      <c r="H67" s="20">
        <v>50.19</v>
      </c>
      <c r="I67" s="20">
        <v>49.54</v>
      </c>
      <c r="J67" s="20">
        <v>50.21</v>
      </c>
      <c r="K67" s="20">
        <v>41.77</v>
      </c>
      <c r="L67" s="20">
        <v>45.12</v>
      </c>
      <c r="M67" s="20">
        <v>42.48</v>
      </c>
      <c r="N67" s="20">
        <v>38.36</v>
      </c>
      <c r="O67" s="20">
        <v>30.09</v>
      </c>
      <c r="P67" s="20">
        <v>29.4</v>
      </c>
      <c r="Q67" s="20">
        <v>28.82</v>
      </c>
      <c r="R67" s="20">
        <v>30.69</v>
      </c>
      <c r="S67" s="20">
        <v>34.95</v>
      </c>
      <c r="T67" s="20">
        <v>28.54</v>
      </c>
      <c r="U67" s="15"/>
      <c r="V67" s="15"/>
      <c r="W67" s="20">
        <v>32.13</v>
      </c>
    </row>
    <row r="68" ht="15.0" customHeight="1">
      <c r="A68" s="14" t="s">
        <v>248</v>
      </c>
      <c r="B68" s="21">
        <v>-48.44</v>
      </c>
      <c r="C68" s="21">
        <v>-44.71</v>
      </c>
      <c r="D68" s="21">
        <v>-46.98</v>
      </c>
      <c r="E68" s="21">
        <v>-42.99</v>
      </c>
      <c r="F68" s="21">
        <v>-38.04</v>
      </c>
      <c r="G68" s="21">
        <v>-39.81</v>
      </c>
      <c r="H68" s="21">
        <v>-36.41</v>
      </c>
      <c r="I68" s="21">
        <v>-34.68</v>
      </c>
      <c r="J68" s="21">
        <v>-33.47</v>
      </c>
      <c r="K68" s="21">
        <v>-29.96</v>
      </c>
      <c r="L68" s="21">
        <v>-31.68</v>
      </c>
      <c r="M68" s="21">
        <v>-29.83</v>
      </c>
      <c r="N68" s="21">
        <v>-26.68</v>
      </c>
      <c r="O68" s="21">
        <v>-23.49</v>
      </c>
      <c r="P68" s="21">
        <v>-23.98</v>
      </c>
      <c r="Q68" s="21">
        <v>-22.58</v>
      </c>
      <c r="R68" s="21">
        <v>-23.22</v>
      </c>
      <c r="S68" s="21">
        <v>-24.27</v>
      </c>
      <c r="T68" s="21">
        <v>-19.03</v>
      </c>
      <c r="U68" s="21">
        <v>-18.09</v>
      </c>
      <c r="V68" s="15"/>
      <c r="W68" s="15"/>
    </row>
    <row r="69" ht="15.0" customHeight="1">
      <c r="A69" s="14" t="s">
        <v>249</v>
      </c>
      <c r="B69" s="15"/>
      <c r="C69" s="15"/>
      <c r="D69" s="15"/>
      <c r="E69" s="15"/>
      <c r="F69" s="21">
        <v>-1.0</v>
      </c>
      <c r="G69" s="20">
        <v>1.05</v>
      </c>
      <c r="H69" s="20">
        <v>0.98</v>
      </c>
      <c r="I69" s="15"/>
      <c r="J69" s="21">
        <v>-0.98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20">
        <v>30.43</v>
      </c>
      <c r="V69" s="15"/>
      <c r="W69" s="15"/>
    </row>
    <row r="70" ht="15.0" customHeight="1">
      <c r="A70" s="14" t="s">
        <v>250</v>
      </c>
      <c r="B70" s="16">
        <v>668.67</v>
      </c>
      <c r="C70" s="16">
        <v>565.99</v>
      </c>
      <c r="D70" s="16">
        <v>719.2</v>
      </c>
      <c r="E70" s="16">
        <v>640.59</v>
      </c>
      <c r="F70" s="16">
        <v>315.36</v>
      </c>
      <c r="G70" s="16">
        <v>242.0</v>
      </c>
      <c r="H70" s="16">
        <v>185.99</v>
      </c>
      <c r="I70" s="16">
        <v>557.8</v>
      </c>
      <c r="J70" s="16">
        <v>602.52</v>
      </c>
      <c r="K70" s="16">
        <v>280.58</v>
      </c>
      <c r="L70" s="16">
        <v>231.36</v>
      </c>
      <c r="M70" s="16">
        <v>217.84</v>
      </c>
      <c r="N70" s="16">
        <v>430.25</v>
      </c>
      <c r="O70" s="16">
        <v>159.27</v>
      </c>
      <c r="P70" s="20">
        <v>95.94</v>
      </c>
      <c r="Q70" s="20">
        <v>25.7</v>
      </c>
      <c r="R70" s="20">
        <v>64.69</v>
      </c>
      <c r="S70" s="20">
        <v>78.64</v>
      </c>
      <c r="T70" s="20">
        <v>59.46</v>
      </c>
      <c r="U70" s="20">
        <v>27.96</v>
      </c>
      <c r="V70" s="15"/>
      <c r="W70" s="15"/>
    </row>
    <row r="71" ht="15.0" customHeight="1">
      <c r="A71" s="14" t="s">
        <v>251</v>
      </c>
      <c r="B71" s="16">
        <v>668.67</v>
      </c>
      <c r="C71" s="16">
        <v>565.99</v>
      </c>
      <c r="D71" s="16">
        <v>719.2</v>
      </c>
      <c r="E71" s="16">
        <v>640.59</v>
      </c>
      <c r="F71" s="16">
        <v>315.36</v>
      </c>
      <c r="G71" s="16">
        <v>242.0</v>
      </c>
      <c r="H71" s="16">
        <v>185.99</v>
      </c>
      <c r="I71" s="16">
        <v>557.8</v>
      </c>
      <c r="J71" s="16">
        <v>602.52</v>
      </c>
      <c r="K71" s="16">
        <v>280.58</v>
      </c>
      <c r="L71" s="16">
        <v>231.36</v>
      </c>
      <c r="M71" s="16">
        <v>217.84</v>
      </c>
      <c r="N71" s="16">
        <v>430.25</v>
      </c>
      <c r="O71" s="16">
        <v>159.27</v>
      </c>
      <c r="P71" s="20">
        <v>95.94</v>
      </c>
      <c r="Q71" s="20">
        <v>25.7</v>
      </c>
      <c r="R71" s="20">
        <v>64.69</v>
      </c>
      <c r="S71" s="20">
        <v>78.64</v>
      </c>
      <c r="T71" s="20">
        <v>59.46</v>
      </c>
      <c r="U71" s="15"/>
      <c r="V71" s="15"/>
      <c r="W71" s="20">
        <v>14.83</v>
      </c>
    </row>
    <row r="72" ht="15.0" customHeight="1">
      <c r="A72" s="14" t="s">
        <v>252</v>
      </c>
      <c r="B72" s="15">
        <v>0.0</v>
      </c>
      <c r="C72" s="15">
        <v>0.0</v>
      </c>
      <c r="D72" s="15">
        <v>0.0</v>
      </c>
      <c r="E72" s="15">
        <v>0.0</v>
      </c>
      <c r="F72" s="15">
        <v>0.0</v>
      </c>
      <c r="G72" s="15">
        <v>0.0</v>
      </c>
      <c r="H72" s="15">
        <v>0.0</v>
      </c>
      <c r="I72" s="15">
        <v>0.0</v>
      </c>
      <c r="J72" s="15">
        <v>0.0</v>
      </c>
      <c r="K72" s="15">
        <v>0.0</v>
      </c>
      <c r="L72" s="15">
        <v>0.0</v>
      </c>
      <c r="M72" s="15">
        <v>0.0</v>
      </c>
      <c r="N72" s="15">
        <v>0.0</v>
      </c>
      <c r="O72" s="15">
        <v>0.0</v>
      </c>
      <c r="P72" s="15">
        <v>0.0</v>
      </c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253</v>
      </c>
      <c r="B73" s="21">
        <v>-1.18</v>
      </c>
      <c r="C73" s="15"/>
      <c r="D73" s="15"/>
      <c r="E73" s="20">
        <v>2.1</v>
      </c>
      <c r="F73" s="20">
        <v>1.0</v>
      </c>
      <c r="G73" s="15"/>
      <c r="H73" s="15"/>
      <c r="I73" s="15"/>
      <c r="J73" s="15"/>
      <c r="K73" s="20">
        <v>0.91</v>
      </c>
      <c r="L73" s="20">
        <v>0.96</v>
      </c>
      <c r="M73" s="15"/>
      <c r="N73" s="15"/>
      <c r="O73" s="21">
        <v>-0.73</v>
      </c>
      <c r="P73" s="21">
        <v>-0.77</v>
      </c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254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20">
        <v>24.14</v>
      </c>
      <c r="R74" s="20">
        <v>28.2</v>
      </c>
      <c r="S74" s="20">
        <v>17.47</v>
      </c>
      <c r="T74" s="20">
        <v>13.48</v>
      </c>
      <c r="U74" s="15"/>
      <c r="V74" s="15"/>
      <c r="W74" s="15"/>
    </row>
    <row r="75" ht="15.0" customHeight="1">
      <c r="A75" s="14" t="s">
        <v>255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21">
        <v>-66.2</v>
      </c>
      <c r="R75" s="21">
        <v>-60.54</v>
      </c>
      <c r="S75" s="21">
        <v>-59.22</v>
      </c>
      <c r="T75" s="21">
        <v>-42.02</v>
      </c>
      <c r="U75" s="15"/>
      <c r="V75" s="15"/>
      <c r="W75" s="15"/>
    </row>
    <row r="76" ht="15.0" customHeight="1">
      <c r="A76" s="14" t="s">
        <v>256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20">
        <v>90.34</v>
      </c>
      <c r="R76" s="20">
        <v>88.74</v>
      </c>
      <c r="S76" s="20">
        <v>76.69</v>
      </c>
      <c r="T76" s="20">
        <v>55.5</v>
      </c>
      <c r="U76" s="15"/>
      <c r="V76" s="15"/>
      <c r="W76" s="15"/>
    </row>
    <row r="77" ht="15.0" customHeight="1">
      <c r="A77" s="14" t="s">
        <v>257</v>
      </c>
      <c r="B77" s="16">
        <v>1030.18</v>
      </c>
      <c r="C77" s="16">
        <v>1026.08</v>
      </c>
      <c r="D77" s="16">
        <v>975.34</v>
      </c>
      <c r="E77" s="16">
        <v>914.23</v>
      </c>
      <c r="F77" s="16">
        <v>135.16</v>
      </c>
      <c r="G77" s="16">
        <v>141.43</v>
      </c>
      <c r="H77" s="16">
        <v>132.85</v>
      </c>
      <c r="I77" s="16">
        <v>133.75</v>
      </c>
      <c r="J77" s="16">
        <v>132.91</v>
      </c>
      <c r="K77" s="16">
        <v>122.58</v>
      </c>
      <c r="L77" s="16">
        <v>129.6</v>
      </c>
      <c r="M77" s="16">
        <v>122.03</v>
      </c>
      <c r="N77" s="16">
        <v>112.56</v>
      </c>
      <c r="O77" s="20">
        <v>99.09</v>
      </c>
      <c r="P77" s="16">
        <v>104.45</v>
      </c>
      <c r="Q77" s="16">
        <v>105.14</v>
      </c>
      <c r="R77" s="16">
        <v>111.97</v>
      </c>
      <c r="S77" s="16">
        <v>131.06</v>
      </c>
      <c r="T77" s="16">
        <v>107.04</v>
      </c>
      <c r="U77" s="16">
        <v>111.03</v>
      </c>
      <c r="V77" s="16">
        <v>107.79</v>
      </c>
      <c r="W77" s="15"/>
    </row>
    <row r="78" ht="15.0" customHeight="1">
      <c r="A78" s="14" t="s">
        <v>258</v>
      </c>
      <c r="B78" s="16">
        <v>1030.18</v>
      </c>
      <c r="C78" s="16">
        <v>1026.08</v>
      </c>
      <c r="D78" s="16">
        <v>975.34</v>
      </c>
      <c r="E78" s="16">
        <v>914.23</v>
      </c>
      <c r="F78" s="16">
        <v>135.16</v>
      </c>
      <c r="G78" s="16">
        <v>141.43</v>
      </c>
      <c r="H78" s="16">
        <v>132.85</v>
      </c>
      <c r="I78" s="16">
        <v>133.75</v>
      </c>
      <c r="J78" s="16">
        <v>132.91</v>
      </c>
      <c r="K78" s="16">
        <v>122.58</v>
      </c>
      <c r="L78" s="16">
        <v>129.6</v>
      </c>
      <c r="M78" s="16">
        <v>122.03</v>
      </c>
      <c r="N78" s="16">
        <v>112.56</v>
      </c>
      <c r="O78" s="20">
        <v>99.09</v>
      </c>
      <c r="P78" s="16">
        <v>104.45</v>
      </c>
      <c r="Q78" s="15"/>
      <c r="R78" s="15"/>
      <c r="S78" s="15"/>
      <c r="T78" s="15"/>
      <c r="U78" s="15"/>
      <c r="V78" s="15"/>
      <c r="W78" s="16">
        <v>450.61</v>
      </c>
    </row>
    <row r="79" ht="15.0" customHeight="1">
      <c r="A79" s="14" t="s">
        <v>259</v>
      </c>
      <c r="B79" s="15">
        <v>0.0</v>
      </c>
      <c r="C79" s="15">
        <v>0.0</v>
      </c>
      <c r="D79" s="15">
        <v>0.0</v>
      </c>
      <c r="E79" s="15">
        <v>0.0</v>
      </c>
      <c r="F79" s="15">
        <v>0.0</v>
      </c>
      <c r="G79" s="15">
        <v>0.0</v>
      </c>
      <c r="H79" s="15">
        <v>0.0</v>
      </c>
      <c r="I79" s="15">
        <v>0.0</v>
      </c>
      <c r="J79" s="15">
        <v>0.0</v>
      </c>
      <c r="K79" s="15">
        <v>0.0</v>
      </c>
      <c r="L79" s="15">
        <v>0.0</v>
      </c>
      <c r="M79" s="15">
        <v>0.0</v>
      </c>
      <c r="N79" s="15">
        <v>0.0</v>
      </c>
      <c r="O79" s="15">
        <v>0.0</v>
      </c>
      <c r="P79" s="15">
        <v>0.0</v>
      </c>
      <c r="Q79" s="15"/>
      <c r="R79" s="15"/>
      <c r="S79" s="15"/>
      <c r="T79" s="15"/>
      <c r="U79" s="15"/>
      <c r="V79" s="15"/>
      <c r="W79" s="22">
        <v>-339.4</v>
      </c>
    </row>
    <row r="80" ht="15.0" customHeight="1">
      <c r="A80" s="14" t="s">
        <v>260</v>
      </c>
      <c r="B80" s="16">
        <v>888.41</v>
      </c>
      <c r="C80" s="16">
        <v>954.3</v>
      </c>
      <c r="D80" s="16">
        <v>1194.56</v>
      </c>
      <c r="E80" s="16">
        <v>1048.43</v>
      </c>
      <c r="F80" s="16">
        <v>530.61</v>
      </c>
      <c r="G80" s="16">
        <v>280.76</v>
      </c>
      <c r="H80" s="16">
        <v>342.45</v>
      </c>
      <c r="I80" s="16">
        <v>470.61</v>
      </c>
      <c r="J80" s="16">
        <v>361.32</v>
      </c>
      <c r="K80" s="16">
        <v>344.14</v>
      </c>
      <c r="L80" s="16">
        <v>400.32</v>
      </c>
      <c r="M80" s="16">
        <v>431.16</v>
      </c>
      <c r="N80" s="16">
        <v>450.26</v>
      </c>
      <c r="O80" s="16">
        <v>425.71</v>
      </c>
      <c r="P80" s="16">
        <v>515.26</v>
      </c>
      <c r="Q80" s="16">
        <v>508.55</v>
      </c>
      <c r="R80" s="16">
        <v>525.83</v>
      </c>
      <c r="S80" s="16">
        <v>364.06</v>
      </c>
      <c r="T80" s="16">
        <v>167.29</v>
      </c>
      <c r="U80" s="16">
        <v>180.12</v>
      </c>
      <c r="V80" s="15"/>
      <c r="W80" s="15"/>
    </row>
    <row r="81" ht="15.0" customHeight="1">
      <c r="A81" s="14" t="s">
        <v>261</v>
      </c>
      <c r="B81" s="16">
        <v>2534.1</v>
      </c>
      <c r="C81" s="16">
        <v>3037.05</v>
      </c>
      <c r="D81" s="16">
        <v>2715.73</v>
      </c>
      <c r="E81" s="16">
        <v>2657.76</v>
      </c>
      <c r="F81" s="16">
        <v>2018.31</v>
      </c>
      <c r="G81" s="16">
        <v>1816.57</v>
      </c>
      <c r="H81" s="16">
        <v>1607.95</v>
      </c>
      <c r="I81" s="16">
        <v>1557.49</v>
      </c>
      <c r="J81" s="16">
        <v>1435.42</v>
      </c>
      <c r="K81" s="16">
        <v>1255.78</v>
      </c>
      <c r="L81" s="16">
        <v>1310.4</v>
      </c>
      <c r="M81" s="16">
        <v>1325.1</v>
      </c>
      <c r="N81" s="16">
        <v>1206.52</v>
      </c>
      <c r="O81" s="16">
        <v>1018.03</v>
      </c>
      <c r="P81" s="16">
        <v>1069.21</v>
      </c>
      <c r="Q81" s="16">
        <v>968.03</v>
      </c>
      <c r="R81" s="16">
        <v>928.08</v>
      </c>
      <c r="S81" s="16">
        <v>783.45</v>
      </c>
      <c r="T81" s="16">
        <v>483.65</v>
      </c>
      <c r="U81" s="15"/>
      <c r="V81" s="15"/>
      <c r="W81" s="16">
        <v>383.06</v>
      </c>
    </row>
    <row r="82" ht="15.0" customHeight="1">
      <c r="A82" s="14" t="s">
        <v>262</v>
      </c>
      <c r="B82" s="22">
        <v>-1645.69</v>
      </c>
      <c r="C82" s="22">
        <v>-2082.75</v>
      </c>
      <c r="D82" s="22">
        <v>-1521.17</v>
      </c>
      <c r="E82" s="22">
        <v>-1610.38</v>
      </c>
      <c r="F82" s="22">
        <v>-1487.71</v>
      </c>
      <c r="G82" s="22">
        <v>-1534.76</v>
      </c>
      <c r="H82" s="22">
        <v>-1265.5</v>
      </c>
      <c r="I82" s="22">
        <v>-1087.86</v>
      </c>
      <c r="J82" s="22">
        <v>-1073.12</v>
      </c>
      <c r="K82" s="22">
        <v>-911.64</v>
      </c>
      <c r="L82" s="22">
        <v>-910.08</v>
      </c>
      <c r="M82" s="22">
        <v>-893.95</v>
      </c>
      <c r="N82" s="22">
        <v>-756.27</v>
      </c>
      <c r="O82" s="22">
        <v>-592.32</v>
      </c>
      <c r="P82" s="22">
        <v>-554.72</v>
      </c>
      <c r="Q82" s="22">
        <v>-437.68</v>
      </c>
      <c r="R82" s="22">
        <v>-402.25</v>
      </c>
      <c r="S82" s="22">
        <v>-419.39</v>
      </c>
      <c r="T82" s="22">
        <v>-315.56</v>
      </c>
      <c r="U82" s="15"/>
      <c r="V82" s="15"/>
      <c r="W82" s="15"/>
    </row>
    <row r="83" ht="15.0" customHeight="1">
      <c r="A83" s="14" t="s">
        <v>263</v>
      </c>
      <c r="B83" s="15"/>
      <c r="C83" s="15"/>
      <c r="D83" s="15"/>
      <c r="E83" s="20">
        <v>1.05</v>
      </c>
      <c r="F83" s="15"/>
      <c r="G83" s="21">
        <v>-1.05</v>
      </c>
      <c r="H83" s="15"/>
      <c r="I83" s="20">
        <v>0.99</v>
      </c>
      <c r="J83" s="21">
        <v>-0.98</v>
      </c>
      <c r="K83" s="15"/>
      <c r="L83" s="15"/>
      <c r="M83" s="15"/>
      <c r="N83" s="15"/>
      <c r="O83" s="15"/>
      <c r="P83" s="20">
        <v>0.77</v>
      </c>
      <c r="Q83" s="21">
        <v>-21.81</v>
      </c>
      <c r="R83" s="15"/>
      <c r="S83" s="15"/>
      <c r="T83" s="15"/>
      <c r="U83" s="15"/>
      <c r="V83" s="15"/>
      <c r="W83" s="15"/>
    </row>
    <row r="84" ht="15.0" customHeight="1">
      <c r="A84" s="14" t="s">
        <v>261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6">
        <v>946.22</v>
      </c>
      <c r="R84" s="15"/>
      <c r="S84" s="15"/>
      <c r="T84" s="15"/>
      <c r="U84" s="15"/>
      <c r="V84" s="15"/>
      <c r="W84" s="15"/>
    </row>
    <row r="85" ht="15.0" customHeight="1">
      <c r="A85" s="14" t="s">
        <v>264</v>
      </c>
      <c r="B85" s="16">
        <v>296.53</v>
      </c>
      <c r="C85" s="20">
        <v>80.02</v>
      </c>
      <c r="D85" s="20">
        <v>68.23</v>
      </c>
      <c r="E85" s="20">
        <v>39.84</v>
      </c>
      <c r="F85" s="20">
        <v>25.03</v>
      </c>
      <c r="G85" s="20">
        <v>28.29</v>
      </c>
      <c r="H85" s="20">
        <v>27.55</v>
      </c>
      <c r="I85" s="20">
        <v>26.75</v>
      </c>
      <c r="J85" s="20">
        <v>25.6</v>
      </c>
      <c r="K85" s="20">
        <v>22.7</v>
      </c>
      <c r="L85" s="20">
        <v>24.0</v>
      </c>
      <c r="M85" s="20">
        <v>24.41</v>
      </c>
      <c r="N85" s="20">
        <v>27.52</v>
      </c>
      <c r="O85" s="20">
        <v>31.56</v>
      </c>
      <c r="P85" s="20">
        <v>37.14</v>
      </c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265</v>
      </c>
      <c r="B86" s="16">
        <v>1011.28</v>
      </c>
      <c r="C86" s="16">
        <v>749.55</v>
      </c>
      <c r="D86" s="16">
        <v>699.06</v>
      </c>
      <c r="E86" s="16">
        <v>613.33</v>
      </c>
      <c r="F86" s="16">
        <v>562.65</v>
      </c>
      <c r="G86" s="16">
        <v>623.33</v>
      </c>
      <c r="H86" s="16">
        <v>578.63</v>
      </c>
      <c r="I86" s="16">
        <v>572.66</v>
      </c>
      <c r="J86" s="16">
        <v>572.0</v>
      </c>
      <c r="K86" s="16">
        <v>522.11</v>
      </c>
      <c r="L86" s="16">
        <v>548.16</v>
      </c>
      <c r="M86" s="16">
        <v>507.99</v>
      </c>
      <c r="N86" s="16">
        <v>462.76</v>
      </c>
      <c r="O86" s="16">
        <v>404.42</v>
      </c>
      <c r="P86" s="16">
        <v>416.23</v>
      </c>
      <c r="Q86" s="16">
        <v>403.41</v>
      </c>
      <c r="R86" s="16">
        <v>416.35</v>
      </c>
      <c r="S86" s="16">
        <v>469.87</v>
      </c>
      <c r="T86" s="16">
        <v>366.3</v>
      </c>
      <c r="U86" s="16">
        <v>376.69</v>
      </c>
      <c r="V86" s="15"/>
      <c r="W86" s="15"/>
    </row>
    <row r="87" ht="15.0" customHeight="1">
      <c r="A87" s="14" t="s">
        <v>266</v>
      </c>
      <c r="B87" s="22">
        <v>-714.75</v>
      </c>
      <c r="C87" s="22">
        <v>-669.54</v>
      </c>
      <c r="D87" s="22">
        <v>-630.84</v>
      </c>
      <c r="E87" s="22">
        <v>-573.49</v>
      </c>
      <c r="F87" s="22">
        <v>-537.62</v>
      </c>
      <c r="G87" s="22">
        <v>-595.05</v>
      </c>
      <c r="H87" s="22">
        <v>-551.07</v>
      </c>
      <c r="I87" s="22">
        <v>-545.91</v>
      </c>
      <c r="J87" s="22">
        <v>-546.4</v>
      </c>
      <c r="K87" s="22">
        <v>-499.41</v>
      </c>
      <c r="L87" s="22">
        <v>-524.16</v>
      </c>
      <c r="M87" s="22">
        <v>-482.68</v>
      </c>
      <c r="N87" s="22">
        <v>-435.25</v>
      </c>
      <c r="O87" s="22">
        <v>-372.13</v>
      </c>
      <c r="P87" s="22">
        <v>-379.1</v>
      </c>
      <c r="Q87" s="15"/>
      <c r="R87" s="22">
        <v>-787.91</v>
      </c>
      <c r="S87" s="22">
        <v>-861.11</v>
      </c>
      <c r="T87" s="22">
        <v>-666.8</v>
      </c>
      <c r="U87" s="15"/>
      <c r="V87" s="15"/>
      <c r="W87" s="22">
        <v>-507.45</v>
      </c>
    </row>
    <row r="88" ht="15.0" customHeight="1">
      <c r="A88" s="14" t="s">
        <v>267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21">
        <v>-0.9</v>
      </c>
      <c r="N88" s="15"/>
      <c r="O88" s="21">
        <v>-0.73</v>
      </c>
      <c r="P88" s="15"/>
      <c r="Q88" s="20">
        <v>32.71</v>
      </c>
      <c r="R88" s="20">
        <v>30.69</v>
      </c>
      <c r="S88" s="20">
        <v>28.15</v>
      </c>
      <c r="T88" s="20">
        <v>15.06</v>
      </c>
      <c r="U88" s="20">
        <v>27.14</v>
      </c>
      <c r="V88" s="15"/>
      <c r="W88" s="15"/>
    </row>
    <row r="89" ht="15.0" customHeight="1">
      <c r="A89" s="14" t="s">
        <v>268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22">
        <v>-370.7</v>
      </c>
      <c r="R89" s="22">
        <v>-385.66</v>
      </c>
      <c r="S89" s="22">
        <v>-441.72</v>
      </c>
      <c r="T89" s="22">
        <v>-351.24</v>
      </c>
      <c r="U89" s="22">
        <v>-371.76</v>
      </c>
      <c r="V89" s="15"/>
      <c r="W89" s="15"/>
    </row>
    <row r="90" ht="15.0" customHeight="1">
      <c r="A90" s="14" t="s">
        <v>269</v>
      </c>
      <c r="B90" s="20">
        <v>1.18</v>
      </c>
      <c r="C90" s="20">
        <v>1.18</v>
      </c>
      <c r="D90" s="20">
        <v>1.12</v>
      </c>
      <c r="E90" s="20">
        <v>1.05</v>
      </c>
      <c r="F90" s="20">
        <v>1.0</v>
      </c>
      <c r="G90" s="20">
        <v>1.05</v>
      </c>
      <c r="H90" s="20">
        <v>0.98</v>
      </c>
      <c r="I90" s="20">
        <v>0.99</v>
      </c>
      <c r="J90" s="20">
        <v>0.98</v>
      </c>
      <c r="K90" s="20">
        <v>0.91</v>
      </c>
      <c r="L90" s="20">
        <v>24.96</v>
      </c>
      <c r="M90" s="20">
        <v>18.98</v>
      </c>
      <c r="N90" s="20">
        <v>14.17</v>
      </c>
      <c r="O90" s="20">
        <v>10.28</v>
      </c>
      <c r="P90" s="20">
        <v>10.83</v>
      </c>
      <c r="Q90" s="20">
        <v>10.12</v>
      </c>
      <c r="R90" s="20">
        <v>0.83</v>
      </c>
      <c r="S90" s="20">
        <v>0.97</v>
      </c>
      <c r="T90" s="20">
        <v>0.79</v>
      </c>
      <c r="U90" s="20">
        <v>0.82</v>
      </c>
      <c r="V90" s="20">
        <v>8.78</v>
      </c>
      <c r="W90" s="20">
        <v>9.06</v>
      </c>
    </row>
    <row r="91" ht="15.0" customHeight="1">
      <c r="A91" s="14" t="s">
        <v>270</v>
      </c>
      <c r="B91" s="15"/>
      <c r="C91" s="15"/>
      <c r="D91" s="15"/>
      <c r="E91" s="15"/>
      <c r="F91" s="15"/>
      <c r="G91" s="20">
        <v>2.1</v>
      </c>
      <c r="H91" s="20">
        <v>1.97</v>
      </c>
      <c r="I91" s="20">
        <v>2.97</v>
      </c>
      <c r="J91" s="20">
        <v>2.95</v>
      </c>
      <c r="K91" s="20">
        <v>3.63</v>
      </c>
      <c r="L91" s="20">
        <v>66.24</v>
      </c>
      <c r="M91" s="20">
        <v>50.62</v>
      </c>
      <c r="N91" s="20">
        <v>4.17</v>
      </c>
      <c r="O91" s="20">
        <v>3.67</v>
      </c>
      <c r="P91" s="20">
        <v>8.51</v>
      </c>
      <c r="Q91" s="20">
        <v>7.79</v>
      </c>
      <c r="R91" s="20">
        <v>8.29</v>
      </c>
      <c r="S91" s="20">
        <v>8.74</v>
      </c>
      <c r="T91" s="20">
        <v>7.14</v>
      </c>
      <c r="U91" s="20">
        <v>8.22</v>
      </c>
      <c r="V91" s="15"/>
      <c r="W91" s="15"/>
    </row>
    <row r="92" ht="15.0" customHeight="1">
      <c r="A92" s="14" t="s">
        <v>271</v>
      </c>
      <c r="B92" s="20">
        <v>2.36</v>
      </c>
      <c r="C92" s="20">
        <v>2.35</v>
      </c>
      <c r="D92" s="20">
        <v>2.24</v>
      </c>
      <c r="E92" s="20">
        <v>2.1</v>
      </c>
      <c r="F92" s="20">
        <v>2.0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272</v>
      </c>
      <c r="B93" s="16">
        <v>151.22</v>
      </c>
      <c r="C93" s="16">
        <v>124.73</v>
      </c>
      <c r="D93" s="20">
        <v>77.18</v>
      </c>
      <c r="E93" s="16">
        <v>589.22</v>
      </c>
      <c r="F93" s="16">
        <v>150.17</v>
      </c>
      <c r="G93" s="15"/>
      <c r="H93" s="16">
        <v>549.11</v>
      </c>
      <c r="I93" s="16">
        <v>312.09</v>
      </c>
      <c r="J93" s="16">
        <v>543.45</v>
      </c>
      <c r="K93" s="16">
        <v>207.03</v>
      </c>
      <c r="L93" s="16">
        <v>234.24</v>
      </c>
      <c r="M93" s="15"/>
      <c r="N93" s="16">
        <v>221.79</v>
      </c>
      <c r="O93" s="16">
        <v>281.85</v>
      </c>
      <c r="P93" s="20">
        <v>34.04</v>
      </c>
      <c r="Q93" s="16">
        <v>246.1</v>
      </c>
      <c r="R93" s="16">
        <v>247.16</v>
      </c>
      <c r="S93" s="16">
        <v>284.45</v>
      </c>
      <c r="T93" s="16">
        <v>212.49</v>
      </c>
      <c r="U93" s="16">
        <v>433.44</v>
      </c>
      <c r="V93" s="15"/>
      <c r="W93" s="16">
        <v>348.46</v>
      </c>
    </row>
    <row r="94" ht="15.0" customHeight="1">
      <c r="A94" s="14" t="s">
        <v>273</v>
      </c>
      <c r="B94" s="20">
        <v>60.25</v>
      </c>
      <c r="C94" s="20">
        <v>97.67</v>
      </c>
      <c r="D94" s="20">
        <v>48.1</v>
      </c>
      <c r="E94" s="20">
        <v>32.5</v>
      </c>
      <c r="F94" s="20">
        <v>66.08</v>
      </c>
      <c r="G94" s="20">
        <v>88.0</v>
      </c>
      <c r="H94" s="20">
        <v>66.92</v>
      </c>
      <c r="I94" s="20">
        <v>50.53</v>
      </c>
      <c r="J94" s="20">
        <v>12.8</v>
      </c>
      <c r="K94" s="20">
        <v>13.62</v>
      </c>
      <c r="L94" s="20">
        <v>10.56</v>
      </c>
      <c r="M94" s="20">
        <v>60.56</v>
      </c>
      <c r="N94" s="20">
        <v>10.01</v>
      </c>
      <c r="O94" s="20">
        <v>14.68</v>
      </c>
      <c r="P94" s="20">
        <v>10.83</v>
      </c>
      <c r="Q94" s="20">
        <v>22.58</v>
      </c>
      <c r="R94" s="20">
        <v>45.62</v>
      </c>
      <c r="S94" s="20">
        <v>40.77</v>
      </c>
      <c r="T94" s="20">
        <v>30.92</v>
      </c>
      <c r="U94" s="20">
        <v>11.51</v>
      </c>
      <c r="V94" s="20">
        <v>11.98</v>
      </c>
      <c r="W94" s="20">
        <v>20.59</v>
      </c>
    </row>
    <row r="95" ht="15.0" customHeight="1">
      <c r="A95" s="14" t="s">
        <v>274</v>
      </c>
      <c r="B95" s="20">
        <v>29.54</v>
      </c>
      <c r="C95" s="20">
        <v>9.41</v>
      </c>
      <c r="D95" s="20">
        <v>10.07</v>
      </c>
      <c r="E95" s="20">
        <v>10.48</v>
      </c>
      <c r="F95" s="20">
        <v>3.0</v>
      </c>
      <c r="G95" s="20">
        <v>5.24</v>
      </c>
      <c r="H95" s="20">
        <v>7.87</v>
      </c>
      <c r="I95" s="20">
        <v>8.92</v>
      </c>
      <c r="J95" s="20">
        <v>18.71</v>
      </c>
      <c r="K95" s="20">
        <v>34.5</v>
      </c>
      <c r="L95" s="20">
        <v>39.36</v>
      </c>
      <c r="M95" s="20">
        <v>14.46</v>
      </c>
      <c r="N95" s="20">
        <v>10.01</v>
      </c>
      <c r="O95" s="20">
        <v>11.74</v>
      </c>
      <c r="P95" s="20">
        <v>13.93</v>
      </c>
      <c r="Q95" s="20">
        <v>18.69</v>
      </c>
      <c r="R95" s="20">
        <v>7.46</v>
      </c>
      <c r="S95" s="20">
        <v>14.56</v>
      </c>
      <c r="T95" s="20">
        <v>16.65</v>
      </c>
      <c r="U95" s="20">
        <v>31.25</v>
      </c>
      <c r="V95" s="16">
        <v>403.21</v>
      </c>
      <c r="W95" s="20">
        <v>35.42</v>
      </c>
    </row>
    <row r="96" ht="15.0" customHeight="1">
      <c r="A96" s="14" t="s">
        <v>275</v>
      </c>
      <c r="B96" s="20">
        <v>27.17</v>
      </c>
      <c r="C96" s="20">
        <v>7.06</v>
      </c>
      <c r="D96" s="20">
        <v>7.83</v>
      </c>
      <c r="E96" s="20">
        <v>2.1</v>
      </c>
      <c r="F96" s="20">
        <v>1.0</v>
      </c>
      <c r="G96" s="20">
        <v>3.14</v>
      </c>
      <c r="H96" s="20">
        <v>3.94</v>
      </c>
      <c r="I96" s="20">
        <v>4.95</v>
      </c>
      <c r="J96" s="20">
        <v>5.91</v>
      </c>
      <c r="K96" s="20">
        <v>5.45</v>
      </c>
      <c r="L96" s="20">
        <v>5.76</v>
      </c>
      <c r="M96" s="20">
        <v>11.75</v>
      </c>
      <c r="N96" s="20">
        <v>5.84</v>
      </c>
      <c r="O96" s="20">
        <v>8.07</v>
      </c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276</v>
      </c>
      <c r="B97" s="20">
        <v>2.36</v>
      </c>
      <c r="C97" s="20">
        <v>2.35</v>
      </c>
      <c r="D97" s="20">
        <v>2.24</v>
      </c>
      <c r="E97" s="20">
        <v>9.44</v>
      </c>
      <c r="F97" s="20">
        <v>1.0</v>
      </c>
      <c r="G97" s="20">
        <v>1.05</v>
      </c>
      <c r="H97" s="20">
        <v>1.97</v>
      </c>
      <c r="I97" s="20">
        <v>2.97</v>
      </c>
      <c r="J97" s="20">
        <v>10.83</v>
      </c>
      <c r="K97" s="20">
        <v>29.96</v>
      </c>
      <c r="L97" s="20">
        <v>33.6</v>
      </c>
      <c r="M97" s="20">
        <v>2.71</v>
      </c>
      <c r="N97" s="20">
        <v>4.17</v>
      </c>
      <c r="O97" s="20">
        <v>2.94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277</v>
      </c>
      <c r="B98" s="15"/>
      <c r="C98" s="15"/>
      <c r="D98" s="15"/>
      <c r="E98" s="15"/>
      <c r="F98" s="15"/>
      <c r="G98" s="15">
        <v>0.0</v>
      </c>
      <c r="H98" s="20">
        <v>0.98</v>
      </c>
      <c r="I98" s="20">
        <v>0.99</v>
      </c>
      <c r="J98" s="20">
        <v>1.97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278</v>
      </c>
      <c r="B99" s="15"/>
      <c r="C99" s="15"/>
      <c r="D99" s="15"/>
      <c r="E99" s="21">
        <v>-1.05</v>
      </c>
      <c r="F99" s="20">
        <v>1.0</v>
      </c>
      <c r="G99" s="20">
        <v>1.05</v>
      </c>
      <c r="H99" s="20">
        <v>0.98</v>
      </c>
      <c r="I99" s="15"/>
      <c r="J99" s="15"/>
      <c r="K99" s="21">
        <v>-0.91</v>
      </c>
      <c r="L99" s="15"/>
      <c r="M99" s="15"/>
      <c r="N99" s="15"/>
      <c r="O99" s="20">
        <v>0.73</v>
      </c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114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20">
        <v>0.78</v>
      </c>
      <c r="R100" s="21">
        <v>-0.83</v>
      </c>
      <c r="S100" s="20">
        <v>0.97</v>
      </c>
      <c r="T100" s="21">
        <v>-0.79</v>
      </c>
      <c r="U100" s="15"/>
      <c r="V100" s="20">
        <v>0.8</v>
      </c>
      <c r="W100" s="20">
        <v>1.65</v>
      </c>
    </row>
    <row r="101" ht="15.0" customHeight="1">
      <c r="A101" s="14" t="s">
        <v>279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22">
        <v>-830.18</v>
      </c>
      <c r="R101" s="22">
        <v>-787.91</v>
      </c>
      <c r="S101" s="22">
        <v>-861.11</v>
      </c>
      <c r="T101" s="22">
        <v>-666.8</v>
      </c>
      <c r="U101" s="15"/>
      <c r="V101" s="15"/>
      <c r="W101" s="15"/>
    </row>
    <row r="102" ht="15.0" customHeight="1">
      <c r="A102" s="14" t="s">
        <v>280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6">
        <v>405.3</v>
      </c>
    </row>
    <row r="103" ht="15.0" customHeight="1">
      <c r="A103" s="14" t="s">
        <v>281</v>
      </c>
      <c r="B103" s="21">
        <v>-1.18</v>
      </c>
      <c r="C103" s="20">
        <v>1.18</v>
      </c>
      <c r="D103" s="21">
        <v>-1.12</v>
      </c>
      <c r="E103" s="15"/>
      <c r="F103" s="21">
        <v>-1.0</v>
      </c>
      <c r="G103" s="15"/>
      <c r="H103" s="21">
        <v>-0.98</v>
      </c>
      <c r="I103" s="15"/>
      <c r="J103" s="15"/>
      <c r="K103" s="21">
        <v>-0.91</v>
      </c>
      <c r="L103" s="20">
        <v>0.96</v>
      </c>
      <c r="M103" s="20">
        <v>0.9</v>
      </c>
      <c r="N103" s="21">
        <v>-0.83</v>
      </c>
      <c r="O103" s="15"/>
      <c r="P103" s="21">
        <v>-1.55</v>
      </c>
      <c r="Q103" s="15"/>
      <c r="R103" s="15"/>
      <c r="S103" s="15"/>
      <c r="T103" s="15"/>
      <c r="U103" s="15"/>
      <c r="V103" s="16">
        <v>1763.74</v>
      </c>
      <c r="W103" s="15"/>
    </row>
    <row r="104" ht="15.0" customHeight="1">
      <c r="A104" s="17" t="s">
        <v>282</v>
      </c>
      <c r="B104" s="19">
        <v>7862.22</v>
      </c>
      <c r="C104" s="19">
        <v>7210.79</v>
      </c>
      <c r="D104" s="19">
        <v>6859.78</v>
      </c>
      <c r="E104" s="19">
        <v>6551.62</v>
      </c>
      <c r="F104" s="19">
        <v>4241.86</v>
      </c>
      <c r="G104" s="19">
        <v>3895.05</v>
      </c>
      <c r="H104" s="19">
        <v>4286.56</v>
      </c>
      <c r="I104" s="19">
        <v>4146.36</v>
      </c>
      <c r="J104" s="19">
        <v>4279.68</v>
      </c>
      <c r="K104" s="19">
        <v>3373.26</v>
      </c>
      <c r="L104" s="19">
        <v>3583.69</v>
      </c>
      <c r="M104" s="19">
        <v>3155.48</v>
      </c>
      <c r="N104" s="19">
        <v>2911.66</v>
      </c>
      <c r="O104" s="19">
        <v>2385.44</v>
      </c>
      <c r="P104" s="19">
        <v>2208.83</v>
      </c>
      <c r="Q104" s="19">
        <v>1323.15</v>
      </c>
      <c r="R104" s="19">
        <v>574.76</v>
      </c>
      <c r="S104" s="19">
        <v>454.34</v>
      </c>
      <c r="T104" s="19">
        <v>241.82</v>
      </c>
      <c r="U104" s="19">
        <v>2691.96</v>
      </c>
      <c r="V104" s="19">
        <v>2296.3</v>
      </c>
      <c r="W104" s="19">
        <v>4722.77</v>
      </c>
    </row>
    <row r="105" ht="15.0" customHeight="1">
      <c r="A105" s="14" t="s">
        <v>283</v>
      </c>
      <c r="B105" s="15"/>
      <c r="C105" s="21">
        <v>-1.18</v>
      </c>
      <c r="D105" s="15"/>
      <c r="E105" s="15"/>
      <c r="F105" s="15"/>
      <c r="G105" s="20">
        <v>1.05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6">
        <v>1085.62</v>
      </c>
      <c r="R105" s="16">
        <v>1995.49</v>
      </c>
      <c r="S105" s="16">
        <v>2287.24</v>
      </c>
      <c r="T105" s="16">
        <v>1794.26</v>
      </c>
      <c r="U105" s="22">
        <v>-376.69</v>
      </c>
      <c r="V105" s="15"/>
      <c r="W105" s="22">
        <v>-2234.93</v>
      </c>
    </row>
    <row r="106" ht="15.0" customHeight="1">
      <c r="A106" s="17" t="s">
        <v>284</v>
      </c>
      <c r="B106" s="18">
        <v>23743.79</v>
      </c>
      <c r="C106" s="18">
        <v>19169.54</v>
      </c>
      <c r="D106" s="18">
        <v>16090.8</v>
      </c>
      <c r="E106" s="18">
        <v>15764.15</v>
      </c>
      <c r="F106" s="18">
        <v>11152.79</v>
      </c>
      <c r="G106" s="18">
        <v>11687.23</v>
      </c>
      <c r="H106" s="18">
        <v>10191.9</v>
      </c>
      <c r="I106" s="18">
        <v>11361.13</v>
      </c>
      <c r="J106" s="18">
        <v>10391.54</v>
      </c>
      <c r="K106" s="19">
        <v>9651.25</v>
      </c>
      <c r="L106" s="18">
        <v>10055.07</v>
      </c>
      <c r="M106" s="19">
        <v>9052.45</v>
      </c>
      <c r="N106" s="19">
        <v>8163.0</v>
      </c>
      <c r="O106" s="19">
        <v>6133.89</v>
      </c>
      <c r="P106" s="19">
        <v>5771.58</v>
      </c>
      <c r="Q106" s="19">
        <v>5808.17</v>
      </c>
      <c r="R106" s="19">
        <v>6030.44</v>
      </c>
      <c r="S106" s="19">
        <v>6752.01</v>
      </c>
      <c r="T106" s="19">
        <v>4485.24</v>
      </c>
      <c r="U106" s="19">
        <v>4836.98</v>
      </c>
      <c r="V106" s="19">
        <v>4831.33</v>
      </c>
      <c r="W106" s="19">
        <v>4542.36</v>
      </c>
    </row>
    <row r="107" ht="15.0" customHeight="1">
      <c r="A107" s="14" t="s">
        <v>285</v>
      </c>
      <c r="B107" s="16">
        <v>1459.03</v>
      </c>
      <c r="C107" s="16">
        <v>1024.9</v>
      </c>
      <c r="D107" s="16">
        <v>1144.23</v>
      </c>
      <c r="E107" s="16">
        <v>1199.4</v>
      </c>
      <c r="F107" s="16">
        <v>897.03</v>
      </c>
      <c r="G107" s="16">
        <v>908.29</v>
      </c>
      <c r="H107" s="16">
        <v>777.41</v>
      </c>
      <c r="I107" s="16">
        <v>742.08</v>
      </c>
      <c r="J107" s="16">
        <v>819.11</v>
      </c>
      <c r="K107" s="16">
        <v>963.4</v>
      </c>
      <c r="L107" s="16">
        <v>951.36</v>
      </c>
      <c r="M107" s="16">
        <v>601.99</v>
      </c>
      <c r="N107" s="16">
        <v>500.29</v>
      </c>
      <c r="O107" s="16">
        <v>435.25</v>
      </c>
      <c r="P107" s="16">
        <v>512.94</v>
      </c>
      <c r="Q107" s="16">
        <v>381.6</v>
      </c>
      <c r="R107" s="16">
        <v>350.83</v>
      </c>
      <c r="S107" s="16">
        <v>293.19</v>
      </c>
      <c r="T107" s="16">
        <v>271.95</v>
      </c>
      <c r="U107" s="16">
        <v>240.16</v>
      </c>
      <c r="V107" s="16">
        <v>1132.98</v>
      </c>
      <c r="W107" s="16">
        <v>452.26</v>
      </c>
    </row>
    <row r="108" ht="15.0" customHeight="1">
      <c r="A108" s="14" t="s">
        <v>286</v>
      </c>
      <c r="B108" s="16">
        <v>614.33</v>
      </c>
      <c r="C108" s="16">
        <v>111.79</v>
      </c>
      <c r="D108" s="16">
        <v>148.76</v>
      </c>
      <c r="E108" s="20">
        <v>14.68</v>
      </c>
      <c r="F108" s="20">
        <v>68.08</v>
      </c>
      <c r="G108" s="20">
        <v>26.19</v>
      </c>
      <c r="H108" s="20">
        <v>25.59</v>
      </c>
      <c r="I108" s="20">
        <v>14.86</v>
      </c>
      <c r="J108" s="20">
        <v>29.54</v>
      </c>
      <c r="K108" s="20">
        <v>82.63</v>
      </c>
      <c r="L108" s="20">
        <v>11.52</v>
      </c>
      <c r="M108" s="20">
        <v>9.94</v>
      </c>
      <c r="N108" s="20">
        <v>14.17</v>
      </c>
      <c r="O108" s="20">
        <v>58.72</v>
      </c>
      <c r="P108" s="20">
        <v>49.51</v>
      </c>
      <c r="Q108" s="20">
        <v>98.91</v>
      </c>
      <c r="R108" s="20">
        <v>24.88</v>
      </c>
      <c r="S108" s="20">
        <v>23.3</v>
      </c>
      <c r="T108" s="20">
        <v>26.96</v>
      </c>
      <c r="U108" s="15"/>
      <c r="V108" s="15"/>
      <c r="W108" s="15"/>
    </row>
    <row r="109" ht="15.0" customHeight="1">
      <c r="A109" s="14" t="s">
        <v>287</v>
      </c>
      <c r="B109" s="16">
        <v>2257.66</v>
      </c>
      <c r="C109" s="16">
        <v>1702.68</v>
      </c>
      <c r="D109" s="16">
        <v>1343.32</v>
      </c>
      <c r="E109" s="16">
        <v>1492.96</v>
      </c>
      <c r="F109" s="16">
        <v>1091.25</v>
      </c>
      <c r="G109" s="16">
        <v>1276.0</v>
      </c>
      <c r="H109" s="16">
        <v>1009.64</v>
      </c>
      <c r="I109" s="16">
        <v>856.02</v>
      </c>
      <c r="J109" s="16">
        <v>909.69</v>
      </c>
      <c r="K109" s="16">
        <v>1025.14</v>
      </c>
      <c r="L109" s="16">
        <v>1178.88</v>
      </c>
      <c r="M109" s="16">
        <v>1107.26</v>
      </c>
      <c r="N109" s="16">
        <v>927.2</v>
      </c>
      <c r="O109" s="16">
        <v>568.1</v>
      </c>
      <c r="P109" s="16">
        <v>576.38</v>
      </c>
      <c r="Q109" s="16">
        <v>471.94</v>
      </c>
      <c r="R109" s="16">
        <v>554.03</v>
      </c>
      <c r="S109" s="16">
        <v>524.24</v>
      </c>
      <c r="T109" s="16">
        <v>392.47</v>
      </c>
      <c r="U109" s="16">
        <v>410.42</v>
      </c>
      <c r="V109" s="15"/>
      <c r="W109" s="16">
        <v>121.92</v>
      </c>
    </row>
    <row r="110" ht="15.0" customHeight="1">
      <c r="A110" s="14" t="s">
        <v>288</v>
      </c>
      <c r="B110" s="20">
        <v>1.18</v>
      </c>
      <c r="C110" s="20">
        <v>1.18</v>
      </c>
      <c r="D110" s="20">
        <v>1.12</v>
      </c>
      <c r="E110" s="15">
        <v>0.0</v>
      </c>
      <c r="F110" s="15">
        <v>0.0</v>
      </c>
      <c r="G110" s="15">
        <v>0.0</v>
      </c>
      <c r="H110" s="15">
        <v>0.0</v>
      </c>
      <c r="I110" s="20">
        <v>0.99</v>
      </c>
      <c r="J110" s="20">
        <v>0.98</v>
      </c>
      <c r="K110" s="20">
        <v>0.91</v>
      </c>
      <c r="L110" s="20">
        <v>0.96</v>
      </c>
      <c r="M110" s="20">
        <v>1.81</v>
      </c>
      <c r="N110" s="20">
        <v>1.67</v>
      </c>
      <c r="O110" s="20">
        <v>1.47</v>
      </c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4" t="s">
        <v>289</v>
      </c>
      <c r="B111" s="16">
        <v>1858.34</v>
      </c>
      <c r="C111" s="16">
        <v>1383.79</v>
      </c>
      <c r="D111" s="16">
        <v>1090.54</v>
      </c>
      <c r="E111" s="16">
        <v>1265.45</v>
      </c>
      <c r="F111" s="16">
        <v>872.0</v>
      </c>
      <c r="G111" s="16">
        <v>1064.38</v>
      </c>
      <c r="H111" s="16">
        <v>823.66</v>
      </c>
      <c r="I111" s="16">
        <v>677.68</v>
      </c>
      <c r="J111" s="16">
        <v>731.49</v>
      </c>
      <c r="K111" s="16">
        <v>819.03</v>
      </c>
      <c r="L111" s="16">
        <v>941.76</v>
      </c>
      <c r="M111" s="16">
        <v>812.6</v>
      </c>
      <c r="N111" s="16">
        <v>633.7</v>
      </c>
      <c r="O111" s="16">
        <v>449.93</v>
      </c>
      <c r="P111" s="15"/>
      <c r="Q111" s="20">
        <v>50.62</v>
      </c>
      <c r="R111" s="15"/>
      <c r="S111" s="15"/>
      <c r="T111" s="15"/>
      <c r="U111" s="15"/>
      <c r="V111" s="15"/>
      <c r="W111" s="15"/>
    </row>
    <row r="112" ht="15.0" customHeight="1">
      <c r="A112" s="14" t="s">
        <v>290</v>
      </c>
      <c r="B112" s="16">
        <v>1007.73</v>
      </c>
      <c r="C112" s="16">
        <v>861.34</v>
      </c>
      <c r="D112" s="16">
        <v>630.84</v>
      </c>
      <c r="E112" s="16">
        <v>661.56</v>
      </c>
      <c r="F112" s="16">
        <v>456.52</v>
      </c>
      <c r="G112" s="16">
        <v>318.48</v>
      </c>
      <c r="H112" s="16">
        <v>237.16</v>
      </c>
      <c r="I112" s="16">
        <v>361.63</v>
      </c>
      <c r="J112" s="16">
        <v>417.43</v>
      </c>
      <c r="K112" s="16">
        <v>460.36</v>
      </c>
      <c r="L112" s="16">
        <v>433.92</v>
      </c>
      <c r="M112" s="16">
        <v>409.46</v>
      </c>
      <c r="N112" s="16">
        <v>363.54</v>
      </c>
      <c r="O112" s="16">
        <v>318.55</v>
      </c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291</v>
      </c>
      <c r="B113" s="16">
        <v>217.38</v>
      </c>
      <c r="C113" s="16">
        <v>202.39</v>
      </c>
      <c r="D113" s="16">
        <v>175.61</v>
      </c>
      <c r="E113" s="16">
        <v>153.07</v>
      </c>
      <c r="F113" s="16">
        <v>131.15</v>
      </c>
      <c r="G113" s="20">
        <v>99.52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292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20">
        <v>70.82</v>
      </c>
      <c r="L114" s="16">
        <v>115.2</v>
      </c>
      <c r="M114" s="16">
        <v>124.74</v>
      </c>
      <c r="N114" s="20">
        <v>69.21</v>
      </c>
      <c r="O114" s="20">
        <v>5.14</v>
      </c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293</v>
      </c>
      <c r="B115" s="16">
        <v>633.23</v>
      </c>
      <c r="C115" s="16">
        <v>320.06</v>
      </c>
      <c r="D115" s="16">
        <v>284.1</v>
      </c>
      <c r="E115" s="16">
        <v>450.82</v>
      </c>
      <c r="F115" s="16">
        <v>284.33</v>
      </c>
      <c r="G115" s="16">
        <v>646.38</v>
      </c>
      <c r="H115" s="16">
        <v>586.5</v>
      </c>
      <c r="I115" s="16">
        <v>316.05</v>
      </c>
      <c r="J115" s="16">
        <v>314.06</v>
      </c>
      <c r="K115" s="16">
        <v>287.84</v>
      </c>
      <c r="L115" s="16">
        <v>392.64</v>
      </c>
      <c r="M115" s="16">
        <v>278.4</v>
      </c>
      <c r="N115" s="16">
        <v>200.95</v>
      </c>
      <c r="O115" s="16">
        <v>126.24</v>
      </c>
      <c r="P115" s="15"/>
      <c r="Q115" s="15"/>
      <c r="R115" s="15"/>
      <c r="S115" s="15"/>
      <c r="T115" s="15"/>
      <c r="U115" s="15"/>
      <c r="V115" s="15"/>
      <c r="W115" s="16">
        <v>365.76</v>
      </c>
    </row>
    <row r="116" ht="15.0" customHeight="1">
      <c r="A116" s="14" t="s">
        <v>294</v>
      </c>
      <c r="B116" s="20">
        <v>28.35</v>
      </c>
      <c r="C116" s="20">
        <v>18.83</v>
      </c>
      <c r="D116" s="20">
        <v>1.12</v>
      </c>
      <c r="E116" s="15"/>
      <c r="F116" s="15"/>
      <c r="G116" s="20">
        <v>1.05</v>
      </c>
      <c r="H116" s="15"/>
      <c r="I116" s="15"/>
      <c r="J116" s="15"/>
      <c r="K116" s="20">
        <v>0.91</v>
      </c>
      <c r="L116" s="20">
        <v>0.96</v>
      </c>
      <c r="M116" s="21">
        <v>-0.9</v>
      </c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4" t="s">
        <v>295</v>
      </c>
      <c r="B117" s="20">
        <v>2.36</v>
      </c>
      <c r="C117" s="20">
        <v>5.88</v>
      </c>
      <c r="D117" s="20">
        <v>5.59</v>
      </c>
      <c r="E117" s="20">
        <v>3.15</v>
      </c>
      <c r="F117" s="20">
        <v>1.0</v>
      </c>
      <c r="G117" s="20">
        <v>2.1</v>
      </c>
      <c r="H117" s="20">
        <v>6.89</v>
      </c>
      <c r="I117" s="20">
        <v>0.99</v>
      </c>
      <c r="J117" s="20">
        <v>1.97</v>
      </c>
      <c r="K117" s="20">
        <v>1.82</v>
      </c>
      <c r="L117" s="20">
        <v>3.84</v>
      </c>
      <c r="M117" s="20">
        <v>6.33</v>
      </c>
      <c r="N117" s="20">
        <v>5.0</v>
      </c>
      <c r="O117" s="20">
        <v>2.94</v>
      </c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296</v>
      </c>
      <c r="B118" s="16">
        <v>367.42</v>
      </c>
      <c r="C118" s="16">
        <v>293.0</v>
      </c>
      <c r="D118" s="16">
        <v>244.95</v>
      </c>
      <c r="E118" s="16">
        <v>224.36</v>
      </c>
      <c r="F118" s="16">
        <v>218.25</v>
      </c>
      <c r="G118" s="16">
        <v>208.48</v>
      </c>
      <c r="H118" s="16">
        <v>179.1</v>
      </c>
      <c r="I118" s="16">
        <v>176.36</v>
      </c>
      <c r="J118" s="16">
        <v>175.24</v>
      </c>
      <c r="K118" s="16">
        <v>202.49</v>
      </c>
      <c r="L118" s="16">
        <v>231.36</v>
      </c>
      <c r="M118" s="16">
        <v>287.44</v>
      </c>
      <c r="N118" s="16">
        <v>286.83</v>
      </c>
      <c r="O118" s="16">
        <v>113.77</v>
      </c>
      <c r="P118" s="15"/>
      <c r="Q118" s="21">
        <v>-1.56</v>
      </c>
      <c r="R118" s="21">
        <v>-0.83</v>
      </c>
      <c r="S118" s="15"/>
      <c r="T118" s="15"/>
      <c r="U118" s="15"/>
      <c r="V118" s="15"/>
      <c r="W118" s="15"/>
    </row>
    <row r="119" ht="15.0" customHeight="1">
      <c r="A119" s="14" t="s">
        <v>297</v>
      </c>
      <c r="B119" s="20">
        <v>42.53</v>
      </c>
      <c r="C119" s="20">
        <v>24.71</v>
      </c>
      <c r="D119" s="15"/>
      <c r="E119" s="20">
        <v>1.05</v>
      </c>
      <c r="F119" s="15"/>
      <c r="G119" s="15"/>
      <c r="H119" s="15"/>
      <c r="I119" s="15"/>
      <c r="J119" s="15"/>
      <c r="K119" s="20">
        <v>1.82</v>
      </c>
      <c r="L119" s="20">
        <v>2.88</v>
      </c>
      <c r="M119" s="15"/>
      <c r="N119" s="20">
        <v>0.83</v>
      </c>
      <c r="O119" s="15"/>
      <c r="P119" s="15">
        <v>0.0</v>
      </c>
      <c r="Q119" s="15"/>
      <c r="R119" s="15">
        <v>0.0</v>
      </c>
      <c r="S119" s="15">
        <v>0.0</v>
      </c>
      <c r="T119" s="15">
        <v>0.0</v>
      </c>
      <c r="U119" s="20">
        <v>7.4</v>
      </c>
      <c r="V119" s="20">
        <v>2.4</v>
      </c>
      <c r="W119" s="20">
        <v>0.82</v>
      </c>
    </row>
    <row r="120" ht="15.0" customHeight="1">
      <c r="A120" s="14" t="s">
        <v>298</v>
      </c>
      <c r="B120" s="16">
        <v>2245.84</v>
      </c>
      <c r="C120" s="16">
        <v>353.01</v>
      </c>
      <c r="D120" s="16">
        <v>324.37</v>
      </c>
      <c r="E120" s="16">
        <v>180.33</v>
      </c>
      <c r="F120" s="20">
        <v>38.04</v>
      </c>
      <c r="G120" s="20">
        <v>32.48</v>
      </c>
      <c r="H120" s="20">
        <v>32.47</v>
      </c>
      <c r="I120" s="16">
        <v>1495.07</v>
      </c>
      <c r="J120" s="20">
        <v>10.83</v>
      </c>
      <c r="K120" s="20">
        <v>20.88</v>
      </c>
      <c r="L120" s="20">
        <v>95.04</v>
      </c>
      <c r="M120" s="16">
        <v>221.45</v>
      </c>
      <c r="N120" s="16">
        <v>204.28</v>
      </c>
      <c r="O120" s="16">
        <v>215.06</v>
      </c>
      <c r="P120" s="16">
        <v>175.62</v>
      </c>
      <c r="Q120" s="20">
        <v>3.89</v>
      </c>
      <c r="R120" s="20">
        <v>6.64</v>
      </c>
      <c r="S120" s="16">
        <v>184.45</v>
      </c>
      <c r="T120" s="20">
        <v>15.86</v>
      </c>
      <c r="U120" s="20">
        <v>18.92</v>
      </c>
      <c r="V120" s="20">
        <v>17.57</v>
      </c>
      <c r="W120" s="16">
        <v>273.5</v>
      </c>
    </row>
    <row r="121" ht="15.0" customHeight="1">
      <c r="A121" s="14" t="s">
        <v>299</v>
      </c>
      <c r="B121" s="20">
        <v>1.18</v>
      </c>
      <c r="C121" s="21">
        <v>-1.18</v>
      </c>
      <c r="D121" s="21">
        <v>-1.12</v>
      </c>
      <c r="E121" s="15"/>
      <c r="F121" s="15"/>
      <c r="G121" s="15"/>
      <c r="H121" s="15"/>
      <c r="I121" s="15"/>
      <c r="J121" s="15"/>
      <c r="K121" s="20">
        <v>9.99</v>
      </c>
      <c r="L121" s="20">
        <v>85.44</v>
      </c>
      <c r="M121" s="16">
        <v>211.51</v>
      </c>
      <c r="N121" s="16">
        <v>195.11</v>
      </c>
      <c r="O121" s="16">
        <v>208.45</v>
      </c>
      <c r="P121" s="15"/>
      <c r="Q121" s="16">
        <v>164.32</v>
      </c>
      <c r="R121" s="16">
        <v>173.34</v>
      </c>
      <c r="S121" s="16">
        <v>158.24</v>
      </c>
      <c r="T121" s="15"/>
      <c r="U121" s="15"/>
      <c r="V121" s="15"/>
      <c r="W121" s="15"/>
    </row>
    <row r="122" ht="15.0" customHeight="1">
      <c r="A122" s="14" t="s">
        <v>300</v>
      </c>
      <c r="B122" s="20">
        <v>61.43</v>
      </c>
      <c r="C122" s="20">
        <v>51.77</v>
      </c>
      <c r="D122" s="20">
        <v>38.03</v>
      </c>
      <c r="E122" s="20">
        <v>35.65</v>
      </c>
      <c r="F122" s="20">
        <v>38.04</v>
      </c>
      <c r="G122" s="20">
        <v>32.48</v>
      </c>
      <c r="H122" s="20">
        <v>32.47</v>
      </c>
      <c r="I122" s="20">
        <v>9.91</v>
      </c>
      <c r="J122" s="20">
        <v>10.83</v>
      </c>
      <c r="K122" s="20">
        <v>10.9</v>
      </c>
      <c r="L122" s="20">
        <v>9.6</v>
      </c>
      <c r="M122" s="20">
        <v>9.94</v>
      </c>
      <c r="N122" s="20">
        <v>9.17</v>
      </c>
      <c r="O122" s="20">
        <v>6.61</v>
      </c>
      <c r="P122" s="15"/>
      <c r="Q122" s="20">
        <v>8.57</v>
      </c>
      <c r="R122" s="20">
        <v>9.12</v>
      </c>
      <c r="S122" s="20">
        <v>10.68</v>
      </c>
      <c r="T122" s="20">
        <v>7.14</v>
      </c>
      <c r="U122" s="15"/>
      <c r="V122" s="15"/>
      <c r="W122" s="20">
        <v>10.71</v>
      </c>
    </row>
    <row r="123" ht="15.0" customHeight="1">
      <c r="A123" s="14" t="s">
        <v>301</v>
      </c>
      <c r="B123" s="16">
        <v>2183.23</v>
      </c>
      <c r="C123" s="16">
        <v>302.41</v>
      </c>
      <c r="D123" s="16">
        <v>287.46</v>
      </c>
      <c r="E123" s="16">
        <v>144.68</v>
      </c>
      <c r="F123" s="20">
        <f t="shared" ref="F123:P123" si="2">F120-F122</f>
        <v>0</v>
      </c>
      <c r="G123" s="20">
        <f t="shared" si="2"/>
        <v>0</v>
      </c>
      <c r="H123" s="20">
        <f t="shared" si="2"/>
        <v>0</v>
      </c>
      <c r="I123" s="20">
        <f t="shared" si="2"/>
        <v>1485.16</v>
      </c>
      <c r="J123" s="20">
        <f t="shared" si="2"/>
        <v>0</v>
      </c>
      <c r="K123" s="20">
        <f t="shared" si="2"/>
        <v>9.98</v>
      </c>
      <c r="L123" s="20">
        <f t="shared" si="2"/>
        <v>85.44</v>
      </c>
      <c r="M123" s="20">
        <f t="shared" si="2"/>
        <v>211.51</v>
      </c>
      <c r="N123" s="20">
        <f t="shared" si="2"/>
        <v>195.11</v>
      </c>
      <c r="O123" s="20">
        <f t="shared" si="2"/>
        <v>208.45</v>
      </c>
      <c r="P123" s="20">
        <f t="shared" si="2"/>
        <v>175.62</v>
      </c>
      <c r="Q123" s="20">
        <f t="shared" ref="Q123:S123" si="3">Q121</f>
        <v>164.32</v>
      </c>
      <c r="R123" s="20">
        <f t="shared" si="3"/>
        <v>173.34</v>
      </c>
      <c r="S123" s="20">
        <f t="shared" si="3"/>
        <v>158.24</v>
      </c>
      <c r="T123" s="20">
        <f t="shared" ref="T123:W123" si="4">T120-T122</f>
        <v>8.72</v>
      </c>
      <c r="U123" s="20">
        <f t="shared" si="4"/>
        <v>18.92</v>
      </c>
      <c r="V123" s="20">
        <f t="shared" si="4"/>
        <v>17.57</v>
      </c>
      <c r="W123" s="20">
        <f t="shared" si="4"/>
        <v>262.79</v>
      </c>
    </row>
    <row r="124" ht="15.0" customHeight="1">
      <c r="A124" s="14" t="s">
        <v>302</v>
      </c>
      <c r="B124" s="15"/>
      <c r="C124" s="15"/>
      <c r="D124" s="20">
        <v>1.12</v>
      </c>
      <c r="E124" s="21">
        <v>-1.05</v>
      </c>
      <c r="F124" s="15"/>
      <c r="G124" s="15"/>
      <c r="H124" s="15"/>
      <c r="I124" s="20">
        <v>0.99</v>
      </c>
      <c r="J124" s="15"/>
      <c r="K124" s="20">
        <v>0.91</v>
      </c>
      <c r="L124" s="15"/>
      <c r="M124" s="15"/>
      <c r="N124" s="15"/>
      <c r="O124" s="21">
        <v>-0.73</v>
      </c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7" t="s">
        <v>303</v>
      </c>
      <c r="B125" s="19">
        <v>6619.39</v>
      </c>
      <c r="C125" s="19">
        <v>3217.08</v>
      </c>
      <c r="D125" s="19">
        <v>2961.8</v>
      </c>
      <c r="E125" s="19">
        <v>2887.37</v>
      </c>
      <c r="F125" s="19">
        <v>2094.4</v>
      </c>
      <c r="G125" s="19">
        <v>2242.95</v>
      </c>
      <c r="H125" s="19">
        <v>1845.11</v>
      </c>
      <c r="I125" s="19">
        <v>3109.03</v>
      </c>
      <c r="J125" s="19">
        <v>1769.17</v>
      </c>
      <c r="K125" s="19">
        <v>2094.78</v>
      </c>
      <c r="L125" s="19">
        <v>2239.69</v>
      </c>
      <c r="M125" s="19">
        <v>1940.65</v>
      </c>
      <c r="N125" s="19">
        <v>1646.77</v>
      </c>
      <c r="O125" s="19">
        <v>1276.4</v>
      </c>
      <c r="P125" s="19">
        <v>1314.47</v>
      </c>
      <c r="Q125" s="19">
        <v>1127.68</v>
      </c>
      <c r="R125" s="19">
        <v>1118.01</v>
      </c>
      <c r="S125" s="19">
        <v>1194.1</v>
      </c>
      <c r="T125" s="19">
        <v>714.37</v>
      </c>
      <c r="U125" s="19">
        <v>676.9</v>
      </c>
      <c r="V125" s="19">
        <v>1152.94</v>
      </c>
      <c r="W125" s="19">
        <v>1224.97</v>
      </c>
    </row>
    <row r="126" ht="15.0" customHeight="1">
      <c r="A126" s="14" t="s">
        <v>304</v>
      </c>
      <c r="B126" s="16">
        <v>441.84</v>
      </c>
      <c r="C126" s="16">
        <v>421.26</v>
      </c>
      <c r="D126" s="16">
        <v>355.68</v>
      </c>
      <c r="E126" s="16">
        <v>442.44</v>
      </c>
      <c r="F126" s="16">
        <v>340.39</v>
      </c>
      <c r="G126" s="16">
        <v>306.95</v>
      </c>
      <c r="H126" s="16">
        <v>405.43</v>
      </c>
      <c r="I126" s="16">
        <v>374.51</v>
      </c>
      <c r="J126" s="16">
        <v>416.45</v>
      </c>
      <c r="K126" s="16">
        <v>336.87</v>
      </c>
      <c r="L126" s="16">
        <v>362.88</v>
      </c>
      <c r="M126" s="16">
        <v>272.07</v>
      </c>
      <c r="N126" s="16">
        <v>267.65</v>
      </c>
      <c r="O126" s="16">
        <v>311.94</v>
      </c>
      <c r="P126" s="16">
        <v>263.05</v>
      </c>
      <c r="Q126" s="16">
        <v>348.9</v>
      </c>
      <c r="R126" s="16">
        <v>356.63</v>
      </c>
      <c r="S126" s="16">
        <v>407.74</v>
      </c>
      <c r="T126" s="16">
        <v>332.21</v>
      </c>
      <c r="U126" s="16">
        <v>423.57</v>
      </c>
      <c r="V126" s="16">
        <v>409.6</v>
      </c>
      <c r="W126" s="16">
        <v>493.45</v>
      </c>
    </row>
    <row r="127" ht="15.0" customHeight="1">
      <c r="A127" s="14" t="s">
        <v>305</v>
      </c>
      <c r="B127" s="20">
        <v>30.72</v>
      </c>
      <c r="C127" s="20">
        <v>32.95</v>
      </c>
      <c r="D127" s="20">
        <v>45.86</v>
      </c>
      <c r="E127" s="20">
        <v>31.45</v>
      </c>
      <c r="F127" s="20">
        <v>49.06</v>
      </c>
      <c r="G127" s="16">
        <v>208.48</v>
      </c>
      <c r="H127" s="20">
        <v>33.46</v>
      </c>
      <c r="I127" s="20">
        <v>35.67</v>
      </c>
      <c r="J127" s="20">
        <v>31.5</v>
      </c>
      <c r="K127" s="20">
        <v>29.06</v>
      </c>
      <c r="L127" s="20">
        <v>29.76</v>
      </c>
      <c r="M127" s="16">
        <v>281.11</v>
      </c>
      <c r="N127" s="20">
        <v>13.34</v>
      </c>
      <c r="O127" s="20">
        <v>10.28</v>
      </c>
      <c r="P127" s="20">
        <v>8.51</v>
      </c>
      <c r="Q127" s="20">
        <v>5.45</v>
      </c>
      <c r="R127" s="20">
        <v>6.64</v>
      </c>
      <c r="S127" s="20">
        <v>7.77</v>
      </c>
      <c r="T127" s="20">
        <v>7.93</v>
      </c>
      <c r="U127" s="20">
        <v>7.4</v>
      </c>
      <c r="V127" s="20">
        <v>5.59</v>
      </c>
      <c r="W127" s="20">
        <v>4.94</v>
      </c>
    </row>
    <row r="128" ht="15.0" customHeight="1">
      <c r="A128" s="14" t="s">
        <v>306</v>
      </c>
      <c r="B128" s="20">
        <v>7.09</v>
      </c>
      <c r="C128" s="20">
        <v>5.88</v>
      </c>
      <c r="D128" s="20">
        <v>5.59</v>
      </c>
      <c r="E128" s="20">
        <v>6.29</v>
      </c>
      <c r="F128" s="20">
        <v>4.0</v>
      </c>
      <c r="G128" s="20">
        <v>4.19</v>
      </c>
      <c r="H128" s="20">
        <v>3.94</v>
      </c>
      <c r="I128" s="20">
        <v>2.97</v>
      </c>
      <c r="J128" s="20">
        <v>2.95</v>
      </c>
      <c r="K128" s="20">
        <v>2.72</v>
      </c>
      <c r="L128" s="20">
        <v>2.88</v>
      </c>
      <c r="M128" s="20">
        <v>3.62</v>
      </c>
      <c r="N128" s="20">
        <v>0.83</v>
      </c>
      <c r="O128" s="20">
        <v>0.73</v>
      </c>
      <c r="P128" s="20">
        <v>2.32</v>
      </c>
      <c r="Q128" s="20">
        <v>3.12</v>
      </c>
      <c r="R128" s="20">
        <v>4.15</v>
      </c>
      <c r="S128" s="20">
        <v>3.88</v>
      </c>
      <c r="T128" s="20">
        <v>1.59</v>
      </c>
      <c r="U128" s="20">
        <v>4.93</v>
      </c>
      <c r="V128" s="20">
        <v>19.16</v>
      </c>
      <c r="W128" s="20">
        <v>42.01</v>
      </c>
    </row>
    <row r="129" ht="15.0" customHeight="1">
      <c r="A129" s="14" t="s">
        <v>307</v>
      </c>
      <c r="B129" s="16">
        <v>1362.16</v>
      </c>
      <c r="C129" s="16">
        <v>3497.14</v>
      </c>
      <c r="D129" s="16">
        <v>1912.64</v>
      </c>
      <c r="E129" s="16">
        <v>2063.3</v>
      </c>
      <c r="F129" s="16">
        <v>1048.2</v>
      </c>
      <c r="G129" s="16">
        <v>1105.24</v>
      </c>
      <c r="H129" s="20">
        <v>65.93</v>
      </c>
      <c r="I129" s="20">
        <v>5.94</v>
      </c>
      <c r="J129" s="16">
        <v>1479.72</v>
      </c>
      <c r="K129" s="16">
        <v>1363.83</v>
      </c>
      <c r="L129" s="16">
        <v>1707.84</v>
      </c>
      <c r="M129" s="16">
        <v>1898.17</v>
      </c>
      <c r="N129" s="16">
        <v>1945.28</v>
      </c>
      <c r="O129" s="16">
        <v>788.3</v>
      </c>
      <c r="P129" s="16">
        <v>510.62</v>
      </c>
      <c r="Q129" s="16">
        <v>514.78</v>
      </c>
      <c r="R129" s="16">
        <v>641.94</v>
      </c>
      <c r="S129" s="16">
        <v>861.11</v>
      </c>
      <c r="T129" s="15"/>
      <c r="U129" s="15"/>
      <c r="V129" s="15"/>
      <c r="W129" s="15"/>
    </row>
    <row r="130" ht="15.0" customHeight="1">
      <c r="A130" s="14" t="s">
        <v>308</v>
      </c>
      <c r="B130" s="16">
        <v>1251.1</v>
      </c>
      <c r="C130" s="16">
        <v>3420.65</v>
      </c>
      <c r="D130" s="16">
        <v>1860.07</v>
      </c>
      <c r="E130" s="16">
        <v>2012.98</v>
      </c>
      <c r="F130" s="16">
        <v>989.13</v>
      </c>
      <c r="G130" s="16">
        <v>1047.62</v>
      </c>
      <c r="H130" s="15"/>
      <c r="I130" s="15"/>
      <c r="J130" s="15">
        <v>0.0</v>
      </c>
      <c r="K130" s="15">
        <v>0.0</v>
      </c>
      <c r="L130" s="16">
        <v>268.8</v>
      </c>
      <c r="M130" s="16">
        <v>542.33</v>
      </c>
      <c r="N130" s="16">
        <v>692.06</v>
      </c>
      <c r="O130" s="16">
        <v>778.02</v>
      </c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309</v>
      </c>
      <c r="B131" s="15"/>
      <c r="C131" s="15"/>
      <c r="D131" s="15"/>
      <c r="E131" s="15"/>
      <c r="F131" s="15"/>
      <c r="G131" s="15"/>
      <c r="H131" s="15"/>
      <c r="I131" s="15"/>
      <c r="J131" s="16">
        <v>1473.82</v>
      </c>
      <c r="K131" s="16">
        <v>1357.48</v>
      </c>
      <c r="L131" s="16">
        <v>1433.28</v>
      </c>
      <c r="M131" s="16">
        <v>1347.7</v>
      </c>
      <c r="N131" s="16">
        <v>1241.54</v>
      </c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310</v>
      </c>
      <c r="B132" s="16">
        <v>111.05</v>
      </c>
      <c r="C132" s="20">
        <v>76.49</v>
      </c>
      <c r="D132" s="20">
        <v>52.57</v>
      </c>
      <c r="E132" s="20">
        <v>49.28</v>
      </c>
      <c r="F132" s="20">
        <v>47.05</v>
      </c>
      <c r="G132" s="20">
        <v>57.62</v>
      </c>
      <c r="H132" s="20">
        <v>65.93</v>
      </c>
      <c r="I132" s="20">
        <v>5.94</v>
      </c>
      <c r="J132" s="20">
        <v>5.91</v>
      </c>
      <c r="K132" s="20">
        <v>6.36</v>
      </c>
      <c r="L132" s="15"/>
      <c r="M132" s="20">
        <v>8.14</v>
      </c>
      <c r="N132" s="20">
        <v>11.67</v>
      </c>
      <c r="O132" s="20">
        <v>11.01</v>
      </c>
      <c r="P132" s="15"/>
      <c r="Q132" s="20">
        <v>17.13</v>
      </c>
      <c r="R132" s="20">
        <v>19.91</v>
      </c>
      <c r="S132" s="20">
        <v>7.77</v>
      </c>
      <c r="T132" s="20">
        <v>7.14</v>
      </c>
      <c r="U132" s="15"/>
      <c r="V132" s="15"/>
      <c r="W132" s="20">
        <v>4.12</v>
      </c>
    </row>
    <row r="133" ht="15.0" customHeight="1">
      <c r="A133" s="14" t="s">
        <v>311</v>
      </c>
      <c r="B133" s="15"/>
      <c r="C133" s="15"/>
      <c r="D133" s="15"/>
      <c r="E133" s="20">
        <v>1.05</v>
      </c>
      <c r="F133" s="20">
        <v>12.01</v>
      </c>
      <c r="G133" s="15"/>
      <c r="H133" s="15"/>
      <c r="I133" s="15"/>
      <c r="J133" s="15"/>
      <c r="K133" s="15"/>
      <c r="L133" s="20">
        <v>5.76</v>
      </c>
      <c r="M133" s="15"/>
      <c r="N133" s="15"/>
      <c r="O133" s="21">
        <v>-0.73</v>
      </c>
      <c r="P133" s="15"/>
      <c r="Q133" s="20">
        <v>0.78</v>
      </c>
      <c r="R133" s="20">
        <v>2.49</v>
      </c>
      <c r="S133" s="20">
        <v>3.88</v>
      </c>
      <c r="T133" s="20">
        <v>2.38</v>
      </c>
      <c r="U133" s="20">
        <v>61.69</v>
      </c>
      <c r="V133" s="15"/>
      <c r="W133" s="20">
        <v>18.12</v>
      </c>
    </row>
    <row r="134" ht="15.0" customHeight="1">
      <c r="A134" s="14" t="s">
        <v>312</v>
      </c>
      <c r="B134" s="16">
        <v>108.69</v>
      </c>
      <c r="C134" s="16">
        <v>169.44</v>
      </c>
      <c r="D134" s="16">
        <v>854.54</v>
      </c>
      <c r="E134" s="16">
        <v>814.63</v>
      </c>
      <c r="F134" s="16">
        <v>130.15</v>
      </c>
      <c r="G134" s="16">
        <v>157.14</v>
      </c>
      <c r="H134" s="16">
        <v>168.27</v>
      </c>
      <c r="I134" s="16">
        <v>172.39</v>
      </c>
      <c r="J134" s="15">
        <v>0.0</v>
      </c>
      <c r="K134" s="15">
        <v>0.0</v>
      </c>
      <c r="L134" s="15">
        <v>0.0</v>
      </c>
      <c r="M134" s="20">
        <v>1.81</v>
      </c>
      <c r="N134" s="20">
        <v>4.17</v>
      </c>
      <c r="O134" s="20">
        <v>5.87</v>
      </c>
      <c r="P134" s="20">
        <v>2.32</v>
      </c>
      <c r="Q134" s="20">
        <v>0.78</v>
      </c>
      <c r="R134" s="20">
        <v>0.83</v>
      </c>
      <c r="S134" s="20">
        <v>8.74</v>
      </c>
      <c r="T134" s="20">
        <v>1.59</v>
      </c>
      <c r="U134" s="20">
        <v>14.8</v>
      </c>
      <c r="V134" s="20">
        <v>9.58</v>
      </c>
      <c r="W134" s="20">
        <v>1.65</v>
      </c>
    </row>
    <row r="135" ht="15.0" customHeight="1">
      <c r="A135" s="14" t="s">
        <v>313</v>
      </c>
      <c r="B135" s="20">
        <v>27.17</v>
      </c>
      <c r="C135" s="20">
        <v>48.24</v>
      </c>
      <c r="D135" s="16">
        <v>748.28</v>
      </c>
      <c r="E135" s="16">
        <v>720.27</v>
      </c>
      <c r="F135" s="16">
        <v>119.14</v>
      </c>
      <c r="G135" s="16">
        <v>146.67</v>
      </c>
      <c r="H135" s="16">
        <v>158.43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314</v>
      </c>
      <c r="B136" s="20">
        <v>81.52</v>
      </c>
      <c r="C136" s="16">
        <v>121.2</v>
      </c>
      <c r="D136" s="16">
        <v>106.26</v>
      </c>
      <c r="E136" s="20">
        <v>94.36</v>
      </c>
      <c r="F136" s="20">
        <v>11.01</v>
      </c>
      <c r="G136" s="20">
        <v>10.48</v>
      </c>
      <c r="H136" s="20">
        <v>9.84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295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20">
        <v>0.9</v>
      </c>
      <c r="N137" s="20">
        <v>3.34</v>
      </c>
      <c r="O137" s="20">
        <v>5.14</v>
      </c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315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20">
        <v>0.9</v>
      </c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ht="15.0" customHeight="1">
      <c r="A139" s="14" t="s">
        <v>316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>
        <v>0.0</v>
      </c>
      <c r="N139" s="20">
        <v>0.83</v>
      </c>
      <c r="O139" s="20">
        <v>0.73</v>
      </c>
      <c r="P139" s="15"/>
      <c r="Q139" s="20">
        <v>0.78</v>
      </c>
      <c r="R139" s="20">
        <v>0.83</v>
      </c>
      <c r="S139" s="20">
        <v>0.97</v>
      </c>
      <c r="T139" s="15"/>
      <c r="U139" s="20">
        <v>0.82</v>
      </c>
      <c r="V139" s="15"/>
      <c r="W139" s="15"/>
    </row>
    <row r="140" ht="15.0" customHeight="1">
      <c r="A140" s="14" t="s">
        <v>317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6">
        <v>148.75</v>
      </c>
      <c r="R140" s="16">
        <v>238.03</v>
      </c>
      <c r="S140" s="16">
        <v>194.16</v>
      </c>
      <c r="T140" s="15">
        <v>0.0</v>
      </c>
      <c r="U140" s="15"/>
      <c r="V140" s="15"/>
      <c r="W140" s="16">
        <v>311.39</v>
      </c>
    </row>
    <row r="141" ht="15.0" customHeight="1">
      <c r="A141" s="14" t="s">
        <v>318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21">
        <v>-0.83</v>
      </c>
      <c r="S141" s="15"/>
      <c r="T141" s="15"/>
      <c r="U141" s="15"/>
      <c r="V141" s="15"/>
      <c r="W141" s="15"/>
    </row>
    <row r="142" ht="15.0" customHeight="1">
      <c r="A142" s="14" t="s">
        <v>319</v>
      </c>
      <c r="B142" s="21">
        <v>-1.18</v>
      </c>
      <c r="C142" s="15"/>
      <c r="D142" s="15"/>
      <c r="E142" s="21">
        <v>-1.05</v>
      </c>
      <c r="F142" s="21">
        <v>-1.0</v>
      </c>
      <c r="G142" s="15"/>
      <c r="H142" s="15"/>
      <c r="I142" s="20">
        <v>0.99</v>
      </c>
      <c r="J142" s="20">
        <v>0.98</v>
      </c>
      <c r="K142" s="15"/>
      <c r="L142" s="20">
        <v>0.96</v>
      </c>
      <c r="M142" s="15"/>
      <c r="N142" s="15"/>
      <c r="O142" s="15"/>
      <c r="P142" s="21">
        <v>-0.77</v>
      </c>
      <c r="Q142" s="15"/>
      <c r="R142" s="20">
        <v>1.66</v>
      </c>
      <c r="S142" s="20">
        <v>1.94</v>
      </c>
      <c r="T142" s="20">
        <v>1.59</v>
      </c>
      <c r="U142" s="15"/>
      <c r="V142" s="20">
        <v>67.07</v>
      </c>
      <c r="W142" s="15"/>
    </row>
    <row r="143" ht="15.0" customHeight="1">
      <c r="A143" s="17" t="s">
        <v>320</v>
      </c>
      <c r="B143" s="19">
        <v>1949.31</v>
      </c>
      <c r="C143" s="19">
        <v>4126.67</v>
      </c>
      <c r="D143" s="19">
        <v>3174.31</v>
      </c>
      <c r="E143" s="19">
        <v>3357.06</v>
      </c>
      <c r="F143" s="19">
        <v>1570.8</v>
      </c>
      <c r="G143" s="19">
        <v>1782.0</v>
      </c>
      <c r="H143" s="19">
        <v>677.03</v>
      </c>
      <c r="I143" s="19">
        <v>592.48</v>
      </c>
      <c r="J143" s="19">
        <v>1931.61</v>
      </c>
      <c r="K143" s="19">
        <v>1732.48</v>
      </c>
      <c r="L143" s="19">
        <v>2104.33</v>
      </c>
      <c r="M143" s="19">
        <v>2456.77</v>
      </c>
      <c r="N143" s="19">
        <v>2231.28</v>
      </c>
      <c r="O143" s="19">
        <v>1117.12</v>
      </c>
      <c r="P143" s="19">
        <v>786.05</v>
      </c>
      <c r="Q143" s="19">
        <v>1040.46</v>
      </c>
      <c r="R143" s="19">
        <v>1269.78</v>
      </c>
      <c r="S143" s="19">
        <v>1494.08</v>
      </c>
      <c r="T143" s="19">
        <v>352.03</v>
      </c>
      <c r="U143" s="19">
        <v>513.22</v>
      </c>
      <c r="V143" s="19">
        <v>511.0</v>
      </c>
      <c r="W143" s="19">
        <v>875.68</v>
      </c>
    </row>
    <row r="144" ht="15.0" customHeight="1">
      <c r="A144" s="14" t="s">
        <v>321</v>
      </c>
      <c r="B144" s="15"/>
      <c r="C144" s="15"/>
      <c r="D144" s="15"/>
      <c r="E144" s="21">
        <v>-1.05</v>
      </c>
      <c r="F144" s="15"/>
      <c r="G144" s="15"/>
      <c r="H144" s="15"/>
      <c r="I144" s="15"/>
      <c r="J144" s="21">
        <v>-0.98</v>
      </c>
      <c r="K144" s="15"/>
      <c r="L144" s="15"/>
      <c r="M144" s="15"/>
      <c r="N144" s="15"/>
      <c r="O144" s="15"/>
      <c r="P144" s="21">
        <v>-0.77</v>
      </c>
      <c r="Q144" s="15"/>
      <c r="R144" s="20">
        <v>0.83</v>
      </c>
      <c r="S144" s="20">
        <v>1.94</v>
      </c>
      <c r="T144" s="20">
        <v>0.79</v>
      </c>
      <c r="U144" s="15"/>
      <c r="V144" s="15"/>
      <c r="W144" s="15"/>
    </row>
    <row r="145" ht="15.0" customHeight="1">
      <c r="A145" s="17" t="s">
        <v>322</v>
      </c>
      <c r="B145" s="19">
        <v>8568.7</v>
      </c>
      <c r="C145" s="19">
        <v>7343.76</v>
      </c>
      <c r="D145" s="19">
        <v>6136.11</v>
      </c>
      <c r="E145" s="19">
        <v>6243.38</v>
      </c>
      <c r="F145" s="19">
        <v>3665.2</v>
      </c>
      <c r="G145" s="19">
        <v>4024.95</v>
      </c>
      <c r="H145" s="19">
        <v>2522.14</v>
      </c>
      <c r="I145" s="19">
        <v>3701.51</v>
      </c>
      <c r="J145" s="19">
        <v>3699.8</v>
      </c>
      <c r="K145" s="19">
        <v>3827.27</v>
      </c>
      <c r="L145" s="19">
        <v>4344.01</v>
      </c>
      <c r="M145" s="19">
        <v>4397.42</v>
      </c>
      <c r="N145" s="19">
        <v>3878.05</v>
      </c>
      <c r="O145" s="19">
        <v>2393.52</v>
      </c>
      <c r="P145" s="19">
        <v>2099.74</v>
      </c>
      <c r="Q145" s="19">
        <v>2168.13</v>
      </c>
      <c r="R145" s="19">
        <v>2388.62</v>
      </c>
      <c r="S145" s="19">
        <v>2690.13</v>
      </c>
      <c r="T145" s="19">
        <v>1067.2</v>
      </c>
      <c r="U145" s="19">
        <v>1190.12</v>
      </c>
      <c r="V145" s="19">
        <v>1663.94</v>
      </c>
      <c r="W145" s="19">
        <v>2100.65</v>
      </c>
    </row>
    <row r="146" ht="15.0" customHeight="1">
      <c r="A146" s="14" t="s">
        <v>323</v>
      </c>
      <c r="B146" s="16">
        <v>1089.25</v>
      </c>
      <c r="C146" s="16">
        <v>1084.91</v>
      </c>
      <c r="D146" s="16">
        <v>1031.26</v>
      </c>
      <c r="E146" s="16">
        <v>966.65</v>
      </c>
      <c r="F146" s="16">
        <v>923.06</v>
      </c>
      <c r="G146" s="16">
        <v>965.9</v>
      </c>
      <c r="H146" s="16">
        <v>907.3</v>
      </c>
      <c r="I146" s="16">
        <v>913.49</v>
      </c>
      <c r="J146" s="16">
        <v>907.72</v>
      </c>
      <c r="K146" s="16">
        <v>837.19</v>
      </c>
      <c r="L146" s="16">
        <v>885.12</v>
      </c>
      <c r="M146" s="16">
        <v>833.39</v>
      </c>
      <c r="N146" s="16">
        <v>768.77</v>
      </c>
      <c r="O146" s="16">
        <v>676.73</v>
      </c>
      <c r="P146" s="16">
        <v>713.32</v>
      </c>
      <c r="Q146" s="16">
        <v>718.04</v>
      </c>
      <c r="R146" s="16">
        <v>764.69</v>
      </c>
      <c r="S146" s="16">
        <v>895.09</v>
      </c>
      <c r="T146" s="16">
        <v>731.02</v>
      </c>
      <c r="U146" s="16">
        <v>758.32</v>
      </c>
      <c r="V146" s="15"/>
      <c r="W146" s="15"/>
    </row>
    <row r="147" ht="15.0" customHeight="1">
      <c r="A147" s="14" t="s">
        <v>324</v>
      </c>
      <c r="B147" s="15"/>
      <c r="C147" s="15"/>
      <c r="D147" s="15"/>
      <c r="E147" s="15"/>
      <c r="F147" s="15"/>
      <c r="G147" s="15"/>
      <c r="H147" s="15"/>
      <c r="I147" s="20">
        <v>4.95</v>
      </c>
      <c r="J147" s="20">
        <v>4.92</v>
      </c>
      <c r="K147" s="20">
        <v>4.54</v>
      </c>
      <c r="L147" s="20">
        <v>4.8</v>
      </c>
      <c r="M147" s="20">
        <v>4.52</v>
      </c>
      <c r="N147" s="20">
        <v>4.17</v>
      </c>
      <c r="O147" s="20">
        <v>3.67</v>
      </c>
      <c r="P147" s="20">
        <v>3.87</v>
      </c>
      <c r="Q147" s="20">
        <v>69.31</v>
      </c>
      <c r="R147" s="16">
        <v>190.76</v>
      </c>
      <c r="S147" s="16">
        <v>223.29</v>
      </c>
      <c r="T147" s="16">
        <v>182.36</v>
      </c>
      <c r="U147" s="16">
        <v>189.17</v>
      </c>
      <c r="V147" s="15"/>
      <c r="W147" s="15"/>
    </row>
    <row r="148" ht="15.0" customHeight="1">
      <c r="A148" s="14" t="s">
        <v>325</v>
      </c>
      <c r="B148" s="20">
        <v>34.26</v>
      </c>
      <c r="C148" s="20">
        <v>62.36</v>
      </c>
      <c r="D148" s="20">
        <v>51.45</v>
      </c>
      <c r="E148" s="20">
        <v>34.6</v>
      </c>
      <c r="F148" s="20">
        <v>33.04</v>
      </c>
      <c r="G148" s="20">
        <v>35.62</v>
      </c>
      <c r="H148" s="20">
        <v>29.52</v>
      </c>
      <c r="I148" s="20">
        <v>23.78</v>
      </c>
      <c r="J148" s="20">
        <v>23.63</v>
      </c>
      <c r="K148" s="20">
        <v>18.16</v>
      </c>
      <c r="L148" s="20">
        <v>66.24</v>
      </c>
      <c r="M148" s="20">
        <v>53.33</v>
      </c>
      <c r="N148" s="20">
        <v>13.34</v>
      </c>
      <c r="O148" s="20">
        <v>5.87</v>
      </c>
      <c r="P148" s="16">
        <v>136.17</v>
      </c>
      <c r="Q148" s="20">
        <v>12.46</v>
      </c>
      <c r="R148" s="15">
        <v>0.0</v>
      </c>
      <c r="S148" s="21">
        <v>-8.74</v>
      </c>
      <c r="T148" s="20">
        <v>3.96</v>
      </c>
      <c r="U148" s="20">
        <v>4.11</v>
      </c>
      <c r="V148" s="15"/>
      <c r="W148" s="15"/>
    </row>
    <row r="149" ht="15.0" customHeight="1">
      <c r="A149" s="14" t="s">
        <v>326</v>
      </c>
      <c r="B149" s="15">
        <v>14174.45</v>
      </c>
      <c r="C149" s="15">
        <v>10802.06</v>
      </c>
      <c r="D149" s="16">
        <v>8980.47</v>
      </c>
      <c r="E149" s="16">
        <v>8631.7</v>
      </c>
      <c r="F149" s="16">
        <v>6530.49</v>
      </c>
      <c r="G149" s="16">
        <v>6659.71</v>
      </c>
      <c r="H149" s="16">
        <v>6732.93</v>
      </c>
      <c r="I149" s="16">
        <v>6717.4</v>
      </c>
      <c r="J149" s="16">
        <v>5755.46</v>
      </c>
      <c r="K149" s="16">
        <v>4963.19</v>
      </c>
      <c r="L149" s="16">
        <v>4754.89</v>
      </c>
      <c r="M149" s="16">
        <v>3762.89</v>
      </c>
      <c r="N149" s="16">
        <v>3498.67</v>
      </c>
      <c r="O149" s="16">
        <v>3053.37</v>
      </c>
      <c r="P149" s="16">
        <v>2817.71</v>
      </c>
      <c r="Q149" s="16">
        <v>2700.82</v>
      </c>
      <c r="R149" s="16">
        <v>2537.91</v>
      </c>
      <c r="S149" s="16">
        <v>2779.44</v>
      </c>
      <c r="T149" s="16">
        <v>2359.57</v>
      </c>
      <c r="U149" s="16">
        <v>2548.85</v>
      </c>
      <c r="V149" s="15"/>
      <c r="W149" s="15"/>
    </row>
    <row r="150" ht="15.0" customHeight="1">
      <c r="A150" s="14" t="s">
        <v>327</v>
      </c>
      <c r="B150" s="16">
        <v>310.71</v>
      </c>
      <c r="C150" s="16">
        <v>289.47</v>
      </c>
      <c r="D150" s="16">
        <v>233.77</v>
      </c>
      <c r="E150" s="16">
        <v>388.97</v>
      </c>
      <c r="F150" s="15">
        <v>0.0</v>
      </c>
      <c r="G150" s="22">
        <v>-302.76</v>
      </c>
      <c r="H150" s="16">
        <v>300.14</v>
      </c>
      <c r="I150" s="16">
        <v>104.03</v>
      </c>
      <c r="J150" s="16">
        <v>314.06</v>
      </c>
      <c r="K150" s="20">
        <v>18.16</v>
      </c>
      <c r="L150" s="21">
        <v>-15.36</v>
      </c>
      <c r="M150" s="22">
        <v>-459.18</v>
      </c>
      <c r="N150" s="21">
        <v>-79.21</v>
      </c>
      <c r="O150" s="20">
        <v>1.47</v>
      </c>
      <c r="P150" s="22">
        <v>-196.51</v>
      </c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328</v>
      </c>
      <c r="B151" s="22">
        <v>-225.65</v>
      </c>
      <c r="C151" s="22">
        <v>-291.82</v>
      </c>
      <c r="D151" s="22">
        <v>-313.18</v>
      </c>
      <c r="E151" s="22">
        <v>-365.9</v>
      </c>
      <c r="F151" s="22">
        <v>-182.21</v>
      </c>
      <c r="G151" s="22">
        <v>-225.24</v>
      </c>
      <c r="H151" s="22">
        <v>-241.09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329</v>
      </c>
      <c r="B152" s="15">
        <v>14089.38</v>
      </c>
      <c r="C152" s="15">
        <v>10804.42</v>
      </c>
      <c r="D152" s="16">
        <v>9059.88</v>
      </c>
      <c r="E152" s="16">
        <v>8608.63</v>
      </c>
      <c r="F152" s="16">
        <v>6796.79</v>
      </c>
      <c r="G152" s="16">
        <v>7271.52</v>
      </c>
      <c r="H152" s="16">
        <v>6742.77</v>
      </c>
      <c r="I152" s="16">
        <v>6689.66</v>
      </c>
      <c r="J152" s="16">
        <v>5499.49</v>
      </c>
      <c r="K152" s="16">
        <v>5000.42</v>
      </c>
      <c r="L152" s="16">
        <v>4784.65</v>
      </c>
      <c r="M152" s="16">
        <v>4251.89</v>
      </c>
      <c r="N152" s="16">
        <v>3610.4</v>
      </c>
      <c r="O152" s="16">
        <v>3070.98</v>
      </c>
      <c r="P152" s="16">
        <v>3043.62</v>
      </c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330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20">
        <v>0.91</v>
      </c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331</v>
      </c>
      <c r="B154" s="15"/>
      <c r="C154" s="15"/>
      <c r="D154" s="15"/>
      <c r="E154" s="15"/>
      <c r="F154" s="15"/>
      <c r="G154" s="21">
        <v>-1.05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332</v>
      </c>
      <c r="B155" s="22">
        <v>-124.05</v>
      </c>
      <c r="C155" s="22">
        <v>-124.73</v>
      </c>
      <c r="D155" s="22">
        <v>-109.61</v>
      </c>
      <c r="E155" s="22">
        <v>-113.23</v>
      </c>
      <c r="F155" s="21">
        <v>-84.1</v>
      </c>
      <c r="G155" s="21">
        <v>-82.76</v>
      </c>
      <c r="H155" s="21">
        <v>-68.88</v>
      </c>
      <c r="I155" s="21">
        <v>-76.29</v>
      </c>
      <c r="J155" s="21">
        <v>-58.09</v>
      </c>
      <c r="K155" s="21">
        <v>-56.3</v>
      </c>
      <c r="L155" s="21">
        <v>-14.4</v>
      </c>
      <c r="M155" s="21">
        <v>-29.83</v>
      </c>
      <c r="N155" s="21">
        <v>-32.52</v>
      </c>
      <c r="O155" s="21">
        <v>-19.08</v>
      </c>
      <c r="P155" s="21">
        <v>-29.4</v>
      </c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333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6">
        <v>138.62</v>
      </c>
      <c r="R156" s="16">
        <v>147.63</v>
      </c>
      <c r="S156" s="16">
        <v>172.8</v>
      </c>
      <c r="T156" s="16">
        <v>141.13</v>
      </c>
      <c r="U156" s="16">
        <v>146.4</v>
      </c>
      <c r="V156" s="15"/>
      <c r="W156" s="15"/>
    </row>
    <row r="157" ht="15.0" customHeight="1">
      <c r="A157" s="14" t="s">
        <v>318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20">
        <v>0.78</v>
      </c>
      <c r="R157" s="20">
        <v>0.83</v>
      </c>
      <c r="S157" s="15"/>
      <c r="T157" s="15"/>
      <c r="U157" s="15"/>
      <c r="V157" s="15"/>
      <c r="W157" s="16">
        <v>2441.7</v>
      </c>
    </row>
    <row r="158" ht="15.0" customHeight="1">
      <c r="A158" s="14" t="s">
        <v>334</v>
      </c>
      <c r="B158" s="20">
        <v>1.18</v>
      </c>
      <c r="C158" s="20">
        <v>1.18</v>
      </c>
      <c r="D158" s="20">
        <v>2.24</v>
      </c>
      <c r="E158" s="20">
        <v>1.05</v>
      </c>
      <c r="F158" s="20">
        <v>1.0</v>
      </c>
      <c r="G158" s="15"/>
      <c r="H158" s="15"/>
      <c r="I158" s="15"/>
      <c r="J158" s="15"/>
      <c r="K158" s="20">
        <v>0.91</v>
      </c>
      <c r="L158" s="15"/>
      <c r="M158" s="15"/>
      <c r="N158" s="15"/>
      <c r="O158" s="15"/>
      <c r="P158" s="20">
        <v>0.77</v>
      </c>
      <c r="Q158" s="15"/>
      <c r="R158" s="15"/>
      <c r="S158" s="20">
        <v>1.94</v>
      </c>
      <c r="T158" s="20">
        <v>0.79</v>
      </c>
      <c r="U158" s="15"/>
      <c r="V158" s="15"/>
      <c r="W158" s="15"/>
    </row>
    <row r="159" ht="15.0" customHeight="1">
      <c r="A159" s="17" t="s">
        <v>335</v>
      </c>
      <c r="B159" s="18">
        <v>15175.09</v>
      </c>
      <c r="C159" s="18">
        <v>11825.79</v>
      </c>
      <c r="D159" s="19">
        <v>9955.8</v>
      </c>
      <c r="E159" s="19">
        <v>9520.76</v>
      </c>
      <c r="F159" s="19">
        <v>7487.59</v>
      </c>
      <c r="G159" s="19">
        <v>7661.23</v>
      </c>
      <c r="H159" s="19">
        <v>7669.76</v>
      </c>
      <c r="I159" s="19">
        <v>7659.62</v>
      </c>
      <c r="J159" s="19">
        <v>6691.74</v>
      </c>
      <c r="K159" s="19">
        <v>5823.98</v>
      </c>
      <c r="L159" s="19">
        <v>5711.06</v>
      </c>
      <c r="M159" s="19">
        <v>4654.13</v>
      </c>
      <c r="N159" s="19">
        <v>4284.95</v>
      </c>
      <c r="O159" s="19">
        <v>3739.64</v>
      </c>
      <c r="P159" s="19">
        <v>3671.84</v>
      </c>
      <c r="Q159" s="19">
        <v>3640.04</v>
      </c>
      <c r="R159" s="19">
        <v>3641.82</v>
      </c>
      <c r="S159" s="19">
        <v>4063.83</v>
      </c>
      <c r="T159" s="19">
        <v>3418.84</v>
      </c>
      <c r="U159" s="19">
        <v>3646.86</v>
      </c>
      <c r="V159" s="19">
        <v>3167.39</v>
      </c>
      <c r="W159" s="19">
        <v>2441.7</v>
      </c>
    </row>
    <row r="160" ht="15.0" customHeight="1">
      <c r="A160" s="14" t="s">
        <v>139</v>
      </c>
      <c r="B160" s="15"/>
      <c r="C160" s="15"/>
      <c r="D160" s="15"/>
      <c r="E160" s="15"/>
      <c r="F160" s="15"/>
      <c r="G160" s="15"/>
      <c r="H160" s="15"/>
      <c r="I160" s="15"/>
      <c r="J160" s="15">
        <v>0.0</v>
      </c>
      <c r="K160" s="15">
        <v>0.0</v>
      </c>
      <c r="L160" s="15">
        <v>0.0</v>
      </c>
      <c r="M160" s="15">
        <v>0.0</v>
      </c>
      <c r="N160" s="15">
        <v>0.0</v>
      </c>
      <c r="O160" s="15">
        <v>0.0</v>
      </c>
      <c r="P160" s="15">
        <v>0.0</v>
      </c>
      <c r="Q160" s="15">
        <v>0.0</v>
      </c>
      <c r="R160" s="15">
        <v>0.0</v>
      </c>
      <c r="S160" s="15">
        <v>0.0</v>
      </c>
      <c r="T160" s="15">
        <v>0.0</v>
      </c>
      <c r="U160" s="15">
        <v>0.0</v>
      </c>
      <c r="V160" s="15"/>
      <c r="W160" s="15"/>
    </row>
    <row r="161" ht="15.0" customHeight="1">
      <c r="A161" s="17" t="s">
        <v>336</v>
      </c>
      <c r="B161" s="18"/>
      <c r="C161" s="18"/>
      <c r="D161" s="18"/>
      <c r="E161" s="18"/>
      <c r="F161" s="18"/>
      <c r="G161" s="18"/>
      <c r="H161" s="18"/>
      <c r="I161" s="18"/>
      <c r="J161" s="18">
        <v>0.0</v>
      </c>
      <c r="K161" s="18">
        <v>0.0</v>
      </c>
      <c r="L161" s="18">
        <v>0.0</v>
      </c>
      <c r="M161" s="18">
        <v>0.0</v>
      </c>
      <c r="N161" s="18">
        <v>0.0</v>
      </c>
      <c r="O161" s="18">
        <v>0.0</v>
      </c>
      <c r="P161" s="18">
        <v>0.0</v>
      </c>
      <c r="Q161" s="18"/>
      <c r="R161" s="18"/>
      <c r="S161" s="18"/>
      <c r="T161" s="18"/>
      <c r="U161" s="18"/>
      <c r="V161" s="18"/>
      <c r="W161" s="18"/>
    </row>
    <row r="162" ht="15.0" customHeight="1">
      <c r="A162" s="14" t="s">
        <v>337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20">
        <v>0.73</v>
      </c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7" t="s">
        <v>338</v>
      </c>
      <c r="B163" s="18">
        <v>15175.09</v>
      </c>
      <c r="C163" s="18">
        <v>11825.79</v>
      </c>
      <c r="D163" s="19">
        <v>9955.8</v>
      </c>
      <c r="E163" s="19">
        <v>9520.76</v>
      </c>
      <c r="F163" s="19">
        <v>7487.59</v>
      </c>
      <c r="G163" s="19">
        <v>7661.23</v>
      </c>
      <c r="H163" s="19">
        <v>7669.76</v>
      </c>
      <c r="I163" s="19">
        <v>7659.62</v>
      </c>
      <c r="J163" s="19">
        <v>6691.74</v>
      </c>
      <c r="K163" s="19">
        <v>5823.98</v>
      </c>
      <c r="L163" s="19">
        <v>5711.06</v>
      </c>
      <c r="M163" s="19">
        <v>4654.13</v>
      </c>
      <c r="N163" s="19">
        <v>4284.95</v>
      </c>
      <c r="O163" s="19">
        <v>3740.37</v>
      </c>
      <c r="P163" s="19">
        <v>3671.84</v>
      </c>
      <c r="Q163" s="19">
        <v>3640.04</v>
      </c>
      <c r="R163" s="19">
        <v>3641.82</v>
      </c>
      <c r="S163" s="19">
        <v>4063.83</v>
      </c>
      <c r="T163" s="19">
        <v>3418.84</v>
      </c>
      <c r="U163" s="19">
        <v>3646.86</v>
      </c>
      <c r="V163" s="19">
        <v>3167.39</v>
      </c>
      <c r="W163" s="19">
        <v>2441.7</v>
      </c>
    </row>
    <row r="164" ht="15.0" customHeight="1">
      <c r="A164" s="14" t="s">
        <v>339</v>
      </c>
      <c r="B164" s="15"/>
      <c r="C164" s="15"/>
      <c r="D164" s="21">
        <v>-1.12</v>
      </c>
      <c r="E164" s="15"/>
      <c r="F164" s="15"/>
      <c r="G164" s="20">
        <v>1.05</v>
      </c>
      <c r="H164" s="15"/>
      <c r="I164" s="15"/>
      <c r="J164" s="15"/>
      <c r="K164" s="15"/>
      <c r="L164" s="15"/>
      <c r="M164" s="20">
        <v>0.9</v>
      </c>
      <c r="N164" s="15"/>
      <c r="O164" s="15"/>
      <c r="P164" s="15"/>
      <c r="Q164" s="15"/>
      <c r="R164" s="15"/>
      <c r="S164" s="21">
        <v>-1.94</v>
      </c>
      <c r="T164" s="21">
        <v>-0.79</v>
      </c>
      <c r="U164" s="15"/>
      <c r="V164" s="15"/>
      <c r="W164" s="15"/>
    </row>
    <row r="165" ht="15.0" customHeight="1">
      <c r="A165" s="17" t="s">
        <v>340</v>
      </c>
      <c r="B165" s="18">
        <v>23743.79</v>
      </c>
      <c r="C165" s="18">
        <v>19169.54</v>
      </c>
      <c r="D165" s="18">
        <v>16090.8</v>
      </c>
      <c r="E165" s="18">
        <v>15764.15</v>
      </c>
      <c r="F165" s="18">
        <v>11152.79</v>
      </c>
      <c r="G165" s="18">
        <v>11687.23</v>
      </c>
      <c r="H165" s="18">
        <v>10191.9</v>
      </c>
      <c r="I165" s="18">
        <v>11361.13</v>
      </c>
      <c r="J165" s="18">
        <v>10391.54</v>
      </c>
      <c r="K165" s="19">
        <v>9651.25</v>
      </c>
      <c r="L165" s="18">
        <v>10055.07</v>
      </c>
      <c r="M165" s="19">
        <v>9052.45</v>
      </c>
      <c r="N165" s="19">
        <v>8163.0</v>
      </c>
      <c r="O165" s="19">
        <v>6133.89</v>
      </c>
      <c r="P165" s="19">
        <v>5771.58</v>
      </c>
      <c r="Q165" s="19">
        <v>5808.17</v>
      </c>
      <c r="R165" s="19">
        <v>6030.44</v>
      </c>
      <c r="S165" s="19">
        <v>6752.01</v>
      </c>
      <c r="T165" s="19">
        <v>4485.24</v>
      </c>
      <c r="U165" s="19">
        <v>4836.98</v>
      </c>
      <c r="V165" s="19">
        <v>4831.33</v>
      </c>
      <c r="W165" s="19">
        <v>4542.36</v>
      </c>
    </row>
    <row r="166" ht="15.0" customHeight="1">
      <c r="A166" s="14" t="s">
        <v>341</v>
      </c>
      <c r="B166" s="16">
        <v>140.69</v>
      </c>
      <c r="C166" s="16">
        <v>140.5</v>
      </c>
      <c r="D166" s="16">
        <v>140.35</v>
      </c>
      <c r="E166" s="16">
        <v>140.2</v>
      </c>
      <c r="F166" s="16">
        <v>140.56</v>
      </c>
      <c r="G166" s="16">
        <v>140.46</v>
      </c>
      <c r="H166" s="16">
        <v>140.49</v>
      </c>
      <c r="I166" s="16">
        <v>140.7</v>
      </c>
      <c r="J166" s="16">
        <v>140.58</v>
      </c>
      <c r="K166" s="16">
        <v>140.47</v>
      </c>
      <c r="L166" s="16">
        <v>140.83</v>
      </c>
      <c r="M166" s="16">
        <v>140.69</v>
      </c>
      <c r="N166" s="16">
        <v>140.57</v>
      </c>
      <c r="O166" s="16">
        <v>140.93</v>
      </c>
      <c r="P166" s="16">
        <v>140.84</v>
      </c>
      <c r="Q166" s="16">
        <v>140.74</v>
      </c>
      <c r="R166" s="16">
        <v>140.98</v>
      </c>
      <c r="S166" s="16">
        <v>140.93</v>
      </c>
      <c r="T166" s="16">
        <v>141.26</v>
      </c>
      <c r="U166" s="16">
        <v>141.26</v>
      </c>
      <c r="V166" s="16">
        <v>141.26</v>
      </c>
      <c r="W166" s="16">
        <v>141.26</v>
      </c>
    </row>
    <row r="167" ht="15.0" customHeight="1">
      <c r="A167" s="14" t="s">
        <v>342</v>
      </c>
      <c r="B167" s="20">
        <v>0.44</v>
      </c>
      <c r="C167" s="20">
        <v>0.63</v>
      </c>
      <c r="D167" s="20">
        <v>0.78</v>
      </c>
      <c r="E167" s="20">
        <v>0.93</v>
      </c>
      <c r="F167" s="20">
        <v>0.57</v>
      </c>
      <c r="G167" s="20">
        <v>0.67</v>
      </c>
      <c r="H167" s="20">
        <v>0.77</v>
      </c>
      <c r="I167" s="20">
        <v>0.56</v>
      </c>
      <c r="J167" s="20">
        <v>0.68</v>
      </c>
      <c r="K167" s="20">
        <v>0.78</v>
      </c>
      <c r="L167" s="20">
        <v>0.43</v>
      </c>
      <c r="M167" s="20">
        <v>0.57</v>
      </c>
      <c r="N167" s="20">
        <v>0.69</v>
      </c>
      <c r="O167" s="20">
        <v>0.33</v>
      </c>
      <c r="P167" s="20">
        <v>0.41</v>
      </c>
      <c r="Q167" s="20">
        <v>0.52</v>
      </c>
      <c r="R167" s="20">
        <v>0.28</v>
      </c>
      <c r="S167" s="20">
        <v>0.32</v>
      </c>
      <c r="T167" s="15">
        <v>0.0</v>
      </c>
      <c r="U167" s="15">
        <v>0.0</v>
      </c>
      <c r="V167" s="15">
        <v>0.0</v>
      </c>
      <c r="W167" s="15">
        <v>0.0</v>
      </c>
    </row>
    <row r="168" ht="15.0" customHeight="1">
      <c r="A168" s="14" t="s">
        <v>343</v>
      </c>
      <c r="B168" s="16">
        <v>141.13</v>
      </c>
      <c r="C168" s="16">
        <v>141.13</v>
      </c>
      <c r="D168" s="16">
        <v>141.13</v>
      </c>
      <c r="E168" s="16">
        <v>141.13</v>
      </c>
      <c r="F168" s="16">
        <v>141.13</v>
      </c>
      <c r="G168" s="16">
        <v>141.13</v>
      </c>
      <c r="H168" s="16">
        <v>141.26</v>
      </c>
      <c r="I168" s="16">
        <v>141.26</v>
      </c>
      <c r="J168" s="16">
        <v>141.26</v>
      </c>
      <c r="K168" s="16">
        <v>141.26</v>
      </c>
      <c r="L168" s="16">
        <v>141.26</v>
      </c>
      <c r="M168" s="16">
        <v>141.26</v>
      </c>
      <c r="N168" s="16">
        <v>141.26</v>
      </c>
      <c r="O168" s="16">
        <v>141.26</v>
      </c>
      <c r="P168" s="16">
        <v>141.26</v>
      </c>
      <c r="Q168" s="16">
        <v>141.26</v>
      </c>
      <c r="R168" s="16">
        <v>141.26</v>
      </c>
      <c r="S168" s="16">
        <v>141.26</v>
      </c>
      <c r="T168" s="16">
        <v>141.26</v>
      </c>
      <c r="U168" s="16">
        <v>141.26</v>
      </c>
      <c r="V168" s="16">
        <v>141.26</v>
      </c>
      <c r="W168" s="16">
        <v>141.26</v>
      </c>
    </row>
    <row r="169" ht="15.0" customHeight="1">
      <c r="A169" s="14" t="s">
        <v>344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6">
        <v>831.74</v>
      </c>
      <c r="R169" s="16">
        <v>1069.9</v>
      </c>
      <c r="S169" s="16">
        <v>1401.86</v>
      </c>
      <c r="T169" s="15"/>
      <c r="U169" s="15"/>
      <c r="V169" s="15"/>
      <c r="W169" s="16">
        <v>339.4</v>
      </c>
    </row>
    <row r="170" ht="15.0" customHeight="1">
      <c r="A170" s="14" t="s">
        <v>345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6">
        <v>167.44</v>
      </c>
      <c r="R170" s="16">
        <v>179.98</v>
      </c>
      <c r="S170" s="16">
        <v>342.7</v>
      </c>
      <c r="T170" s="15"/>
      <c r="U170" s="15"/>
      <c r="V170" s="15"/>
      <c r="W170" s="20">
        <v>5.77</v>
      </c>
    </row>
    <row r="171" ht="15.0" customHeight="1">
      <c r="A171" s="14" t="s">
        <v>346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6">
        <v>163.54</v>
      </c>
      <c r="R171" s="16">
        <v>174.17</v>
      </c>
      <c r="S171" s="16">
        <v>161.16</v>
      </c>
      <c r="T171" s="15"/>
      <c r="U171" s="15"/>
      <c r="V171" s="15"/>
      <c r="W171" s="15"/>
    </row>
    <row r="172" ht="15.0" customHeight="1">
      <c r="A172" s="14" t="s">
        <v>347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6">
        <v>162.77</v>
      </c>
      <c r="R172" s="16">
        <v>174.17</v>
      </c>
      <c r="S172" s="16">
        <v>159.21</v>
      </c>
      <c r="T172" s="15"/>
      <c r="U172" s="15"/>
      <c r="V172" s="15"/>
      <c r="W172" s="15"/>
    </row>
    <row r="173" ht="15.0" customHeight="1">
      <c r="A173" s="14" t="s">
        <v>348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20">
        <v>88.0</v>
      </c>
      <c r="R173" s="16">
        <v>173.34</v>
      </c>
      <c r="S173" s="16">
        <v>158.24</v>
      </c>
      <c r="T173" s="15"/>
      <c r="U173" s="15"/>
      <c r="V173" s="15"/>
      <c r="W173" s="15"/>
    </row>
    <row r="174" ht="15.0" customHeight="1">
      <c r="A174" s="14" t="s">
        <v>349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6">
        <v>249.99</v>
      </c>
      <c r="R174" s="16">
        <v>368.25</v>
      </c>
      <c r="S174" s="16">
        <v>580.55</v>
      </c>
      <c r="T174" s="15"/>
      <c r="U174" s="15"/>
      <c r="V174" s="15"/>
      <c r="W174" s="16">
        <v>311.39</v>
      </c>
    </row>
    <row r="175" ht="15.0" customHeight="1">
      <c r="A175" s="14" t="s">
        <v>350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20">
        <v>22.24</v>
      </c>
    </row>
    <row r="176" ht="15.0" customHeight="1">
      <c r="A176" s="14" t="s">
        <v>351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20">
        <v>8.57</v>
      </c>
      <c r="R176" s="15"/>
      <c r="S176" s="15"/>
      <c r="T176" s="15"/>
      <c r="U176" s="15"/>
      <c r="V176" s="15"/>
      <c r="W176" s="15"/>
    </row>
    <row r="177" ht="15.0" customHeight="1">
      <c r="A177" s="14" t="s">
        <v>352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20">
        <v>6.23</v>
      </c>
      <c r="R177" s="15"/>
      <c r="S177" s="15"/>
      <c r="T177" s="15"/>
      <c r="U177" s="15"/>
      <c r="V177" s="15"/>
      <c r="W177" s="15"/>
    </row>
    <row r="178" ht="15.0" customHeight="1">
      <c r="A178" s="14" t="s">
        <v>353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20">
        <v>14.8</v>
      </c>
      <c r="V178" s="15"/>
      <c r="W178" s="15"/>
    </row>
    <row r="179" ht="15.0" customHeight="1">
      <c r="A179" s="14" t="s">
        <v>354</v>
      </c>
      <c r="B179" s="15"/>
      <c r="C179" s="15"/>
      <c r="D179" s="15"/>
      <c r="E179" s="15"/>
      <c r="F179" s="15"/>
      <c r="G179" s="15"/>
      <c r="H179" s="16">
        <v>103.33</v>
      </c>
      <c r="I179" s="20">
        <v>16.84</v>
      </c>
      <c r="J179" s="20">
        <v>16.74</v>
      </c>
      <c r="K179" s="20">
        <v>17.25</v>
      </c>
      <c r="L179" s="20">
        <v>15.36</v>
      </c>
      <c r="M179" s="20">
        <v>18.98</v>
      </c>
      <c r="N179" s="20">
        <v>20.85</v>
      </c>
      <c r="O179" s="20">
        <v>17.62</v>
      </c>
      <c r="P179" s="15"/>
      <c r="Q179" s="20">
        <v>24.92</v>
      </c>
      <c r="R179" s="20">
        <v>29.03</v>
      </c>
      <c r="S179" s="20">
        <v>18.45</v>
      </c>
      <c r="T179" s="20">
        <v>14.27</v>
      </c>
      <c r="U179" s="15"/>
      <c r="V179" s="15"/>
      <c r="W179" s="15"/>
    </row>
    <row r="180" ht="15.0" customHeight="1">
      <c r="A180" s="14" t="s">
        <v>355</v>
      </c>
      <c r="B180" s="15"/>
      <c r="C180" s="15"/>
      <c r="D180" s="15"/>
      <c r="E180" s="15"/>
      <c r="F180" s="15"/>
      <c r="G180" s="15"/>
      <c r="H180" s="20">
        <v>33.46</v>
      </c>
      <c r="I180" s="20">
        <v>10.9</v>
      </c>
      <c r="J180" s="20">
        <v>10.83</v>
      </c>
      <c r="K180" s="20">
        <v>10.9</v>
      </c>
      <c r="L180" s="20">
        <v>9.6</v>
      </c>
      <c r="M180" s="20">
        <v>10.85</v>
      </c>
      <c r="N180" s="20">
        <v>10.01</v>
      </c>
      <c r="O180" s="20">
        <v>7.34</v>
      </c>
      <c r="P180" s="15"/>
      <c r="Q180" s="20">
        <v>7.79</v>
      </c>
      <c r="R180" s="20">
        <v>9.12</v>
      </c>
      <c r="S180" s="20">
        <v>10.68</v>
      </c>
      <c r="T180" s="20">
        <v>7.14</v>
      </c>
      <c r="U180" s="15"/>
      <c r="V180" s="15"/>
      <c r="W180" s="15"/>
    </row>
    <row r="181" ht="15.0" customHeight="1">
      <c r="A181" s="14" t="s">
        <v>356</v>
      </c>
      <c r="B181" s="15"/>
      <c r="C181" s="15"/>
      <c r="D181" s="15"/>
      <c r="E181" s="15"/>
      <c r="F181" s="15"/>
      <c r="G181" s="15"/>
      <c r="H181" s="20">
        <v>68.88</v>
      </c>
      <c r="I181" s="20">
        <v>5.94</v>
      </c>
      <c r="J181" s="20">
        <v>5.91</v>
      </c>
      <c r="K181" s="20">
        <v>6.36</v>
      </c>
      <c r="L181" s="20">
        <v>4.8</v>
      </c>
      <c r="M181" s="20">
        <v>9.04</v>
      </c>
      <c r="N181" s="20">
        <v>12.51</v>
      </c>
      <c r="O181" s="20">
        <v>8.07</v>
      </c>
      <c r="P181" s="15"/>
      <c r="Q181" s="20">
        <v>12.46</v>
      </c>
      <c r="R181" s="20">
        <v>14.93</v>
      </c>
      <c r="S181" s="20">
        <v>7.77</v>
      </c>
      <c r="T181" s="20">
        <v>7.14</v>
      </c>
      <c r="U181" s="15"/>
      <c r="V181" s="15"/>
      <c r="W181" s="15"/>
    </row>
    <row r="182" ht="15.0" customHeight="1">
      <c r="A182" s="14" t="s">
        <v>357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20">
        <v>3.67</v>
      </c>
      <c r="P182" s="15"/>
      <c r="Q182" s="20">
        <v>4.67</v>
      </c>
      <c r="R182" s="20">
        <v>4.98</v>
      </c>
      <c r="S182" s="15">
        <v>0.0</v>
      </c>
      <c r="T182" s="15">
        <v>0.0</v>
      </c>
      <c r="U182" s="15"/>
      <c r="V182" s="15"/>
      <c r="W182" s="15"/>
    </row>
    <row r="183" ht="15.0" customHeight="1">
      <c r="A183" s="14" t="s">
        <v>358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21">
        <v>-0.96</v>
      </c>
      <c r="M183" s="21">
        <v>-0.9</v>
      </c>
      <c r="N183" s="21">
        <v>-1.67</v>
      </c>
      <c r="O183" s="21">
        <v>-2.2</v>
      </c>
      <c r="P183" s="15"/>
      <c r="Q183" s="15"/>
      <c r="R183" s="15"/>
      <c r="S183" s="15"/>
      <c r="T183" s="21">
        <v>-0.79</v>
      </c>
      <c r="U183" s="15"/>
      <c r="V183" s="15"/>
      <c r="W183" s="15"/>
    </row>
    <row r="184" ht="15.0" customHeight="1">
      <c r="A184" s="14" t="s">
        <v>359</v>
      </c>
      <c r="B184" s="15"/>
      <c r="C184" s="15"/>
      <c r="D184" s="15"/>
      <c r="E184" s="15"/>
      <c r="F184" s="15"/>
      <c r="G184" s="15"/>
      <c r="H184" s="20">
        <v>0.98</v>
      </c>
      <c r="I184" s="15"/>
      <c r="J184" s="15"/>
      <c r="K184" s="15"/>
      <c r="L184" s="20">
        <v>1.92</v>
      </c>
      <c r="M184" s="15"/>
      <c r="N184" s="15"/>
      <c r="O184" s="20">
        <v>0.73</v>
      </c>
      <c r="P184" s="15"/>
      <c r="Q184" s="15"/>
      <c r="R184" s="15"/>
      <c r="S184" s="15"/>
      <c r="T184" s="20">
        <v>0.79</v>
      </c>
      <c r="U184" s="15"/>
      <c r="V184" s="15"/>
      <c r="W184" s="15"/>
    </row>
    <row r="185" ht="15.0" customHeight="1">
      <c r="A185" s="14" t="s">
        <v>360</v>
      </c>
      <c r="B185" s="15"/>
      <c r="C185" s="15"/>
      <c r="D185" s="15"/>
      <c r="E185" s="15"/>
      <c r="F185" s="15"/>
      <c r="G185" s="15"/>
      <c r="H185" s="15"/>
      <c r="I185" s="15">
        <v>0.0</v>
      </c>
      <c r="J185" s="15">
        <v>0.0</v>
      </c>
      <c r="K185" s="15">
        <v>0.0</v>
      </c>
      <c r="L185" s="15"/>
      <c r="M185" s="15"/>
      <c r="N185" s="15"/>
      <c r="O185" s="15"/>
      <c r="P185" s="15"/>
      <c r="Q185" s="15">
        <v>0.0</v>
      </c>
      <c r="R185" s="15">
        <v>0.0</v>
      </c>
      <c r="S185" s="15">
        <v>0.0</v>
      </c>
      <c r="T185" s="15">
        <v>0.0</v>
      </c>
      <c r="U185" s="15">
        <v>0.0</v>
      </c>
      <c r="V185" s="15">
        <v>0.0</v>
      </c>
      <c r="W185" s="15">
        <v>0.0</v>
      </c>
    </row>
    <row r="186" ht="15.0" customHeight="1">
      <c r="A186" s="14" t="s">
        <v>361</v>
      </c>
      <c r="B186" s="20">
        <v>31.77</v>
      </c>
      <c r="C186" s="20">
        <v>32.83</v>
      </c>
      <c r="D186" s="20">
        <v>33.35</v>
      </c>
      <c r="E186" s="20">
        <v>34.19</v>
      </c>
      <c r="F186" s="20">
        <v>34.81</v>
      </c>
      <c r="G186" s="20">
        <v>35.12</v>
      </c>
      <c r="H186" s="20">
        <v>36.34</v>
      </c>
      <c r="I186" s="20">
        <v>37.12</v>
      </c>
      <c r="J186" s="20">
        <v>37.12</v>
      </c>
      <c r="K186" s="20">
        <v>38.29</v>
      </c>
      <c r="L186" s="20">
        <v>38.91</v>
      </c>
      <c r="M186" s="20">
        <v>40.41</v>
      </c>
      <c r="N186" s="20">
        <v>42.02</v>
      </c>
      <c r="O186" s="20">
        <v>43.27</v>
      </c>
      <c r="P186" s="20">
        <v>44.99</v>
      </c>
      <c r="Q186" s="20">
        <v>47.56</v>
      </c>
      <c r="R186" s="20">
        <v>51.34</v>
      </c>
      <c r="S186" s="20">
        <v>51.44</v>
      </c>
      <c r="T186" s="20">
        <v>52.56</v>
      </c>
      <c r="U186" s="20">
        <v>55.55</v>
      </c>
      <c r="V186" s="20">
        <v>56.4</v>
      </c>
      <c r="W186" s="20">
        <v>56.4</v>
      </c>
    </row>
    <row r="187" ht="15.0" customHeight="1">
      <c r="A187" s="14" t="s">
        <v>362</v>
      </c>
      <c r="B187" s="20">
        <v>31.77</v>
      </c>
      <c r="C187" s="20">
        <v>32.83</v>
      </c>
      <c r="D187" s="20">
        <v>33.35</v>
      </c>
      <c r="E187" s="20">
        <v>34.19</v>
      </c>
      <c r="F187" s="20">
        <v>34.81</v>
      </c>
      <c r="G187" s="20">
        <v>35.12</v>
      </c>
      <c r="H187" s="20">
        <v>36.34</v>
      </c>
      <c r="I187" s="20">
        <v>37.12</v>
      </c>
      <c r="J187" s="20">
        <v>37.12</v>
      </c>
      <c r="K187" s="20">
        <v>38.29</v>
      </c>
      <c r="L187" s="20">
        <v>38.91</v>
      </c>
      <c r="M187" s="20">
        <v>40.41</v>
      </c>
      <c r="N187" s="20">
        <v>42.02</v>
      </c>
      <c r="O187" s="20">
        <v>43.27</v>
      </c>
      <c r="P187" s="20">
        <v>44.99</v>
      </c>
      <c r="Q187" s="20">
        <v>47.56</v>
      </c>
      <c r="R187" s="20">
        <v>51.34</v>
      </c>
      <c r="S187" s="20">
        <v>51.44</v>
      </c>
      <c r="T187" s="20">
        <v>52.56</v>
      </c>
      <c r="U187" s="20">
        <v>55.55</v>
      </c>
      <c r="V187" s="20">
        <v>56.4</v>
      </c>
      <c r="W187" s="20">
        <v>56.4</v>
      </c>
    </row>
    <row r="188" ht="15.0" customHeight="1">
      <c r="A188" s="14" t="s">
        <v>363</v>
      </c>
      <c r="B188" s="16">
        <v>500.0</v>
      </c>
      <c r="C188" s="16">
        <v>500.0</v>
      </c>
      <c r="D188" s="16">
        <v>500.0</v>
      </c>
      <c r="E188" s="16">
        <v>500.0</v>
      </c>
      <c r="F188" s="16">
        <v>500.0</v>
      </c>
      <c r="G188" s="16">
        <v>500.0</v>
      </c>
      <c r="H188" s="16">
        <v>500.0</v>
      </c>
      <c r="I188" s="16">
        <v>500.0</v>
      </c>
      <c r="J188" s="16">
        <v>500.0</v>
      </c>
      <c r="K188" s="16">
        <v>500.0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ht="15.0" customHeight="1">
      <c r="A189" s="14" t="s">
        <v>364</v>
      </c>
      <c r="B189" s="20">
        <v>0.23</v>
      </c>
      <c r="C189" s="20">
        <v>0.23</v>
      </c>
      <c r="D189" s="20">
        <v>0.24</v>
      </c>
      <c r="E189" s="20">
        <v>0.24</v>
      </c>
      <c r="F189" s="20">
        <v>0.25</v>
      </c>
      <c r="G189" s="20">
        <v>0.25</v>
      </c>
      <c r="H189" s="20">
        <v>0.26</v>
      </c>
      <c r="I189" s="20">
        <v>0.26</v>
      </c>
      <c r="J189" s="20">
        <v>0.26</v>
      </c>
      <c r="K189" s="20">
        <v>0.27</v>
      </c>
      <c r="L189" s="20">
        <v>0.28</v>
      </c>
      <c r="M189" s="20">
        <v>0.29</v>
      </c>
      <c r="N189" s="20">
        <v>0.3</v>
      </c>
      <c r="O189" s="20">
        <v>0.31</v>
      </c>
      <c r="P189" s="20">
        <v>0.32</v>
      </c>
      <c r="Q189" s="20">
        <v>0.34</v>
      </c>
      <c r="R189" s="20">
        <v>0.36</v>
      </c>
      <c r="S189" s="20">
        <v>0.37</v>
      </c>
      <c r="T189" s="20">
        <v>0.37</v>
      </c>
      <c r="U189" s="20">
        <v>0.39</v>
      </c>
      <c r="V189" s="20">
        <v>0.4</v>
      </c>
      <c r="W189" s="20">
        <v>0.4</v>
      </c>
    </row>
    <row r="190" ht="15.0" customHeight="1">
      <c r="A190" s="14" t="s">
        <v>365</v>
      </c>
      <c r="B190" s="16">
        <v>109.36</v>
      </c>
      <c r="C190" s="16">
        <v>108.3</v>
      </c>
      <c r="D190" s="16">
        <v>107.78</v>
      </c>
      <c r="E190" s="16">
        <v>106.95</v>
      </c>
      <c r="F190" s="16">
        <v>106.32</v>
      </c>
      <c r="G190" s="16">
        <v>106.01</v>
      </c>
      <c r="H190" s="16">
        <v>104.92</v>
      </c>
      <c r="I190" s="16">
        <v>104.14</v>
      </c>
      <c r="J190" s="16">
        <v>104.14</v>
      </c>
      <c r="K190" s="16">
        <v>102.96</v>
      </c>
      <c r="L190" s="16">
        <v>102.35</v>
      </c>
      <c r="M190" s="16">
        <v>100.84</v>
      </c>
      <c r="N190" s="20">
        <v>99.24</v>
      </c>
      <c r="O190" s="20">
        <v>97.99</v>
      </c>
      <c r="P190" s="20">
        <v>96.26</v>
      </c>
      <c r="Q190" s="20">
        <v>93.69</v>
      </c>
      <c r="R190" s="20">
        <v>89.92</v>
      </c>
      <c r="S190" s="20">
        <v>89.82</v>
      </c>
      <c r="T190" s="20">
        <v>88.7</v>
      </c>
      <c r="U190" s="20">
        <v>85.7</v>
      </c>
      <c r="V190" s="20">
        <v>84.86</v>
      </c>
      <c r="W190" s="20">
        <v>84.86</v>
      </c>
    </row>
    <row r="191" ht="15.0" customHeight="1">
      <c r="A191" s="14" t="s">
        <v>366</v>
      </c>
      <c r="B191" s="20">
        <v>0.44</v>
      </c>
      <c r="C191" s="20">
        <v>0.63</v>
      </c>
      <c r="D191" s="20">
        <v>0.78</v>
      </c>
      <c r="E191" s="20">
        <v>0.93</v>
      </c>
      <c r="F191" s="20">
        <v>0.57</v>
      </c>
      <c r="G191" s="20">
        <v>0.67</v>
      </c>
      <c r="H191" s="20">
        <v>0.77</v>
      </c>
      <c r="I191" s="20">
        <v>0.56</v>
      </c>
      <c r="J191" s="20">
        <v>0.68</v>
      </c>
      <c r="K191" s="20">
        <v>0.78</v>
      </c>
      <c r="L191" s="20">
        <v>0.43</v>
      </c>
      <c r="M191" s="20">
        <v>0.57</v>
      </c>
      <c r="N191" s="20">
        <v>0.69</v>
      </c>
      <c r="O191" s="20">
        <v>0.33</v>
      </c>
      <c r="P191" s="20">
        <v>0.41</v>
      </c>
      <c r="Q191" s="20">
        <v>0.52</v>
      </c>
      <c r="R191" s="20">
        <v>0.28</v>
      </c>
      <c r="S191" s="20">
        <v>0.32</v>
      </c>
      <c r="T191" s="15">
        <v>0.0</v>
      </c>
      <c r="U191" s="15">
        <v>0.0</v>
      </c>
      <c r="V191" s="15">
        <v>0.0</v>
      </c>
      <c r="W191" s="15">
        <v>0.0</v>
      </c>
    </row>
    <row r="192" ht="15.0" customHeight="1">
      <c r="A192" s="14" t="s">
        <v>367</v>
      </c>
      <c r="B192" s="16">
        <v>108.92</v>
      </c>
      <c r="C192" s="16">
        <v>107.67</v>
      </c>
      <c r="D192" s="16">
        <v>107.0</v>
      </c>
      <c r="E192" s="16">
        <v>106.02</v>
      </c>
      <c r="F192" s="16">
        <v>105.75</v>
      </c>
      <c r="G192" s="16">
        <v>105.34</v>
      </c>
      <c r="H192" s="16">
        <v>104.16</v>
      </c>
      <c r="I192" s="16">
        <v>103.58</v>
      </c>
      <c r="J192" s="16">
        <v>103.46</v>
      </c>
      <c r="K192" s="16">
        <v>102.18</v>
      </c>
      <c r="L192" s="16">
        <v>101.92</v>
      </c>
      <c r="M192" s="16">
        <v>100.28</v>
      </c>
      <c r="N192" s="20">
        <v>98.55</v>
      </c>
      <c r="O192" s="20">
        <v>97.66</v>
      </c>
      <c r="P192" s="20">
        <v>95.85</v>
      </c>
      <c r="Q192" s="20">
        <v>93.18</v>
      </c>
      <c r="R192" s="20">
        <v>89.64</v>
      </c>
      <c r="S192" s="20">
        <v>89.49</v>
      </c>
      <c r="T192" s="20">
        <v>88.7</v>
      </c>
      <c r="U192" s="20">
        <v>85.7</v>
      </c>
      <c r="V192" s="20">
        <v>84.86</v>
      </c>
      <c r="W192" s="20">
        <v>84.86</v>
      </c>
    </row>
    <row r="193" ht="15.0" customHeight="1">
      <c r="A193" s="14" t="s">
        <v>368</v>
      </c>
      <c r="B193" s="16">
        <v>1000.0</v>
      </c>
      <c r="C193" s="16">
        <v>1000.0</v>
      </c>
      <c r="D193" s="16">
        <v>1000.0</v>
      </c>
      <c r="E193" s="16">
        <v>1000.0</v>
      </c>
      <c r="F193" s="16">
        <v>1000.0</v>
      </c>
      <c r="G193" s="16">
        <v>1000.0</v>
      </c>
      <c r="H193" s="16">
        <v>1000.0</v>
      </c>
      <c r="I193" s="16">
        <v>1000.0</v>
      </c>
      <c r="J193" s="16">
        <v>1000.0</v>
      </c>
      <c r="K193" s="16">
        <v>1000.0</v>
      </c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ht="15.0" customHeight="1">
      <c r="A194" s="14" t="s">
        <v>364</v>
      </c>
      <c r="B194" s="20">
        <v>0.77</v>
      </c>
      <c r="C194" s="20">
        <v>0.77</v>
      </c>
      <c r="D194" s="20">
        <v>0.76</v>
      </c>
      <c r="E194" s="20">
        <v>0.76</v>
      </c>
      <c r="F194" s="20">
        <v>0.75</v>
      </c>
      <c r="G194" s="20">
        <v>0.75</v>
      </c>
      <c r="H194" s="20">
        <v>0.74</v>
      </c>
      <c r="I194" s="20">
        <v>0.74</v>
      </c>
      <c r="J194" s="20">
        <v>0.74</v>
      </c>
      <c r="K194" s="20">
        <v>0.73</v>
      </c>
      <c r="L194" s="20">
        <v>0.72</v>
      </c>
      <c r="M194" s="20">
        <v>0.71</v>
      </c>
      <c r="N194" s="20">
        <v>0.7</v>
      </c>
      <c r="O194" s="20">
        <v>0.69</v>
      </c>
      <c r="P194" s="20">
        <v>0.68</v>
      </c>
      <c r="Q194" s="20">
        <v>0.66</v>
      </c>
      <c r="R194" s="20">
        <v>0.64</v>
      </c>
      <c r="S194" s="20">
        <v>0.64</v>
      </c>
      <c r="T194" s="20">
        <v>0.63</v>
      </c>
      <c r="U194" s="20">
        <v>0.61</v>
      </c>
      <c r="V194" s="20">
        <v>0.6</v>
      </c>
      <c r="W194" s="20">
        <v>0.6</v>
      </c>
    </row>
    <row r="195" ht="15.0" customHeight="1">
      <c r="A195" s="14" t="s">
        <v>369</v>
      </c>
      <c r="B195" s="16">
        <v>4029.0</v>
      </c>
      <c r="C195" s="16">
        <v>3880.0</v>
      </c>
      <c r="D195" s="16">
        <v>3632.0</v>
      </c>
      <c r="E195" s="16">
        <v>3527.0</v>
      </c>
      <c r="F195" s="16">
        <v>3355.0</v>
      </c>
      <c r="G195" s="16">
        <v>3311.0</v>
      </c>
      <c r="H195" s="16">
        <v>3265.0</v>
      </c>
      <c r="I195" s="16">
        <v>3154.0</v>
      </c>
      <c r="J195" s="16">
        <v>3161.0</v>
      </c>
      <c r="K195" s="16">
        <v>3469.0</v>
      </c>
      <c r="L195" s="16">
        <v>3401.0</v>
      </c>
      <c r="M195" s="16">
        <v>3450.0</v>
      </c>
      <c r="N195" s="16">
        <v>3519.0</v>
      </c>
      <c r="O195" s="16">
        <v>3486.0</v>
      </c>
      <c r="P195" s="16">
        <v>3425.0</v>
      </c>
      <c r="Q195" s="16">
        <v>3131.0</v>
      </c>
      <c r="R195" s="16">
        <v>3147.0</v>
      </c>
      <c r="S195" s="15"/>
      <c r="T195" s="16">
        <v>3176.0</v>
      </c>
      <c r="U195" s="15"/>
      <c r="V195" s="16">
        <v>2969.0</v>
      </c>
      <c r="W195" s="16">
        <v>2961.0</v>
      </c>
    </row>
    <row r="196" ht="15.0" customHeight="1">
      <c r="A196" s="14" t="s">
        <v>370</v>
      </c>
      <c r="B196" s="15"/>
      <c r="C196" s="15"/>
      <c r="D196" s="15"/>
      <c r="E196" s="15"/>
      <c r="F196" s="15"/>
      <c r="G196" s="15"/>
      <c r="H196" s="15"/>
      <c r="I196" s="20">
        <v>44.58</v>
      </c>
      <c r="J196" s="20">
        <v>43.32</v>
      </c>
      <c r="K196" s="20">
        <v>19.07</v>
      </c>
      <c r="L196" s="20">
        <v>24.0</v>
      </c>
      <c r="M196" s="20">
        <v>22.6</v>
      </c>
      <c r="N196" s="20">
        <v>20.85</v>
      </c>
      <c r="O196" s="20">
        <v>17.62</v>
      </c>
      <c r="P196" s="20">
        <v>17.02</v>
      </c>
      <c r="Q196" s="20">
        <v>14.8</v>
      </c>
      <c r="R196" s="20">
        <v>15.76</v>
      </c>
      <c r="S196" s="15"/>
      <c r="T196" s="20">
        <v>13.48</v>
      </c>
      <c r="U196" s="15"/>
      <c r="V196" s="20">
        <v>14.37</v>
      </c>
      <c r="W196" s="20">
        <v>29.66</v>
      </c>
    </row>
    <row r="197" ht="15.0" customHeight="1">
      <c r="A197" s="14" t="s">
        <v>371</v>
      </c>
      <c r="B197" s="15"/>
      <c r="C197" s="15"/>
      <c r="D197" s="15"/>
      <c r="E197" s="15"/>
      <c r="F197" s="15"/>
      <c r="G197" s="15"/>
      <c r="H197" s="15"/>
      <c r="I197" s="20">
        <v>56.47</v>
      </c>
      <c r="J197" s="20">
        <v>56.12</v>
      </c>
      <c r="K197" s="20">
        <v>35.41</v>
      </c>
      <c r="L197" s="20">
        <v>36.48</v>
      </c>
      <c r="M197" s="20">
        <v>40.68</v>
      </c>
      <c r="N197" s="20">
        <v>32.52</v>
      </c>
      <c r="O197" s="20">
        <v>30.09</v>
      </c>
      <c r="P197" s="20">
        <v>17.79</v>
      </c>
      <c r="Q197" s="20">
        <v>17.13</v>
      </c>
      <c r="R197" s="20">
        <v>19.08</v>
      </c>
      <c r="S197" s="15"/>
      <c r="T197" s="20">
        <v>18.24</v>
      </c>
      <c r="U197" s="15"/>
      <c r="V197" s="20">
        <v>15.97</v>
      </c>
      <c r="W197" s="20">
        <v>17.3</v>
      </c>
    </row>
    <row r="198" ht="15.0" customHeight="1">
      <c r="A198" s="14" t="s">
        <v>372</v>
      </c>
      <c r="B198" s="15"/>
      <c r="C198" s="15"/>
      <c r="D198" s="15"/>
      <c r="E198" s="15"/>
      <c r="F198" s="15"/>
      <c r="G198" s="15"/>
      <c r="H198" s="15"/>
      <c r="I198" s="20">
        <v>14.86</v>
      </c>
      <c r="J198" s="20">
        <v>3.94</v>
      </c>
      <c r="K198" s="20">
        <v>6.36</v>
      </c>
      <c r="L198" s="20">
        <v>9.6</v>
      </c>
      <c r="M198" s="20">
        <v>10.85</v>
      </c>
      <c r="N198" s="15"/>
      <c r="O198" s="15"/>
      <c r="P198" s="15"/>
      <c r="Q198" s="15"/>
      <c r="R198" s="15">
        <v>0.0</v>
      </c>
      <c r="S198" s="15"/>
      <c r="T198" s="20">
        <v>3.96</v>
      </c>
      <c r="U198" s="15"/>
      <c r="V198" s="15"/>
      <c r="W198" s="15"/>
    </row>
    <row r="199" ht="15.0" customHeight="1">
      <c r="A199" s="14" t="s">
        <v>373</v>
      </c>
      <c r="B199" s="15"/>
      <c r="C199" s="15"/>
      <c r="D199" s="15"/>
      <c r="E199" s="15"/>
      <c r="F199" s="15"/>
      <c r="G199" s="15"/>
      <c r="H199" s="15"/>
      <c r="I199" s="16">
        <v>115.92</v>
      </c>
      <c r="J199" s="16">
        <v>103.37</v>
      </c>
      <c r="K199" s="20">
        <v>60.84</v>
      </c>
      <c r="L199" s="20">
        <v>70.08</v>
      </c>
      <c r="M199" s="20">
        <v>73.22</v>
      </c>
      <c r="N199" s="20">
        <v>53.36</v>
      </c>
      <c r="O199" s="20">
        <v>47.71</v>
      </c>
      <c r="P199" s="20">
        <v>34.82</v>
      </c>
      <c r="Q199" s="20">
        <v>31.93</v>
      </c>
      <c r="R199" s="20">
        <v>34.83</v>
      </c>
      <c r="S199" s="15"/>
      <c r="T199" s="20">
        <v>35.68</v>
      </c>
      <c r="U199" s="15"/>
      <c r="V199" s="20">
        <v>30.34</v>
      </c>
      <c r="W199" s="20">
        <v>46.96</v>
      </c>
    </row>
    <row r="200" ht="15.0" customHeight="1">
      <c r="A200" s="14" t="s">
        <v>374</v>
      </c>
      <c r="B200" s="15">
        <v>91391.0</v>
      </c>
      <c r="C200" s="15">
        <v>90222.0</v>
      </c>
      <c r="D200" s="15">
        <v>88722.0</v>
      </c>
      <c r="E200" s="15">
        <v>79423.0</v>
      </c>
      <c r="F200" s="15">
        <v>80792.0</v>
      </c>
      <c r="G200" s="15">
        <v>72003.0</v>
      </c>
      <c r="H200" s="15">
        <v>66595.0</v>
      </c>
      <c r="I200" s="15">
        <v>72802.0</v>
      </c>
      <c r="J200" s="15">
        <v>57339.0</v>
      </c>
      <c r="K200" s="15">
        <v>48547.0</v>
      </c>
      <c r="L200" s="15">
        <v>48877.0</v>
      </c>
      <c r="M200" s="15">
        <v>51917.0</v>
      </c>
      <c r="N200" s="15">
        <v>56762.0</v>
      </c>
      <c r="O200" s="15">
        <v>56519.0</v>
      </c>
      <c r="P200" s="15">
        <v>57188.0</v>
      </c>
      <c r="Q200" s="15">
        <v>58686.0</v>
      </c>
      <c r="R200" s="15">
        <v>54323.0</v>
      </c>
      <c r="S200" s="15"/>
      <c r="T200" s="15"/>
      <c r="U200" s="15"/>
      <c r="V200" s="15"/>
      <c r="W200" s="1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375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46097.3856306019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39538.0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376</v>
      </c>
      <c r="C15" s="10" t="s">
        <v>376</v>
      </c>
      <c r="D15" s="10" t="s">
        <v>376</v>
      </c>
      <c r="E15" s="10" t="s">
        <v>376</v>
      </c>
      <c r="F15" s="10" t="s">
        <v>376</v>
      </c>
      <c r="G15" s="10" t="s">
        <v>376</v>
      </c>
      <c r="H15" s="10" t="s">
        <v>376</v>
      </c>
      <c r="I15" s="10" t="s">
        <v>376</v>
      </c>
      <c r="J15" s="10" t="s">
        <v>376</v>
      </c>
      <c r="K15" s="10" t="s">
        <v>376</v>
      </c>
      <c r="L15" s="10" t="s">
        <v>376</v>
      </c>
      <c r="M15" s="10" t="s">
        <v>376</v>
      </c>
      <c r="N15" s="10" t="s">
        <v>376</v>
      </c>
      <c r="O15" s="10" t="s">
        <v>376</v>
      </c>
      <c r="P15" s="10" t="s">
        <v>376</v>
      </c>
      <c r="Q15" s="10" t="s">
        <v>376</v>
      </c>
      <c r="R15" s="10" t="s">
        <v>376</v>
      </c>
      <c r="S15" s="10" t="s">
        <v>376</v>
      </c>
      <c r="T15" s="10" t="s">
        <v>376</v>
      </c>
      <c r="U15" s="10" t="s">
        <v>376</v>
      </c>
      <c r="V15" s="10" t="s">
        <v>376</v>
      </c>
      <c r="W15" s="10" t="s">
        <v>376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377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127</v>
      </c>
      <c r="B20" s="16">
        <v>7346.87</v>
      </c>
      <c r="C20" s="16">
        <v>4800.06</v>
      </c>
      <c r="D20" s="16">
        <v>3101.67</v>
      </c>
      <c r="E20" s="16">
        <v>4444.28</v>
      </c>
      <c r="F20" s="16">
        <v>2462.18</v>
      </c>
      <c r="G20" s="16">
        <v>2984.27</v>
      </c>
      <c r="H20" s="16">
        <v>2488.79</v>
      </c>
      <c r="I20" s="16">
        <v>3718.64</v>
      </c>
      <c r="J20" s="16">
        <v>2733.76</v>
      </c>
      <c r="K20" s="16">
        <v>2922.06</v>
      </c>
      <c r="L20" s="16">
        <v>2384.65</v>
      </c>
      <c r="M20" s="16">
        <v>2276.34</v>
      </c>
      <c r="N20" s="16">
        <v>2090.36</v>
      </c>
      <c r="O20" s="16">
        <v>2079.94</v>
      </c>
      <c r="P20" s="16">
        <v>2204.4</v>
      </c>
      <c r="Q20" s="16">
        <v>2034.36</v>
      </c>
      <c r="R20" s="16">
        <v>1806.53</v>
      </c>
      <c r="S20" s="16">
        <v>1523.57</v>
      </c>
      <c r="T20" s="16">
        <v>1538.09</v>
      </c>
      <c r="U20" s="16">
        <v>1582.24</v>
      </c>
      <c r="V20" s="16">
        <v>1243.05</v>
      </c>
      <c r="W20" s="15"/>
    </row>
    <row r="21" ht="15.0" customHeight="1">
      <c r="A21" s="14" t="s">
        <v>378</v>
      </c>
      <c r="B21" s="20">
        <v>45.64</v>
      </c>
      <c r="C21" s="20">
        <v>40.67</v>
      </c>
      <c r="D21" s="20">
        <v>34.22</v>
      </c>
      <c r="E21" s="21">
        <v>-7.07</v>
      </c>
      <c r="F21" s="20">
        <v>10.16</v>
      </c>
      <c r="G21" s="20">
        <v>19.3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379</v>
      </c>
      <c r="B22" s="16">
        <v>663.54</v>
      </c>
      <c r="C22" s="16">
        <v>1078.3</v>
      </c>
      <c r="D22" s="16">
        <v>587.48</v>
      </c>
      <c r="E22" s="16">
        <v>479.45</v>
      </c>
      <c r="F22" s="16">
        <v>465.4</v>
      </c>
      <c r="G22" s="16">
        <v>605.86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4" t="s">
        <v>380</v>
      </c>
      <c r="B23" s="16">
        <v>822.69</v>
      </c>
      <c r="C23" s="15"/>
      <c r="D23" s="15"/>
      <c r="E23" s="15"/>
      <c r="F23" s="15"/>
      <c r="G23" s="15"/>
      <c r="H23" s="16">
        <v>558.21</v>
      </c>
      <c r="I23" s="22">
        <v>-843.01</v>
      </c>
      <c r="J23" s="16">
        <v>458.11</v>
      </c>
      <c r="K23" s="16">
        <v>248.92</v>
      </c>
      <c r="L23" s="16">
        <v>478.54</v>
      </c>
      <c r="M23" s="16">
        <v>399.45</v>
      </c>
      <c r="N23" s="16">
        <v>329.52</v>
      </c>
      <c r="O23" s="16">
        <v>310.16</v>
      </c>
      <c r="P23" s="20">
        <v>19.48</v>
      </c>
      <c r="Q23" s="21">
        <v>-25.61</v>
      </c>
      <c r="R23" s="20">
        <v>7.85</v>
      </c>
      <c r="S23" s="20">
        <v>5.76</v>
      </c>
      <c r="T23" s="21">
        <v>-1.6</v>
      </c>
      <c r="U23" s="16">
        <v>128.7</v>
      </c>
      <c r="V23" s="16">
        <v>178.61</v>
      </c>
      <c r="W23" s="15"/>
    </row>
    <row r="24" ht="15.0" customHeight="1">
      <c r="A24" s="14" t="s">
        <v>381</v>
      </c>
      <c r="B24" s="15"/>
      <c r="C24" s="15"/>
      <c r="D24" s="15"/>
      <c r="E24" s="15"/>
      <c r="F24" s="15"/>
      <c r="G24" s="15"/>
      <c r="H24" s="16">
        <v>552.3</v>
      </c>
      <c r="I24" s="16">
        <v>400.38</v>
      </c>
      <c r="J24" s="16">
        <v>394.67</v>
      </c>
      <c r="K24" s="16">
        <v>377.1</v>
      </c>
      <c r="L24" s="16">
        <v>373.89</v>
      </c>
      <c r="M24" s="16">
        <v>330.92</v>
      </c>
      <c r="N24" s="16">
        <v>300.63</v>
      </c>
      <c r="O24" s="16">
        <v>298.95</v>
      </c>
      <c r="P24" s="15"/>
      <c r="Q24" s="16">
        <v>311.32</v>
      </c>
      <c r="R24" s="15"/>
      <c r="S24" s="15"/>
      <c r="T24" s="15"/>
      <c r="U24" s="15"/>
      <c r="V24" s="15"/>
      <c r="W24" s="15"/>
    </row>
    <row r="25" ht="15.0" customHeight="1">
      <c r="A25" s="14" t="s">
        <v>103</v>
      </c>
      <c r="B25" s="15"/>
      <c r="C25" s="16">
        <v>526.37</v>
      </c>
      <c r="D25" s="16">
        <v>498.5</v>
      </c>
      <c r="E25" s="16">
        <v>411.83</v>
      </c>
      <c r="F25" s="16">
        <v>389.19</v>
      </c>
      <c r="G25" s="16">
        <v>396.76</v>
      </c>
      <c r="H25" s="16">
        <v>357.37</v>
      </c>
      <c r="I25" s="16">
        <v>298.61</v>
      </c>
      <c r="J25" s="16">
        <v>297.63</v>
      </c>
      <c r="K25" s="16">
        <v>283.29</v>
      </c>
      <c r="L25" s="16">
        <v>270.13</v>
      </c>
      <c r="M25" s="16">
        <v>233.15</v>
      </c>
      <c r="N25" s="16">
        <v>204.59</v>
      </c>
      <c r="O25" s="16">
        <v>183.11</v>
      </c>
      <c r="P25" s="16">
        <v>197.14</v>
      </c>
      <c r="Q25" s="16">
        <v>212.88</v>
      </c>
      <c r="R25" s="16">
        <v>227.78</v>
      </c>
      <c r="S25" s="16">
        <v>260.24</v>
      </c>
      <c r="T25" s="16">
        <v>253.14</v>
      </c>
      <c r="U25" s="15"/>
      <c r="V25" s="15"/>
      <c r="W25" s="15"/>
    </row>
    <row r="26" ht="15.0" customHeight="1">
      <c r="A26" s="14" t="s">
        <v>382</v>
      </c>
      <c r="B26" s="15"/>
      <c r="C26" s="16">
        <v>551.93</v>
      </c>
      <c r="D26" s="20">
        <v>90.12</v>
      </c>
      <c r="E26" s="20">
        <v>67.63</v>
      </c>
      <c r="F26" s="20">
        <v>75.2</v>
      </c>
      <c r="G26" s="16">
        <v>208.03</v>
      </c>
      <c r="H26" s="16">
        <v>194.93</v>
      </c>
      <c r="I26" s="20">
        <v>96.01</v>
      </c>
      <c r="J26" s="20">
        <v>88.64</v>
      </c>
      <c r="K26" s="20">
        <v>91.02</v>
      </c>
      <c r="L26" s="20">
        <v>91.24</v>
      </c>
      <c r="M26" s="20">
        <v>82.73</v>
      </c>
      <c r="N26" s="20">
        <v>85.11</v>
      </c>
      <c r="O26" s="16">
        <v>154.71</v>
      </c>
      <c r="P26" s="16">
        <v>134.03</v>
      </c>
      <c r="Q26" s="20">
        <v>97.64</v>
      </c>
      <c r="R26" s="20">
        <v>72.44</v>
      </c>
      <c r="S26" s="15"/>
      <c r="T26" s="15"/>
      <c r="U26" s="15"/>
      <c r="V26" s="15"/>
      <c r="W26" s="15"/>
    </row>
    <row r="27" ht="15.0" customHeight="1">
      <c r="A27" s="14" t="s">
        <v>383</v>
      </c>
      <c r="B27" s="15"/>
      <c r="C27" s="15"/>
      <c r="D27" s="15"/>
      <c r="E27" s="15"/>
      <c r="F27" s="15"/>
      <c r="G27" s="15"/>
      <c r="H27" s="15">
        <v>0.0</v>
      </c>
      <c r="I27" s="20">
        <v>2.88</v>
      </c>
      <c r="J27" s="20">
        <v>8.4</v>
      </c>
      <c r="K27" s="20">
        <v>2.79</v>
      </c>
      <c r="L27" s="20">
        <v>11.63</v>
      </c>
      <c r="M27" s="20">
        <v>15.04</v>
      </c>
      <c r="N27" s="20">
        <v>10.93</v>
      </c>
      <c r="O27" s="20">
        <v>28.4</v>
      </c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384</v>
      </c>
      <c r="B28" s="15"/>
      <c r="C28" s="15"/>
      <c r="D28" s="15"/>
      <c r="E28" s="15"/>
      <c r="F28" s="15"/>
      <c r="G28" s="15"/>
      <c r="H28" s="15"/>
      <c r="I28" s="20">
        <v>2.88</v>
      </c>
      <c r="J28" s="15"/>
      <c r="K28" s="15"/>
      <c r="L28" s="20">
        <v>0.89</v>
      </c>
      <c r="M28" s="15"/>
      <c r="N28" s="15"/>
      <c r="O28" s="21">
        <v>-67.26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385</v>
      </c>
      <c r="B29" s="20">
        <v>1.17</v>
      </c>
      <c r="C29" s="21">
        <v>-3.49</v>
      </c>
      <c r="D29" s="21">
        <v>-87.84</v>
      </c>
      <c r="E29" s="21">
        <v>-1.01</v>
      </c>
      <c r="F29" s="21">
        <v>-39.63</v>
      </c>
      <c r="G29" s="15">
        <v>0.0</v>
      </c>
      <c r="H29" s="21">
        <v>-0.98</v>
      </c>
      <c r="I29" s="15">
        <v>0.0</v>
      </c>
      <c r="J29" s="21">
        <v>-5.6</v>
      </c>
      <c r="K29" s="22">
        <v>-107.74</v>
      </c>
      <c r="L29" s="21">
        <v>-0.89</v>
      </c>
      <c r="M29" s="20">
        <v>5.01</v>
      </c>
      <c r="N29" s="21">
        <v>-0.78</v>
      </c>
      <c r="O29" s="21">
        <v>-2.24</v>
      </c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386</v>
      </c>
      <c r="B30" s="21">
        <v>-1.17</v>
      </c>
      <c r="C30" s="21">
        <v>-4.65</v>
      </c>
      <c r="D30" s="21">
        <v>-4.56</v>
      </c>
      <c r="E30" s="20">
        <v>4.04</v>
      </c>
      <c r="F30" s="21">
        <v>-4.06</v>
      </c>
      <c r="G30" s="20">
        <v>7.51</v>
      </c>
      <c r="H30" s="21">
        <v>-3.94</v>
      </c>
      <c r="I30" s="20">
        <v>3.84</v>
      </c>
      <c r="J30" s="20">
        <v>4.67</v>
      </c>
      <c r="K30" s="21">
        <v>-15.79</v>
      </c>
      <c r="L30" s="21">
        <v>-2.68</v>
      </c>
      <c r="M30" s="20">
        <v>5.01</v>
      </c>
      <c r="N30" s="20">
        <v>7.03</v>
      </c>
      <c r="O30" s="21">
        <v>-3.74</v>
      </c>
      <c r="P30" s="20">
        <v>0.78</v>
      </c>
      <c r="Q30" s="15">
        <v>0.0</v>
      </c>
      <c r="R30" s="20">
        <v>14.84</v>
      </c>
      <c r="S30" s="21">
        <v>-10.71</v>
      </c>
      <c r="T30" s="15">
        <v>0.0</v>
      </c>
      <c r="U30" s="15"/>
      <c r="V30" s="15"/>
      <c r="W30" s="15"/>
    </row>
    <row r="31" ht="15.0" customHeight="1">
      <c r="A31" s="14" t="s">
        <v>387</v>
      </c>
      <c r="B31" s="21">
        <v>-7.02</v>
      </c>
      <c r="C31" s="21">
        <v>-15.11</v>
      </c>
      <c r="D31" s="22">
        <v>-182.52</v>
      </c>
      <c r="E31" s="20">
        <v>27.25</v>
      </c>
      <c r="F31" s="20">
        <v>63.0</v>
      </c>
      <c r="G31" s="21">
        <v>-21.45</v>
      </c>
      <c r="H31" s="20">
        <v>4.92</v>
      </c>
      <c r="I31" s="21">
        <v>-35.53</v>
      </c>
      <c r="J31" s="20">
        <v>42.92</v>
      </c>
      <c r="K31" s="20">
        <v>58.52</v>
      </c>
      <c r="L31" s="20">
        <v>80.5</v>
      </c>
      <c r="M31" s="20">
        <v>37.6</v>
      </c>
      <c r="N31" s="15">
        <v>0.0</v>
      </c>
      <c r="O31" s="21">
        <v>-2.24</v>
      </c>
      <c r="P31" s="21">
        <v>-46.75</v>
      </c>
      <c r="Q31" s="21">
        <v>-16.01</v>
      </c>
      <c r="R31" s="21">
        <v>-4.36</v>
      </c>
      <c r="S31" s="21">
        <v>-21.41</v>
      </c>
      <c r="T31" s="20">
        <v>49.67</v>
      </c>
      <c r="U31" s="15"/>
      <c r="V31" s="15"/>
      <c r="W31" s="15"/>
    </row>
    <row r="32" ht="15.0" customHeight="1">
      <c r="A32" s="14" t="s">
        <v>388</v>
      </c>
      <c r="B32" s="20">
        <v>17.55</v>
      </c>
      <c r="C32" s="20">
        <v>24.4</v>
      </c>
      <c r="D32" s="21">
        <v>-1.14</v>
      </c>
      <c r="E32" s="20">
        <v>2.02</v>
      </c>
      <c r="F32" s="20">
        <v>1.02</v>
      </c>
      <c r="G32" s="15"/>
      <c r="H32" s="15">
        <v>0.0</v>
      </c>
      <c r="I32" s="20">
        <v>0.96</v>
      </c>
      <c r="J32" s="21">
        <v>-1.87</v>
      </c>
      <c r="K32" s="21">
        <v>-0.93</v>
      </c>
      <c r="L32" s="20">
        <v>1.79</v>
      </c>
      <c r="M32" s="20">
        <v>1.67</v>
      </c>
      <c r="N32" s="15">
        <v>0.0</v>
      </c>
      <c r="O32" s="21">
        <v>-0.75</v>
      </c>
      <c r="P32" s="21">
        <v>-1.56</v>
      </c>
      <c r="Q32" s="15">
        <v>0.0</v>
      </c>
      <c r="R32" s="20">
        <v>0.87</v>
      </c>
      <c r="S32" s="20">
        <v>1.65</v>
      </c>
      <c r="T32" s="21">
        <v>-5.61</v>
      </c>
      <c r="U32" s="15"/>
      <c r="V32" s="15"/>
      <c r="W32" s="15"/>
    </row>
    <row r="33" ht="15.0" customHeight="1">
      <c r="A33" s="14" t="s">
        <v>389</v>
      </c>
      <c r="B33" s="16">
        <v>102.98</v>
      </c>
      <c r="C33" s="22">
        <v>-632.11</v>
      </c>
      <c r="D33" s="20">
        <v>65.02</v>
      </c>
      <c r="E33" s="16">
        <v>641.96</v>
      </c>
      <c r="F33" s="20">
        <v>14.23</v>
      </c>
      <c r="G33" s="20">
        <v>13.94</v>
      </c>
      <c r="H33" s="20">
        <v>5.91</v>
      </c>
      <c r="I33" s="22">
        <v>-1212.66</v>
      </c>
      <c r="J33" s="20">
        <v>23.33</v>
      </c>
      <c r="K33" s="21">
        <v>-62.23</v>
      </c>
      <c r="L33" s="20">
        <v>25.94</v>
      </c>
      <c r="M33" s="20">
        <v>19.22</v>
      </c>
      <c r="N33" s="20">
        <v>21.86</v>
      </c>
      <c r="O33" s="20">
        <v>16.44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390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20">
        <v>0.78</v>
      </c>
      <c r="O34" s="20">
        <v>3.74</v>
      </c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391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2">
        <v>-331.95</v>
      </c>
      <c r="Q35" s="22">
        <v>-220.08</v>
      </c>
      <c r="R35" s="16">
        <v>133.53</v>
      </c>
      <c r="S35" s="22">
        <v>-123.53</v>
      </c>
      <c r="T35" s="22">
        <v>-117.76</v>
      </c>
      <c r="U35" s="22">
        <v>-148.81</v>
      </c>
      <c r="V35" s="21">
        <v>-40.85</v>
      </c>
      <c r="W35" s="15"/>
    </row>
    <row r="36" ht="15.0" customHeight="1">
      <c r="A36" s="14" t="s">
        <v>318</v>
      </c>
      <c r="B36" s="15"/>
      <c r="C36" s="16">
        <v>486.86</v>
      </c>
      <c r="D36" s="16">
        <v>411.81</v>
      </c>
      <c r="E36" s="16">
        <v>1146.65</v>
      </c>
      <c r="F36" s="16">
        <v>510.12</v>
      </c>
      <c r="G36" s="16">
        <v>624.09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392</v>
      </c>
      <c r="B37" s="22">
        <v>-3481.52</v>
      </c>
      <c r="C37" s="15"/>
      <c r="D37" s="15"/>
      <c r="E37" s="15"/>
      <c r="F37" s="15"/>
      <c r="G37" s="15"/>
      <c r="H37" s="16">
        <v>142.75</v>
      </c>
      <c r="I37" s="21">
        <v>-97.93</v>
      </c>
      <c r="J37" s="22">
        <v>-362.95</v>
      </c>
      <c r="K37" s="22">
        <v>-306.51</v>
      </c>
      <c r="L37" s="22">
        <v>-133.28</v>
      </c>
      <c r="M37" s="16">
        <v>361.0</v>
      </c>
      <c r="N37" s="22">
        <v>-171.01</v>
      </c>
      <c r="O37" s="22">
        <v>-215.99</v>
      </c>
      <c r="P37" s="15"/>
      <c r="Q37" s="15"/>
      <c r="R37" s="15"/>
      <c r="S37" s="15"/>
      <c r="T37" s="15"/>
      <c r="U37" s="22">
        <v>-149.62</v>
      </c>
      <c r="V37" s="21">
        <v>-40.85</v>
      </c>
      <c r="W37" s="15"/>
    </row>
    <row r="38" ht="15.0" customHeight="1">
      <c r="A38" s="14" t="s">
        <v>393</v>
      </c>
      <c r="B38" s="22">
        <v>-3937.92</v>
      </c>
      <c r="C38" s="22">
        <v>-415.98</v>
      </c>
      <c r="D38" s="22">
        <v>-1015.26</v>
      </c>
      <c r="E38" s="16">
        <v>111.03</v>
      </c>
      <c r="F38" s="22">
        <v>-220.51</v>
      </c>
      <c r="G38" s="16">
        <v>353.87</v>
      </c>
      <c r="H38" s="21">
        <v>-1.97</v>
      </c>
      <c r="I38" s="20">
        <v>42.25</v>
      </c>
      <c r="J38" s="20">
        <v>5.6</v>
      </c>
      <c r="K38" s="21">
        <v>-72.45</v>
      </c>
      <c r="L38" s="22">
        <v>-178.89</v>
      </c>
      <c r="M38" s="20">
        <v>54.32</v>
      </c>
      <c r="N38" s="22">
        <v>-274.08</v>
      </c>
      <c r="O38" s="21">
        <v>-1.49</v>
      </c>
      <c r="P38" s="22">
        <v>-390.39</v>
      </c>
      <c r="Q38" s="22">
        <v>-142.45</v>
      </c>
      <c r="R38" s="22">
        <v>-181.53</v>
      </c>
      <c r="S38" s="21">
        <v>-17.29</v>
      </c>
      <c r="T38" s="21">
        <v>-76.9</v>
      </c>
      <c r="U38" s="15"/>
      <c r="V38" s="15"/>
      <c r="W38" s="15"/>
    </row>
    <row r="39" ht="15.0" customHeight="1">
      <c r="A39" s="14" t="s">
        <v>394</v>
      </c>
      <c r="B39" s="22">
        <v>-444.7</v>
      </c>
      <c r="C39" s="22">
        <v>-655.35</v>
      </c>
      <c r="D39" s="22">
        <v>-546.41</v>
      </c>
      <c r="E39" s="21">
        <v>-41.38</v>
      </c>
      <c r="F39" s="21">
        <v>-70.12</v>
      </c>
      <c r="G39" s="22">
        <v>-310.97</v>
      </c>
      <c r="H39" s="21">
        <v>-78.76</v>
      </c>
      <c r="I39" s="22">
        <v>-101.78</v>
      </c>
      <c r="J39" s="20">
        <v>18.66</v>
      </c>
      <c r="K39" s="22">
        <v>-196.91</v>
      </c>
      <c r="L39" s="22">
        <v>-244.19</v>
      </c>
      <c r="M39" s="16">
        <v>127.86</v>
      </c>
      <c r="N39" s="22">
        <v>-129.62</v>
      </c>
      <c r="O39" s="22">
        <v>-207.77</v>
      </c>
      <c r="P39" s="22">
        <v>-158.96</v>
      </c>
      <c r="Q39" s="21">
        <v>-65.62</v>
      </c>
      <c r="R39" s="20">
        <v>79.42</v>
      </c>
      <c r="S39" s="21">
        <v>-88.12</v>
      </c>
      <c r="T39" s="22">
        <v>-111.35</v>
      </c>
      <c r="U39" s="15"/>
      <c r="V39" s="15"/>
      <c r="W39" s="15"/>
    </row>
    <row r="40" ht="15.0" customHeight="1">
      <c r="A40" s="14" t="s">
        <v>395</v>
      </c>
      <c r="B40" s="16">
        <v>901.1</v>
      </c>
      <c r="C40" s="16">
        <v>242.85</v>
      </c>
      <c r="D40" s="21">
        <v>-90.12</v>
      </c>
      <c r="E40" s="22">
        <v>-321.99</v>
      </c>
      <c r="F40" s="21">
        <v>-78.24</v>
      </c>
      <c r="G40" s="16">
        <v>247.71</v>
      </c>
      <c r="H40" s="16">
        <v>223.48</v>
      </c>
      <c r="I40" s="21">
        <v>-37.45</v>
      </c>
      <c r="J40" s="22">
        <v>-388.14</v>
      </c>
      <c r="K40" s="21">
        <v>-37.15</v>
      </c>
      <c r="L40" s="16">
        <v>290.7</v>
      </c>
      <c r="M40" s="16">
        <v>179.67</v>
      </c>
      <c r="N40" s="16">
        <v>232.7</v>
      </c>
      <c r="O40" s="21">
        <v>-6.73</v>
      </c>
      <c r="P40" s="16">
        <v>217.4</v>
      </c>
      <c r="Q40" s="21">
        <v>-12.0</v>
      </c>
      <c r="R40" s="16">
        <v>235.63</v>
      </c>
      <c r="S40" s="21">
        <v>-18.12</v>
      </c>
      <c r="T40" s="20">
        <v>70.5</v>
      </c>
      <c r="U40" s="15"/>
      <c r="V40" s="15"/>
      <c r="W40" s="15"/>
    </row>
    <row r="41" ht="15.0" customHeight="1">
      <c r="A41" s="14" t="s">
        <v>396</v>
      </c>
      <c r="B41" s="15"/>
      <c r="C41" s="15"/>
      <c r="D41" s="15"/>
      <c r="E41" s="15"/>
      <c r="F41" s="15"/>
      <c r="G41" s="15"/>
      <c r="H41" s="15"/>
      <c r="I41" s="21">
        <v>-0.96</v>
      </c>
      <c r="J41" s="20">
        <v>0.93</v>
      </c>
      <c r="K41" s="15"/>
      <c r="L41" s="21">
        <v>-0.89</v>
      </c>
      <c r="M41" s="21">
        <v>-0.84</v>
      </c>
      <c r="N41" s="15"/>
      <c r="O41" s="15"/>
      <c r="P41" s="15"/>
      <c r="Q41" s="15"/>
      <c r="R41" s="20">
        <v>3.49</v>
      </c>
      <c r="S41" s="20">
        <v>19.77</v>
      </c>
      <c r="T41" s="15"/>
      <c r="U41" s="15"/>
      <c r="V41" s="15"/>
      <c r="W41" s="15"/>
    </row>
    <row r="42" ht="15.0" customHeight="1">
      <c r="A42" s="14" t="s">
        <v>397</v>
      </c>
      <c r="B42" s="15"/>
      <c r="C42" s="22">
        <v>-828.48</v>
      </c>
      <c r="D42" s="22">
        <v>-1651.79</v>
      </c>
      <c r="E42" s="22">
        <v>-252.34</v>
      </c>
      <c r="F42" s="22">
        <v>-368.87</v>
      </c>
      <c r="G42" s="16">
        <v>290.6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398</v>
      </c>
      <c r="B43" s="22">
        <v>-140.43</v>
      </c>
      <c r="C43" s="22">
        <v>-106.9</v>
      </c>
      <c r="D43" s="21">
        <v>-88.98</v>
      </c>
      <c r="E43" s="21">
        <v>-50.47</v>
      </c>
      <c r="F43" s="21">
        <v>-21.34</v>
      </c>
      <c r="G43" s="21">
        <v>-60.05</v>
      </c>
      <c r="H43" s="21">
        <v>-68.91</v>
      </c>
      <c r="I43" s="21">
        <v>-56.65</v>
      </c>
      <c r="J43" s="21">
        <v>-57.85</v>
      </c>
      <c r="K43" s="22">
        <v>-110.53</v>
      </c>
      <c r="L43" s="21">
        <v>-97.5</v>
      </c>
      <c r="M43" s="21">
        <v>-80.22</v>
      </c>
      <c r="N43" s="21">
        <v>-47.63</v>
      </c>
      <c r="O43" s="21">
        <v>-45.59</v>
      </c>
      <c r="P43" s="21">
        <v>-48.31</v>
      </c>
      <c r="Q43" s="21">
        <v>-45.62</v>
      </c>
      <c r="R43" s="21">
        <v>-84.65</v>
      </c>
      <c r="S43" s="21">
        <v>-57.65</v>
      </c>
      <c r="T43" s="21">
        <v>-16.82</v>
      </c>
      <c r="U43" s="21">
        <v>-30.57</v>
      </c>
      <c r="V43" s="21">
        <v>-36.04</v>
      </c>
      <c r="W43" s="15"/>
    </row>
    <row r="44" ht="15.0" customHeight="1">
      <c r="A44" s="14" t="s">
        <v>399</v>
      </c>
      <c r="B44" s="16">
        <v>100.64</v>
      </c>
      <c r="C44" s="20">
        <v>69.72</v>
      </c>
      <c r="D44" s="20">
        <v>54.76</v>
      </c>
      <c r="E44" s="20">
        <v>60.56</v>
      </c>
      <c r="F44" s="20">
        <v>12.19</v>
      </c>
      <c r="G44" s="20">
        <v>40.75</v>
      </c>
      <c r="H44" s="20">
        <v>30.52</v>
      </c>
      <c r="I44" s="20">
        <v>16.32</v>
      </c>
      <c r="J44" s="20">
        <v>13.06</v>
      </c>
      <c r="K44" s="20">
        <v>71.52</v>
      </c>
      <c r="L44" s="20">
        <v>68.87</v>
      </c>
      <c r="M44" s="20">
        <v>29.25</v>
      </c>
      <c r="N44" s="20">
        <v>28.89</v>
      </c>
      <c r="O44" s="20">
        <v>36.62</v>
      </c>
      <c r="P44" s="20">
        <v>38.96</v>
      </c>
      <c r="Q44" s="20">
        <v>34.41</v>
      </c>
      <c r="R44" s="20">
        <v>42.76</v>
      </c>
      <c r="S44" s="20">
        <v>61.77</v>
      </c>
      <c r="T44" s="20">
        <v>30.44</v>
      </c>
      <c r="U44" s="20">
        <v>28.15</v>
      </c>
      <c r="V44" s="20">
        <v>40.05</v>
      </c>
      <c r="W44" s="15"/>
    </row>
    <row r="45" ht="15.0" customHeight="1">
      <c r="A45" s="14" t="s">
        <v>400</v>
      </c>
      <c r="B45" s="15">
        <v>0.0</v>
      </c>
      <c r="C45" s="15">
        <v>0.0</v>
      </c>
      <c r="D45" s="15">
        <v>0.0</v>
      </c>
      <c r="E45" s="15">
        <v>0.0</v>
      </c>
      <c r="F45" s="15">
        <v>0.0</v>
      </c>
      <c r="G45" s="15">
        <v>0.0</v>
      </c>
      <c r="H45" s="15"/>
      <c r="I45" s="15"/>
      <c r="J45" s="15">
        <v>0.0</v>
      </c>
      <c r="K45" s="20">
        <v>0.93</v>
      </c>
      <c r="L45" s="20">
        <v>1.79</v>
      </c>
      <c r="M45" s="20">
        <v>1.67</v>
      </c>
      <c r="N45" s="20">
        <v>2.34</v>
      </c>
      <c r="O45" s="15">
        <v>0.0</v>
      </c>
      <c r="P45" s="20">
        <v>0.78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401</v>
      </c>
      <c r="B46" s="22">
        <v>-940.89</v>
      </c>
      <c r="C46" s="22">
        <v>-1010.91</v>
      </c>
      <c r="D46" s="22">
        <v>-469.99</v>
      </c>
      <c r="E46" s="22">
        <v>-964.96</v>
      </c>
      <c r="F46" s="22">
        <v>-402.4</v>
      </c>
      <c r="G46" s="22">
        <v>-672.35</v>
      </c>
      <c r="H46" s="22">
        <v>-485.35</v>
      </c>
      <c r="I46" s="22">
        <v>-521.36</v>
      </c>
      <c r="J46" s="22">
        <v>-653.12</v>
      </c>
      <c r="K46" s="22">
        <v>-512.71</v>
      </c>
      <c r="L46" s="22">
        <v>-422.19</v>
      </c>
      <c r="M46" s="22">
        <v>-508.92</v>
      </c>
      <c r="N46" s="22">
        <v>-552.85</v>
      </c>
      <c r="O46" s="22">
        <v>-512.7</v>
      </c>
      <c r="P46" s="22">
        <v>-617.92</v>
      </c>
      <c r="Q46" s="22">
        <v>-399.35</v>
      </c>
      <c r="R46" s="22">
        <v>-441.6</v>
      </c>
      <c r="S46" s="22">
        <v>-452.13</v>
      </c>
      <c r="T46" s="22">
        <v>-444.6</v>
      </c>
      <c r="U46" s="22">
        <v>-422.31</v>
      </c>
      <c r="V46" s="22">
        <v>-313.17</v>
      </c>
      <c r="W46" s="15"/>
    </row>
    <row r="47" ht="15.0" customHeight="1">
      <c r="A47" s="14" t="s">
        <v>402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20">
        <v>0.78</v>
      </c>
      <c r="Q47" s="15">
        <v>0.0</v>
      </c>
      <c r="R47" s="20">
        <v>9.6</v>
      </c>
      <c r="S47" s="20">
        <v>0.82</v>
      </c>
      <c r="T47" s="21">
        <v>-44.86</v>
      </c>
      <c r="U47" s="15"/>
      <c r="V47" s="15"/>
      <c r="W47" s="15"/>
    </row>
    <row r="48" ht="15.0" customHeight="1">
      <c r="A48" s="14" t="s">
        <v>403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20">
        <v>0.82</v>
      </c>
      <c r="T48" s="15"/>
      <c r="U48" s="20">
        <v>0.8</v>
      </c>
      <c r="V48" s="15"/>
      <c r="W48" s="15"/>
    </row>
    <row r="49" ht="15.0" customHeight="1">
      <c r="A49" s="14" t="s">
        <v>404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>
        <v>1173.94</v>
      </c>
    </row>
    <row r="50" ht="15.0" customHeight="1">
      <c r="A50" s="14" t="s">
        <v>405</v>
      </c>
      <c r="B50" s="15"/>
      <c r="C50" s="21">
        <v>-2.32</v>
      </c>
      <c r="D50" s="15"/>
      <c r="E50" s="20">
        <v>1.01</v>
      </c>
      <c r="F50" s="20">
        <v>1.02</v>
      </c>
      <c r="G50" s="15"/>
      <c r="H50" s="15"/>
      <c r="I50" s="20">
        <v>0.96</v>
      </c>
      <c r="J50" s="15"/>
      <c r="K50" s="15"/>
      <c r="L50" s="21">
        <v>-0.89</v>
      </c>
      <c r="M50" s="20">
        <v>0.84</v>
      </c>
      <c r="N50" s="20">
        <v>0.78</v>
      </c>
      <c r="O50" s="21">
        <v>-0.75</v>
      </c>
      <c r="P50" s="15"/>
      <c r="Q50" s="22">
        <v>-310.52</v>
      </c>
      <c r="R50" s="21">
        <v>-3.49</v>
      </c>
      <c r="S50" s="21">
        <v>-19.77</v>
      </c>
      <c r="T50" s="15"/>
      <c r="U50" s="16">
        <v>148.81</v>
      </c>
      <c r="V50" s="20">
        <v>40.85</v>
      </c>
      <c r="W50" s="15"/>
    </row>
    <row r="51" ht="15.0" customHeight="1">
      <c r="A51" s="17" t="s">
        <v>406</v>
      </c>
      <c r="B51" s="19">
        <v>3707.37</v>
      </c>
      <c r="C51" s="19">
        <v>3409.19</v>
      </c>
      <c r="D51" s="19">
        <v>1357.48</v>
      </c>
      <c r="E51" s="19">
        <v>4384.73</v>
      </c>
      <c r="F51" s="19">
        <v>2191.87</v>
      </c>
      <c r="G51" s="19">
        <v>3207.31</v>
      </c>
      <c r="H51" s="19">
        <v>2666.0</v>
      </c>
      <c r="I51" s="19">
        <v>2216.98</v>
      </c>
      <c r="J51" s="19">
        <v>2131.02</v>
      </c>
      <c r="K51" s="19">
        <v>2313.68</v>
      </c>
      <c r="L51" s="19">
        <v>2279.99</v>
      </c>
      <c r="M51" s="19">
        <v>2479.4</v>
      </c>
      <c r="N51" s="19">
        <v>1680.41</v>
      </c>
      <c r="O51" s="19">
        <v>1651.7</v>
      </c>
      <c r="P51" s="19">
        <v>1549.86</v>
      </c>
      <c r="Q51" s="19">
        <v>1673.43</v>
      </c>
      <c r="R51" s="19">
        <v>1785.59</v>
      </c>
      <c r="S51" s="19">
        <v>1189.21</v>
      </c>
      <c r="T51" s="19">
        <v>1240.08</v>
      </c>
      <c r="U51" s="19">
        <v>1137.41</v>
      </c>
      <c r="V51" s="19">
        <v>1071.65</v>
      </c>
      <c r="W51" s="19">
        <v>1173.94</v>
      </c>
    </row>
    <row r="52" ht="15.0" customHeight="1">
      <c r="A52" s="14" t="s">
        <v>407</v>
      </c>
      <c r="B52" s="22">
        <v>-858.97</v>
      </c>
      <c r="C52" s="22">
        <v>-723.9</v>
      </c>
      <c r="D52" s="22">
        <v>-748.33</v>
      </c>
      <c r="E52" s="22">
        <v>-570.3</v>
      </c>
      <c r="F52" s="22">
        <v>-477.6</v>
      </c>
      <c r="G52" s="22">
        <v>-364.59</v>
      </c>
      <c r="H52" s="22">
        <v>-282.55</v>
      </c>
      <c r="I52" s="22">
        <v>-365.82</v>
      </c>
      <c r="J52" s="22">
        <v>-626.06</v>
      </c>
      <c r="K52" s="22">
        <v>-380.81</v>
      </c>
      <c r="L52" s="22">
        <v>-343.47</v>
      </c>
      <c r="M52" s="22">
        <v>-430.36</v>
      </c>
      <c r="N52" s="22">
        <v>-514.59</v>
      </c>
      <c r="O52" s="22">
        <v>-316.89</v>
      </c>
      <c r="P52" s="22">
        <v>-199.48</v>
      </c>
      <c r="Q52" s="22">
        <v>-176.87</v>
      </c>
      <c r="R52" s="22">
        <v>-214.69</v>
      </c>
      <c r="S52" s="22">
        <v>-253.65</v>
      </c>
      <c r="T52" s="22">
        <v>-215.49</v>
      </c>
      <c r="U52" s="22">
        <v>-183.4</v>
      </c>
      <c r="V52" s="22">
        <v>-173.8</v>
      </c>
      <c r="W52" s="15"/>
    </row>
    <row r="53" ht="15.0" customHeight="1">
      <c r="A53" s="14" t="s">
        <v>408</v>
      </c>
      <c r="B53" s="22">
        <v>-283.2</v>
      </c>
      <c r="C53" s="22">
        <v>-285.84</v>
      </c>
      <c r="D53" s="22">
        <v>-584.06</v>
      </c>
      <c r="E53" s="22">
        <v>-167.56</v>
      </c>
      <c r="F53" s="22">
        <v>-386.14</v>
      </c>
      <c r="G53" s="21">
        <v>-71.85</v>
      </c>
      <c r="H53" s="21">
        <v>-73.84</v>
      </c>
      <c r="I53" s="22">
        <v>-275.56</v>
      </c>
      <c r="J53" s="21">
        <v>-87.7</v>
      </c>
      <c r="K53" s="21">
        <v>-62.23</v>
      </c>
      <c r="L53" s="21">
        <v>-42.93</v>
      </c>
      <c r="M53" s="21">
        <v>-40.95</v>
      </c>
      <c r="N53" s="21">
        <v>-57.78</v>
      </c>
      <c r="O53" s="21">
        <v>-50.07</v>
      </c>
      <c r="P53" s="22">
        <v>-155.06</v>
      </c>
      <c r="Q53" s="22">
        <v>-106.44</v>
      </c>
      <c r="R53" s="22">
        <v>-315.05</v>
      </c>
      <c r="S53" s="22">
        <v>-189.42</v>
      </c>
      <c r="T53" s="21">
        <v>-61.68</v>
      </c>
      <c r="U53" s="15"/>
      <c r="V53" s="15"/>
      <c r="W53" s="15"/>
    </row>
    <row r="54" ht="15.0" customHeight="1">
      <c r="A54" s="14" t="s">
        <v>409</v>
      </c>
      <c r="B54" s="20">
        <v>35.11</v>
      </c>
      <c r="C54" s="20">
        <v>19.75</v>
      </c>
      <c r="D54" s="20">
        <v>96.96</v>
      </c>
      <c r="E54" s="20">
        <v>9.08</v>
      </c>
      <c r="F54" s="20">
        <v>47.76</v>
      </c>
      <c r="G54" s="20">
        <v>10.72</v>
      </c>
      <c r="H54" s="20">
        <v>7.88</v>
      </c>
      <c r="I54" s="20">
        <v>8.64</v>
      </c>
      <c r="J54" s="20">
        <v>14.93</v>
      </c>
      <c r="K54" s="16">
        <v>247.07</v>
      </c>
      <c r="L54" s="20">
        <v>8.94</v>
      </c>
      <c r="M54" s="20">
        <v>12.53</v>
      </c>
      <c r="N54" s="20">
        <v>15.62</v>
      </c>
      <c r="O54" s="20">
        <v>14.95</v>
      </c>
      <c r="P54" s="20">
        <v>9.35</v>
      </c>
      <c r="Q54" s="20">
        <v>9.6</v>
      </c>
      <c r="R54" s="20">
        <v>6.98</v>
      </c>
      <c r="S54" s="20">
        <v>12.35</v>
      </c>
      <c r="T54" s="20">
        <v>23.23</v>
      </c>
      <c r="U54" s="16">
        <v>104.57</v>
      </c>
      <c r="V54" s="20">
        <v>63.27</v>
      </c>
      <c r="W54" s="15"/>
    </row>
    <row r="55" ht="15.0" customHeight="1">
      <c r="A55" s="14" t="s">
        <v>410</v>
      </c>
      <c r="B55" s="21">
        <v>-46.81</v>
      </c>
      <c r="C55" s="15">
        <v>0.0</v>
      </c>
      <c r="D55" s="21">
        <v>-1.14</v>
      </c>
      <c r="E55" s="22">
        <v>-827.69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>
        <v>0.0</v>
      </c>
      <c r="Q55" s="21">
        <v>-10.4</v>
      </c>
      <c r="R55" s="15"/>
      <c r="S55" s="15"/>
      <c r="T55" s="15"/>
      <c r="U55" s="21">
        <v>-9.65</v>
      </c>
      <c r="V55" s="15">
        <v>0.0</v>
      </c>
      <c r="W55" s="15"/>
    </row>
    <row r="56" ht="15.0" customHeight="1">
      <c r="A56" s="14" t="s">
        <v>411</v>
      </c>
      <c r="B56" s="15"/>
      <c r="C56" s="15"/>
      <c r="D56" s="15"/>
      <c r="E56" s="15"/>
      <c r="F56" s="15"/>
      <c r="G56" s="15"/>
      <c r="H56" s="20">
        <v>13.78</v>
      </c>
      <c r="I56" s="16">
        <v>1548.71</v>
      </c>
      <c r="J56" s="15"/>
      <c r="K56" s="15"/>
      <c r="L56" s="15"/>
      <c r="M56" s="15"/>
      <c r="N56" s="15"/>
      <c r="O56" s="15"/>
      <c r="P56" s="20">
        <v>2.34</v>
      </c>
      <c r="Q56" s="20">
        <v>36.01</v>
      </c>
      <c r="R56" s="15"/>
      <c r="S56" s="15"/>
      <c r="T56" s="15"/>
      <c r="U56" s="15"/>
      <c r="V56" s="15"/>
      <c r="W56" s="15"/>
    </row>
    <row r="57" ht="15.0" customHeight="1">
      <c r="A57" s="14" t="s">
        <v>412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>
        <v>0.0</v>
      </c>
      <c r="O57" s="15"/>
      <c r="P57" s="15">
        <v>0.0</v>
      </c>
      <c r="Q57" s="20">
        <v>1.6</v>
      </c>
      <c r="R57" s="20">
        <v>4.36</v>
      </c>
      <c r="S57" s="20">
        <v>4.12</v>
      </c>
      <c r="T57" s="20">
        <v>50.47</v>
      </c>
      <c r="U57" s="15"/>
      <c r="V57" s="15"/>
      <c r="W57" s="15"/>
    </row>
    <row r="58" ht="15.0" customHeight="1">
      <c r="A58" s="14" t="s">
        <v>141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0">
        <v>0.78</v>
      </c>
      <c r="Q58" s="15"/>
      <c r="R58" s="21">
        <v>-0.87</v>
      </c>
      <c r="S58" s="15"/>
      <c r="T58" s="15"/>
      <c r="U58" s="20">
        <v>0.8</v>
      </c>
      <c r="V58" s="15"/>
      <c r="W58" s="15"/>
    </row>
    <row r="59" ht="15.0" customHeight="1">
      <c r="A59" s="14" t="s">
        <v>413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22">
        <v>-113.8</v>
      </c>
    </row>
    <row r="60" ht="15.0" customHeight="1">
      <c r="A60" s="14" t="s">
        <v>414</v>
      </c>
      <c r="B60" s="15"/>
      <c r="C60" s="15"/>
      <c r="D60" s="15"/>
      <c r="E60" s="21">
        <v>-1.01</v>
      </c>
      <c r="F60" s="20">
        <v>1.02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7" t="s">
        <v>415</v>
      </c>
      <c r="B61" s="25">
        <v>-1153.87</v>
      </c>
      <c r="C61" s="25">
        <v>-989.99</v>
      </c>
      <c r="D61" s="25">
        <v>-1236.56</v>
      </c>
      <c r="E61" s="25">
        <v>-1557.47</v>
      </c>
      <c r="F61" s="25">
        <v>-814.97</v>
      </c>
      <c r="G61" s="25">
        <v>-425.71</v>
      </c>
      <c r="H61" s="25">
        <v>-334.73</v>
      </c>
      <c r="I61" s="19">
        <v>915.98</v>
      </c>
      <c r="J61" s="25">
        <v>-698.83</v>
      </c>
      <c r="K61" s="25">
        <v>-195.98</v>
      </c>
      <c r="L61" s="25">
        <v>-377.46</v>
      </c>
      <c r="M61" s="25">
        <v>-458.78</v>
      </c>
      <c r="N61" s="25">
        <v>-556.75</v>
      </c>
      <c r="O61" s="25">
        <v>-352.01</v>
      </c>
      <c r="P61" s="25">
        <v>-342.08</v>
      </c>
      <c r="Q61" s="25">
        <v>-246.49</v>
      </c>
      <c r="R61" s="25">
        <v>-519.27</v>
      </c>
      <c r="S61" s="25">
        <v>-426.6</v>
      </c>
      <c r="T61" s="25">
        <v>-203.48</v>
      </c>
      <c r="U61" s="23">
        <v>-87.68</v>
      </c>
      <c r="V61" s="25">
        <v>-110.53</v>
      </c>
      <c r="W61" s="25">
        <v>-113.8</v>
      </c>
    </row>
    <row r="62" ht="15.0" customHeight="1">
      <c r="A62" s="14" t="s">
        <v>416</v>
      </c>
      <c r="B62" s="15"/>
      <c r="C62" s="15"/>
      <c r="D62" s="21">
        <v>-75.29</v>
      </c>
      <c r="E62" s="22">
        <v>-115.07</v>
      </c>
      <c r="F62" s="20">
        <v>29.47</v>
      </c>
      <c r="G62" s="20">
        <v>17.16</v>
      </c>
      <c r="H62" s="20">
        <v>13.78</v>
      </c>
      <c r="I62" s="20">
        <v>12.48</v>
      </c>
      <c r="J62" s="20">
        <v>12.13</v>
      </c>
      <c r="K62" s="20">
        <v>11.15</v>
      </c>
      <c r="L62" s="20">
        <v>12.52</v>
      </c>
      <c r="M62" s="20">
        <v>15.88</v>
      </c>
      <c r="N62" s="16">
        <v>324.84</v>
      </c>
      <c r="O62" s="20">
        <v>7.47</v>
      </c>
      <c r="P62" s="20">
        <v>6.23</v>
      </c>
      <c r="Q62" s="20">
        <v>4.8</v>
      </c>
      <c r="R62" s="20">
        <v>6.11</v>
      </c>
      <c r="S62" s="16">
        <v>1002.26</v>
      </c>
      <c r="T62" s="16">
        <v>369.3</v>
      </c>
      <c r="U62" s="15"/>
      <c r="V62" s="15"/>
      <c r="W62" s="15"/>
    </row>
    <row r="63" ht="15.0" customHeight="1">
      <c r="A63" s="14" t="s">
        <v>417</v>
      </c>
      <c r="B63" s="21">
        <v>-80.75</v>
      </c>
      <c r="C63" s="21">
        <v>-60.42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418</v>
      </c>
      <c r="B64" s="15"/>
      <c r="C64" s="15"/>
      <c r="D64" s="15"/>
      <c r="E64" s="15"/>
      <c r="F64" s="21">
        <v>-66.05</v>
      </c>
      <c r="G64" s="21">
        <v>-60.05</v>
      </c>
      <c r="H64" s="22">
        <v>-1518.08</v>
      </c>
      <c r="I64" s="21">
        <v>-24.96</v>
      </c>
      <c r="J64" s="21">
        <v>-32.66</v>
      </c>
      <c r="K64" s="21">
        <v>-13.93</v>
      </c>
      <c r="L64" s="21">
        <v>-24.15</v>
      </c>
      <c r="M64" s="21">
        <v>-26.74</v>
      </c>
      <c r="N64" s="22">
        <v>-332.65</v>
      </c>
      <c r="O64" s="21">
        <v>-16.44</v>
      </c>
      <c r="P64" s="21">
        <v>-16.36</v>
      </c>
      <c r="Q64" s="21">
        <v>-16.01</v>
      </c>
      <c r="R64" s="22">
        <v>-172.8</v>
      </c>
      <c r="S64" s="22">
        <v>-858.14</v>
      </c>
      <c r="T64" s="22">
        <v>-375.71</v>
      </c>
      <c r="U64" s="15"/>
      <c r="V64" s="15"/>
      <c r="W64" s="15"/>
    </row>
    <row r="65" ht="15.0" customHeight="1">
      <c r="A65" s="14" t="s">
        <v>419</v>
      </c>
      <c r="B65" s="15">
        <v>0.0</v>
      </c>
      <c r="C65" s="16">
        <v>1742.94</v>
      </c>
      <c r="D65" s="15"/>
      <c r="E65" s="16">
        <v>1017.45</v>
      </c>
      <c r="F65" s="15"/>
      <c r="G65" s="16">
        <v>1072.32</v>
      </c>
      <c r="H65" s="15"/>
      <c r="I65" s="15"/>
      <c r="J65" s="15"/>
      <c r="K65" s="15"/>
      <c r="L65" s="15"/>
      <c r="M65" s="15"/>
      <c r="N65" s="16">
        <v>1163.48</v>
      </c>
      <c r="O65" s="16">
        <v>560.53</v>
      </c>
      <c r="P65" s="16">
        <v>148.83</v>
      </c>
      <c r="Q65" s="15"/>
      <c r="R65" s="16">
        <v>198.98</v>
      </c>
      <c r="S65" s="16">
        <v>1029.44</v>
      </c>
      <c r="T65" s="15">
        <v>0.0</v>
      </c>
      <c r="U65" s="15"/>
      <c r="V65" s="15"/>
      <c r="W65" s="15"/>
    </row>
    <row r="66" ht="15.0" customHeight="1">
      <c r="A66" s="14" t="s">
        <v>420</v>
      </c>
      <c r="B66" s="22">
        <v>-300.76</v>
      </c>
      <c r="C66" s="22">
        <v>-298.62</v>
      </c>
      <c r="D66" s="22">
        <v>-134.61</v>
      </c>
      <c r="E66" s="22">
        <v>-201.88</v>
      </c>
      <c r="F66" s="15"/>
      <c r="G66" s="15"/>
      <c r="H66" s="15"/>
      <c r="I66" s="15"/>
      <c r="J66" s="15"/>
      <c r="K66" s="22">
        <v>-340.88</v>
      </c>
      <c r="L66" s="22">
        <v>-413.24</v>
      </c>
      <c r="M66" s="22">
        <v>-192.2</v>
      </c>
      <c r="N66" s="22">
        <v>-219.42</v>
      </c>
      <c r="O66" s="22">
        <v>-197.31</v>
      </c>
      <c r="P66" s="22">
        <v>-312.47</v>
      </c>
      <c r="Q66" s="22">
        <v>-168.06</v>
      </c>
      <c r="R66" s="22">
        <v>-185.89</v>
      </c>
      <c r="S66" s="21">
        <v>-11.53</v>
      </c>
      <c r="T66" s="21">
        <v>-51.27</v>
      </c>
      <c r="U66" s="15"/>
      <c r="V66" s="15"/>
      <c r="W66" s="15"/>
    </row>
    <row r="67" ht="15.0" customHeight="1">
      <c r="A67" s="14" t="s">
        <v>421</v>
      </c>
      <c r="B67" s="15"/>
      <c r="C67" s="15">
        <v>0.0</v>
      </c>
      <c r="D67" s="15"/>
      <c r="E67" s="22">
        <v>-180.68</v>
      </c>
      <c r="F67" s="15"/>
      <c r="G67" s="15"/>
      <c r="H67" s="21">
        <v>-72.85</v>
      </c>
      <c r="I67" s="15"/>
      <c r="J67" s="15"/>
      <c r="K67" s="22">
        <v>-156.04</v>
      </c>
      <c r="L67" s="15"/>
      <c r="M67" s="15"/>
      <c r="N67" s="21">
        <v>-74.96</v>
      </c>
      <c r="O67" s="15"/>
      <c r="P67" s="15"/>
      <c r="Q67" s="21">
        <v>-36.81</v>
      </c>
      <c r="R67" s="15">
        <v>0.0</v>
      </c>
      <c r="S67" s="21">
        <v>-39.53</v>
      </c>
      <c r="T67" s="15">
        <v>0.0</v>
      </c>
      <c r="U67" s="15"/>
      <c r="V67" s="15"/>
      <c r="W67" s="15"/>
    </row>
    <row r="68" ht="15.0" customHeight="1">
      <c r="A68" s="14" t="s">
        <v>422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22">
        <v>-454.13</v>
      </c>
      <c r="W68" s="15"/>
    </row>
    <row r="69" ht="15.0" customHeight="1">
      <c r="A69" s="14" t="s">
        <v>423</v>
      </c>
      <c r="B69" s="22">
        <v>-2704.46</v>
      </c>
      <c r="C69" s="22">
        <v>-2649.27</v>
      </c>
      <c r="D69" s="22">
        <v>-2565.53</v>
      </c>
      <c r="E69" s="22">
        <v>-2131.8</v>
      </c>
      <c r="F69" s="22">
        <v>-2146.15</v>
      </c>
      <c r="G69" s="22">
        <v>-2263.67</v>
      </c>
      <c r="H69" s="22">
        <v>-2079.24</v>
      </c>
      <c r="I69" s="22">
        <v>-1957.74</v>
      </c>
      <c r="J69" s="22">
        <v>-2033.99</v>
      </c>
      <c r="K69" s="22">
        <v>-1705.31</v>
      </c>
      <c r="L69" s="22">
        <v>-1639.56</v>
      </c>
      <c r="M69" s="22">
        <v>-1472.43</v>
      </c>
      <c r="N69" s="22">
        <v>-1434.44</v>
      </c>
      <c r="O69" s="22">
        <v>-1494.0</v>
      </c>
      <c r="P69" s="22">
        <v>-1383.11</v>
      </c>
      <c r="Q69" s="22">
        <v>-1242.86</v>
      </c>
      <c r="R69" s="22">
        <v>-1172.94</v>
      </c>
      <c r="S69" s="22">
        <v>-1162.03</v>
      </c>
      <c r="T69" s="22">
        <v>-1131.94</v>
      </c>
      <c r="U69" s="22">
        <v>-950.79</v>
      </c>
      <c r="V69" s="15"/>
      <c r="W69" s="15"/>
    </row>
    <row r="70" ht="15.0" customHeight="1">
      <c r="A70" s="14" t="s">
        <v>114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20">
        <v>0.78</v>
      </c>
      <c r="Q70" s="20">
        <v>0.8</v>
      </c>
      <c r="R70" s="21">
        <v>-0.87</v>
      </c>
      <c r="S70" s="15"/>
      <c r="T70" s="15"/>
      <c r="U70" s="15"/>
      <c r="V70" s="15"/>
      <c r="W70" s="15"/>
    </row>
    <row r="71" ht="15.0" customHeight="1">
      <c r="A71" s="14" t="s">
        <v>424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22">
        <v>-382.09</v>
      </c>
      <c r="V71" s="22">
        <v>-141.77</v>
      </c>
      <c r="W71" s="15"/>
    </row>
    <row r="72" ht="15.0" customHeight="1">
      <c r="A72" s="14" t="s">
        <v>425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1">
        <v>-4.83</v>
      </c>
      <c r="V72" s="22">
        <v>-258.7</v>
      </c>
      <c r="W72" s="15"/>
    </row>
    <row r="73" ht="15.0" customHeight="1">
      <c r="A73" s="14" t="s">
        <v>426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6">
        <v>172.14</v>
      </c>
      <c r="V73" s="16">
        <v>347.61</v>
      </c>
      <c r="W73" s="15"/>
    </row>
    <row r="74" ht="15.0" customHeight="1">
      <c r="A74" s="14" t="s">
        <v>427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22">
        <v>-1295.27</v>
      </c>
    </row>
    <row r="75" ht="15.0" customHeight="1">
      <c r="A75" s="14" t="s">
        <v>428</v>
      </c>
      <c r="B75" s="20">
        <v>1.17</v>
      </c>
      <c r="C75" s="20">
        <v>1.16</v>
      </c>
      <c r="D75" s="20">
        <v>1.14</v>
      </c>
      <c r="E75" s="21">
        <v>-1.01</v>
      </c>
      <c r="F75" s="15"/>
      <c r="G75" s="15"/>
      <c r="H75" s="15"/>
      <c r="I75" s="21">
        <v>-0.96</v>
      </c>
      <c r="J75" s="21">
        <v>-0.93</v>
      </c>
      <c r="K75" s="15"/>
      <c r="L75" s="15"/>
      <c r="M75" s="15"/>
      <c r="N75" s="21">
        <v>-0.78</v>
      </c>
      <c r="O75" s="20">
        <v>0.75</v>
      </c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7" t="s">
        <v>429</v>
      </c>
      <c r="B76" s="25">
        <v>-3084.8</v>
      </c>
      <c r="C76" s="25">
        <v>-1264.21</v>
      </c>
      <c r="D76" s="25">
        <v>-2774.28</v>
      </c>
      <c r="E76" s="25">
        <v>-1612.98</v>
      </c>
      <c r="F76" s="25">
        <v>-2182.73</v>
      </c>
      <c r="G76" s="25">
        <v>-1234.24</v>
      </c>
      <c r="H76" s="25">
        <v>-3656.4</v>
      </c>
      <c r="I76" s="25">
        <v>-1971.18</v>
      </c>
      <c r="J76" s="25">
        <v>-2055.45</v>
      </c>
      <c r="K76" s="25">
        <v>-2205.01</v>
      </c>
      <c r="L76" s="25">
        <v>-2064.43</v>
      </c>
      <c r="M76" s="25">
        <v>-1675.5</v>
      </c>
      <c r="N76" s="25">
        <v>-573.93</v>
      </c>
      <c r="O76" s="25">
        <v>-1139.0</v>
      </c>
      <c r="P76" s="25">
        <v>-1556.09</v>
      </c>
      <c r="Q76" s="25">
        <v>-1458.15</v>
      </c>
      <c r="R76" s="25">
        <v>-1327.41</v>
      </c>
      <c r="S76" s="23">
        <v>-39.53</v>
      </c>
      <c r="T76" s="25">
        <v>-1189.61</v>
      </c>
      <c r="U76" s="25">
        <v>-1165.56</v>
      </c>
      <c r="V76" s="25">
        <v>-506.99</v>
      </c>
      <c r="W76" s="25">
        <v>-1295.27</v>
      </c>
    </row>
    <row r="77" ht="15.0" customHeight="1">
      <c r="A77" s="14" t="s">
        <v>430</v>
      </c>
      <c r="B77" s="22">
        <v>-531.3</v>
      </c>
      <c r="C77" s="16">
        <v>1156.15</v>
      </c>
      <c r="D77" s="22">
        <v>-2653.36</v>
      </c>
      <c r="E77" s="16">
        <v>1215.29</v>
      </c>
      <c r="F77" s="22">
        <v>-805.82</v>
      </c>
      <c r="G77" s="16">
        <v>1547.36</v>
      </c>
      <c r="H77" s="22">
        <v>-1324.14</v>
      </c>
      <c r="I77" s="16">
        <v>1170.42</v>
      </c>
      <c r="J77" s="22">
        <v>-623.26</v>
      </c>
      <c r="K77" s="21">
        <v>-87.31</v>
      </c>
      <c r="L77" s="22">
        <v>-161.9</v>
      </c>
      <c r="M77" s="16">
        <v>344.29</v>
      </c>
      <c r="N77" s="16">
        <v>548.94</v>
      </c>
      <c r="O77" s="16">
        <v>160.69</v>
      </c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431</v>
      </c>
      <c r="B78" s="15"/>
      <c r="C78" s="15"/>
      <c r="D78" s="15"/>
      <c r="E78" s="15"/>
      <c r="F78" s="15"/>
      <c r="G78" s="15"/>
      <c r="H78" s="15"/>
      <c r="I78" s="21">
        <v>-8.64</v>
      </c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432</v>
      </c>
      <c r="B79" s="20">
        <v>8.19</v>
      </c>
      <c r="C79" s="21">
        <v>-6.97</v>
      </c>
      <c r="D79" s="20">
        <v>75.29</v>
      </c>
      <c r="E79" s="21">
        <v>-44.41</v>
      </c>
      <c r="F79" s="20">
        <v>16.26</v>
      </c>
      <c r="G79" s="20">
        <v>11.8</v>
      </c>
      <c r="H79" s="21">
        <v>-0.98</v>
      </c>
      <c r="I79" s="21">
        <v>-14.4</v>
      </c>
      <c r="J79" s="21">
        <v>-9.33</v>
      </c>
      <c r="K79" s="21">
        <v>-36.22</v>
      </c>
      <c r="L79" s="20">
        <v>42.93</v>
      </c>
      <c r="M79" s="20">
        <v>21.73</v>
      </c>
      <c r="N79" s="21">
        <v>-7.03</v>
      </c>
      <c r="O79" s="20">
        <v>5.98</v>
      </c>
      <c r="P79" s="20">
        <v>3.9</v>
      </c>
      <c r="Q79" s="20">
        <v>5.6</v>
      </c>
      <c r="R79" s="20">
        <v>12.22</v>
      </c>
      <c r="S79" s="21">
        <v>-17.29</v>
      </c>
      <c r="T79" s="21">
        <v>-4.01</v>
      </c>
      <c r="U79" s="21">
        <v>-0.8</v>
      </c>
      <c r="V79" s="21">
        <v>-4.81</v>
      </c>
      <c r="W79" s="20">
        <v>3.35</v>
      </c>
    </row>
    <row r="80" ht="15.0" customHeight="1">
      <c r="A80" s="14" t="s">
        <v>433</v>
      </c>
      <c r="B80" s="16">
        <v>2428.96</v>
      </c>
      <c r="C80" s="16">
        <v>1255.53</v>
      </c>
      <c r="D80" s="16">
        <v>3720.14</v>
      </c>
      <c r="E80" s="16">
        <v>2271.94</v>
      </c>
      <c r="F80" s="16">
        <v>2947.38</v>
      </c>
      <c r="G80" s="16">
        <v>1560.95</v>
      </c>
      <c r="H80" s="16">
        <v>2791.78</v>
      </c>
      <c r="I80" s="16">
        <v>1625.85</v>
      </c>
      <c r="J80" s="16">
        <v>2283.09</v>
      </c>
      <c r="K80" s="16">
        <v>2226.44</v>
      </c>
      <c r="L80" s="16">
        <v>2481.61</v>
      </c>
      <c r="M80" s="16">
        <v>1940.65</v>
      </c>
      <c r="N80" s="16">
        <v>1210.69</v>
      </c>
      <c r="O80" s="16">
        <v>902.8</v>
      </c>
      <c r="P80" s="16">
        <v>1293.58</v>
      </c>
      <c r="Q80" s="16">
        <v>1327.83</v>
      </c>
      <c r="R80" s="16">
        <v>1460.54</v>
      </c>
      <c r="S80" s="16">
        <v>877.62</v>
      </c>
      <c r="T80" s="16">
        <v>872.15</v>
      </c>
      <c r="U80" s="16">
        <v>1023.98</v>
      </c>
      <c r="V80" s="16">
        <v>546.13</v>
      </c>
      <c r="W80" s="16">
        <v>791.66</v>
      </c>
    </row>
    <row r="81" ht="15.0" customHeight="1">
      <c r="A81" s="14" t="s">
        <v>434</v>
      </c>
      <c r="B81" s="16">
        <v>1900.87</v>
      </c>
      <c r="C81" s="16">
        <v>2419.29</v>
      </c>
      <c r="D81" s="16">
        <v>1193.44</v>
      </c>
      <c r="E81" s="16">
        <v>3487.07</v>
      </c>
      <c r="F81" s="16">
        <v>2169.49</v>
      </c>
      <c r="G81" s="16">
        <v>3084.19</v>
      </c>
      <c r="H81" s="16">
        <v>1466.25</v>
      </c>
      <c r="I81" s="16">
        <v>2810.81</v>
      </c>
      <c r="J81" s="16">
        <v>1615.59</v>
      </c>
      <c r="K81" s="16">
        <v>2105.68</v>
      </c>
      <c r="L81" s="16">
        <v>2353.93</v>
      </c>
      <c r="M81" s="16">
        <v>2336.55</v>
      </c>
      <c r="N81" s="16">
        <v>1790.19</v>
      </c>
      <c r="O81" s="16">
        <v>1065.74</v>
      </c>
      <c r="P81" s="16">
        <v>951.61</v>
      </c>
      <c r="Q81" s="16">
        <v>1302.13</v>
      </c>
      <c r="R81" s="16">
        <v>1414.1</v>
      </c>
      <c r="S81" s="16">
        <v>1709.6</v>
      </c>
      <c r="T81" s="16">
        <v>716.75</v>
      </c>
      <c r="U81" s="16">
        <v>904.72</v>
      </c>
      <c r="V81" s="16">
        <v>994.05</v>
      </c>
      <c r="W81" s="16">
        <v>563.47</v>
      </c>
    </row>
    <row r="82" ht="15.0" customHeight="1">
      <c r="A82" s="14" t="s">
        <v>435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21">
        <v>-0.75</v>
      </c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7" t="s">
        <v>436</v>
      </c>
      <c r="B83" s="25">
        <v>-523.1</v>
      </c>
      <c r="C83" s="19">
        <v>1148.02</v>
      </c>
      <c r="D83" s="25">
        <v>-2578.07</v>
      </c>
      <c r="E83" s="19">
        <v>1169.87</v>
      </c>
      <c r="F83" s="25">
        <v>-789.56</v>
      </c>
      <c r="G83" s="19">
        <v>1559.16</v>
      </c>
      <c r="H83" s="25">
        <v>-1326.11</v>
      </c>
      <c r="I83" s="19">
        <v>1147.37</v>
      </c>
      <c r="J83" s="25">
        <v>-632.59</v>
      </c>
      <c r="K83" s="25">
        <v>-123.53</v>
      </c>
      <c r="L83" s="25">
        <v>-118.96</v>
      </c>
      <c r="M83" s="19">
        <v>366.85</v>
      </c>
      <c r="N83" s="19">
        <v>542.7</v>
      </c>
      <c r="O83" s="19">
        <v>165.92</v>
      </c>
      <c r="P83" s="25">
        <v>-344.41</v>
      </c>
      <c r="Q83" s="23">
        <v>-25.61</v>
      </c>
      <c r="R83" s="23">
        <v>-48.87</v>
      </c>
      <c r="S83" s="19">
        <v>705.78</v>
      </c>
      <c r="T83" s="25">
        <v>-157.01</v>
      </c>
      <c r="U83" s="25">
        <v>-116.64</v>
      </c>
      <c r="V83" s="19">
        <v>449.33</v>
      </c>
      <c r="W83" s="25">
        <v>-231.78</v>
      </c>
    </row>
    <row r="84" ht="15.0" customHeight="1">
      <c r="A84" s="14" t="s">
        <v>437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6">
        <v>1998.69</v>
      </c>
      <c r="Q84" s="16">
        <v>1892.71</v>
      </c>
      <c r="R84" s="16">
        <v>1652.06</v>
      </c>
      <c r="S84" s="16">
        <v>1312.74</v>
      </c>
      <c r="T84" s="15"/>
      <c r="U84" s="16">
        <v>1286.22</v>
      </c>
      <c r="V84" s="15"/>
      <c r="W84" s="15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46097.3856309259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39903.0</v>
      </c>
      <c r="T13" s="9">
        <v>39813.0</v>
      </c>
      <c r="U13" s="9">
        <v>39355.0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439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26" t="s">
        <v>440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</row>
    <row r="21" ht="15.0" customHeight="1">
      <c r="A21" s="28" t="s">
        <v>440</v>
      </c>
      <c r="B21" s="29">
        <v>107703.31</v>
      </c>
      <c r="C21" s="29">
        <v>72406.94</v>
      </c>
      <c r="D21" s="29">
        <v>63008.78</v>
      </c>
      <c r="E21" s="29">
        <v>74525.68</v>
      </c>
      <c r="F21" s="29">
        <v>50371.79</v>
      </c>
      <c r="G21" s="29">
        <v>53495.63</v>
      </c>
      <c r="H21" s="29">
        <v>55885.55</v>
      </c>
      <c r="I21" s="29">
        <v>41075.53</v>
      </c>
      <c r="J21" s="29">
        <v>43459.78</v>
      </c>
      <c r="K21" s="29">
        <v>53553.03</v>
      </c>
      <c r="L21" s="29">
        <v>42750.51</v>
      </c>
      <c r="M21" s="29">
        <v>32416.26</v>
      </c>
      <c r="N21" s="29">
        <v>24385.96</v>
      </c>
      <c r="O21" s="29">
        <v>22892.72</v>
      </c>
      <c r="P21" s="29">
        <v>16108.95</v>
      </c>
      <c r="Q21" s="29">
        <v>17383.42</v>
      </c>
      <c r="R21" s="29">
        <v>17026.48</v>
      </c>
      <c r="S21" s="29">
        <v>15958.93</v>
      </c>
      <c r="T21" s="29">
        <v>17005.42</v>
      </c>
      <c r="U21" s="29">
        <v>17962.94</v>
      </c>
      <c r="V21" s="29"/>
      <c r="W21" s="29"/>
    </row>
    <row r="22" ht="15.0" customHeight="1">
      <c r="A22" s="28" t="s">
        <v>441</v>
      </c>
      <c r="B22" s="29">
        <v>78074.13</v>
      </c>
      <c r="C22" s="29">
        <v>68325.67</v>
      </c>
      <c r="D22" s="29">
        <v>63885.66</v>
      </c>
      <c r="E22" s="29">
        <v>56764.03</v>
      </c>
      <c r="F22" s="29">
        <v>48810.1</v>
      </c>
      <c r="G22" s="29">
        <v>52891.11</v>
      </c>
      <c r="H22" s="29">
        <v>48396.55</v>
      </c>
      <c r="I22" s="29">
        <v>44579.56</v>
      </c>
      <c r="J22" s="29">
        <v>41893.59</v>
      </c>
      <c r="K22" s="29">
        <v>36285.81</v>
      </c>
      <c r="L22" s="29">
        <v>31037.34</v>
      </c>
      <c r="M22" s="29">
        <v>25208.02</v>
      </c>
      <c r="N22" s="29">
        <v>20696.49</v>
      </c>
      <c r="O22" s="29">
        <v>16338.49</v>
      </c>
      <c r="P22" s="29">
        <v>15714.56</v>
      </c>
      <c r="Q22" s="29">
        <v>15977.09</v>
      </c>
      <c r="R22" s="29"/>
      <c r="S22" s="29"/>
      <c r="T22" s="29"/>
      <c r="U22" s="29"/>
      <c r="V22" s="29"/>
      <c r="W22" s="29"/>
    </row>
    <row r="23" ht="15.0" customHeight="1">
      <c r="A23" s="26" t="s">
        <v>442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</row>
    <row r="24" ht="15.0" customHeight="1">
      <c r="A24" s="28" t="s">
        <v>442</v>
      </c>
      <c r="B24" s="29">
        <v>105996.18</v>
      </c>
      <c r="C24" s="29">
        <v>70976.08</v>
      </c>
      <c r="D24" s="29">
        <v>61965.21</v>
      </c>
      <c r="E24" s="29">
        <v>75769.12</v>
      </c>
      <c r="F24" s="29">
        <v>51455.03</v>
      </c>
      <c r="G24" s="29">
        <v>55442.1</v>
      </c>
      <c r="H24" s="29">
        <v>57253.39</v>
      </c>
      <c r="I24" s="29">
        <v>42385.33</v>
      </c>
      <c r="J24" s="29">
        <v>43584.81</v>
      </c>
      <c r="K24" s="29">
        <v>54273.99</v>
      </c>
      <c r="L24" s="29">
        <v>43301.55</v>
      </c>
      <c r="M24" s="29">
        <v>32633.19</v>
      </c>
      <c r="N24" s="29">
        <v>24026.59</v>
      </c>
      <c r="O24" s="29">
        <v>22955.11</v>
      </c>
      <c r="P24" s="29">
        <v>16374.32</v>
      </c>
      <c r="Q24" s="29">
        <v>17827.32</v>
      </c>
      <c r="R24" s="29">
        <v>17349.11</v>
      </c>
      <c r="S24" s="29">
        <v>16248.23</v>
      </c>
      <c r="T24" s="29">
        <v>17689.67</v>
      </c>
      <c r="U24" s="29">
        <v>18787.06</v>
      </c>
      <c r="V24" s="29"/>
      <c r="W24" s="29"/>
    </row>
    <row r="25" ht="15.0" customHeight="1">
      <c r="A25" s="28" t="s">
        <v>443</v>
      </c>
      <c r="B25" s="29">
        <v>77760.83</v>
      </c>
      <c r="C25" s="29">
        <v>68790.93</v>
      </c>
      <c r="D25" s="29">
        <v>64910.88</v>
      </c>
      <c r="E25" s="29">
        <v>58197.86</v>
      </c>
      <c r="F25" s="29">
        <v>49967.23</v>
      </c>
      <c r="G25" s="29">
        <v>54041.61</v>
      </c>
      <c r="H25" s="29">
        <v>49224.54</v>
      </c>
      <c r="I25" s="29">
        <v>45185.31</v>
      </c>
      <c r="J25" s="29">
        <v>42150.36</v>
      </c>
      <c r="K25" s="29">
        <v>36514.99</v>
      </c>
      <c r="L25" s="29">
        <v>31193.06</v>
      </c>
      <c r="M25" s="29">
        <v>25353.9</v>
      </c>
      <c r="N25" s="29">
        <v>20855.92</v>
      </c>
      <c r="O25" s="29">
        <v>16585.84</v>
      </c>
      <c r="P25" s="29">
        <v>16095.67</v>
      </c>
      <c r="Q25" s="29">
        <v>16463.37</v>
      </c>
      <c r="R25" s="29"/>
      <c r="S25" s="29"/>
      <c r="T25" s="29"/>
      <c r="U25" s="29"/>
      <c r="V25" s="29"/>
      <c r="W25" s="29"/>
    </row>
    <row r="26" ht="15.0" customHeight="1">
      <c r="A26" s="26" t="s">
        <v>444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</row>
    <row r="27" ht="15.0" customHeight="1">
      <c r="A27" s="28" t="s">
        <v>445</v>
      </c>
      <c r="B27" s="30">
        <v>751.96</v>
      </c>
      <c r="C27" s="30">
        <v>503.39</v>
      </c>
      <c r="D27" s="30">
        <v>439.24</v>
      </c>
      <c r="E27" s="30">
        <v>537.21</v>
      </c>
      <c r="F27" s="30">
        <v>365.62</v>
      </c>
      <c r="G27" s="30">
        <v>393.17</v>
      </c>
      <c r="H27" s="30">
        <v>406.12</v>
      </c>
      <c r="I27" s="30">
        <v>300.0</v>
      </c>
      <c r="J27" s="30">
        <v>305.99</v>
      </c>
      <c r="K27" s="30">
        <v>384.0</v>
      </c>
      <c r="L27" s="30">
        <v>306.91</v>
      </c>
      <c r="M27" s="30">
        <v>232.93</v>
      </c>
      <c r="N27" s="30">
        <v>170.26</v>
      </c>
      <c r="O27" s="30">
        <v>162.8</v>
      </c>
      <c r="P27" s="30">
        <v>115.6</v>
      </c>
      <c r="Q27" s="30">
        <v>126.12</v>
      </c>
      <c r="R27" s="30">
        <v>122.79</v>
      </c>
      <c r="S27" s="30">
        <v>115.27</v>
      </c>
      <c r="T27" s="30">
        <v>125.02</v>
      </c>
      <c r="U27" s="30">
        <v>133.09</v>
      </c>
      <c r="V27" s="29"/>
      <c r="W27" s="29"/>
    </row>
    <row r="28" ht="15.0" customHeight="1">
      <c r="A28" s="28" t="s">
        <v>446</v>
      </c>
      <c r="B28" s="30">
        <v>551.62</v>
      </c>
      <c r="C28" s="30">
        <v>487.95</v>
      </c>
      <c r="D28" s="30">
        <v>460.44</v>
      </c>
      <c r="E28" s="30">
        <v>412.74</v>
      </c>
      <c r="F28" s="30">
        <v>353.77</v>
      </c>
      <c r="G28" s="30">
        <v>382.28</v>
      </c>
      <c r="H28" s="30">
        <v>348.14</v>
      </c>
      <c r="I28" s="30">
        <v>319.8</v>
      </c>
      <c r="J28" s="30">
        <v>298.37</v>
      </c>
      <c r="K28" s="30">
        <v>259.02</v>
      </c>
      <c r="L28" s="30">
        <v>221.34</v>
      </c>
      <c r="M28" s="30">
        <v>179.88</v>
      </c>
      <c r="N28" s="30">
        <v>147.65</v>
      </c>
      <c r="O28" s="30">
        <v>117.43</v>
      </c>
      <c r="P28" s="30">
        <v>113.86</v>
      </c>
      <c r="Q28" s="30">
        <v>116.54</v>
      </c>
      <c r="R28" s="29"/>
      <c r="S28" s="29"/>
      <c r="T28" s="29"/>
      <c r="U28" s="29"/>
      <c r="V28" s="29"/>
      <c r="W28" s="29"/>
    </row>
    <row r="29" ht="15.0" customHeight="1">
      <c r="A29" s="26" t="s">
        <v>447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</row>
    <row r="30" ht="15.0" customHeight="1">
      <c r="A30" s="28" t="s">
        <v>448</v>
      </c>
      <c r="B30" s="31">
        <v>2.45</v>
      </c>
      <c r="C30" s="31">
        <v>3.44</v>
      </c>
      <c r="D30" s="31">
        <v>0.04</v>
      </c>
      <c r="E30" s="31">
        <v>5.02</v>
      </c>
      <c r="F30" s="31">
        <v>2.55</v>
      </c>
      <c r="G30" s="31">
        <v>4.9</v>
      </c>
      <c r="H30" s="31">
        <v>4.04</v>
      </c>
      <c r="I30" s="31">
        <v>3.85</v>
      </c>
      <c r="J30" s="31">
        <v>3.48</v>
      </c>
      <c r="K30" s="31">
        <v>3.39</v>
      </c>
      <c r="L30" s="31">
        <v>4.7</v>
      </c>
      <c r="M30" s="31">
        <v>6.63</v>
      </c>
      <c r="N30" s="31">
        <v>4.93</v>
      </c>
      <c r="O30" s="31">
        <v>5.5</v>
      </c>
      <c r="P30" s="31">
        <v>7.29</v>
      </c>
      <c r="Q30" s="31">
        <v>7.61</v>
      </c>
      <c r="R30" s="31">
        <v>6.9</v>
      </c>
      <c r="S30" s="31">
        <v>5.45</v>
      </c>
      <c r="T30" s="31">
        <v>5.4</v>
      </c>
      <c r="U30" s="31">
        <v>5.21</v>
      </c>
      <c r="V30" s="31"/>
      <c r="W30" s="31"/>
    </row>
    <row r="31" ht="15.0" customHeight="1">
      <c r="A31" s="28" t="s">
        <v>449</v>
      </c>
      <c r="B31" s="31">
        <v>2.8</v>
      </c>
      <c r="C31" s="31">
        <v>3.29</v>
      </c>
      <c r="D31" s="31">
        <v>3.41</v>
      </c>
      <c r="E31" s="31">
        <v>4.15</v>
      </c>
      <c r="F31" s="31">
        <v>3.78</v>
      </c>
      <c r="G31" s="31">
        <v>3.94</v>
      </c>
      <c r="H31" s="31">
        <v>3.87</v>
      </c>
      <c r="I31" s="31">
        <v>4.27</v>
      </c>
      <c r="J31" s="31">
        <v>4.44</v>
      </c>
      <c r="K31" s="31">
        <v>4.82</v>
      </c>
      <c r="L31" s="31">
        <v>5.66</v>
      </c>
      <c r="M31" s="31">
        <v>6.29</v>
      </c>
      <c r="N31" s="31">
        <v>6.29</v>
      </c>
      <c r="O31" s="31">
        <v>6.51</v>
      </c>
      <c r="P31" s="31">
        <v>6.58</v>
      </c>
      <c r="Q31" s="31">
        <v>6.14</v>
      </c>
      <c r="R31" s="31"/>
      <c r="S31" s="31"/>
      <c r="T31" s="31"/>
      <c r="U31" s="31"/>
      <c r="V31" s="31"/>
      <c r="W31" s="31"/>
    </row>
    <row r="32" ht="15.0" customHeight="1">
      <c r="A32" s="26" t="s">
        <v>450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</row>
    <row r="33" ht="15.0" customHeight="1">
      <c r="A33" s="28" t="s">
        <v>451</v>
      </c>
      <c r="B33" s="31">
        <v>2.59</v>
      </c>
      <c r="C33" s="31">
        <v>3.8</v>
      </c>
      <c r="D33" s="31">
        <v>4.08</v>
      </c>
      <c r="E33" s="31">
        <v>2.94</v>
      </c>
      <c r="F33" s="31">
        <v>4.16</v>
      </c>
      <c r="G33" s="31">
        <v>4.01</v>
      </c>
      <c r="H33" s="31">
        <v>3.66</v>
      </c>
      <c r="I33" s="31">
        <v>4.79</v>
      </c>
      <c r="J33" s="31">
        <v>4.83</v>
      </c>
      <c r="K33" s="31">
        <v>3.07</v>
      </c>
      <c r="L33" s="31">
        <v>4.08</v>
      </c>
      <c r="M33" s="31">
        <v>4.99</v>
      </c>
      <c r="N33" s="31"/>
      <c r="O33" s="31"/>
      <c r="P33" s="31">
        <v>6.4</v>
      </c>
      <c r="Q33" s="31">
        <v>4.96</v>
      </c>
      <c r="R33" s="31">
        <v>5.16</v>
      </c>
      <c r="S33" s="31">
        <v>6.81</v>
      </c>
      <c r="T33" s="31">
        <v>5.08</v>
      </c>
      <c r="U33" s="31">
        <v>0.0</v>
      </c>
      <c r="V33" s="31"/>
      <c r="W33" s="31"/>
    </row>
    <row r="34" ht="15.0" customHeight="1">
      <c r="A34" s="28" t="s">
        <v>452</v>
      </c>
      <c r="B34" s="31">
        <v>3.38</v>
      </c>
      <c r="C34" s="31">
        <v>3.74</v>
      </c>
      <c r="D34" s="31">
        <v>3.71</v>
      </c>
      <c r="E34" s="31">
        <v>3.8</v>
      </c>
      <c r="F34" s="31">
        <v>4.24</v>
      </c>
      <c r="G34" s="31">
        <v>3.99</v>
      </c>
      <c r="H34" s="31">
        <v>4.0</v>
      </c>
      <c r="I34" s="31">
        <v>4.24</v>
      </c>
      <c r="J34" s="31"/>
      <c r="K34" s="31"/>
      <c r="L34" s="31"/>
      <c r="M34" s="31"/>
      <c r="N34" s="31"/>
      <c r="O34" s="31"/>
      <c r="P34" s="31">
        <v>5.61</v>
      </c>
      <c r="Q34" s="31">
        <v>4.24</v>
      </c>
      <c r="R34" s="31"/>
      <c r="S34" s="31"/>
      <c r="T34" s="31"/>
      <c r="U34" s="31"/>
      <c r="V34" s="31"/>
      <c r="W34" s="31"/>
    </row>
    <row r="35" ht="15.0" customHeight="1">
      <c r="A35" s="28" t="s">
        <v>453</v>
      </c>
      <c r="B35" s="31">
        <v>2.59</v>
      </c>
      <c r="C35" s="31">
        <v>3.8</v>
      </c>
      <c r="D35" s="31">
        <v>4.08</v>
      </c>
      <c r="E35" s="31">
        <v>2.94</v>
      </c>
      <c r="F35" s="31">
        <v>4.16</v>
      </c>
      <c r="G35" s="31">
        <v>4.01</v>
      </c>
      <c r="H35" s="31">
        <v>3.66</v>
      </c>
      <c r="I35" s="31">
        <v>4.79</v>
      </c>
      <c r="J35" s="31">
        <v>4.83</v>
      </c>
      <c r="K35" s="31">
        <v>3.07</v>
      </c>
      <c r="L35" s="31">
        <v>4.08</v>
      </c>
      <c r="M35" s="31">
        <v>4.99</v>
      </c>
      <c r="N35" s="31">
        <v>6.39</v>
      </c>
      <c r="O35" s="31">
        <v>5.9</v>
      </c>
      <c r="P35" s="31">
        <v>7.96</v>
      </c>
      <c r="Q35" s="31">
        <v>6.16</v>
      </c>
      <c r="R35" s="31">
        <v>6.41</v>
      </c>
      <c r="S35" s="31">
        <v>8.47</v>
      </c>
      <c r="T35" s="31">
        <v>6.31</v>
      </c>
      <c r="U35" s="31">
        <v>0.0</v>
      </c>
      <c r="V35" s="31"/>
      <c r="W35" s="31"/>
    </row>
    <row r="36" ht="15.0" customHeight="1">
      <c r="A36" s="28" t="s">
        <v>454</v>
      </c>
      <c r="B36" s="31">
        <v>3.38</v>
      </c>
      <c r="C36" s="31">
        <v>3.74</v>
      </c>
      <c r="D36" s="31">
        <v>3.71</v>
      </c>
      <c r="E36" s="31">
        <v>3.8</v>
      </c>
      <c r="F36" s="31">
        <v>4.24</v>
      </c>
      <c r="G36" s="31">
        <v>3.99</v>
      </c>
      <c r="H36" s="31">
        <v>4.0</v>
      </c>
      <c r="I36" s="31">
        <v>4.24</v>
      </c>
      <c r="J36" s="31">
        <v>4.42</v>
      </c>
      <c r="K36" s="31">
        <v>4.55</v>
      </c>
      <c r="L36" s="31">
        <v>5.55</v>
      </c>
      <c r="M36" s="31">
        <v>6.13</v>
      </c>
      <c r="N36" s="31">
        <v>6.5</v>
      </c>
      <c r="O36" s="31">
        <v>6.82</v>
      </c>
      <c r="P36" s="31">
        <v>6.98</v>
      </c>
      <c r="Q36" s="31">
        <v>5.28</v>
      </c>
      <c r="R36" s="31"/>
      <c r="S36" s="31"/>
      <c r="T36" s="31"/>
      <c r="U36" s="31"/>
      <c r="V36" s="31"/>
      <c r="W36" s="31"/>
    </row>
    <row r="37" ht="15.0" customHeight="1">
      <c r="A37" s="26" t="s">
        <v>455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</row>
    <row r="38" ht="15.0" customHeight="1">
      <c r="A38" s="28" t="s">
        <v>456</v>
      </c>
      <c r="B38" s="32">
        <v>6.93</v>
      </c>
      <c r="C38" s="32">
        <v>5.96</v>
      </c>
      <c r="D38" s="32">
        <v>6.18</v>
      </c>
      <c r="E38" s="32">
        <v>7.89</v>
      </c>
      <c r="F38" s="32">
        <v>6.78</v>
      </c>
      <c r="G38" s="32">
        <v>7.18</v>
      </c>
      <c r="H38" s="32">
        <v>7.38</v>
      </c>
      <c r="I38" s="32">
        <v>5.51</v>
      </c>
      <c r="J38" s="32">
        <v>6.63</v>
      </c>
      <c r="K38" s="32">
        <v>9.28</v>
      </c>
      <c r="L38" s="32">
        <v>7.54</v>
      </c>
      <c r="M38" s="32">
        <v>6.84</v>
      </c>
      <c r="N38" s="32">
        <v>5.57</v>
      </c>
      <c r="O38" s="32">
        <v>6.1</v>
      </c>
      <c r="P38" s="32">
        <v>4.47</v>
      </c>
      <c r="Q38" s="32">
        <v>4.89</v>
      </c>
      <c r="R38" s="32">
        <v>4.76</v>
      </c>
      <c r="S38" s="32">
        <v>3.97</v>
      </c>
      <c r="T38" s="32">
        <v>5.19</v>
      </c>
      <c r="U38" s="32">
        <v>5.15</v>
      </c>
      <c r="V38" s="29"/>
      <c r="W38" s="29"/>
    </row>
    <row r="39" ht="15.0" customHeight="1">
      <c r="A39" s="28" t="s">
        <v>457</v>
      </c>
      <c r="B39" s="32">
        <v>6.75</v>
      </c>
      <c r="C39" s="32">
        <v>6.77</v>
      </c>
      <c r="D39" s="32">
        <v>7.09</v>
      </c>
      <c r="E39" s="32">
        <v>6.98</v>
      </c>
      <c r="F39" s="32">
        <v>6.7</v>
      </c>
      <c r="G39" s="32">
        <v>7.14</v>
      </c>
      <c r="H39" s="32">
        <v>7.2</v>
      </c>
      <c r="I39" s="32">
        <v>7.09</v>
      </c>
      <c r="J39" s="32">
        <v>7.24</v>
      </c>
      <c r="K39" s="32">
        <v>7.18</v>
      </c>
      <c r="L39" s="32">
        <v>6.17</v>
      </c>
      <c r="M39" s="32">
        <v>5.6</v>
      </c>
      <c r="N39" s="32">
        <v>5.18</v>
      </c>
      <c r="O39" s="32">
        <v>4.88</v>
      </c>
      <c r="P39" s="32">
        <v>4.66</v>
      </c>
      <c r="Q39" s="32">
        <v>4.8</v>
      </c>
      <c r="R39" s="29"/>
      <c r="S39" s="29"/>
      <c r="T39" s="29"/>
      <c r="U39" s="29"/>
      <c r="V39" s="29"/>
      <c r="W39" s="29"/>
    </row>
    <row r="40" ht="15.0" customHeight="1">
      <c r="A40" s="26" t="s">
        <v>458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</row>
    <row r="41" ht="15.0" customHeight="1">
      <c r="A41" s="28" t="s">
        <v>459</v>
      </c>
      <c r="B41" s="32">
        <v>8.16</v>
      </c>
      <c r="C41" s="32">
        <v>7.24</v>
      </c>
      <c r="D41" s="32">
        <v>7.99</v>
      </c>
      <c r="E41" s="32">
        <v>10.02</v>
      </c>
      <c r="F41" s="32">
        <v>7.56</v>
      </c>
      <c r="G41" s="32">
        <v>7.66</v>
      </c>
      <c r="H41" s="32">
        <v>7.96</v>
      </c>
      <c r="I41" s="32">
        <v>6.01</v>
      </c>
      <c r="J41" s="32">
        <v>6.97</v>
      </c>
      <c r="K41" s="32">
        <v>10.11</v>
      </c>
      <c r="L41" s="32">
        <v>8.38</v>
      </c>
      <c r="M41" s="32">
        <v>8.04</v>
      </c>
      <c r="N41" s="32">
        <v>6.48</v>
      </c>
      <c r="O41" s="32">
        <v>7.21</v>
      </c>
      <c r="P41" s="32">
        <v>5.4</v>
      </c>
      <c r="Q41" s="32">
        <v>6.77</v>
      </c>
      <c r="R41" s="32">
        <v>5.18</v>
      </c>
      <c r="S41" s="32">
        <v>4.13</v>
      </c>
      <c r="T41" s="32">
        <v>5.15</v>
      </c>
      <c r="U41" s="32">
        <v>5.65</v>
      </c>
      <c r="V41" s="29"/>
      <c r="W41" s="29"/>
    </row>
    <row r="42" ht="15.0" customHeight="1">
      <c r="A42" s="28" t="s">
        <v>460</v>
      </c>
      <c r="B42" s="32">
        <v>8.17</v>
      </c>
      <c r="C42" s="32">
        <v>8.08</v>
      </c>
      <c r="D42" s="32">
        <v>8.25</v>
      </c>
      <c r="E42" s="32">
        <v>7.85</v>
      </c>
      <c r="F42" s="32">
        <v>7.24</v>
      </c>
      <c r="G42" s="32">
        <v>7.68</v>
      </c>
      <c r="H42" s="32">
        <v>7.8</v>
      </c>
      <c r="I42" s="32">
        <v>7.8</v>
      </c>
      <c r="J42" s="32">
        <v>8.05</v>
      </c>
      <c r="K42" s="32">
        <v>8.18</v>
      </c>
      <c r="L42" s="32">
        <v>7.2</v>
      </c>
      <c r="M42" s="32">
        <v>6.82</v>
      </c>
      <c r="N42" s="32">
        <v>6.21</v>
      </c>
      <c r="O42" s="32">
        <v>5.73</v>
      </c>
      <c r="P42" s="32">
        <v>5.27</v>
      </c>
      <c r="Q42" s="32">
        <v>5.32</v>
      </c>
      <c r="R42" s="29"/>
      <c r="S42" s="29"/>
      <c r="T42" s="29"/>
      <c r="U42" s="29"/>
      <c r="V42" s="29"/>
      <c r="W42" s="29"/>
    </row>
    <row r="43" ht="15.0" customHeight="1">
      <c r="A43" s="26" t="s">
        <v>461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</row>
    <row r="44" ht="15.0" customHeight="1">
      <c r="A44" s="28" t="s">
        <v>462</v>
      </c>
      <c r="B44" s="32">
        <v>4.74</v>
      </c>
      <c r="C44" s="32">
        <v>3.9</v>
      </c>
      <c r="D44" s="32">
        <v>4.63</v>
      </c>
      <c r="E44" s="32">
        <v>5.37</v>
      </c>
      <c r="F44" s="32">
        <v>4.93</v>
      </c>
      <c r="G44" s="32">
        <v>4.89</v>
      </c>
      <c r="H44" s="32">
        <v>5.52</v>
      </c>
      <c r="I44" s="32">
        <v>4.36</v>
      </c>
      <c r="J44" s="32">
        <v>4.23</v>
      </c>
      <c r="K44" s="32">
        <v>5.54</v>
      </c>
      <c r="L44" s="32">
        <v>4.43</v>
      </c>
      <c r="M44" s="32">
        <v>3.57</v>
      </c>
      <c r="N44" s="32">
        <v>2.86</v>
      </c>
      <c r="O44" s="32">
        <v>3.19</v>
      </c>
      <c r="P44" s="32">
        <v>2.29</v>
      </c>
      <c r="Q44" s="32">
        <v>2.69</v>
      </c>
      <c r="R44" s="32">
        <v>2.71</v>
      </c>
      <c r="S44" s="32">
        <v>2.34</v>
      </c>
      <c r="T44" s="32">
        <v>3.28</v>
      </c>
      <c r="U44" s="32">
        <v>3.55</v>
      </c>
      <c r="V44" s="29"/>
      <c r="W44" s="29"/>
    </row>
    <row r="45" ht="15.0" customHeight="1">
      <c r="A45" s="28" t="s">
        <v>463</v>
      </c>
      <c r="B45" s="32">
        <v>4.68</v>
      </c>
      <c r="C45" s="32">
        <v>4.7</v>
      </c>
      <c r="D45" s="32">
        <v>5.07</v>
      </c>
      <c r="E45" s="32">
        <v>5.04</v>
      </c>
      <c r="F45" s="32">
        <v>4.79</v>
      </c>
      <c r="G45" s="32">
        <v>4.92</v>
      </c>
      <c r="H45" s="32">
        <v>4.83</v>
      </c>
      <c r="I45" s="32">
        <v>4.44</v>
      </c>
      <c r="J45" s="32">
        <v>4.15</v>
      </c>
      <c r="K45" s="32">
        <v>3.94</v>
      </c>
      <c r="L45" s="32">
        <v>3.29</v>
      </c>
      <c r="M45" s="32">
        <v>2.94</v>
      </c>
      <c r="N45" s="32">
        <v>2.76</v>
      </c>
      <c r="O45" s="32">
        <v>2.66</v>
      </c>
      <c r="P45" s="32">
        <v>2.64</v>
      </c>
      <c r="Q45" s="32">
        <v>2.88</v>
      </c>
      <c r="R45" s="29"/>
      <c r="S45" s="29"/>
      <c r="T45" s="29"/>
      <c r="U45" s="29"/>
      <c r="V45" s="29"/>
      <c r="W45" s="29"/>
    </row>
    <row r="46" ht="15.0" customHeight="1">
      <c r="A46" s="26" t="s">
        <v>464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</row>
    <row r="47" ht="15.0" customHeight="1">
      <c r="A47" s="28" t="s">
        <v>465</v>
      </c>
      <c r="B47" s="32">
        <v>40.84</v>
      </c>
      <c r="C47" s="32">
        <v>29.1</v>
      </c>
      <c r="D47" s="30">
        <v>2505.44</v>
      </c>
      <c r="E47" s="32">
        <v>19.94</v>
      </c>
      <c r="F47" s="32">
        <v>39.27</v>
      </c>
      <c r="G47" s="32">
        <v>20.41</v>
      </c>
      <c r="H47" s="32">
        <v>24.73</v>
      </c>
      <c r="I47" s="32">
        <v>25.96</v>
      </c>
      <c r="J47" s="32">
        <v>28.76</v>
      </c>
      <c r="K47" s="32">
        <v>29.54</v>
      </c>
      <c r="L47" s="32">
        <v>21.26</v>
      </c>
      <c r="M47" s="32">
        <v>15.09</v>
      </c>
      <c r="N47" s="32">
        <v>20.29</v>
      </c>
      <c r="O47" s="32">
        <v>18.19</v>
      </c>
      <c r="P47" s="32">
        <v>13.72</v>
      </c>
      <c r="Q47" s="32">
        <v>13.14</v>
      </c>
      <c r="R47" s="32">
        <v>14.5</v>
      </c>
      <c r="S47" s="32">
        <v>18.35</v>
      </c>
      <c r="T47" s="32">
        <v>18.53</v>
      </c>
      <c r="U47" s="32">
        <v>19.18</v>
      </c>
      <c r="V47" s="29"/>
      <c r="W47" s="29"/>
    </row>
    <row r="48" ht="15.0" customHeight="1">
      <c r="A48" s="28" t="s">
        <v>466</v>
      </c>
      <c r="B48" s="32">
        <v>35.68</v>
      </c>
      <c r="C48" s="32">
        <v>30.38</v>
      </c>
      <c r="D48" s="32">
        <v>29.31</v>
      </c>
      <c r="E48" s="32">
        <v>24.08</v>
      </c>
      <c r="F48" s="32">
        <v>26.43</v>
      </c>
      <c r="G48" s="32">
        <v>25.39</v>
      </c>
      <c r="H48" s="32">
        <v>25.82</v>
      </c>
      <c r="I48" s="32">
        <v>23.42</v>
      </c>
      <c r="J48" s="32">
        <v>22.51</v>
      </c>
      <c r="K48" s="32">
        <v>20.76</v>
      </c>
      <c r="L48" s="32">
        <v>17.66</v>
      </c>
      <c r="M48" s="32">
        <v>15.91</v>
      </c>
      <c r="N48" s="32">
        <v>15.9</v>
      </c>
      <c r="O48" s="32">
        <v>15.36</v>
      </c>
      <c r="P48" s="32">
        <v>15.2</v>
      </c>
      <c r="Q48" s="32">
        <v>16.28</v>
      </c>
      <c r="R48" s="29"/>
      <c r="S48" s="29"/>
      <c r="T48" s="29"/>
      <c r="U48" s="29"/>
      <c r="V48" s="29"/>
      <c r="W48" s="29"/>
    </row>
    <row r="49" ht="15.0" customHeight="1">
      <c r="A49" s="26" t="s">
        <v>467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</row>
    <row r="50" ht="15.0" customHeight="1">
      <c r="A50" s="28" t="s">
        <v>468</v>
      </c>
      <c r="B50" s="32">
        <v>16.08</v>
      </c>
      <c r="C50" s="32">
        <v>15.76</v>
      </c>
      <c r="D50" s="32">
        <v>20.55</v>
      </c>
      <c r="E50" s="32">
        <v>18.15</v>
      </c>
      <c r="F50" s="32">
        <v>21.16</v>
      </c>
      <c r="G50" s="32">
        <v>19.16</v>
      </c>
      <c r="H50" s="32">
        <v>22.33</v>
      </c>
      <c r="I50" s="32">
        <v>17.9</v>
      </c>
      <c r="J50" s="32">
        <v>16.77</v>
      </c>
      <c r="K50" s="32">
        <v>20.56</v>
      </c>
      <c r="L50" s="32">
        <v>17.79</v>
      </c>
      <c r="M50" s="32">
        <v>14.45</v>
      </c>
      <c r="N50" s="32">
        <v>11.83</v>
      </c>
      <c r="O50" s="32">
        <v>12.86</v>
      </c>
      <c r="P50" s="32">
        <v>8.35</v>
      </c>
      <c r="Q50" s="32">
        <v>8.04</v>
      </c>
      <c r="R50" s="32">
        <v>11.23</v>
      </c>
      <c r="S50" s="32">
        <v>9.53</v>
      </c>
      <c r="T50" s="32">
        <v>12.23</v>
      </c>
      <c r="U50" s="32">
        <v>13.32</v>
      </c>
      <c r="V50" s="29"/>
      <c r="W50" s="29"/>
    </row>
    <row r="51" ht="15.0" customHeight="1">
      <c r="A51" s="28" t="s">
        <v>469</v>
      </c>
      <c r="B51" s="32">
        <v>17.78</v>
      </c>
      <c r="C51" s="32">
        <v>18.62</v>
      </c>
      <c r="D51" s="32">
        <v>20.05</v>
      </c>
      <c r="E51" s="32">
        <v>19.59</v>
      </c>
      <c r="F51" s="32">
        <v>19.46</v>
      </c>
      <c r="G51" s="32">
        <v>19.39</v>
      </c>
      <c r="H51" s="32">
        <v>19.13</v>
      </c>
      <c r="I51" s="32">
        <v>17.58</v>
      </c>
      <c r="J51" s="32">
        <v>16.44</v>
      </c>
      <c r="K51" s="32">
        <v>15.69</v>
      </c>
      <c r="L51" s="32">
        <v>13.07</v>
      </c>
      <c r="M51" s="32">
        <v>11.01</v>
      </c>
      <c r="N51" s="32">
        <v>10.33</v>
      </c>
      <c r="O51" s="32">
        <v>9.88</v>
      </c>
      <c r="P51" s="32">
        <v>9.61</v>
      </c>
      <c r="Q51" s="32">
        <v>10.57</v>
      </c>
      <c r="R51" s="29"/>
      <c r="S51" s="29"/>
      <c r="T51" s="29"/>
      <c r="U51" s="29"/>
      <c r="V51" s="29"/>
      <c r="W51" s="29"/>
    </row>
    <row r="52" ht="15.0" customHeight="1">
      <c r="A52" s="26" t="s">
        <v>470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</row>
    <row r="53" ht="15.0" customHeight="1">
      <c r="A53" s="28" t="s">
        <v>471</v>
      </c>
      <c r="B53" s="32">
        <v>17.89</v>
      </c>
      <c r="C53" s="32">
        <v>18.22</v>
      </c>
      <c r="D53" s="32">
        <v>25.42</v>
      </c>
      <c r="E53" s="32">
        <v>20.61</v>
      </c>
      <c r="F53" s="32">
        <v>26.48</v>
      </c>
      <c r="G53" s="32">
        <v>23.98</v>
      </c>
      <c r="H53" s="32">
        <v>28.95</v>
      </c>
      <c r="I53" s="32">
        <v>21.59</v>
      </c>
      <c r="J53" s="32">
        <v>19.94</v>
      </c>
      <c r="K53" s="32">
        <v>23.89</v>
      </c>
      <c r="L53" s="32">
        <v>21.63</v>
      </c>
      <c r="M53" s="32">
        <v>17.16</v>
      </c>
      <c r="N53" s="32">
        <v>13.96</v>
      </c>
      <c r="O53" s="32">
        <v>15.11</v>
      </c>
      <c r="P53" s="32">
        <v>10.04</v>
      </c>
      <c r="Q53" s="32">
        <v>12.36</v>
      </c>
      <c r="R53" s="32">
        <v>13.78</v>
      </c>
      <c r="S53" s="32">
        <v>12.2</v>
      </c>
      <c r="T53" s="32">
        <v>15.48</v>
      </c>
      <c r="U53" s="32">
        <v>15.68</v>
      </c>
      <c r="V53" s="29"/>
      <c r="W53" s="29"/>
    </row>
    <row r="54" ht="15.0" customHeight="1">
      <c r="A54" s="28" t="s">
        <v>472</v>
      </c>
      <c r="B54" s="32">
        <v>20.63</v>
      </c>
      <c r="C54" s="32">
        <v>22.24</v>
      </c>
      <c r="D54" s="32">
        <v>24.5</v>
      </c>
      <c r="E54" s="32">
        <v>23.84</v>
      </c>
      <c r="F54" s="32">
        <v>24.1</v>
      </c>
      <c r="G54" s="32">
        <v>23.63</v>
      </c>
      <c r="H54" s="32">
        <v>23.17</v>
      </c>
      <c r="I54" s="32">
        <v>20.93</v>
      </c>
      <c r="J54" s="32">
        <v>19.5</v>
      </c>
      <c r="K54" s="32">
        <v>18.57</v>
      </c>
      <c r="L54" s="32">
        <v>15.58</v>
      </c>
      <c r="M54" s="32">
        <v>13.76</v>
      </c>
      <c r="N54" s="32">
        <v>13.02</v>
      </c>
      <c r="O54" s="32">
        <v>12.67</v>
      </c>
      <c r="P54" s="32">
        <v>12.55</v>
      </c>
      <c r="Q54" s="32">
        <v>13.83</v>
      </c>
      <c r="R54" s="29"/>
      <c r="S54" s="29"/>
      <c r="T54" s="29"/>
      <c r="U54" s="29"/>
      <c r="V54" s="29"/>
      <c r="W54" s="29"/>
    </row>
    <row r="55" ht="15.0" customHeight="1">
      <c r="A55" s="26" t="s">
        <v>473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</row>
    <row r="56" ht="15.0" customHeight="1">
      <c r="A56" s="28" t="s">
        <v>474</v>
      </c>
      <c r="B56" s="32">
        <v>17.88</v>
      </c>
      <c r="C56" s="32">
        <v>16.35</v>
      </c>
      <c r="D56" s="32">
        <v>29.46</v>
      </c>
      <c r="E56" s="32">
        <v>20.59</v>
      </c>
      <c r="F56" s="32">
        <v>26.4</v>
      </c>
      <c r="G56" s="32">
        <v>23.85</v>
      </c>
      <c r="H56" s="32">
        <v>28.95</v>
      </c>
      <c r="I56" s="32">
        <v>21.55</v>
      </c>
      <c r="J56" s="32">
        <v>19.86</v>
      </c>
      <c r="K56" s="32">
        <v>23.86</v>
      </c>
      <c r="L56" s="32">
        <v>21.49</v>
      </c>
      <c r="M56" s="32">
        <v>17.16</v>
      </c>
      <c r="N56" s="32">
        <v>13.87</v>
      </c>
      <c r="O56" s="32">
        <v>14.83</v>
      </c>
      <c r="P56" s="32">
        <v>10.04</v>
      </c>
      <c r="Q56" s="32">
        <v>9.32</v>
      </c>
      <c r="R56" s="32">
        <v>13.78</v>
      </c>
      <c r="S56" s="32">
        <v>12.2</v>
      </c>
      <c r="T56" s="32">
        <v>15.48</v>
      </c>
      <c r="U56" s="32">
        <v>15.68</v>
      </c>
      <c r="V56" s="29"/>
      <c r="W56" s="29"/>
    </row>
    <row r="57" ht="15.0" customHeight="1">
      <c r="A57" s="28" t="s">
        <v>475</v>
      </c>
      <c r="B57" s="32">
        <v>6.78</v>
      </c>
      <c r="C57" s="32">
        <v>6.8</v>
      </c>
      <c r="D57" s="32">
        <v>7.12</v>
      </c>
      <c r="E57" s="32">
        <v>7.02</v>
      </c>
      <c r="F57" s="32">
        <v>6.69</v>
      </c>
      <c r="G57" s="32">
        <v>7.11</v>
      </c>
      <c r="H57" s="32">
        <v>7.17</v>
      </c>
      <c r="I57" s="32">
        <v>7.08</v>
      </c>
      <c r="J57" s="32">
        <v>7.24</v>
      </c>
      <c r="K57" s="32">
        <v>7.23</v>
      </c>
      <c r="L57" s="32">
        <v>6.22</v>
      </c>
      <c r="M57" s="32">
        <v>5.65</v>
      </c>
      <c r="N57" s="32">
        <v>5.18</v>
      </c>
      <c r="O57" s="32">
        <v>4.88</v>
      </c>
      <c r="P57" s="32">
        <v>4.65</v>
      </c>
      <c r="Q57" s="32">
        <v>4.8</v>
      </c>
      <c r="R57" s="29"/>
      <c r="S57" s="29"/>
      <c r="T57" s="29"/>
      <c r="U57" s="29"/>
      <c r="V57" s="29"/>
      <c r="W57" s="29"/>
    </row>
    <row r="58" ht="15.0" customHeight="1">
      <c r="A58" s="26" t="s">
        <v>476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</row>
    <row r="59" ht="15.0" customHeight="1">
      <c r="A59" s="28" t="s">
        <v>477</v>
      </c>
      <c r="B59" s="32">
        <v>0.35</v>
      </c>
      <c r="C59" s="32">
        <v>0.35</v>
      </c>
      <c r="D59" s="33">
        <v>-0.67</v>
      </c>
      <c r="E59" s="32">
        <v>0.26</v>
      </c>
      <c r="F59" s="33">
        <v>-2.23</v>
      </c>
      <c r="G59" s="32">
        <v>2.45</v>
      </c>
      <c r="H59" s="32">
        <v>17.57</v>
      </c>
      <c r="I59" s="33">
        <v>-2.15</v>
      </c>
      <c r="J59" s="33">
        <v>-1.67</v>
      </c>
      <c r="K59" s="32">
        <v>1.21</v>
      </c>
      <c r="L59" s="33">
        <v>-13.83</v>
      </c>
      <c r="M59" s="32">
        <v>6.43</v>
      </c>
      <c r="N59" s="33">
        <v>-34.69</v>
      </c>
      <c r="O59" s="33">
        <v>-11.6</v>
      </c>
      <c r="P59" s="32">
        <v>0.74</v>
      </c>
      <c r="Q59" s="32">
        <v>0.56</v>
      </c>
      <c r="R59" s="32">
        <v>1.34</v>
      </c>
      <c r="S59" s="33">
        <v>-2.75</v>
      </c>
      <c r="T59" s="33">
        <v>-11.76</v>
      </c>
      <c r="U59" s="32">
        <v>0.56</v>
      </c>
      <c r="V59" s="29"/>
      <c r="W59" s="29"/>
    </row>
    <row r="60" ht="15.0" customHeight="1">
      <c r="A60" s="28" t="s">
        <v>478</v>
      </c>
      <c r="B60" s="32">
        <v>1.16</v>
      </c>
      <c r="C60" s="32">
        <v>2.12</v>
      </c>
      <c r="D60" s="32">
        <v>12.57</v>
      </c>
      <c r="E60" s="32">
        <v>2.44</v>
      </c>
      <c r="F60" s="33">
        <v>-4.95</v>
      </c>
      <c r="G60" s="32">
        <v>20.51</v>
      </c>
      <c r="H60" s="33">
        <v>-22.48</v>
      </c>
      <c r="I60" s="33">
        <v>-25.15</v>
      </c>
      <c r="J60" s="32">
        <v>16.21</v>
      </c>
      <c r="K60" s="32">
        <v>5.25</v>
      </c>
      <c r="L60" s="32">
        <v>6.41</v>
      </c>
      <c r="M60" s="32">
        <v>1.99</v>
      </c>
      <c r="N60" s="32">
        <v>1.54</v>
      </c>
      <c r="O60" s="32">
        <v>1.67</v>
      </c>
      <c r="P60" s="32">
        <v>1.65</v>
      </c>
      <c r="Q60" s="32">
        <v>1.36</v>
      </c>
      <c r="R60" s="29"/>
      <c r="S60" s="29"/>
      <c r="T60" s="29"/>
      <c r="U60" s="29"/>
      <c r="V60" s="29"/>
      <c r="W60" s="29"/>
    </row>
    <row r="61" ht="15.0" customHeight="1">
      <c r="A61" s="26" t="s">
        <v>479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</row>
    <row r="62" ht="15.0" customHeight="1">
      <c r="A62" s="28" t="s">
        <v>480</v>
      </c>
      <c r="B62" s="32">
        <v>4.82</v>
      </c>
      <c r="C62" s="32">
        <v>3.99</v>
      </c>
      <c r="D62" s="32">
        <v>4.74</v>
      </c>
      <c r="E62" s="32">
        <v>5.3</v>
      </c>
      <c r="F62" s="32">
        <v>4.83</v>
      </c>
      <c r="G62" s="32">
        <v>4.74</v>
      </c>
      <c r="H62" s="32">
        <v>5.4</v>
      </c>
      <c r="I62" s="32">
        <v>4.24</v>
      </c>
      <c r="J62" s="32">
        <v>4.27</v>
      </c>
      <c r="K62" s="32">
        <v>5.49</v>
      </c>
      <c r="L62" s="32">
        <v>4.38</v>
      </c>
      <c r="M62" s="32">
        <v>3.53</v>
      </c>
      <c r="N62" s="32">
        <v>2.9</v>
      </c>
      <c r="O62" s="32">
        <v>3.18</v>
      </c>
      <c r="P62" s="32">
        <v>2.27</v>
      </c>
      <c r="Q62" s="32">
        <v>2.63</v>
      </c>
      <c r="R62" s="32">
        <v>2.66</v>
      </c>
      <c r="S62" s="32">
        <v>2.31</v>
      </c>
      <c r="T62" s="32">
        <v>3.15</v>
      </c>
      <c r="U62" s="32">
        <v>3.41</v>
      </c>
      <c r="V62" s="29"/>
      <c r="W62" s="29"/>
    </row>
    <row r="63" ht="15.0" customHeight="1">
      <c r="A63" s="28" t="s">
        <v>481</v>
      </c>
      <c r="B63" s="32">
        <v>4.72</v>
      </c>
      <c r="C63" s="32">
        <v>4.69</v>
      </c>
      <c r="D63" s="32">
        <v>5.01</v>
      </c>
      <c r="E63" s="32">
        <v>4.93</v>
      </c>
      <c r="F63" s="32">
        <v>4.7</v>
      </c>
      <c r="G63" s="32">
        <v>4.84</v>
      </c>
      <c r="H63" s="32">
        <v>4.77</v>
      </c>
      <c r="I63" s="32">
        <v>4.4</v>
      </c>
      <c r="J63" s="32">
        <v>4.14</v>
      </c>
      <c r="K63" s="32">
        <v>3.92</v>
      </c>
      <c r="L63" s="32">
        <v>3.27</v>
      </c>
      <c r="M63" s="32">
        <v>2.92</v>
      </c>
      <c r="N63" s="32">
        <v>2.74</v>
      </c>
      <c r="O63" s="32">
        <v>2.63</v>
      </c>
      <c r="P63" s="32">
        <v>2.58</v>
      </c>
      <c r="Q63" s="32">
        <v>2.81</v>
      </c>
      <c r="R63" s="29"/>
      <c r="S63" s="29"/>
      <c r="T63" s="29"/>
      <c r="U63" s="29"/>
      <c r="V63" s="29"/>
      <c r="W63" s="29"/>
    </row>
    <row r="64" ht="15.0" customHeight="1">
      <c r="A64" s="26" t="s">
        <v>482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</row>
    <row r="65" ht="15.0" customHeight="1">
      <c r="A65" s="28" t="s">
        <v>483</v>
      </c>
      <c r="B65" s="32">
        <v>13.29</v>
      </c>
      <c r="C65" s="32">
        <v>12.22</v>
      </c>
      <c r="D65" s="32">
        <v>19.64</v>
      </c>
      <c r="E65" s="32">
        <v>14.68</v>
      </c>
      <c r="F65" s="32">
        <v>17.53</v>
      </c>
      <c r="G65" s="32">
        <v>15.34</v>
      </c>
      <c r="H65" s="32">
        <v>18.25</v>
      </c>
      <c r="I65" s="32">
        <v>14.2</v>
      </c>
      <c r="J65" s="32">
        <v>13.54</v>
      </c>
      <c r="K65" s="32">
        <v>17.72</v>
      </c>
      <c r="L65" s="32">
        <v>14.19</v>
      </c>
      <c r="M65" s="32">
        <v>11.53</v>
      </c>
      <c r="N65" s="32">
        <v>9.69</v>
      </c>
      <c r="O65" s="32">
        <v>9.94</v>
      </c>
      <c r="P65" s="32">
        <v>6.42</v>
      </c>
      <c r="Q65" s="32">
        <v>7.7</v>
      </c>
      <c r="R65" s="32">
        <v>8.3</v>
      </c>
      <c r="S65" s="32">
        <v>7.26</v>
      </c>
      <c r="T65" s="32">
        <v>9.43</v>
      </c>
      <c r="U65" s="32">
        <v>9.82</v>
      </c>
      <c r="V65" s="29"/>
      <c r="W65" s="29"/>
    </row>
    <row r="66" ht="15.0" customHeight="1">
      <c r="A66" s="28" t="s">
        <v>484</v>
      </c>
      <c r="B66" s="32">
        <v>14.7</v>
      </c>
      <c r="C66" s="32">
        <v>15.33</v>
      </c>
      <c r="D66" s="32">
        <v>16.78</v>
      </c>
      <c r="E66" s="32">
        <v>15.86</v>
      </c>
      <c r="F66" s="32">
        <v>15.74</v>
      </c>
      <c r="G66" s="32">
        <v>15.83</v>
      </c>
      <c r="H66" s="32">
        <v>15.6</v>
      </c>
      <c r="I66" s="32">
        <v>14.28</v>
      </c>
      <c r="J66" s="32">
        <v>13.42</v>
      </c>
      <c r="K66" s="32">
        <v>12.7</v>
      </c>
      <c r="L66" s="32">
        <v>10.33</v>
      </c>
      <c r="M66" s="32">
        <v>9.05</v>
      </c>
      <c r="N66" s="32">
        <v>8.4</v>
      </c>
      <c r="O66" s="32">
        <v>7.94</v>
      </c>
      <c r="P66" s="32">
        <v>7.72</v>
      </c>
      <c r="Q66" s="32">
        <v>8.45</v>
      </c>
      <c r="R66" s="29"/>
      <c r="S66" s="29"/>
      <c r="T66" s="29"/>
      <c r="U66" s="29"/>
      <c r="V66" s="29"/>
      <c r="W66" s="29"/>
    </row>
    <row r="67" ht="15.0" customHeight="1">
      <c r="A67" s="26" t="s">
        <v>485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</row>
    <row r="68" ht="15.0" customHeight="1">
      <c r="A68" s="28" t="s">
        <v>486</v>
      </c>
      <c r="B68" s="32">
        <v>28.78</v>
      </c>
      <c r="C68" s="32">
        <v>20.97</v>
      </c>
      <c r="D68" s="32">
        <v>47.34</v>
      </c>
      <c r="E68" s="32">
        <v>16.36</v>
      </c>
      <c r="F68" s="32">
        <v>23.33</v>
      </c>
      <c r="G68" s="32">
        <v>17.07</v>
      </c>
      <c r="H68" s="32">
        <v>20.97</v>
      </c>
      <c r="I68" s="32">
        <v>17.96</v>
      </c>
      <c r="J68" s="32">
        <v>19.33</v>
      </c>
      <c r="K68" s="32">
        <v>23.68</v>
      </c>
      <c r="L68" s="32">
        <v>17.47</v>
      </c>
      <c r="M68" s="32">
        <v>12.09</v>
      </c>
      <c r="N68" s="32">
        <v>13.59</v>
      </c>
      <c r="O68" s="32">
        <v>14.12</v>
      </c>
      <c r="P68" s="32">
        <v>10.47</v>
      </c>
      <c r="Q68" s="32">
        <v>10.67</v>
      </c>
      <c r="R68" s="32">
        <v>10.03</v>
      </c>
      <c r="S68" s="32">
        <v>11.38</v>
      </c>
      <c r="T68" s="32">
        <v>13.86</v>
      </c>
      <c r="U68" s="32">
        <v>15.45</v>
      </c>
      <c r="V68" s="29"/>
      <c r="W68" s="29"/>
    </row>
    <row r="69" ht="15.0" customHeight="1">
      <c r="A69" s="28" t="s">
        <v>487</v>
      </c>
      <c r="B69" s="32">
        <v>23.96</v>
      </c>
      <c r="C69" s="32">
        <v>21.32</v>
      </c>
      <c r="D69" s="32">
        <v>21.33</v>
      </c>
      <c r="E69" s="32">
        <v>18.66</v>
      </c>
      <c r="F69" s="32">
        <v>19.58</v>
      </c>
      <c r="G69" s="32">
        <v>19.75</v>
      </c>
      <c r="H69" s="32">
        <v>19.93</v>
      </c>
      <c r="I69" s="32">
        <v>17.86</v>
      </c>
      <c r="J69" s="32">
        <v>17.1</v>
      </c>
      <c r="K69" s="32">
        <v>16.16</v>
      </c>
      <c r="L69" s="32">
        <v>13.62</v>
      </c>
      <c r="M69" s="32">
        <v>12.22</v>
      </c>
      <c r="N69" s="32">
        <v>11.83</v>
      </c>
      <c r="O69" s="32">
        <v>11.38</v>
      </c>
      <c r="P69" s="32">
        <v>11.14</v>
      </c>
      <c r="Q69" s="32">
        <v>12.01</v>
      </c>
      <c r="R69" s="29"/>
      <c r="S69" s="29"/>
      <c r="T69" s="29"/>
      <c r="U69" s="29"/>
      <c r="V69" s="29"/>
      <c r="W69" s="29"/>
    </row>
    <row r="70" ht="15.0" customHeight="1">
      <c r="A70" s="26" t="s">
        <v>488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</row>
    <row r="71" ht="15.0" customHeight="1">
      <c r="A71" s="28" t="s">
        <v>489</v>
      </c>
      <c r="B71" s="32">
        <v>41.59</v>
      </c>
      <c r="C71" s="32">
        <v>29.8</v>
      </c>
      <c r="D71" s="30">
        <v>2560.59</v>
      </c>
      <c r="E71" s="32">
        <v>19.67</v>
      </c>
      <c r="F71" s="32">
        <v>38.5</v>
      </c>
      <c r="G71" s="32">
        <v>19.76</v>
      </c>
      <c r="H71" s="32">
        <v>24.21</v>
      </c>
      <c r="I71" s="32">
        <v>25.26</v>
      </c>
      <c r="J71" s="32">
        <v>29.06</v>
      </c>
      <c r="K71" s="32">
        <v>29.28</v>
      </c>
      <c r="L71" s="32">
        <v>21.04</v>
      </c>
      <c r="M71" s="32">
        <v>14.92</v>
      </c>
      <c r="N71" s="32">
        <v>20.61</v>
      </c>
      <c r="O71" s="32">
        <v>18.15</v>
      </c>
      <c r="P71" s="32">
        <v>13.57</v>
      </c>
      <c r="Q71" s="32">
        <v>12.85</v>
      </c>
      <c r="R71" s="32">
        <v>14.27</v>
      </c>
      <c r="S71" s="32">
        <v>18.14</v>
      </c>
      <c r="T71" s="32">
        <v>17.84</v>
      </c>
      <c r="U71" s="32">
        <v>18.41</v>
      </c>
      <c r="V71" s="29"/>
      <c r="W71" s="29"/>
    </row>
    <row r="72" ht="15.0" customHeight="1">
      <c r="A72" s="28" t="s">
        <v>490</v>
      </c>
      <c r="B72" s="32">
        <v>35.92</v>
      </c>
      <c r="C72" s="32">
        <v>30.27</v>
      </c>
      <c r="D72" s="32">
        <v>28.93</v>
      </c>
      <c r="E72" s="32">
        <v>23.56</v>
      </c>
      <c r="F72" s="32">
        <v>25.94</v>
      </c>
      <c r="G72" s="32">
        <v>24.98</v>
      </c>
      <c r="H72" s="32">
        <v>25.52</v>
      </c>
      <c r="I72" s="32">
        <v>23.21</v>
      </c>
      <c r="J72" s="32">
        <v>22.46</v>
      </c>
      <c r="K72" s="32">
        <v>20.66</v>
      </c>
      <c r="L72" s="32">
        <v>17.59</v>
      </c>
      <c r="M72" s="32">
        <v>15.83</v>
      </c>
      <c r="N72" s="32">
        <v>15.82</v>
      </c>
      <c r="O72" s="32">
        <v>15.18</v>
      </c>
      <c r="P72" s="32">
        <v>14.9</v>
      </c>
      <c r="Q72" s="32">
        <v>15.85</v>
      </c>
      <c r="R72" s="29"/>
      <c r="S72" s="29"/>
      <c r="T72" s="29"/>
      <c r="U72" s="29"/>
      <c r="V72" s="29"/>
      <c r="W72" s="29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