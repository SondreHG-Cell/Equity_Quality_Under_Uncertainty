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NIa/xaLNy8yc+3sQfpuhbLR6XzSl7v/qHcTcEMKCIw="/>
    </ext>
  </extLst>
</workbook>
</file>

<file path=xl/sharedStrings.xml><?xml version="1.0" encoding="utf-8"?>
<sst xmlns="http://schemas.openxmlformats.org/spreadsheetml/2006/main" count="888" uniqueCount="490">
  <si>
    <t>Company Fundamentals - Income Statement</t>
  </si>
  <si>
    <t>Company Name</t>
  </si>
  <si>
    <t>Nurminen Logistics Oyj (NLG1V.HE)</t>
  </si>
  <si>
    <t>Country of Exchange</t>
  </si>
  <si>
    <t>Finland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</si>
  <si>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</si>
  <si>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</si>
  <si>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</si>
  <si>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</si>
  <si>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</si>
  <si>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</si>
  <si>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</si>
  <si>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</si>
  <si>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</si>
  <si>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</si>
  <si>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</si>
  <si>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</si>
  <si>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</si>
  <si>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</si>
  <si>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</si>
  <si>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</si>
  <si>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</si>
  <si>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</si>
  <si>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</si>
  <si>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</si>
  <si>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</si>
  <si>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</si>
  <si>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</si>
  <si>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</si>
  <si>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</si>
  <si>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</si>
  <si>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</si>
  <si>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</si>
  <si>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</si>
  <si>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</si>
  <si>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</si>
  <si>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</si>
  <si>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</si>
  <si>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</si>
  <si>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</si>
  <si>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</si>
  <si>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</si>
  <si>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</si>
  <si>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</si>
  <si>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</si>
  <si>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</si>
  <si>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</si>
  <si>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</si>
  <si>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</si>
  <si>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</si>
  <si>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</si>
  <si>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</si>
  <si>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</si>
  <si>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</si>
  <si>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</si>
  <si>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</si>
  <si>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</si>
  <si>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</si>
  <si>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</si>
  <si>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</si>
  <si>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</si>
  <si>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</si>
  <si>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</si>
  <si>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</si>
  <si>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</si>
  <si>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</si>
  <si>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</si>
  <si>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</si>
  <si>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</si>
  <si>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</si>
  <si>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</si>
  <si>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</si>
  <si>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Total Revenue</t>
  </si>
  <si>
    <t>Other operating income</t>
  </si>
  <si>
    <t>Negative Goodwill Recognized</t>
  </si>
  <si>
    <t>Other Operating Income/Expense</t>
  </si>
  <si>
    <t>Rental income</t>
  </si>
  <si>
    <t>Gain from Sale of Property , Plant and Equipments</t>
  </si>
  <si>
    <t>Other items</t>
  </si>
  <si>
    <t>Other operating income - Balancing value</t>
  </si>
  <si>
    <t>Sale of Tangible &amp; Intangible Fixed Assets - Gain/Loss</t>
  </si>
  <si>
    <t>Change in Inventory</t>
  </si>
  <si>
    <t>Production for Own Use</t>
  </si>
  <si>
    <t>Use of materials and supplies</t>
  </si>
  <si>
    <t>Employee benefit expenses</t>
  </si>
  <si>
    <t>Share-based payments</t>
  </si>
  <si>
    <t>Employee benefit expenses - Balancing value</t>
  </si>
  <si>
    <t>Depreciation, amortisation &amp; impairment losses</t>
  </si>
  <si>
    <t>Depreciation</t>
  </si>
  <si>
    <t>Depreciation of Financial Lease Right-of-Use Assets</t>
  </si>
  <si>
    <t>Amortization of Intangibles</t>
  </si>
  <si>
    <t>Amortization of Intangible Rights</t>
  </si>
  <si>
    <t>Amortization of Other Intangibles assets</t>
  </si>
  <si>
    <t>Amortization of Intangibles - Balancing value</t>
  </si>
  <si>
    <t>Impairment - other Intangibles assets</t>
  </si>
  <si>
    <t>Impairment - Fixed Assets</t>
  </si>
  <si>
    <t>Impairment - Goodwill</t>
  </si>
  <si>
    <t>Depreciation, amortisation &amp; impairment losses - Balancing value</t>
  </si>
  <si>
    <t>Extraordinary Income</t>
  </si>
  <si>
    <t>Other Operating Expenses</t>
  </si>
  <si>
    <t>Losses on sales and disposals of property, plant and equipment</t>
  </si>
  <si>
    <t>Expense relating to premises</t>
  </si>
  <si>
    <t>Other cost items</t>
  </si>
  <si>
    <t>Expenses relating to short term low value leases</t>
  </si>
  <si>
    <t>Administrative Expenses - Balancing value</t>
  </si>
  <si>
    <t>Other Operating Expenses - Balancing value</t>
  </si>
  <si>
    <t>Selling/General/Administrative Expenses</t>
  </si>
  <si>
    <t>Non-recurring Income/Expense In Administrative Expenses</t>
  </si>
  <si>
    <t>Selling, General &amp; Administrative Expenses</t>
  </si>
  <si>
    <t>Loss on disposal of Russian subsidiary</t>
  </si>
  <si>
    <t>Operating (Income)/Expense, net</t>
  </si>
  <si>
    <t>Total Operating Expense</t>
  </si>
  <si>
    <t>Balancing Item - Operating Income/(Expense), net</t>
  </si>
  <si>
    <t>OPERATING RESULT</t>
  </si>
  <si>
    <t>Financial Income</t>
  </si>
  <si>
    <t>Interest Income</t>
  </si>
  <si>
    <t>Exchange rate Gains</t>
  </si>
  <si>
    <t>Proceeds from other investments</t>
  </si>
  <si>
    <t>Other financial income</t>
  </si>
  <si>
    <t>Financial Income - Balancing value</t>
  </si>
  <si>
    <t>Financial expenses</t>
  </si>
  <si>
    <t>Interest Expenses</t>
  </si>
  <si>
    <t>Other Financial Expenses</t>
  </si>
  <si>
    <t>Exchange rate losses</t>
  </si>
  <si>
    <t>Other Financial expenses</t>
  </si>
  <si>
    <t>Interest Expense on Financial Lease Liabilities</t>
  </si>
  <si>
    <t>Financial expenses - Balancing value</t>
  </si>
  <si>
    <t>Other Income /Expense</t>
  </si>
  <si>
    <t>Other Financial Income</t>
  </si>
  <si>
    <t>Share of profit of equity-accounted investees Total financial income and expenses and share</t>
  </si>
  <si>
    <t>Balancing Item - Non Operating Income/(Expense), net</t>
  </si>
  <si>
    <t>of profit of equity-accounted investees</t>
  </si>
  <si>
    <t>Balancing Item - Pretax Income</t>
  </si>
  <si>
    <t>RESULT BEFORE INCOME TAX</t>
  </si>
  <si>
    <t>Income taxes</t>
  </si>
  <si>
    <t>Current tax expense</t>
  </si>
  <si>
    <t>Other direct taxes</t>
  </si>
  <si>
    <t>Adjustment for Prior Periods - Deferred/Current</t>
  </si>
  <si>
    <t>Deferred taxes, net</t>
  </si>
  <si>
    <t>Income taxes - Balancing value</t>
  </si>
  <si>
    <t>Income Taxes - Total</t>
  </si>
  <si>
    <t>RESULT FOR THE PERIOD</t>
  </si>
  <si>
    <t>Balancing Item - Net Income After Tax</t>
  </si>
  <si>
    <t>Total after tax income/(expense)</t>
  </si>
  <si>
    <t>TOTAL COMPREHENSIVE INCOME FOR THE PERIOD</t>
  </si>
  <si>
    <t>Extraordinary Items (After Tax)</t>
  </si>
  <si>
    <t>Non-controlling interest</t>
  </si>
  <si>
    <t>Balancing Item - Net Income available to Controlling Interest</t>
  </si>
  <si>
    <t>Minority Interests</t>
  </si>
  <si>
    <t>Adjustments to Net Income - Other</t>
  </si>
  <si>
    <t>Interest Expense - Hybrid Debt Instruments - Equity</t>
  </si>
  <si>
    <t>Preferred Dividends, Distributions &amp; Earnings Adjustments - Total</t>
  </si>
  <si>
    <t>Reported Net Income</t>
  </si>
  <si>
    <t>Income Available to Com Excl ExtraOrd</t>
  </si>
  <si>
    <t>Balancing Item - Net Income After Extraordinary Items applicable to Common</t>
  </si>
  <si>
    <t>Balancing Item - Net income before extraordinary items applicable to Common</t>
  </si>
  <si>
    <t>Income Available to Com Incl ExtraOrd</t>
  </si>
  <si>
    <t>TOTAL COMPREHENSIVE INCOME FOR THE PERIOD Result attributable to</t>
  </si>
  <si>
    <t>Translation Differences</t>
  </si>
  <si>
    <t>Re-measurement of defined benefit schemes</t>
  </si>
  <si>
    <t>Other comprehensive income after income taxes</t>
  </si>
  <si>
    <t>Equity holders of the parent company</t>
  </si>
  <si>
    <t>Comprehensive Income - Attributable to Minority Interest - Total</t>
  </si>
  <si>
    <t>Balancing Item - Total Comprehensive Income</t>
  </si>
  <si>
    <t>Basic EPS Excluding ExtraOrdinary Items</t>
  </si>
  <si>
    <t>Diluted Weighted Average Shares</t>
  </si>
  <si>
    <t>Earnings per share, diluted, euro</t>
  </si>
  <si>
    <t>Basic Weighted Average Shares</t>
  </si>
  <si>
    <t>Earnings per share, undiluted, euro</t>
  </si>
  <si>
    <t>Diluted EPS Excluding ExtraOrd Items</t>
  </si>
  <si>
    <t>Diluted Net Income</t>
  </si>
  <si>
    <t>Diluted Net Income excluding Extra Items applicable to Common - (Company Level)</t>
  </si>
  <si>
    <t>Interest Expense</t>
  </si>
  <si>
    <t>Depreciation - Supplemental</t>
  </si>
  <si>
    <t>Amortisation of Intangibles</t>
  </si>
  <si>
    <t>Discountinued</t>
  </si>
  <si>
    <t>Total Depreciation &amp; Amortization (Combined)</t>
  </si>
  <si>
    <t>Total Depreciation of Fixed Assets</t>
  </si>
  <si>
    <t>Amortization of Intangible Assets excluding Goodwill - Total</t>
  </si>
  <si>
    <t>Auditor Fees - Total</t>
  </si>
  <si>
    <t>Audit Fees</t>
  </si>
  <si>
    <t>Other Services</t>
  </si>
  <si>
    <t>Financial expenses- Supplemental</t>
  </si>
  <si>
    <t>Payments for short-term or low value leases</t>
  </si>
  <si>
    <t>Stock Option Compensation Expense - Net of Tax</t>
  </si>
  <si>
    <t>Associated Companies</t>
  </si>
  <si>
    <t>Rental Expenses</t>
  </si>
  <si>
    <t>Non-recurring expenses related to containers and wagons</t>
  </si>
  <si>
    <t>Impairment losses due to the end of the legal proceedings related to the property in Luumaki</t>
  </si>
  <si>
    <t>Non-recurring costs related to the acquisition of North Rail Oy</t>
  </si>
  <si>
    <t>Personnel-related restructuring costs</t>
  </si>
  <si>
    <t>Proceeds from the sale of Kiinteistöosakeyhtiö Satamakaari</t>
  </si>
  <si>
    <t>Write-downs related to IT systems</t>
  </si>
  <si>
    <t>Settlement costs related to the opening of new business</t>
  </si>
  <si>
    <t>Expenses caused by a railway yard accident and incorrect fuel</t>
  </si>
  <si>
    <t>Write-down of intangible assets, Nurminen Logistics Services AB</t>
  </si>
  <si>
    <t>Non-GAAP Income from Operations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</si>
  <si>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</si>
  <si>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</si>
  <si>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</si>
  <si>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</si>
  <si>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</si>
  <si>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</si>
  <si>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</si>
  <si>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</si>
  <si>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Diluted Net Income excluding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</si>
  <si>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</si>
  <si>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</si>
  <si>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</si>
  <si>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</si>
  <si>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</si>
  <si>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</si>
  <si>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Finished Product</t>
  </si>
  <si>
    <t>Deferred Tax</t>
  </si>
  <si>
    <t>Cash and cash equivalents</t>
  </si>
  <si>
    <t>Cash in Hand &amp; with Banks</t>
  </si>
  <si>
    <t>Trade and other receivables</t>
  </si>
  <si>
    <t>Prepaid expenses and accrued income</t>
  </si>
  <si>
    <t>Trade receivables</t>
  </si>
  <si>
    <t>VAT Receivables</t>
  </si>
  <si>
    <t>Other Receivables</t>
  </si>
  <si>
    <t>Trade and other receivables - Balancing value</t>
  </si>
  <si>
    <t>Loan Receivables</t>
  </si>
  <si>
    <t>Raw Materials</t>
  </si>
  <si>
    <t>Work In Progress</t>
  </si>
  <si>
    <t>Income tax receivables</t>
  </si>
  <si>
    <t>Inventories</t>
  </si>
  <si>
    <t>Non-current assets held for sale</t>
  </si>
  <si>
    <t>Balancing Item - Current Assets</t>
  </si>
  <si>
    <t>CURRENT ASSETS</t>
  </si>
  <si>
    <t>Shares/Holdings</t>
  </si>
  <si>
    <t>Investments in equity-accounted investees</t>
  </si>
  <si>
    <t>Deferred tax assets</t>
  </si>
  <si>
    <t>Non-current receivables</t>
  </si>
  <si>
    <t>Accumulated depreciation and impairment</t>
  </si>
  <si>
    <t>Right-of-use assets</t>
  </si>
  <si>
    <t>Right of Use Tangible Assets - Capital/Finance Lease - Accumulated Depreciation</t>
  </si>
  <si>
    <t>Right of Use Tangible Assets - Capital/Finance Lease - Gross</t>
  </si>
  <si>
    <t>Total Property/Plant/Equipment, Gross</t>
  </si>
  <si>
    <t>Property, plant and equipment</t>
  </si>
  <si>
    <t>Land and bodies of water</t>
  </si>
  <si>
    <t>Acc Depr/Imp Land/Waters</t>
  </si>
  <si>
    <t>Buildings, Net - Balancing value</t>
  </si>
  <si>
    <t>Buildings</t>
  </si>
  <si>
    <t>Acc Depr/Imp Buildings</t>
  </si>
  <si>
    <t>Machinery and Equipment</t>
  </si>
  <si>
    <t>Acc Depr/Imp Plant/Machinery/Equipment</t>
  </si>
  <si>
    <t>Plant/Machinery/Equipment, Net - Balancing value</t>
  </si>
  <si>
    <t>Plant, Machinery &amp; Equipment - Gross</t>
  </si>
  <si>
    <t>Other Tangible Fixed Assets, Net - Balancing value</t>
  </si>
  <si>
    <t>Other tangible Assets</t>
  </si>
  <si>
    <t>Acc Depr/Imp Other Tangible Fixed Assets</t>
  </si>
  <si>
    <t>Payments and Assets under Construction</t>
  </si>
  <si>
    <t>Construction in Progress - Gross</t>
  </si>
  <si>
    <t>Property, plant and equipment - Balancing value</t>
  </si>
  <si>
    <t>Goodwill</t>
  </si>
  <si>
    <t>Goodwill - Gross</t>
  </si>
  <si>
    <t>Goodwill - Accumulated Amortization &amp; Impairment</t>
  </si>
  <si>
    <t>Goodwill - Balancing value</t>
  </si>
  <si>
    <t>Amortisation</t>
  </si>
  <si>
    <t>Intangible</t>
  </si>
  <si>
    <t>Other intangible assets</t>
  </si>
  <si>
    <t>Intangible Rights, Gross</t>
  </si>
  <si>
    <t>Acc Amort/Imp Intangible Rights</t>
  </si>
  <si>
    <t>Intangible Rights, Net - Balancing value</t>
  </si>
  <si>
    <t>Other Intangibles, Gross</t>
  </si>
  <si>
    <t>Acc Amort/Imp Other Intangibles</t>
  </si>
  <si>
    <t>Other Intangibles, Net - Balancing value</t>
  </si>
  <si>
    <t>Advance payments - Gross</t>
  </si>
  <si>
    <t>Customer relationships - Gross</t>
  </si>
  <si>
    <t>Other intangible assets - Balancing value</t>
  </si>
  <si>
    <t>Other Intangibles</t>
  </si>
  <si>
    <t>Balancing Item - Noncurrent Assets</t>
  </si>
  <si>
    <t>Non-current assets</t>
  </si>
  <si>
    <t>Assets held for sale</t>
  </si>
  <si>
    <t>TOTAL ASSETS</t>
  </si>
  <si>
    <t>Financial liabilities</t>
  </si>
  <si>
    <t>Interest-bearing finance liabilities</t>
  </si>
  <si>
    <t>Financial liabilities redundant</t>
  </si>
  <si>
    <t>Financial Lease</t>
  </si>
  <si>
    <t>Trade payables and other liabilities</t>
  </si>
  <si>
    <t>Trade payables</t>
  </si>
  <si>
    <t>Advances received</t>
  </si>
  <si>
    <t>Other liabilities</t>
  </si>
  <si>
    <t>Accrued expenses</t>
  </si>
  <si>
    <t>Trade payables and other liabilities - Balancing value</t>
  </si>
  <si>
    <t>Income tax payables</t>
  </si>
  <si>
    <t>Liabilities relating to assets held for sale</t>
  </si>
  <si>
    <t>Advance Payments</t>
  </si>
  <si>
    <t>Other Payables</t>
  </si>
  <si>
    <t>Derivatives</t>
  </si>
  <si>
    <t>Balancing Item - Current Liabilities</t>
  </si>
  <si>
    <t>Current liabilities</t>
  </si>
  <si>
    <t>Deferred tax liabilities</t>
  </si>
  <si>
    <t>Financial liabiliites LT</t>
  </si>
  <si>
    <t>Financial liabilities LT</t>
  </si>
  <si>
    <t>Lease liabilities</t>
  </si>
  <si>
    <t>Pension Reserves</t>
  </si>
  <si>
    <t>Other Interest-Bearing Liabilities</t>
  </si>
  <si>
    <t>Balancing Item - Noncurrent Liabilities</t>
  </si>
  <si>
    <t>Non-current liabilities</t>
  </si>
  <si>
    <t>Balancing Item - Liabilities</t>
  </si>
  <si>
    <t>TOTAL LIABILITIES</t>
  </si>
  <si>
    <t>Share Capital</t>
  </si>
  <si>
    <t>Retained earnings</t>
  </si>
  <si>
    <t>Translation differences</t>
  </si>
  <si>
    <t>Hybrid bond</t>
  </si>
  <si>
    <t>Translation Diff</t>
  </si>
  <si>
    <t>Other reserves</t>
  </si>
  <si>
    <t>Reserve for invested unrestricted equity</t>
  </si>
  <si>
    <t>Legal reserve</t>
  </si>
  <si>
    <t>Share premium reserve</t>
  </si>
  <si>
    <t>Adjustment</t>
  </si>
  <si>
    <t>Balancing Item - Total Equity</t>
  </si>
  <si>
    <t>Balancing Item - Shareholders Equity</t>
  </si>
  <si>
    <t>Equity attributable to equity holders of the parent company</t>
  </si>
  <si>
    <t>Non-controlling interests</t>
  </si>
  <si>
    <t>Minority Interest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</si>
  <si>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</si>
  <si>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</si>
  <si>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</si>
  <si>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</si>
  <si>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</si>
  <si>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Balancing Item - Assets</t>
  </si>
  <si>
    <t>Reported Issued Shares- Common Iss. Pri.</t>
  </si>
  <si>
    <t>Other Funds</t>
  </si>
  <si>
    <t>Accumulated Intangible Amortization</t>
  </si>
  <si>
    <t>Reported Total Capital Leases, Sup</t>
  </si>
  <si>
    <t>Financial Leases Due in 1 Year</t>
  </si>
  <si>
    <t>Financial Leases Due in 1-5 Years</t>
  </si>
  <si>
    <t>Financial Leases Due after 5 Year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</si>
  <si>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</si>
  <si>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</si>
  <si>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</si>
  <si>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</si>
  <si>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S/O-Ordinary Shares A</t>
  </si>
  <si>
    <t>Latest Common Shares Outstanding - (Instrument Level)</t>
  </si>
  <si>
    <t>Latest Common Shares - (Instrument Level) As Of Date</t>
  </si>
  <si>
    <t>Asset Allocation Factor - (Instrument Level)</t>
  </si>
  <si>
    <t>Common Shares Issued - (Instrument Level)</t>
  </si>
  <si>
    <t>Common Shares Treasury</t>
  </si>
  <si>
    <t>S/O-Ordinary Shares K</t>
  </si>
  <si>
    <t>Common Shares Issued - K</t>
  </si>
  <si>
    <t>Company Fundamentals - Cash Flow</t>
  </si>
  <si>
    <t>Industrial - Indirect</t>
  </si>
  <si>
    <t>Cash Flow - Company Specific (Currency: Norwegian Krone)</t>
  </si>
  <si>
    <t>PROFIT/LOSS FOR THE FINANCIAL PERIOD</t>
  </si>
  <si>
    <t>Depreciation, Depletion &amp; Amortization including Impairment - Cash Flow - to Reconcile</t>
  </si>
  <si>
    <t>Impairment - Property, Plant &amp; Equipment including Intangible Assets - Cash Flow - to Reconcile</t>
  </si>
  <si>
    <t>Depreciation, Depletion &amp; Amortization including Impairment - Cash Flow - to Reconcile - Balancing value</t>
  </si>
  <si>
    <t>Depreciation, amortisation and impairment losses</t>
  </si>
  <si>
    <t>Amortization of Intangible Assets</t>
  </si>
  <si>
    <t>Depreciation of Property, Plant and Equipment</t>
  </si>
  <si>
    <t>Depreciation - Right of Use Tangible Assets - Cash Flow - to Reconcile</t>
  </si>
  <si>
    <t>Depreciation, amortisation and impairment losses - Balancing value</t>
  </si>
  <si>
    <t>and equipment and other non-current assets</t>
  </si>
  <si>
    <t>Share of Profit of associates, profit (-) / loss (+)</t>
  </si>
  <si>
    <t>Unrealised foreign exchange gains and losses</t>
  </si>
  <si>
    <t>Other income (-) and expenses (+), non cash</t>
  </si>
  <si>
    <t>Divestment of Russian subsidiary</t>
  </si>
  <si>
    <t>Financial income () and expenses</t>
  </si>
  <si>
    <t>Adjustments to income tax expense</t>
  </si>
  <si>
    <t>Other adjustments</t>
  </si>
  <si>
    <t>Adjustments</t>
  </si>
  <si>
    <t>Increase () / decrease () in inventories</t>
  </si>
  <si>
    <t>Increase () / decrease () in non-interest bearing current receivables</t>
  </si>
  <si>
    <t>Increase () / decrease () in non-interest bearing current payables</t>
  </si>
  <si>
    <t>Cash flow before changes in working capital</t>
  </si>
  <si>
    <t>Net cash from operating activities before financial items and taxes</t>
  </si>
  <si>
    <t>Interest Paid</t>
  </si>
  <si>
    <t>Interest received</t>
  </si>
  <si>
    <t>Financial items and taxes</t>
  </si>
  <si>
    <t>Other financial items</t>
  </si>
  <si>
    <t>Income taxes paid</t>
  </si>
  <si>
    <t>Dividends received</t>
  </si>
  <si>
    <t>Working Capital</t>
  </si>
  <si>
    <t>Other Adjustment</t>
  </si>
  <si>
    <t>Balancing Item - Operating (Indirect)</t>
  </si>
  <si>
    <t>Unrealized exhange rate gains (-) and losses ()</t>
  </si>
  <si>
    <t>Cash flow from operating activities Cash flow from investing activities</t>
  </si>
  <si>
    <t>Investments in property, plant equipment and intangible assets</t>
  </si>
  <si>
    <t>Investments in property, plant and equipment and intangible assets</t>
  </si>
  <si>
    <t>Investmests in tangible and intangible assets</t>
  </si>
  <si>
    <t>Capital Expenditure</t>
  </si>
  <si>
    <t>equipment and intangible assets</t>
  </si>
  <si>
    <t>Disposal of a subsidiary, net of cash disposed of</t>
  </si>
  <si>
    <t>Other investments</t>
  </si>
  <si>
    <t>Sales of shares in affiliated undertaking</t>
  </si>
  <si>
    <t>Purchases of subsidiary shares</t>
  </si>
  <si>
    <t>Acquisitions of business less acquired cash and cash equivalents</t>
  </si>
  <si>
    <t>Given Loans</t>
  </si>
  <si>
    <t>Acquisition of subsidiaries</t>
  </si>
  <si>
    <t>Loans Granted</t>
  </si>
  <si>
    <t>Repayments of loan receivables</t>
  </si>
  <si>
    <t>Balancing Item - Investing</t>
  </si>
  <si>
    <t>Investments to equity accounted investments</t>
  </si>
  <si>
    <t>Divested subsidiary shares</t>
  </si>
  <si>
    <t>Sale of tangible and intangible assets</t>
  </si>
  <si>
    <t>Cash flow from investing activities Cash flow from financing activities</t>
  </si>
  <si>
    <t>Repayments of equity</t>
  </si>
  <si>
    <t>Cash flw from fnancing activities</t>
  </si>
  <si>
    <t>Share issue against payment</t>
  </si>
  <si>
    <t>Proceeds from Current Borrowings</t>
  </si>
  <si>
    <t>Repayment of equity</t>
  </si>
  <si>
    <t>Proceeds from current borrowings</t>
  </si>
  <si>
    <t>Increase () / decrease () of current liabilities</t>
  </si>
  <si>
    <t>Change in credit limit</t>
  </si>
  <si>
    <t>Proceeds from Non-Current Borrowings</t>
  </si>
  <si>
    <t>Repayment of Non-Current Borrowings</t>
  </si>
  <si>
    <t>Repayment of lease liabilities</t>
  </si>
  <si>
    <t>Dividends paid / repayments of equity to non-controlling interests</t>
  </si>
  <si>
    <t>Dividends Paid to Minority Interest</t>
  </si>
  <si>
    <t>Change/ST Loans</t>
  </si>
  <si>
    <t>Business transactions with non-controlling interests</t>
  </si>
  <si>
    <t>Change/LT Loans</t>
  </si>
  <si>
    <t>Acquisition of Own Shares</t>
  </si>
  <si>
    <t>Balancing Item - Financing</t>
  </si>
  <si>
    <t>Net change in factoring receivables and liabilities</t>
  </si>
  <si>
    <t>Proceeds from share issue</t>
  </si>
  <si>
    <t>Repayment of equity loans</t>
  </si>
  <si>
    <t>Cash flow from financing activities</t>
  </si>
  <si>
    <t>Cash and cash equivalents at the beginning of the year</t>
  </si>
  <si>
    <t>Net increase/decrease in cash and cash equivalents Translation differences of net increase/</t>
  </si>
  <si>
    <t>decrease in cash and cash equivalents</t>
  </si>
  <si>
    <t>Cash and cash equivalents at the end of the period</t>
  </si>
  <si>
    <t>Balancing Item - Change in Cash</t>
  </si>
  <si>
    <t>Change in cash and cash equivalents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</si>
  <si>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</si>
  <si>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</si>
  <si>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</si>
  <si>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</si>
  <si>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</si>
  <si>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</si>
  <si>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</si>
  <si>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Valuation - Standardized (Currency: Norwegian Krone)</t>
  </si>
  <si>
    <t>31-12-2003</t>
  </si>
  <si>
    <t>31-12-2002</t>
  </si>
  <si>
    <t>31-12-2001</t>
  </si>
  <si>
    <t>31-12-2000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</si>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</sst>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46097.3824993287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1279.97</v>
      </c>
      <c r="C20" s="15">
        <v>1217.34</v>
      </c>
      <c r="D20" s="15">
        <v>1459.59</v>
      </c>
      <c r="E20" s="15">
        <v>1236.6</v>
      </c>
      <c r="F20" s="15">
        <v>1435.38</v>
      </c>
      <c r="G20" s="15">
        <v>865.44</v>
      </c>
      <c r="H20" s="15">
        <v>682.65</v>
      </c>
      <c r="I20" s="15">
        <v>757.31</v>
      </c>
      <c r="J20" s="15">
        <v>706.97</v>
      </c>
      <c r="K20" s="15">
        <v>464.14</v>
      </c>
      <c r="L20" s="15">
        <v>450.83</v>
      </c>
      <c r="M20" s="15">
        <v>441.01</v>
      </c>
      <c r="N20" s="15">
        <v>498.53</v>
      </c>
      <c r="O20" s="15">
        <v>585.91</v>
      </c>
      <c r="P20" s="15">
        <v>597.11</v>
      </c>
      <c r="Q20" s="15">
        <v>557.66</v>
      </c>
      <c r="R20" s="15">
        <v>545.36</v>
      </c>
      <c r="S20" s="15">
        <v>674.04</v>
      </c>
      <c r="T20" s="15">
        <v>600.94</v>
      </c>
      <c r="U20" s="16">
        <v>89.12</v>
      </c>
      <c r="V20" s="16">
        <v>90.22</v>
      </c>
      <c r="W20" s="16">
        <v>86.28</v>
      </c>
    </row>
    <row r="21" ht="15.0" customHeight="1">
      <c r="A21" s="17" t="s">
        <v>72</v>
      </c>
      <c r="B21" s="18">
        <v>1279.97</v>
      </c>
      <c r="C21" s="18">
        <v>1217.34</v>
      </c>
      <c r="D21" s="18">
        <v>1459.59</v>
      </c>
      <c r="E21" s="18">
        <v>1236.6</v>
      </c>
      <c r="F21" s="18">
        <v>1435.38</v>
      </c>
      <c r="G21" s="18">
        <v>865.44</v>
      </c>
      <c r="H21" s="18">
        <v>682.65</v>
      </c>
      <c r="I21" s="18">
        <v>757.31</v>
      </c>
      <c r="J21" s="18">
        <v>706.97</v>
      </c>
      <c r="K21" s="18">
        <v>464.14</v>
      </c>
      <c r="L21" s="18">
        <v>450.83</v>
      </c>
      <c r="M21" s="18">
        <v>441.01</v>
      </c>
      <c r="N21" s="18">
        <v>498.53</v>
      </c>
      <c r="O21" s="18">
        <v>585.91</v>
      </c>
      <c r="P21" s="18">
        <v>597.11</v>
      </c>
      <c r="Q21" s="18">
        <v>557.66</v>
      </c>
      <c r="R21" s="18">
        <v>545.36</v>
      </c>
      <c r="S21" s="18">
        <v>674.04</v>
      </c>
      <c r="T21" s="18">
        <v>600.94</v>
      </c>
      <c r="U21" s="19">
        <v>89.12</v>
      </c>
      <c r="V21" s="19">
        <v>90.22</v>
      </c>
      <c r="W21" s="19">
        <v>86.28</v>
      </c>
    </row>
    <row r="22" ht="15.0" customHeight="1">
      <c r="A22" s="14" t="s">
        <v>73</v>
      </c>
      <c r="B22" s="20">
        <v>-3.83</v>
      </c>
      <c r="C22" s="20">
        <v>-25.1</v>
      </c>
      <c r="D22" s="21">
        <v>-142.65</v>
      </c>
      <c r="E22" s="20">
        <v>-0.94</v>
      </c>
      <c r="F22" s="20">
        <v>-2.87</v>
      </c>
      <c r="G22" s="20">
        <v>-0.57</v>
      </c>
      <c r="H22" s="20">
        <v>-0.63</v>
      </c>
      <c r="I22" s="20">
        <v>-1.05</v>
      </c>
      <c r="J22" s="20">
        <v>-1.1</v>
      </c>
      <c r="K22" s="20">
        <v>-3.39</v>
      </c>
      <c r="L22" s="20">
        <v>-1.96</v>
      </c>
      <c r="M22" s="20">
        <v>-3.89</v>
      </c>
      <c r="N22" s="20">
        <v>-14.32</v>
      </c>
      <c r="O22" s="20">
        <v>-5.39</v>
      </c>
      <c r="P22" s="20">
        <v>-7.68</v>
      </c>
      <c r="Q22" s="20">
        <v>-11.72</v>
      </c>
      <c r="R22" s="20">
        <v>-24.67</v>
      </c>
      <c r="S22" s="20">
        <v>-10.48</v>
      </c>
      <c r="T22" s="20">
        <v>-15.01</v>
      </c>
      <c r="U22" s="20">
        <v>-1.46</v>
      </c>
      <c r="V22" s="20">
        <v>-1.48</v>
      </c>
      <c r="W22" s="20">
        <v>-1.77</v>
      </c>
    </row>
    <row r="23" ht="15.0" customHeight="1">
      <c r="A23" s="14" t="s">
        <v>74</v>
      </c>
      <c r="B23" s="22"/>
      <c r="C23" s="20">
        <v>-0.46</v>
      </c>
      <c r="D23" s="21">
        <v>-139.96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ht="15.0" customHeight="1">
      <c r="A24" s="14" t="s">
        <v>75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0">
        <v>-0.87</v>
      </c>
      <c r="P24" s="22"/>
      <c r="Q24" s="22"/>
      <c r="R24" s="22"/>
      <c r="S24" s="22"/>
      <c r="T24" s="22"/>
      <c r="U24" s="22"/>
      <c r="V24" s="22"/>
      <c r="W24" s="22"/>
    </row>
    <row r="25" ht="15.0" customHeight="1">
      <c r="A25" s="14" t="s">
        <v>76</v>
      </c>
      <c r="B25" s="22"/>
      <c r="C25" s="22">
        <v>0.0</v>
      </c>
      <c r="D25" s="20">
        <v>-0.16</v>
      </c>
      <c r="E25" s="20">
        <v>-0.43</v>
      </c>
      <c r="F25" s="20">
        <v>-2.59</v>
      </c>
      <c r="G25" s="20">
        <v>-0.2</v>
      </c>
      <c r="H25" s="20">
        <v>-0.21</v>
      </c>
      <c r="I25" s="20">
        <v>-0.2</v>
      </c>
      <c r="J25" s="20">
        <v>-0.17</v>
      </c>
      <c r="K25" s="20">
        <v>-0.2</v>
      </c>
      <c r="L25" s="20">
        <v>-0.06</v>
      </c>
      <c r="M25" s="22">
        <v>0.0</v>
      </c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0" customHeight="1">
      <c r="A26" s="14" t="s">
        <v>77</v>
      </c>
      <c r="B26" s="22"/>
      <c r="C26" s="20">
        <v>-23.79</v>
      </c>
      <c r="D26" s="22">
        <v>0.0</v>
      </c>
      <c r="E26" s="20">
        <v>-0.01</v>
      </c>
      <c r="F26" s="20">
        <v>-0.09</v>
      </c>
      <c r="G26" s="22"/>
      <c r="H26" s="22">
        <v>0.0</v>
      </c>
      <c r="I26" s="20">
        <v>-0.24</v>
      </c>
      <c r="J26" s="20">
        <v>-0.42</v>
      </c>
      <c r="K26" s="20">
        <v>-0.85</v>
      </c>
      <c r="L26" s="20">
        <v>-1.87</v>
      </c>
      <c r="M26" s="20">
        <v>-2.94</v>
      </c>
      <c r="N26" s="20">
        <v>-13.95</v>
      </c>
      <c r="O26" s="20">
        <v>-4.52</v>
      </c>
      <c r="P26" s="22"/>
      <c r="Q26" s="22"/>
      <c r="R26" s="22"/>
      <c r="S26" s="22"/>
      <c r="T26" s="22"/>
      <c r="U26" s="22"/>
      <c r="V26" s="22"/>
      <c r="W26" s="22"/>
    </row>
    <row r="27" ht="15.0" customHeight="1">
      <c r="A27" s="14" t="s">
        <v>78</v>
      </c>
      <c r="B27" s="22"/>
      <c r="C27" s="20">
        <v>-0.85</v>
      </c>
      <c r="D27" s="20">
        <v>-2.53</v>
      </c>
      <c r="E27" s="20">
        <v>-0.5</v>
      </c>
      <c r="F27" s="20">
        <v>-0.18</v>
      </c>
      <c r="G27" s="20">
        <v>-0.36</v>
      </c>
      <c r="H27" s="20">
        <v>-0.42</v>
      </c>
      <c r="I27" s="20">
        <v>-0.6</v>
      </c>
      <c r="J27" s="20">
        <v>-0.51</v>
      </c>
      <c r="K27" s="20">
        <v>-2.32</v>
      </c>
      <c r="L27" s="20">
        <v>-0.03</v>
      </c>
      <c r="M27" s="20">
        <v>-0.94</v>
      </c>
      <c r="N27" s="20">
        <v>-0.37</v>
      </c>
      <c r="O27" s="22"/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79</v>
      </c>
      <c r="B28" s="22"/>
      <c r="C28" s="22"/>
      <c r="D28" s="22"/>
      <c r="E28" s="16">
        <v>0.01</v>
      </c>
      <c r="F28" s="22"/>
      <c r="G28" s="22"/>
      <c r="H28" s="22"/>
      <c r="I28" s="22"/>
      <c r="J28" s="22"/>
      <c r="K28" s="20">
        <v>-0.01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0" customHeight="1">
      <c r="A29" s="14" t="s">
        <v>80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0">
        <v>-0.4</v>
      </c>
      <c r="Q29" s="22"/>
      <c r="R29" s="22"/>
      <c r="S29" s="22"/>
      <c r="T29" s="22"/>
      <c r="U29" s="22"/>
      <c r="V29" s="22"/>
      <c r="W29" s="22"/>
    </row>
    <row r="30" ht="15.0" customHeight="1">
      <c r="A30" s="14" t="s">
        <v>81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0">
        <v>-1.2</v>
      </c>
      <c r="V30" s="16">
        <v>1.71</v>
      </c>
      <c r="W30" s="20">
        <v>-1.16</v>
      </c>
    </row>
    <row r="31" ht="15.0" customHeight="1">
      <c r="A31" s="14" t="s">
        <v>82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0">
        <v>-0.51</v>
      </c>
      <c r="V31" s="20">
        <v>-0.04</v>
      </c>
      <c r="W31" s="20">
        <v>-0.33</v>
      </c>
    </row>
    <row r="32" ht="15.0" customHeight="1">
      <c r="A32" s="14" t="s">
        <v>83</v>
      </c>
      <c r="B32" s="15">
        <v>687.58</v>
      </c>
      <c r="C32" s="15">
        <v>689.3</v>
      </c>
      <c r="D32" s="15">
        <v>906.96</v>
      </c>
      <c r="E32" s="15">
        <v>1008.41</v>
      </c>
      <c r="F32" s="15">
        <v>1113.38</v>
      </c>
      <c r="G32" s="15">
        <v>658.19</v>
      </c>
      <c r="H32" s="15">
        <v>496.36</v>
      </c>
      <c r="I32" s="15">
        <v>545.61</v>
      </c>
      <c r="J32" s="15">
        <v>489.99</v>
      </c>
      <c r="K32" s="15">
        <v>268.04</v>
      </c>
      <c r="L32" s="15">
        <v>239.92</v>
      </c>
      <c r="M32" s="15">
        <v>205.57</v>
      </c>
      <c r="N32" s="15">
        <v>227.93</v>
      </c>
      <c r="O32" s="15">
        <v>252.62</v>
      </c>
      <c r="P32" s="15">
        <v>291.67</v>
      </c>
      <c r="Q32" s="15">
        <v>265.93</v>
      </c>
      <c r="R32" s="15">
        <v>241.76</v>
      </c>
      <c r="S32" s="15">
        <v>350.69</v>
      </c>
      <c r="T32" s="15">
        <v>330.62</v>
      </c>
      <c r="U32" s="16">
        <v>30.87</v>
      </c>
      <c r="V32" s="16">
        <v>29.29</v>
      </c>
      <c r="W32" s="16">
        <v>27.88</v>
      </c>
    </row>
    <row r="33" ht="15.0" customHeight="1">
      <c r="A33" s="14" t="s">
        <v>84</v>
      </c>
      <c r="B33" s="15">
        <v>167.77</v>
      </c>
      <c r="C33" s="15">
        <v>153.59</v>
      </c>
      <c r="D33" s="15">
        <v>154.81</v>
      </c>
      <c r="E33" s="16">
        <v>83.39</v>
      </c>
      <c r="F33" s="16">
        <v>86.96</v>
      </c>
      <c r="G33" s="16">
        <v>90.4</v>
      </c>
      <c r="H33" s="16">
        <v>90.53</v>
      </c>
      <c r="I33" s="16">
        <v>86.65</v>
      </c>
      <c r="J33" s="16">
        <v>83.23</v>
      </c>
      <c r="K33" s="16">
        <v>80.87</v>
      </c>
      <c r="L33" s="16">
        <v>92.28</v>
      </c>
      <c r="M33" s="16">
        <v>93.14</v>
      </c>
      <c r="N33" s="15">
        <v>114.05</v>
      </c>
      <c r="O33" s="15">
        <v>118.83</v>
      </c>
      <c r="P33" s="15">
        <v>116.84</v>
      </c>
      <c r="Q33" s="15">
        <v>123.51</v>
      </c>
      <c r="R33" s="15">
        <v>124.43</v>
      </c>
      <c r="S33" s="15">
        <v>128.69</v>
      </c>
      <c r="T33" s="15">
        <v>113.47</v>
      </c>
      <c r="U33" s="16">
        <v>32.4</v>
      </c>
      <c r="V33" s="16">
        <v>31.56</v>
      </c>
      <c r="W33" s="16">
        <v>33.03</v>
      </c>
    </row>
    <row r="34" ht="15.0" customHeight="1">
      <c r="A34" s="14" t="s">
        <v>85</v>
      </c>
      <c r="B34" s="22"/>
      <c r="C34" s="16">
        <v>3.52</v>
      </c>
      <c r="D34" s="16">
        <v>1.41</v>
      </c>
      <c r="E34" s="16">
        <v>1.27</v>
      </c>
      <c r="F34" s="16">
        <v>6.66</v>
      </c>
      <c r="G34" s="16">
        <v>0.64</v>
      </c>
      <c r="H34" s="16">
        <v>0.69</v>
      </c>
      <c r="I34" s="16">
        <v>0.67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15.0" customHeight="1">
      <c r="A35" s="14" t="s">
        <v>86</v>
      </c>
      <c r="B35" s="22"/>
      <c r="C35" s="15">
        <v>150.07</v>
      </c>
      <c r="D35" s="15">
        <v>153.4</v>
      </c>
      <c r="E35" s="16">
        <v>82.12</v>
      </c>
      <c r="F35" s="16">
        <v>80.31</v>
      </c>
      <c r="G35" s="16">
        <v>89.75</v>
      </c>
      <c r="H35" s="16">
        <v>89.84</v>
      </c>
      <c r="I35" s="16">
        <v>85.98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5.0" customHeight="1">
      <c r="A36" s="14" t="s">
        <v>87</v>
      </c>
      <c r="B36" s="15">
        <v>117.11</v>
      </c>
      <c r="C36" s="16">
        <v>62.98</v>
      </c>
      <c r="D36" s="16">
        <v>60.93</v>
      </c>
      <c r="E36" s="16">
        <v>28.39</v>
      </c>
      <c r="F36" s="16">
        <v>30.15</v>
      </c>
      <c r="G36" s="16">
        <v>53.83</v>
      </c>
      <c r="H36" s="15">
        <v>108.73</v>
      </c>
      <c r="I36" s="16">
        <v>17.45</v>
      </c>
      <c r="J36" s="16">
        <v>16.59</v>
      </c>
      <c r="K36" s="16">
        <v>13.44</v>
      </c>
      <c r="L36" s="16">
        <v>19.69</v>
      </c>
      <c r="M36" s="16">
        <v>19.65</v>
      </c>
      <c r="N36" s="16">
        <v>27.63</v>
      </c>
      <c r="O36" s="16">
        <v>29.92</v>
      </c>
      <c r="P36" s="22"/>
      <c r="Q36" s="22"/>
      <c r="R36" s="16">
        <v>39.8</v>
      </c>
      <c r="S36" s="16">
        <v>35.73</v>
      </c>
      <c r="T36" s="16">
        <v>32.92</v>
      </c>
      <c r="U36" s="16">
        <v>5.61</v>
      </c>
      <c r="V36" s="16">
        <v>5.52</v>
      </c>
      <c r="W36" s="16">
        <v>5.83</v>
      </c>
    </row>
    <row r="37" ht="15.0" customHeight="1">
      <c r="A37" s="14" t="s">
        <v>88</v>
      </c>
      <c r="B37" s="16">
        <v>39.92</v>
      </c>
      <c r="C37" s="16">
        <v>43.18</v>
      </c>
      <c r="D37" s="16">
        <v>46.07</v>
      </c>
      <c r="E37" s="16">
        <v>17.12</v>
      </c>
      <c r="F37" s="16">
        <v>17.03</v>
      </c>
      <c r="G37" s="16">
        <v>5.94</v>
      </c>
      <c r="H37" s="16">
        <v>10.05</v>
      </c>
      <c r="I37" s="16">
        <v>16.21</v>
      </c>
      <c r="J37" s="16">
        <v>16.14</v>
      </c>
      <c r="K37" s="16">
        <v>12.23</v>
      </c>
      <c r="L37" s="16">
        <v>17.94</v>
      </c>
      <c r="M37" s="16">
        <v>17.9</v>
      </c>
      <c r="N37" s="16">
        <v>25.14</v>
      </c>
      <c r="O37" s="22"/>
      <c r="P37" s="22"/>
      <c r="Q37" s="22"/>
      <c r="R37" s="22"/>
      <c r="S37" s="22"/>
      <c r="T37" s="22"/>
      <c r="U37" s="22"/>
      <c r="V37" s="22"/>
      <c r="W37" s="22"/>
    </row>
    <row r="38" ht="15.0" customHeight="1">
      <c r="A38" s="14" t="s">
        <v>89</v>
      </c>
      <c r="B38" s="16">
        <v>39.89</v>
      </c>
      <c r="C38" s="16">
        <v>15.27</v>
      </c>
      <c r="D38" s="16">
        <v>10.63</v>
      </c>
      <c r="E38" s="16">
        <v>7.77</v>
      </c>
      <c r="F38" s="16">
        <v>7.87</v>
      </c>
      <c r="G38" s="16">
        <v>43.72</v>
      </c>
      <c r="H38" s="16">
        <v>38.28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15.0" customHeight="1">
      <c r="A39" s="14" t="s">
        <v>90</v>
      </c>
      <c r="B39" s="16">
        <v>37.3</v>
      </c>
      <c r="C39" s="16">
        <v>4.53</v>
      </c>
      <c r="D39" s="16">
        <v>4.2</v>
      </c>
      <c r="E39" s="16">
        <v>3.4</v>
      </c>
      <c r="F39" s="16">
        <v>3.93</v>
      </c>
      <c r="G39" s="16">
        <v>4.17</v>
      </c>
      <c r="H39" s="16">
        <v>3.09</v>
      </c>
      <c r="I39" s="16">
        <v>1.24</v>
      </c>
      <c r="J39" s="16">
        <v>0.45</v>
      </c>
      <c r="K39" s="16">
        <v>1.22</v>
      </c>
      <c r="L39" s="16">
        <v>1.75</v>
      </c>
      <c r="M39" s="16">
        <v>1.74</v>
      </c>
      <c r="N39" s="16">
        <v>2.48</v>
      </c>
      <c r="O39" s="22"/>
      <c r="P39" s="16">
        <v>2.45</v>
      </c>
      <c r="Q39" s="16">
        <v>3.39</v>
      </c>
      <c r="R39" s="22"/>
      <c r="S39" s="22"/>
      <c r="T39" s="22"/>
      <c r="U39" s="22"/>
      <c r="V39" s="22"/>
      <c r="W39" s="22"/>
    </row>
    <row r="40" ht="15.0" customHeight="1">
      <c r="A40" s="14" t="s">
        <v>91</v>
      </c>
      <c r="B40" s="22"/>
      <c r="C40" s="22"/>
      <c r="D40" s="22"/>
      <c r="E40" s="22"/>
      <c r="F40" s="22"/>
      <c r="G40" s="22"/>
      <c r="H40" s="16">
        <v>0.01</v>
      </c>
      <c r="I40" s="16">
        <v>0.07</v>
      </c>
      <c r="J40" s="16">
        <v>0.05</v>
      </c>
      <c r="K40" s="16">
        <v>0.07</v>
      </c>
      <c r="L40" s="16">
        <v>0.1</v>
      </c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ht="15.0" customHeight="1">
      <c r="A41" s="14" t="s">
        <v>92</v>
      </c>
      <c r="B41" s="22"/>
      <c r="C41" s="22"/>
      <c r="D41" s="22"/>
      <c r="E41" s="22"/>
      <c r="F41" s="22"/>
      <c r="G41" s="22"/>
      <c r="H41" s="16">
        <v>3.08</v>
      </c>
      <c r="I41" s="16">
        <v>1.17</v>
      </c>
      <c r="J41" s="16">
        <v>0.39</v>
      </c>
      <c r="K41" s="16">
        <v>1.13</v>
      </c>
      <c r="L41" s="16">
        <v>1.65</v>
      </c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ht="15.0" customHeight="1">
      <c r="A42" s="14" t="s">
        <v>93</v>
      </c>
      <c r="B42" s="22"/>
      <c r="C42" s="22"/>
      <c r="D42" s="22"/>
      <c r="E42" s="22"/>
      <c r="F42" s="22"/>
      <c r="G42" s="22"/>
      <c r="H42" s="22"/>
      <c r="I42" s="22"/>
      <c r="J42" s="16">
        <v>0.01</v>
      </c>
      <c r="K42" s="16">
        <v>0.01</v>
      </c>
      <c r="L42" s="16">
        <v>0.01</v>
      </c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15.0" customHeight="1">
      <c r="A43" s="14" t="s">
        <v>94</v>
      </c>
      <c r="B43" s="22"/>
      <c r="C43" s="22"/>
      <c r="D43" s="16">
        <v>0.02</v>
      </c>
      <c r="E43" s="16">
        <v>0.1</v>
      </c>
      <c r="F43" s="16">
        <v>1.31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ht="15.0" customHeight="1">
      <c r="A44" s="14" t="s">
        <v>95</v>
      </c>
      <c r="B44" s="22"/>
      <c r="C44" s="22"/>
      <c r="D44" s="22"/>
      <c r="E44" s="22"/>
      <c r="F44" s="22"/>
      <c r="G44" s="22">
        <v>0.0</v>
      </c>
      <c r="H44" s="16">
        <v>5.4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15.0" customHeight="1">
      <c r="A45" s="14" t="s">
        <v>96</v>
      </c>
      <c r="B45" s="22"/>
      <c r="C45" s="22"/>
      <c r="D45" s="22"/>
      <c r="E45" s="22"/>
      <c r="F45" s="22"/>
      <c r="G45" s="22">
        <v>0.0</v>
      </c>
      <c r="H45" s="16">
        <v>51.89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15.0" customHeight="1">
      <c r="A46" s="14" t="s">
        <v>97</v>
      </c>
      <c r="B46" s="22"/>
      <c r="C46" s="22"/>
      <c r="D46" s="22"/>
      <c r="E46" s="22"/>
      <c r="F46" s="16">
        <v>0.01</v>
      </c>
      <c r="G46" s="22"/>
      <c r="H46" s="16">
        <v>0.02</v>
      </c>
      <c r="I46" s="22"/>
      <c r="J46" s="22"/>
      <c r="K46" s="20">
        <v>-0.01</v>
      </c>
      <c r="L46" s="20">
        <v>-0.01</v>
      </c>
      <c r="M46" s="16">
        <v>0.01</v>
      </c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5.0" customHeight="1">
      <c r="A47" s="14" t="s">
        <v>88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16">
        <v>30.16</v>
      </c>
      <c r="Q47" s="16">
        <v>32.36</v>
      </c>
      <c r="R47" s="22"/>
      <c r="S47" s="22"/>
      <c r="T47" s="22"/>
      <c r="U47" s="22"/>
      <c r="V47" s="22"/>
      <c r="W47" s="22"/>
    </row>
    <row r="48" ht="15.0" customHeight="1">
      <c r="A48" s="14" t="s">
        <v>98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0">
        <v>-0.22</v>
      </c>
    </row>
    <row r="49" ht="15.0" customHeight="1">
      <c r="A49" s="14" t="s">
        <v>80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16">
        <v>0.15</v>
      </c>
      <c r="Q49" s="22"/>
      <c r="R49" s="22"/>
      <c r="S49" s="22"/>
      <c r="T49" s="22"/>
      <c r="U49" s="22"/>
      <c r="V49" s="22"/>
      <c r="W49" s="22"/>
    </row>
    <row r="50" ht="15.0" customHeight="1">
      <c r="A50" s="14" t="s">
        <v>99</v>
      </c>
      <c r="B50" s="15">
        <v>140.58</v>
      </c>
      <c r="C50" s="15">
        <v>112.4</v>
      </c>
      <c r="D50" s="15">
        <v>102.06</v>
      </c>
      <c r="E50" s="16">
        <v>82.94</v>
      </c>
      <c r="F50" s="15">
        <v>109.95</v>
      </c>
      <c r="G50" s="16">
        <v>65.8</v>
      </c>
      <c r="H50" s="16">
        <v>71.49</v>
      </c>
      <c r="I50" s="15">
        <v>106.91</v>
      </c>
      <c r="J50" s="15">
        <v>102.48</v>
      </c>
      <c r="K50" s="15">
        <v>113.98</v>
      </c>
      <c r="L50" s="15">
        <v>119.91</v>
      </c>
      <c r="M50" s="15">
        <v>115.43</v>
      </c>
      <c r="N50" s="15">
        <v>141.56</v>
      </c>
      <c r="O50" s="15">
        <v>149.41</v>
      </c>
      <c r="P50" s="22"/>
      <c r="Q50" s="22"/>
      <c r="R50" s="15">
        <v>143.33</v>
      </c>
      <c r="S50" s="22"/>
      <c r="T50" s="15">
        <v>108.92</v>
      </c>
      <c r="U50" s="16">
        <v>18.61</v>
      </c>
      <c r="V50" s="22"/>
      <c r="W50" s="22"/>
    </row>
    <row r="51" ht="15.0" customHeight="1">
      <c r="A51" s="14" t="s">
        <v>100</v>
      </c>
      <c r="B51" s="22"/>
      <c r="C51" s="22"/>
      <c r="D51" s="22"/>
      <c r="E51" s="22"/>
      <c r="F51" s="22"/>
      <c r="G51" s="22"/>
      <c r="H51" s="22">
        <v>0.0</v>
      </c>
      <c r="I51" s="16">
        <v>0.08</v>
      </c>
      <c r="J51" s="16">
        <v>0.11</v>
      </c>
      <c r="K51" s="16">
        <v>0.08</v>
      </c>
      <c r="L51" s="16">
        <v>1.26</v>
      </c>
      <c r="M51" s="16">
        <v>2.77</v>
      </c>
      <c r="N51" s="16">
        <v>0.8</v>
      </c>
      <c r="O51" s="16">
        <v>0.34</v>
      </c>
      <c r="P51" s="22"/>
      <c r="Q51" s="16">
        <v>0.37</v>
      </c>
      <c r="R51" s="22"/>
      <c r="S51" s="22"/>
      <c r="T51" s="22"/>
      <c r="U51" s="22"/>
      <c r="V51" s="22"/>
      <c r="W51" s="22"/>
    </row>
    <row r="52" ht="15.0" customHeight="1">
      <c r="A52" s="14" t="s">
        <v>101</v>
      </c>
      <c r="B52" s="22"/>
      <c r="C52" s="22"/>
      <c r="D52" s="22"/>
      <c r="E52" s="22"/>
      <c r="F52" s="22"/>
      <c r="G52" s="22"/>
      <c r="H52" s="22">
        <v>0.0</v>
      </c>
      <c r="I52" s="16">
        <v>62.43</v>
      </c>
      <c r="J52" s="16">
        <v>68.53</v>
      </c>
      <c r="K52" s="16">
        <v>57.71</v>
      </c>
      <c r="L52" s="16">
        <v>58.55</v>
      </c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ht="15.0" customHeight="1">
      <c r="A53" s="14" t="s">
        <v>102</v>
      </c>
      <c r="B53" s="22"/>
      <c r="C53" s="16">
        <v>28.17</v>
      </c>
      <c r="D53" s="16">
        <v>24.7</v>
      </c>
      <c r="E53" s="16">
        <v>26.45</v>
      </c>
      <c r="F53" s="16">
        <v>31.29</v>
      </c>
      <c r="G53" s="16">
        <v>21.71</v>
      </c>
      <c r="H53" s="16">
        <v>21.26</v>
      </c>
      <c r="I53" s="16">
        <v>21.78</v>
      </c>
      <c r="J53" s="16">
        <v>11.59</v>
      </c>
      <c r="K53" s="16">
        <v>56.18</v>
      </c>
      <c r="L53" s="16">
        <v>60.1</v>
      </c>
      <c r="M53" s="15">
        <v>112.66</v>
      </c>
      <c r="N53" s="15">
        <v>140.76</v>
      </c>
      <c r="O53" s="16">
        <v>98.44</v>
      </c>
      <c r="P53" s="16">
        <v>33.74</v>
      </c>
      <c r="Q53" s="16">
        <v>33.56</v>
      </c>
      <c r="R53" s="22"/>
      <c r="S53" s="15">
        <v>131.22</v>
      </c>
      <c r="T53" s="22"/>
      <c r="U53" s="22"/>
      <c r="V53" s="22"/>
      <c r="W53" s="22"/>
    </row>
    <row r="54" ht="15.0" customHeight="1">
      <c r="A54" s="14" t="s">
        <v>103</v>
      </c>
      <c r="B54" s="22"/>
      <c r="C54" s="16">
        <v>16.53</v>
      </c>
      <c r="D54" s="16">
        <v>17.7</v>
      </c>
      <c r="E54" s="16">
        <v>17.22</v>
      </c>
      <c r="F54" s="16">
        <v>47.08</v>
      </c>
      <c r="G54" s="16">
        <v>18.04</v>
      </c>
      <c r="H54" s="16">
        <v>15.51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0" customHeight="1">
      <c r="A55" s="14" t="s">
        <v>104</v>
      </c>
      <c r="B55" s="22"/>
      <c r="C55" s="16">
        <v>67.71</v>
      </c>
      <c r="D55" s="16">
        <v>59.67</v>
      </c>
      <c r="E55" s="16">
        <v>39.28</v>
      </c>
      <c r="F55" s="16">
        <v>31.58</v>
      </c>
      <c r="G55" s="16">
        <v>26.06</v>
      </c>
      <c r="H55" s="16">
        <v>34.72</v>
      </c>
      <c r="I55" s="16">
        <v>22.64</v>
      </c>
      <c r="J55" s="16">
        <v>22.25</v>
      </c>
      <c r="K55" s="22"/>
      <c r="L55" s="22"/>
      <c r="M55" s="22"/>
      <c r="N55" s="22"/>
      <c r="O55" s="16">
        <v>49.09</v>
      </c>
      <c r="P55" s="22"/>
      <c r="Q55" s="22"/>
      <c r="R55" s="22"/>
      <c r="S55" s="22"/>
      <c r="T55" s="22"/>
      <c r="U55" s="22"/>
      <c r="V55" s="22"/>
      <c r="W55" s="22"/>
    </row>
    <row r="56" ht="15.0" customHeight="1">
      <c r="A56" s="14" t="s">
        <v>105</v>
      </c>
      <c r="B56" s="22"/>
      <c r="C56" s="20">
        <v>-0.01</v>
      </c>
      <c r="D56" s="20">
        <v>-0.01</v>
      </c>
      <c r="E56" s="20">
        <v>-0.01</v>
      </c>
      <c r="F56" s="22"/>
      <c r="G56" s="20">
        <v>-0.01</v>
      </c>
      <c r="H56" s="22"/>
      <c r="I56" s="20">
        <v>-0.01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0" customHeight="1">
      <c r="A57" s="14" t="s">
        <v>106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16">
        <v>50.62</v>
      </c>
      <c r="P57" s="22"/>
      <c r="Q57" s="15">
        <v>115.44</v>
      </c>
      <c r="R57" s="22"/>
      <c r="S57" s="22"/>
      <c r="T57" s="22"/>
      <c r="U57" s="22"/>
      <c r="V57" s="22"/>
      <c r="W57" s="22"/>
    </row>
    <row r="58" ht="15.0" customHeight="1">
      <c r="A58" s="14" t="s">
        <v>107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16">
        <v>1.53</v>
      </c>
      <c r="P58" s="22"/>
      <c r="Q58" s="22"/>
      <c r="R58" s="22"/>
      <c r="S58" s="22"/>
      <c r="T58" s="22"/>
      <c r="U58" s="22"/>
      <c r="V58" s="22"/>
      <c r="W58" s="22"/>
    </row>
    <row r="59" ht="15.0" customHeight="1">
      <c r="A59" s="14" t="s">
        <v>108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15">
        <v>115.02</v>
      </c>
      <c r="Q59" s="22"/>
      <c r="R59" s="22"/>
      <c r="S59" s="22"/>
      <c r="T59" s="22"/>
      <c r="U59" s="22"/>
      <c r="V59" s="22"/>
      <c r="W59" s="22"/>
    </row>
    <row r="60" ht="15.0" customHeight="1">
      <c r="A60" s="14" t="s">
        <v>109</v>
      </c>
      <c r="B60" s="22"/>
      <c r="C60" s="22"/>
      <c r="D60" s="22"/>
      <c r="E60" s="22"/>
      <c r="F60" s="22"/>
      <c r="G60" s="22"/>
      <c r="H60" s="22">
        <v>0.0</v>
      </c>
      <c r="I60" s="16">
        <v>59.76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15.0" customHeight="1">
      <c r="A61" s="17" t="s">
        <v>110</v>
      </c>
      <c r="B61" s="18">
        <v>1109.22</v>
      </c>
      <c r="C61" s="18">
        <v>993.16</v>
      </c>
      <c r="D61" s="18">
        <v>1082.11</v>
      </c>
      <c r="E61" s="18">
        <v>1202.2</v>
      </c>
      <c r="F61" s="18">
        <v>1337.58</v>
      </c>
      <c r="G61" s="18">
        <v>867.65</v>
      </c>
      <c r="H61" s="18">
        <v>766.48</v>
      </c>
      <c r="I61" s="18">
        <v>815.34</v>
      </c>
      <c r="J61" s="18">
        <v>691.19</v>
      </c>
      <c r="K61" s="18">
        <v>472.93</v>
      </c>
      <c r="L61" s="18">
        <v>469.85</v>
      </c>
      <c r="M61" s="18">
        <v>429.91</v>
      </c>
      <c r="N61" s="18">
        <v>496.85</v>
      </c>
      <c r="O61" s="18">
        <v>545.4</v>
      </c>
      <c r="P61" s="18">
        <v>581.94</v>
      </c>
      <c r="Q61" s="18">
        <v>413.47</v>
      </c>
      <c r="R61" s="18">
        <v>484.85</v>
      </c>
      <c r="S61" s="18">
        <v>468.9</v>
      </c>
      <c r="T61" s="18">
        <v>570.93</v>
      </c>
      <c r="U61" s="19">
        <v>78.71</v>
      </c>
      <c r="V61" s="19">
        <v>66.56</v>
      </c>
      <c r="W61" s="19">
        <v>63.27</v>
      </c>
    </row>
    <row r="62" ht="15.0" customHeight="1">
      <c r="A62" s="17" t="s">
        <v>111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18">
        <v>115.81</v>
      </c>
      <c r="R62" s="19">
        <v>39.8</v>
      </c>
      <c r="S62" s="19">
        <v>35.73</v>
      </c>
      <c r="T62" s="23"/>
      <c r="U62" s="19">
        <v>5.61</v>
      </c>
      <c r="V62" s="23"/>
      <c r="W62" s="23"/>
    </row>
    <row r="63" ht="15.0" customHeight="1">
      <c r="A63" s="14" t="s">
        <v>112</v>
      </c>
      <c r="B63" s="20">
        <v>-0.01</v>
      </c>
      <c r="C63" s="22"/>
      <c r="D63" s="22"/>
      <c r="E63" s="22"/>
      <c r="F63" s="16">
        <v>0.01</v>
      </c>
      <c r="G63" s="22"/>
      <c r="H63" s="20">
        <v>-0.01</v>
      </c>
      <c r="I63" s="20">
        <v>-0.02</v>
      </c>
      <c r="J63" s="22"/>
      <c r="K63" s="20">
        <v>-0.01</v>
      </c>
      <c r="L63" s="20">
        <v>-0.01</v>
      </c>
      <c r="M63" s="20">
        <v>-0.01</v>
      </c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15.0" customHeight="1">
      <c r="A64" s="17" t="s">
        <v>113</v>
      </c>
      <c r="B64" s="18">
        <v>170.74</v>
      </c>
      <c r="C64" s="18">
        <v>224.18</v>
      </c>
      <c r="D64" s="18">
        <v>377.48</v>
      </c>
      <c r="E64" s="19">
        <v>34.4</v>
      </c>
      <c r="F64" s="19">
        <v>97.81</v>
      </c>
      <c r="G64" s="24">
        <v>-2.21</v>
      </c>
      <c r="H64" s="24">
        <v>-83.85</v>
      </c>
      <c r="I64" s="24">
        <v>-58.05</v>
      </c>
      <c r="J64" s="19">
        <v>15.78</v>
      </c>
      <c r="K64" s="24">
        <v>-8.81</v>
      </c>
      <c r="L64" s="24">
        <v>-19.03</v>
      </c>
      <c r="M64" s="19">
        <v>11.1</v>
      </c>
      <c r="N64" s="19">
        <v>1.69</v>
      </c>
      <c r="O64" s="19">
        <v>40.52</v>
      </c>
      <c r="P64" s="19">
        <v>15.17</v>
      </c>
      <c r="Q64" s="19">
        <v>28.39</v>
      </c>
      <c r="R64" s="19">
        <v>20.72</v>
      </c>
      <c r="S64" s="18">
        <v>169.41</v>
      </c>
      <c r="T64" s="19">
        <v>30.01</v>
      </c>
      <c r="U64" s="19">
        <v>4.8</v>
      </c>
      <c r="V64" s="19">
        <v>23.66</v>
      </c>
      <c r="W64" s="19">
        <v>23.02</v>
      </c>
    </row>
    <row r="65" ht="15.0" customHeight="1">
      <c r="A65" s="14" t="s">
        <v>114</v>
      </c>
      <c r="B65" s="16">
        <v>3.43</v>
      </c>
      <c r="C65" s="16">
        <v>7.6</v>
      </c>
      <c r="D65" s="16">
        <v>4.87</v>
      </c>
      <c r="E65" s="16">
        <v>8.17</v>
      </c>
      <c r="F65" s="16">
        <v>2.52</v>
      </c>
      <c r="G65" s="16">
        <v>0.34</v>
      </c>
      <c r="H65" s="16">
        <v>0.12</v>
      </c>
      <c r="I65" s="16">
        <v>0.56</v>
      </c>
      <c r="J65" s="16">
        <v>1.39</v>
      </c>
      <c r="K65" s="16">
        <v>2.47</v>
      </c>
      <c r="L65" s="16">
        <v>1.51</v>
      </c>
      <c r="M65" s="16">
        <v>0.69</v>
      </c>
      <c r="N65" s="16">
        <v>0.43</v>
      </c>
      <c r="O65" s="16">
        <v>3.57</v>
      </c>
      <c r="P65" s="22"/>
      <c r="Q65" s="22"/>
      <c r="R65" s="22"/>
      <c r="S65" s="22"/>
      <c r="T65" s="22"/>
      <c r="U65" s="22"/>
      <c r="V65" s="22"/>
      <c r="W65" s="22"/>
    </row>
    <row r="66" ht="15.0" customHeight="1">
      <c r="A66" s="14" t="s">
        <v>115</v>
      </c>
      <c r="B66" s="22"/>
      <c r="C66" s="16">
        <v>0.84</v>
      </c>
      <c r="D66" s="16">
        <v>0.42</v>
      </c>
      <c r="E66" s="16">
        <v>0.71</v>
      </c>
      <c r="F66" s="16">
        <v>0.23</v>
      </c>
      <c r="G66" s="16">
        <v>0.34</v>
      </c>
      <c r="H66" s="16">
        <v>0.1</v>
      </c>
      <c r="I66" s="16">
        <v>0.07</v>
      </c>
      <c r="J66" s="16">
        <v>1.09</v>
      </c>
      <c r="K66" s="16">
        <v>0.78</v>
      </c>
      <c r="L66" s="16">
        <v>0.68</v>
      </c>
      <c r="M66" s="22"/>
      <c r="N66" s="22"/>
      <c r="O66" s="16">
        <v>0.46</v>
      </c>
      <c r="P66" s="16">
        <v>0.64</v>
      </c>
      <c r="Q66" s="16">
        <v>0.8</v>
      </c>
      <c r="R66" s="22"/>
      <c r="S66" s="22"/>
      <c r="T66" s="22"/>
      <c r="U66" s="16">
        <v>0.56</v>
      </c>
      <c r="V66" s="16">
        <v>2.51</v>
      </c>
      <c r="W66" s="16">
        <v>0.6</v>
      </c>
    </row>
    <row r="67" ht="15.0" customHeight="1">
      <c r="A67" s="14" t="s">
        <v>116</v>
      </c>
      <c r="B67" s="22"/>
      <c r="C67" s="16">
        <v>4.31</v>
      </c>
      <c r="D67" s="16">
        <v>4.45</v>
      </c>
      <c r="E67" s="16">
        <v>7.45</v>
      </c>
      <c r="F67" s="16">
        <v>2.29</v>
      </c>
      <c r="G67" s="22">
        <v>0.0</v>
      </c>
      <c r="H67" s="16">
        <v>0.02</v>
      </c>
      <c r="I67" s="16">
        <v>0.39</v>
      </c>
      <c r="J67" s="16">
        <v>0.12</v>
      </c>
      <c r="K67" s="16">
        <v>1.46</v>
      </c>
      <c r="L67" s="16">
        <v>0.84</v>
      </c>
      <c r="M67" s="16">
        <v>0.69</v>
      </c>
      <c r="N67" s="22"/>
      <c r="O67" s="16">
        <v>3.11</v>
      </c>
      <c r="P67" s="22"/>
      <c r="Q67" s="22"/>
      <c r="R67" s="22"/>
      <c r="S67" s="22"/>
      <c r="T67" s="22"/>
      <c r="U67" s="22"/>
      <c r="V67" s="22"/>
      <c r="W67" s="22"/>
    </row>
    <row r="68" ht="15.0" customHeight="1">
      <c r="A68" s="14" t="s">
        <v>117</v>
      </c>
      <c r="B68" s="22"/>
      <c r="C68" s="16">
        <v>2.45</v>
      </c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ht="15.0" customHeight="1">
      <c r="A69" s="14" t="s">
        <v>118</v>
      </c>
      <c r="B69" s="22"/>
      <c r="C69" s="22"/>
      <c r="D69" s="22"/>
      <c r="E69" s="22"/>
      <c r="F69" s="22"/>
      <c r="G69" s="22"/>
      <c r="H69" s="22">
        <v>0.0</v>
      </c>
      <c r="I69" s="16">
        <v>0.09</v>
      </c>
      <c r="J69" s="16">
        <v>0.18</v>
      </c>
      <c r="K69" s="16">
        <v>0.24</v>
      </c>
      <c r="L69" s="22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4" t="s">
        <v>119</v>
      </c>
      <c r="B70" s="22"/>
      <c r="C70" s="22"/>
      <c r="D70" s="22"/>
      <c r="E70" s="16">
        <v>0.01</v>
      </c>
      <c r="F70" s="22"/>
      <c r="G70" s="22"/>
      <c r="H70" s="22"/>
      <c r="I70" s="16">
        <v>0.01</v>
      </c>
      <c r="J70" s="22"/>
      <c r="K70" s="20">
        <v>-0.01</v>
      </c>
      <c r="L70" s="20">
        <v>-0.01</v>
      </c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ht="15.0" customHeight="1">
      <c r="A71" s="14" t="s">
        <v>120</v>
      </c>
      <c r="B71" s="20">
        <v>-59.37</v>
      </c>
      <c r="C71" s="20">
        <v>-42.4</v>
      </c>
      <c r="D71" s="20">
        <v>-47.57</v>
      </c>
      <c r="E71" s="20">
        <v>-23.16</v>
      </c>
      <c r="F71" s="20">
        <v>-20.5</v>
      </c>
      <c r="G71" s="20">
        <v>-24.25</v>
      </c>
      <c r="H71" s="20">
        <v>-23.45</v>
      </c>
      <c r="I71" s="20">
        <v>-13.32</v>
      </c>
      <c r="J71" s="20">
        <v>-14.5</v>
      </c>
      <c r="K71" s="20">
        <v>-16.58</v>
      </c>
      <c r="L71" s="20">
        <v>-22.08</v>
      </c>
      <c r="M71" s="20">
        <v>-27.56</v>
      </c>
      <c r="N71" s="20">
        <v>-26.89</v>
      </c>
      <c r="O71" s="20">
        <v>-15.25</v>
      </c>
      <c r="P71" s="22"/>
      <c r="Q71" s="22"/>
      <c r="R71" s="20">
        <v>-26.98</v>
      </c>
      <c r="S71" s="22"/>
      <c r="T71" s="20">
        <v>-18.75</v>
      </c>
      <c r="U71" s="22"/>
      <c r="V71" s="22"/>
      <c r="W71" s="22"/>
    </row>
    <row r="72" ht="15.0" customHeight="1">
      <c r="A72" s="14" t="s">
        <v>121</v>
      </c>
      <c r="B72" s="22"/>
      <c r="C72" s="20">
        <v>-29.94</v>
      </c>
      <c r="D72" s="20">
        <v>-36.18</v>
      </c>
      <c r="E72" s="20">
        <v>-9.89</v>
      </c>
      <c r="F72" s="20">
        <v>-10.14</v>
      </c>
      <c r="G72" s="20">
        <v>-5.68</v>
      </c>
      <c r="H72" s="20">
        <v>-9.9</v>
      </c>
      <c r="I72" s="20">
        <v>-9.58</v>
      </c>
      <c r="J72" s="20">
        <v>-11.14</v>
      </c>
      <c r="K72" s="20">
        <v>-15.93</v>
      </c>
      <c r="L72" s="20">
        <v>-13.59</v>
      </c>
      <c r="M72" s="20">
        <v>-10.93</v>
      </c>
      <c r="N72" s="20">
        <v>-11.9</v>
      </c>
      <c r="O72" s="20">
        <v>-11.13</v>
      </c>
      <c r="P72" s="20">
        <v>-18.76</v>
      </c>
      <c r="Q72" s="20">
        <v>-15.14</v>
      </c>
      <c r="R72" s="22"/>
      <c r="S72" s="22"/>
      <c r="T72" s="22"/>
      <c r="U72" s="20">
        <v>-0.57</v>
      </c>
      <c r="V72" s="20">
        <v>-0.78</v>
      </c>
      <c r="W72" s="20">
        <v>-1.37</v>
      </c>
    </row>
    <row r="73" ht="15.0" customHeight="1">
      <c r="A73" s="14" t="s">
        <v>122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0">
        <v>-1.44</v>
      </c>
      <c r="P73" s="20">
        <v>-4.08</v>
      </c>
      <c r="Q73" s="20">
        <v>-6.3</v>
      </c>
      <c r="R73" s="22"/>
      <c r="S73" s="20">
        <v>-22.23</v>
      </c>
      <c r="T73" s="22"/>
      <c r="U73" s="20">
        <v>-0.14</v>
      </c>
      <c r="V73" s="22"/>
      <c r="W73" s="22"/>
    </row>
    <row r="74" ht="15.0" customHeight="1">
      <c r="A74" s="14" t="s">
        <v>123</v>
      </c>
      <c r="B74" s="22"/>
      <c r="C74" s="20">
        <v>-3.25</v>
      </c>
      <c r="D74" s="20">
        <v>-5.34</v>
      </c>
      <c r="E74" s="20">
        <v>-8.75</v>
      </c>
      <c r="F74" s="20">
        <v>-2.39</v>
      </c>
      <c r="G74" s="20">
        <v>-1.96</v>
      </c>
      <c r="H74" s="20">
        <v>-0.27</v>
      </c>
      <c r="I74" s="20">
        <v>-0.12</v>
      </c>
      <c r="J74" s="20">
        <v>-1.29</v>
      </c>
      <c r="K74" s="20">
        <v>-0.38</v>
      </c>
      <c r="L74" s="20">
        <v>-2.77</v>
      </c>
      <c r="M74" s="20">
        <v>-13.0</v>
      </c>
      <c r="N74" s="22"/>
      <c r="O74" s="20">
        <v>-2.68</v>
      </c>
      <c r="P74" s="22"/>
      <c r="Q74" s="22"/>
      <c r="R74" s="22"/>
      <c r="S74" s="22"/>
      <c r="T74" s="22"/>
      <c r="U74" s="22"/>
      <c r="V74" s="22"/>
      <c r="W74" s="22"/>
    </row>
    <row r="75" ht="15.0" customHeight="1">
      <c r="A75" s="14" t="s">
        <v>124</v>
      </c>
      <c r="B75" s="22"/>
      <c r="C75" s="20">
        <v>-3.45</v>
      </c>
      <c r="D75" s="20">
        <v>-2.38</v>
      </c>
      <c r="E75" s="20">
        <v>-1.19</v>
      </c>
      <c r="F75" s="20">
        <v>-4.66</v>
      </c>
      <c r="G75" s="20">
        <v>-1.73</v>
      </c>
      <c r="H75" s="20">
        <v>-1.83</v>
      </c>
      <c r="I75" s="20">
        <v>-3.61</v>
      </c>
      <c r="J75" s="20">
        <v>-2.08</v>
      </c>
      <c r="K75" s="20">
        <v>-0.27</v>
      </c>
      <c r="L75" s="20">
        <v>-5.72</v>
      </c>
      <c r="M75" s="20">
        <v>-3.62</v>
      </c>
      <c r="N75" s="20">
        <v>-14.99</v>
      </c>
      <c r="O75" s="22"/>
      <c r="P75" s="22"/>
      <c r="Q75" s="22"/>
      <c r="R75" s="22"/>
      <c r="S75" s="22"/>
      <c r="T75" s="22"/>
      <c r="U75" s="22"/>
      <c r="V75" s="22"/>
      <c r="W75" s="22"/>
    </row>
    <row r="76" ht="15.0" customHeight="1">
      <c r="A76" s="14" t="s">
        <v>125</v>
      </c>
      <c r="B76" s="22"/>
      <c r="C76" s="20">
        <v>-5.74</v>
      </c>
      <c r="D76" s="20">
        <v>-3.66</v>
      </c>
      <c r="E76" s="20">
        <v>-3.32</v>
      </c>
      <c r="F76" s="20">
        <v>-3.29</v>
      </c>
      <c r="G76" s="20">
        <v>-14.87</v>
      </c>
      <c r="H76" s="20">
        <v>-11.46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15.0" customHeight="1">
      <c r="A77" s="14" t="s">
        <v>126</v>
      </c>
      <c r="B77" s="22"/>
      <c r="C77" s="20">
        <v>-0.01</v>
      </c>
      <c r="D77" s="22"/>
      <c r="E77" s="22"/>
      <c r="F77" s="20">
        <v>-0.01</v>
      </c>
      <c r="G77" s="22"/>
      <c r="H77" s="16">
        <v>0.01</v>
      </c>
      <c r="I77" s="22"/>
      <c r="J77" s="16">
        <v>0.01</v>
      </c>
      <c r="K77" s="22"/>
      <c r="L77" s="16">
        <v>0.01</v>
      </c>
      <c r="M77" s="20">
        <v>-0.01</v>
      </c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5.0" customHeight="1">
      <c r="A78" s="14" t="s">
        <v>127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0">
        <v>-18.34</v>
      </c>
    </row>
    <row r="79" ht="15.0" customHeight="1">
      <c r="A79" s="14" t="s">
        <v>128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16">
        <v>0.51</v>
      </c>
      <c r="Q79" s="16">
        <v>14.13</v>
      </c>
      <c r="R79" s="22"/>
      <c r="S79" s="16">
        <v>5.44</v>
      </c>
      <c r="T79" s="16">
        <v>0.04</v>
      </c>
      <c r="U79" s="22"/>
      <c r="V79" s="22"/>
      <c r="W79" s="22"/>
    </row>
    <row r="80" ht="15.0" customHeight="1">
      <c r="A80" s="14" t="s">
        <v>129</v>
      </c>
      <c r="B80" s="20">
        <v>-0.98</v>
      </c>
      <c r="C80" s="20">
        <v>-1.01</v>
      </c>
      <c r="D80" s="20">
        <v>-0.06</v>
      </c>
      <c r="E80" s="16">
        <v>0.02</v>
      </c>
      <c r="F80" s="20">
        <v>-0.33</v>
      </c>
      <c r="G80" s="20">
        <v>-0.04</v>
      </c>
      <c r="H80" s="16">
        <v>0.25</v>
      </c>
      <c r="I80" s="20">
        <v>-0.2</v>
      </c>
      <c r="J80" s="20">
        <v>-0.11</v>
      </c>
      <c r="K80" s="20">
        <v>-0.29</v>
      </c>
      <c r="L80" s="16">
        <v>1.28</v>
      </c>
      <c r="M80" s="20">
        <v>-0.48</v>
      </c>
      <c r="N80" s="16">
        <v>0.98</v>
      </c>
      <c r="O80" s="16">
        <v>1.38</v>
      </c>
      <c r="P80" s="16">
        <v>0.71</v>
      </c>
      <c r="Q80" s="16">
        <v>2.87</v>
      </c>
      <c r="R80" s="16">
        <v>1.46</v>
      </c>
      <c r="S80" s="16">
        <v>2.75</v>
      </c>
      <c r="T80" s="16">
        <v>0.23</v>
      </c>
      <c r="U80" s="22"/>
      <c r="V80" s="22"/>
      <c r="W80" s="22"/>
    </row>
    <row r="81" ht="15.0" customHeight="1">
      <c r="A81" s="14" t="s">
        <v>130</v>
      </c>
      <c r="B81" s="22"/>
      <c r="C81" s="22"/>
      <c r="D81" s="20">
        <v>-0.01</v>
      </c>
      <c r="E81" s="22"/>
      <c r="F81" s="22"/>
      <c r="G81" s="22"/>
      <c r="H81" s="22"/>
      <c r="I81" s="20">
        <v>-0.01</v>
      </c>
      <c r="J81" s="22"/>
      <c r="K81" s="22"/>
      <c r="L81" s="22"/>
      <c r="M81" s="22"/>
      <c r="N81" s="20">
        <v>-0.01</v>
      </c>
      <c r="O81" s="22"/>
      <c r="P81" s="22"/>
      <c r="Q81" s="22"/>
      <c r="R81" s="16">
        <v>1.28</v>
      </c>
      <c r="S81" s="22"/>
      <c r="T81" s="22"/>
      <c r="U81" s="22"/>
      <c r="V81" s="22"/>
      <c r="W81" s="22"/>
    </row>
    <row r="82" ht="15.0" customHeight="1">
      <c r="A82" s="17" t="s">
        <v>131</v>
      </c>
      <c r="B82" s="24">
        <v>-56.92</v>
      </c>
      <c r="C82" s="24">
        <v>-35.81</v>
      </c>
      <c r="D82" s="24">
        <v>-42.77</v>
      </c>
      <c r="E82" s="24">
        <v>-14.97</v>
      </c>
      <c r="F82" s="24">
        <v>-18.3</v>
      </c>
      <c r="G82" s="24">
        <v>-23.94</v>
      </c>
      <c r="H82" s="24">
        <v>-23.09</v>
      </c>
      <c r="I82" s="24">
        <v>-12.97</v>
      </c>
      <c r="J82" s="24">
        <v>-13.22</v>
      </c>
      <c r="K82" s="24">
        <v>-14.4</v>
      </c>
      <c r="L82" s="24">
        <v>-19.28</v>
      </c>
      <c r="M82" s="24">
        <v>-27.35</v>
      </c>
      <c r="N82" s="24">
        <v>-25.49</v>
      </c>
      <c r="O82" s="24">
        <v>-10.29</v>
      </c>
      <c r="P82" s="24">
        <v>-20.98</v>
      </c>
      <c r="Q82" s="24">
        <v>-3.64</v>
      </c>
      <c r="R82" s="24">
        <v>-24.24</v>
      </c>
      <c r="S82" s="24">
        <v>-14.03</v>
      </c>
      <c r="T82" s="24">
        <v>-18.47</v>
      </c>
      <c r="U82" s="24">
        <v>-0.15</v>
      </c>
      <c r="V82" s="19">
        <v>1.74</v>
      </c>
      <c r="W82" s="24">
        <v>-19.11</v>
      </c>
    </row>
    <row r="83" ht="15.0" customHeight="1">
      <c r="A83" s="14" t="s">
        <v>132</v>
      </c>
      <c r="B83" s="16">
        <v>0.01</v>
      </c>
      <c r="C83" s="22"/>
      <c r="D83" s="22"/>
      <c r="E83" s="22"/>
      <c r="F83" s="16">
        <v>0.01</v>
      </c>
      <c r="G83" s="16">
        <v>0.01</v>
      </c>
      <c r="H83" s="20">
        <v>-0.02</v>
      </c>
      <c r="I83" s="22"/>
      <c r="J83" s="16">
        <v>0.01</v>
      </c>
      <c r="K83" s="16">
        <v>0.01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ht="15.0" customHeight="1">
      <c r="A84" s="17" t="s">
        <v>133</v>
      </c>
      <c r="B84" s="18">
        <v>113.83</v>
      </c>
      <c r="C84" s="18">
        <v>188.37</v>
      </c>
      <c r="D84" s="18">
        <v>334.72</v>
      </c>
      <c r="E84" s="19">
        <v>19.43</v>
      </c>
      <c r="F84" s="19">
        <v>79.52</v>
      </c>
      <c r="G84" s="24">
        <v>-26.14</v>
      </c>
      <c r="H84" s="25">
        <v>-106.96</v>
      </c>
      <c r="I84" s="24">
        <v>-71.02</v>
      </c>
      <c r="J84" s="19">
        <v>2.57</v>
      </c>
      <c r="K84" s="24">
        <v>-23.19</v>
      </c>
      <c r="L84" s="24">
        <v>-38.31</v>
      </c>
      <c r="M84" s="24">
        <v>-16.25</v>
      </c>
      <c r="N84" s="24">
        <v>-23.8</v>
      </c>
      <c r="O84" s="19">
        <v>30.22</v>
      </c>
      <c r="P84" s="24">
        <v>-5.81</v>
      </c>
      <c r="Q84" s="19">
        <v>24.75</v>
      </c>
      <c r="R84" s="24">
        <v>-3.52</v>
      </c>
      <c r="S84" s="18">
        <v>155.38</v>
      </c>
      <c r="T84" s="19">
        <v>11.54</v>
      </c>
      <c r="U84" s="19">
        <v>4.65</v>
      </c>
      <c r="V84" s="19">
        <v>25.4</v>
      </c>
      <c r="W84" s="19">
        <v>3.91</v>
      </c>
    </row>
    <row r="85" ht="15.0" customHeight="1">
      <c r="A85" s="14" t="s">
        <v>134</v>
      </c>
      <c r="B85" s="16">
        <v>37.44</v>
      </c>
      <c r="C85" s="16">
        <v>36.49</v>
      </c>
      <c r="D85" s="16">
        <v>69.23</v>
      </c>
      <c r="E85" s="16">
        <v>4.57</v>
      </c>
      <c r="F85" s="20">
        <v>-60.47</v>
      </c>
      <c r="G85" s="16">
        <v>4.29</v>
      </c>
      <c r="H85" s="16">
        <v>5.61</v>
      </c>
      <c r="I85" s="16">
        <v>3.98</v>
      </c>
      <c r="J85" s="16">
        <v>4.82</v>
      </c>
      <c r="K85" s="16">
        <v>5.78</v>
      </c>
      <c r="L85" s="16">
        <v>0.83</v>
      </c>
      <c r="M85" s="16">
        <v>3.31</v>
      </c>
      <c r="N85" s="16">
        <v>7.02</v>
      </c>
      <c r="O85" s="16">
        <v>10.16</v>
      </c>
      <c r="P85" s="16">
        <v>6.11</v>
      </c>
      <c r="Q85" s="16">
        <v>7.66</v>
      </c>
      <c r="R85" s="16">
        <v>2.42</v>
      </c>
      <c r="S85" s="16">
        <v>4.83</v>
      </c>
      <c r="T85" s="16">
        <v>1.77</v>
      </c>
      <c r="U85" s="16">
        <v>1.21</v>
      </c>
      <c r="V85" s="16">
        <v>2.28</v>
      </c>
      <c r="W85" s="16">
        <v>1.03</v>
      </c>
    </row>
    <row r="86" ht="15.0" customHeight="1">
      <c r="A86" s="14" t="s">
        <v>135</v>
      </c>
      <c r="B86" s="22"/>
      <c r="C86" s="16">
        <v>34.68</v>
      </c>
      <c r="D86" s="16">
        <v>15.22</v>
      </c>
      <c r="E86" s="16">
        <v>6.13</v>
      </c>
      <c r="F86" s="16">
        <v>7.9</v>
      </c>
      <c r="G86" s="16">
        <v>3.98</v>
      </c>
      <c r="H86" s="16">
        <v>5.58</v>
      </c>
      <c r="I86" s="16">
        <v>4.33</v>
      </c>
      <c r="J86" s="16">
        <v>4.52</v>
      </c>
      <c r="K86" s="16">
        <v>2.9</v>
      </c>
      <c r="L86" s="16">
        <v>0.36</v>
      </c>
      <c r="M86" s="22"/>
      <c r="N86" s="22"/>
      <c r="O86" s="16">
        <v>10.19</v>
      </c>
      <c r="P86" s="16">
        <v>7.75</v>
      </c>
      <c r="Q86" s="22"/>
      <c r="R86" s="22"/>
      <c r="S86" s="22"/>
      <c r="T86" s="22"/>
      <c r="U86" s="16">
        <v>0.84</v>
      </c>
      <c r="V86" s="16">
        <v>2.35</v>
      </c>
      <c r="W86" s="16">
        <v>0.42</v>
      </c>
    </row>
    <row r="87" ht="15.0" customHeight="1">
      <c r="A87" s="14" t="s">
        <v>136</v>
      </c>
      <c r="B87" s="22"/>
      <c r="C87" s="22"/>
      <c r="D87" s="22">
        <v>0.0</v>
      </c>
      <c r="E87" s="16">
        <v>0.02</v>
      </c>
      <c r="F87" s="22"/>
      <c r="G87" s="22">
        <v>0.0</v>
      </c>
      <c r="H87" s="16">
        <v>0.02</v>
      </c>
      <c r="I87" s="16">
        <v>0.39</v>
      </c>
      <c r="J87" s="16">
        <v>0.34</v>
      </c>
      <c r="K87" s="16">
        <v>3.33</v>
      </c>
      <c r="L87" s="22">
        <v>0.0</v>
      </c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ht="15.0" customHeight="1">
      <c r="A88" s="14" t="s">
        <v>137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16">
        <v>0.58</v>
      </c>
      <c r="P88" s="22"/>
      <c r="Q88" s="22"/>
      <c r="R88" s="22"/>
      <c r="S88" s="22"/>
      <c r="T88" s="22"/>
      <c r="U88" s="22"/>
      <c r="V88" s="22"/>
      <c r="W88" s="22"/>
    </row>
    <row r="89" ht="15.0" customHeight="1">
      <c r="A89" s="14" t="s">
        <v>138</v>
      </c>
      <c r="B89" s="22"/>
      <c r="C89" s="16">
        <v>1.81</v>
      </c>
      <c r="D89" s="16">
        <v>54.01</v>
      </c>
      <c r="E89" s="20">
        <v>-1.58</v>
      </c>
      <c r="F89" s="20">
        <v>-68.37</v>
      </c>
      <c r="G89" s="16">
        <v>0.3</v>
      </c>
      <c r="H89" s="22">
        <v>0.0</v>
      </c>
      <c r="I89" s="20">
        <v>-0.75</v>
      </c>
      <c r="J89" s="20">
        <v>-0.02</v>
      </c>
      <c r="K89" s="20">
        <v>-0.45</v>
      </c>
      <c r="L89" s="16">
        <v>0.47</v>
      </c>
      <c r="M89" s="22"/>
      <c r="N89" s="22"/>
      <c r="O89" s="20">
        <v>-0.61</v>
      </c>
      <c r="P89" s="20">
        <v>-1.64</v>
      </c>
      <c r="Q89" s="22"/>
      <c r="R89" s="22"/>
      <c r="S89" s="22"/>
      <c r="T89" s="22"/>
      <c r="U89" s="16">
        <v>0.37</v>
      </c>
      <c r="V89" s="20">
        <v>-0.07</v>
      </c>
      <c r="W89" s="16">
        <v>0.61</v>
      </c>
    </row>
    <row r="90" ht="15.0" customHeight="1">
      <c r="A90" s="14" t="s">
        <v>139</v>
      </c>
      <c r="B90" s="22"/>
      <c r="C90" s="20">
        <v>-0.01</v>
      </c>
      <c r="D90" s="22"/>
      <c r="E90" s="16">
        <v>0.01</v>
      </c>
      <c r="F90" s="22"/>
      <c r="G90" s="16">
        <v>0.01</v>
      </c>
      <c r="H90" s="16">
        <v>0.01</v>
      </c>
      <c r="I90" s="22"/>
      <c r="J90" s="20">
        <v>-0.01</v>
      </c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ht="15.0" customHeight="1">
      <c r="A91" s="17" t="s">
        <v>140</v>
      </c>
      <c r="B91" s="19">
        <v>37.44</v>
      </c>
      <c r="C91" s="19">
        <v>36.49</v>
      </c>
      <c r="D91" s="19">
        <v>69.23</v>
      </c>
      <c r="E91" s="19">
        <v>4.57</v>
      </c>
      <c r="F91" s="24">
        <v>-60.47</v>
      </c>
      <c r="G91" s="19">
        <v>4.29</v>
      </c>
      <c r="H91" s="19">
        <v>5.61</v>
      </c>
      <c r="I91" s="19">
        <v>3.98</v>
      </c>
      <c r="J91" s="19">
        <v>4.82</v>
      </c>
      <c r="K91" s="19">
        <v>5.78</v>
      </c>
      <c r="L91" s="19">
        <v>0.83</v>
      </c>
      <c r="M91" s="19">
        <v>3.31</v>
      </c>
      <c r="N91" s="19">
        <v>7.02</v>
      </c>
      <c r="O91" s="19">
        <v>10.16</v>
      </c>
      <c r="P91" s="19">
        <v>6.11</v>
      </c>
      <c r="Q91" s="19">
        <v>7.66</v>
      </c>
      <c r="R91" s="19">
        <v>2.42</v>
      </c>
      <c r="S91" s="19">
        <v>4.83</v>
      </c>
      <c r="T91" s="19">
        <v>1.77</v>
      </c>
      <c r="U91" s="19">
        <v>1.21</v>
      </c>
      <c r="V91" s="19">
        <v>2.28</v>
      </c>
      <c r="W91" s="19">
        <v>1.03</v>
      </c>
    </row>
    <row r="92" ht="15.0" customHeight="1">
      <c r="A92" s="17" t="s">
        <v>141</v>
      </c>
      <c r="B92" s="19">
        <v>76.38</v>
      </c>
      <c r="C92" s="18">
        <v>151.87</v>
      </c>
      <c r="D92" s="18">
        <v>265.48</v>
      </c>
      <c r="E92" s="19">
        <v>14.86</v>
      </c>
      <c r="F92" s="18">
        <v>139.99</v>
      </c>
      <c r="G92" s="24">
        <v>-30.42</v>
      </c>
      <c r="H92" s="25">
        <v>-112.56</v>
      </c>
      <c r="I92" s="24">
        <v>-75.0</v>
      </c>
      <c r="J92" s="24">
        <v>-2.27</v>
      </c>
      <c r="K92" s="24">
        <v>-28.97</v>
      </c>
      <c r="L92" s="24">
        <v>-39.13</v>
      </c>
      <c r="M92" s="24">
        <v>-19.56</v>
      </c>
      <c r="N92" s="24">
        <v>-30.82</v>
      </c>
      <c r="O92" s="19">
        <v>20.06</v>
      </c>
      <c r="P92" s="24">
        <v>-11.92</v>
      </c>
      <c r="Q92" s="19">
        <v>17.09</v>
      </c>
      <c r="R92" s="24">
        <v>-5.93</v>
      </c>
      <c r="S92" s="18">
        <v>150.55</v>
      </c>
      <c r="T92" s="19">
        <v>9.77</v>
      </c>
      <c r="U92" s="19">
        <v>3.43</v>
      </c>
      <c r="V92" s="19">
        <v>23.12</v>
      </c>
      <c r="W92" s="19">
        <v>2.88</v>
      </c>
    </row>
    <row r="93" ht="15.0" customHeight="1">
      <c r="A93" s="14" t="s">
        <v>142</v>
      </c>
      <c r="B93" s="20">
        <v>-0.01</v>
      </c>
      <c r="C93" s="20">
        <v>-0.01</v>
      </c>
      <c r="D93" s="22"/>
      <c r="E93" s="22"/>
      <c r="F93" s="22"/>
      <c r="G93" s="16">
        <v>0.01</v>
      </c>
      <c r="H93" s="16">
        <v>0.01</v>
      </c>
      <c r="I93" s="22"/>
      <c r="J93" s="20">
        <v>-0.01</v>
      </c>
      <c r="K93" s="22"/>
      <c r="L93" s="16">
        <v>0.01</v>
      </c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ht="15.0" customHeight="1">
      <c r="A94" s="17" t="s">
        <v>143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4">
        <v>-8.08</v>
      </c>
      <c r="S94" s="24">
        <v>-5.57</v>
      </c>
      <c r="T94" s="24">
        <v>-2.47</v>
      </c>
      <c r="U94" s="23"/>
      <c r="V94" s="23"/>
      <c r="W94" s="23"/>
    </row>
    <row r="95" ht="15.0" customHeight="1">
      <c r="A95" s="17" t="s">
        <v>144</v>
      </c>
      <c r="B95" s="19">
        <v>76.38</v>
      </c>
      <c r="C95" s="18">
        <v>151.87</v>
      </c>
      <c r="D95" s="18">
        <v>265.48</v>
      </c>
      <c r="E95" s="19">
        <v>14.86</v>
      </c>
      <c r="F95" s="18">
        <v>139.99</v>
      </c>
      <c r="G95" s="24">
        <v>-30.42</v>
      </c>
      <c r="H95" s="25">
        <v>-112.56</v>
      </c>
      <c r="I95" s="24">
        <v>-75.0</v>
      </c>
      <c r="J95" s="24">
        <v>-2.27</v>
      </c>
      <c r="K95" s="24">
        <v>-28.97</v>
      </c>
      <c r="L95" s="24">
        <v>-39.13</v>
      </c>
      <c r="M95" s="24">
        <v>-19.56</v>
      </c>
      <c r="N95" s="24">
        <v>-30.82</v>
      </c>
      <c r="O95" s="19">
        <v>20.06</v>
      </c>
      <c r="P95" s="24">
        <v>-11.92</v>
      </c>
      <c r="Q95" s="19">
        <v>17.09</v>
      </c>
      <c r="R95" s="24">
        <v>-14.02</v>
      </c>
      <c r="S95" s="18">
        <v>144.99</v>
      </c>
      <c r="T95" s="19">
        <v>7.3</v>
      </c>
      <c r="U95" s="19">
        <v>3.43</v>
      </c>
      <c r="V95" s="19">
        <v>23.12</v>
      </c>
      <c r="W95" s="19">
        <v>2.88</v>
      </c>
    </row>
    <row r="96" ht="15.0" customHeight="1">
      <c r="A96" s="17" t="s">
        <v>145</v>
      </c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>
        <v>0.0</v>
      </c>
      <c r="S96" s="19">
        <v>4.19</v>
      </c>
      <c r="T96" s="19">
        <v>3.7</v>
      </c>
      <c r="U96" s="23"/>
      <c r="V96" s="23"/>
      <c r="W96" s="23"/>
    </row>
    <row r="97" ht="15.0" customHeight="1">
      <c r="A97" s="14" t="s">
        <v>146</v>
      </c>
      <c r="B97" s="16">
        <v>40.21</v>
      </c>
      <c r="C97" s="16">
        <v>69.37</v>
      </c>
      <c r="D97" s="15">
        <v>102.03</v>
      </c>
      <c r="E97" s="16">
        <v>25.37</v>
      </c>
      <c r="F97" s="16">
        <v>20.11</v>
      </c>
      <c r="G97" s="16">
        <v>13.82</v>
      </c>
      <c r="H97" s="16">
        <v>14.47</v>
      </c>
      <c r="I97" s="16">
        <v>9.53</v>
      </c>
      <c r="J97" s="16">
        <v>8.63</v>
      </c>
      <c r="K97" s="16">
        <v>3.69</v>
      </c>
      <c r="L97" s="16">
        <v>1.57</v>
      </c>
      <c r="M97" s="16">
        <v>3.79</v>
      </c>
      <c r="N97" s="16">
        <v>1.58</v>
      </c>
      <c r="O97" s="16">
        <v>14.96</v>
      </c>
      <c r="P97" s="16">
        <v>7.23</v>
      </c>
      <c r="Q97" s="16">
        <v>6.84</v>
      </c>
      <c r="R97" s="20">
        <v>-8.08</v>
      </c>
      <c r="S97" s="20">
        <v>-5.57</v>
      </c>
      <c r="T97" s="20">
        <v>-2.47</v>
      </c>
      <c r="U97" s="22">
        <v>0.0</v>
      </c>
      <c r="V97" s="16">
        <v>0.09</v>
      </c>
      <c r="W97" s="16">
        <v>0.06</v>
      </c>
    </row>
    <row r="98" ht="15.0" customHeight="1">
      <c r="A98" s="14" t="s">
        <v>147</v>
      </c>
      <c r="B98" s="22"/>
      <c r="C98" s="22"/>
      <c r="D98" s="22"/>
      <c r="E98" s="22"/>
      <c r="F98" s="16">
        <v>0.01</v>
      </c>
      <c r="G98" s="20">
        <v>-0.01</v>
      </c>
      <c r="H98" s="22"/>
      <c r="I98" s="22"/>
      <c r="J98" s="16">
        <v>0.01</v>
      </c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15.0" customHeight="1">
      <c r="A99" s="17" t="s">
        <v>148</v>
      </c>
      <c r="B99" s="19">
        <v>40.21</v>
      </c>
      <c r="C99" s="19">
        <v>69.37</v>
      </c>
      <c r="D99" s="18">
        <v>102.03</v>
      </c>
      <c r="E99" s="19">
        <v>25.37</v>
      </c>
      <c r="F99" s="19">
        <v>20.11</v>
      </c>
      <c r="G99" s="19">
        <v>13.82</v>
      </c>
      <c r="H99" s="19">
        <v>14.47</v>
      </c>
      <c r="I99" s="19">
        <v>9.53</v>
      </c>
      <c r="J99" s="19">
        <v>8.63</v>
      </c>
      <c r="K99" s="19">
        <v>3.69</v>
      </c>
      <c r="L99" s="19">
        <v>1.57</v>
      </c>
      <c r="M99" s="19">
        <v>3.79</v>
      </c>
      <c r="N99" s="19">
        <v>1.58</v>
      </c>
      <c r="O99" s="19">
        <v>14.96</v>
      </c>
      <c r="P99" s="19">
        <v>7.23</v>
      </c>
      <c r="Q99" s="19">
        <v>6.84</v>
      </c>
      <c r="R99" s="23"/>
      <c r="S99" s="23"/>
      <c r="T99" s="23"/>
      <c r="U99" s="23">
        <v>0.0</v>
      </c>
      <c r="V99" s="19">
        <v>0.09</v>
      </c>
      <c r="W99" s="19">
        <v>0.06</v>
      </c>
    </row>
    <row r="100" ht="15.0" customHeight="1">
      <c r="A100" s="14" t="s">
        <v>149</v>
      </c>
      <c r="B100" s="22"/>
      <c r="C100" s="22"/>
      <c r="D100" s="22"/>
      <c r="E100" s="22"/>
      <c r="F100" s="22"/>
      <c r="G100" s="22"/>
      <c r="H100" s="22"/>
      <c r="I100" s="16">
        <v>0.58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ht="15.0" customHeight="1">
      <c r="A101" s="14" t="s">
        <v>150</v>
      </c>
      <c r="B101" s="22"/>
      <c r="C101" s="22"/>
      <c r="D101" s="22"/>
      <c r="E101" s="22"/>
      <c r="F101" s="22">
        <v>0.0</v>
      </c>
      <c r="G101" s="20">
        <v>-0.51</v>
      </c>
      <c r="H101" s="20">
        <v>-0.47</v>
      </c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ht="15.0" customHeight="1">
      <c r="A102" s="17" t="s">
        <v>151</v>
      </c>
      <c r="B102" s="23"/>
      <c r="C102" s="23"/>
      <c r="D102" s="23"/>
      <c r="E102" s="23"/>
      <c r="F102" s="23">
        <v>0.0</v>
      </c>
      <c r="G102" s="24">
        <v>-0.51</v>
      </c>
      <c r="H102" s="24">
        <v>-0.47</v>
      </c>
      <c r="I102" s="19">
        <v>0.58</v>
      </c>
      <c r="J102" s="23"/>
      <c r="K102" s="23"/>
      <c r="L102" s="23"/>
      <c r="M102" s="23"/>
      <c r="N102" s="23"/>
      <c r="O102" s="23"/>
      <c r="P102" s="23"/>
      <c r="Q102" s="23"/>
      <c r="R102" s="19">
        <v>0.07</v>
      </c>
      <c r="S102" s="23"/>
      <c r="T102" s="23"/>
      <c r="U102" s="23"/>
      <c r="V102" s="23"/>
      <c r="W102" s="23"/>
    </row>
    <row r="103" ht="15.0" customHeight="1">
      <c r="A103" s="17" t="s">
        <v>152</v>
      </c>
      <c r="B103" s="19">
        <v>36.17</v>
      </c>
      <c r="C103" s="19">
        <v>82.5</v>
      </c>
      <c r="D103" s="18">
        <v>163.46</v>
      </c>
      <c r="E103" s="24">
        <v>-10.51</v>
      </c>
      <c r="F103" s="18">
        <v>119.89</v>
      </c>
      <c r="G103" s="24">
        <v>-44.25</v>
      </c>
      <c r="H103" s="25">
        <v>-127.03</v>
      </c>
      <c r="I103" s="24">
        <v>-84.53</v>
      </c>
      <c r="J103" s="24">
        <v>-10.89</v>
      </c>
      <c r="K103" s="24">
        <v>-32.66</v>
      </c>
      <c r="L103" s="24">
        <v>-40.71</v>
      </c>
      <c r="M103" s="24">
        <v>-23.35</v>
      </c>
      <c r="N103" s="24">
        <v>-32.4</v>
      </c>
      <c r="O103" s="19">
        <v>5.1</v>
      </c>
      <c r="P103" s="24">
        <v>-19.15</v>
      </c>
      <c r="Q103" s="19">
        <v>10.24</v>
      </c>
      <c r="R103" s="24">
        <v>-14.02</v>
      </c>
      <c r="S103" s="18">
        <v>149.18</v>
      </c>
      <c r="T103" s="19">
        <v>11.0</v>
      </c>
      <c r="U103" s="19">
        <v>3.43</v>
      </c>
      <c r="V103" s="19">
        <v>23.03</v>
      </c>
      <c r="W103" s="19">
        <v>2.82</v>
      </c>
    </row>
    <row r="104" ht="15.0" customHeight="1">
      <c r="A104" s="17" t="s">
        <v>153</v>
      </c>
      <c r="B104" s="19">
        <v>36.17</v>
      </c>
      <c r="C104" s="19">
        <v>82.5</v>
      </c>
      <c r="D104" s="18">
        <v>163.46</v>
      </c>
      <c r="E104" s="24">
        <v>-10.51</v>
      </c>
      <c r="F104" s="18">
        <v>119.89</v>
      </c>
      <c r="G104" s="24">
        <v>-44.77</v>
      </c>
      <c r="H104" s="25">
        <v>-127.5</v>
      </c>
      <c r="I104" s="24">
        <v>-83.96</v>
      </c>
      <c r="J104" s="24">
        <v>-10.89</v>
      </c>
      <c r="K104" s="24">
        <v>-32.66</v>
      </c>
      <c r="L104" s="24">
        <v>-40.71</v>
      </c>
      <c r="M104" s="24">
        <v>-23.35</v>
      </c>
      <c r="N104" s="24">
        <v>-32.4</v>
      </c>
      <c r="O104" s="19">
        <v>5.1</v>
      </c>
      <c r="P104" s="24">
        <v>-19.15</v>
      </c>
      <c r="Q104" s="24">
        <v>-23.09</v>
      </c>
      <c r="R104" s="24">
        <v>-13.95</v>
      </c>
      <c r="S104" s="19">
        <v>13.77</v>
      </c>
      <c r="T104" s="19">
        <v>7.3</v>
      </c>
      <c r="U104" s="19">
        <v>3.43</v>
      </c>
      <c r="V104" s="19">
        <v>7.23</v>
      </c>
      <c r="W104" s="19">
        <v>2.82</v>
      </c>
    </row>
    <row r="105" ht="15.0" customHeight="1">
      <c r="A105" s="14" t="s">
        <v>154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0">
        <v>-33.33</v>
      </c>
      <c r="R105" s="22"/>
      <c r="S105" s="21">
        <v>-131.22</v>
      </c>
      <c r="T105" s="22"/>
      <c r="U105" s="22"/>
      <c r="V105" s="20">
        <v>-15.79</v>
      </c>
      <c r="W105" s="22"/>
    </row>
    <row r="106" ht="15.0" customHeight="1">
      <c r="A106" s="14" t="s">
        <v>155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0">
        <v>-33.33</v>
      </c>
      <c r="R106" s="22"/>
      <c r="S106" s="21">
        <v>-131.22</v>
      </c>
      <c r="T106" s="22"/>
      <c r="U106" s="22"/>
      <c r="V106" s="20">
        <v>-15.79</v>
      </c>
      <c r="W106" s="22"/>
    </row>
    <row r="107" ht="15.0" customHeight="1">
      <c r="A107" s="17" t="s">
        <v>156</v>
      </c>
      <c r="B107" s="19">
        <v>36.17</v>
      </c>
      <c r="C107" s="19">
        <v>82.5</v>
      </c>
      <c r="D107" s="18">
        <v>163.46</v>
      </c>
      <c r="E107" s="24">
        <v>-10.51</v>
      </c>
      <c r="F107" s="18">
        <v>119.89</v>
      </c>
      <c r="G107" s="24">
        <v>-44.77</v>
      </c>
      <c r="H107" s="25">
        <v>-127.5</v>
      </c>
      <c r="I107" s="24">
        <v>-83.96</v>
      </c>
      <c r="J107" s="24">
        <v>-10.89</v>
      </c>
      <c r="K107" s="24">
        <v>-32.66</v>
      </c>
      <c r="L107" s="24">
        <v>-40.71</v>
      </c>
      <c r="M107" s="24">
        <v>-23.35</v>
      </c>
      <c r="N107" s="24">
        <v>-32.4</v>
      </c>
      <c r="O107" s="19">
        <v>5.1</v>
      </c>
      <c r="P107" s="24">
        <v>-19.15</v>
      </c>
      <c r="Q107" s="24">
        <v>-23.09</v>
      </c>
      <c r="R107" s="24">
        <v>-13.95</v>
      </c>
      <c r="S107" s="19">
        <v>17.96</v>
      </c>
      <c r="T107" s="19">
        <v>11.0</v>
      </c>
      <c r="U107" s="19">
        <v>3.43</v>
      </c>
      <c r="V107" s="19">
        <v>7.23</v>
      </c>
      <c r="W107" s="19">
        <v>2.82</v>
      </c>
    </row>
    <row r="108" ht="15.0" customHeight="1">
      <c r="A108" s="14" t="s">
        <v>157</v>
      </c>
      <c r="B108" s="22"/>
      <c r="C108" s="15">
        <v>151.87</v>
      </c>
      <c r="D108" s="15">
        <v>265.48</v>
      </c>
      <c r="E108" s="16">
        <v>14.86</v>
      </c>
      <c r="F108" s="15">
        <v>139.99</v>
      </c>
      <c r="G108" s="20">
        <v>-30.42</v>
      </c>
      <c r="H108" s="21">
        <v>-112.56</v>
      </c>
      <c r="I108" s="20">
        <v>-75.0</v>
      </c>
      <c r="J108" s="20">
        <v>-2.27</v>
      </c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0" customHeight="1">
      <c r="A109" s="14" t="s">
        <v>158</v>
      </c>
      <c r="B109" s="22"/>
      <c r="C109" s="16">
        <v>0.78</v>
      </c>
      <c r="D109" s="20">
        <v>-0.14</v>
      </c>
      <c r="E109" s="16">
        <v>0.02</v>
      </c>
      <c r="F109" s="20">
        <v>-0.05</v>
      </c>
      <c r="G109" s="16">
        <v>0.03</v>
      </c>
      <c r="H109" s="20">
        <v>-0.4</v>
      </c>
      <c r="I109" s="16">
        <v>72.65</v>
      </c>
      <c r="J109" s="20">
        <v>-2.93</v>
      </c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ht="15.0" customHeight="1">
      <c r="A110" s="14" t="s">
        <v>159</v>
      </c>
      <c r="B110" s="22"/>
      <c r="C110" s="16">
        <v>0.05</v>
      </c>
      <c r="D110" s="20">
        <v>-0.32</v>
      </c>
      <c r="E110" s="20">
        <v>-0.53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15.0" customHeight="1">
      <c r="A111" s="17" t="s">
        <v>160</v>
      </c>
      <c r="B111" s="23"/>
      <c r="C111" s="19">
        <v>0.82</v>
      </c>
      <c r="D111" s="24">
        <v>-0.46</v>
      </c>
      <c r="E111" s="24">
        <v>-0.51</v>
      </c>
      <c r="F111" s="24">
        <v>-0.05</v>
      </c>
      <c r="G111" s="19">
        <v>0.03</v>
      </c>
      <c r="H111" s="24">
        <v>-0.4</v>
      </c>
      <c r="I111" s="19">
        <v>72.65</v>
      </c>
      <c r="J111" s="24">
        <v>-2.93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</row>
    <row r="112" ht="15.0" customHeight="1">
      <c r="A112" s="14" t="s">
        <v>161</v>
      </c>
      <c r="B112" s="22"/>
      <c r="C112" s="16">
        <v>83.32</v>
      </c>
      <c r="D112" s="15">
        <v>163.0</v>
      </c>
      <c r="E112" s="20">
        <v>-11.02</v>
      </c>
      <c r="F112" s="15">
        <v>119.84</v>
      </c>
      <c r="G112" s="20">
        <v>-44.22</v>
      </c>
      <c r="H112" s="21">
        <v>-127.43</v>
      </c>
      <c r="I112" s="20">
        <v>-11.88</v>
      </c>
      <c r="J112" s="20">
        <v>-13.82</v>
      </c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15.0" customHeight="1">
      <c r="A113" s="14" t="s">
        <v>162</v>
      </c>
      <c r="B113" s="22"/>
      <c r="C113" s="16">
        <v>69.37</v>
      </c>
      <c r="D113" s="15">
        <v>102.03</v>
      </c>
      <c r="E113" s="16">
        <v>25.37</v>
      </c>
      <c r="F113" s="16">
        <v>20.11</v>
      </c>
      <c r="G113" s="16">
        <v>13.82</v>
      </c>
      <c r="H113" s="16">
        <v>14.47</v>
      </c>
      <c r="I113" s="16">
        <v>9.53</v>
      </c>
      <c r="J113" s="16">
        <v>8.63</v>
      </c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ht="15.0" customHeight="1">
      <c r="A114" s="14" t="s">
        <v>163</v>
      </c>
      <c r="B114" s="22"/>
      <c r="C114" s="22"/>
      <c r="D114" s="22"/>
      <c r="E114" s="16">
        <v>0.01</v>
      </c>
      <c r="F114" s="16">
        <v>0.01</v>
      </c>
      <c r="G114" s="20">
        <v>-0.01</v>
      </c>
      <c r="H114" s="22"/>
      <c r="I114" s="16">
        <v>0.01</v>
      </c>
      <c r="J114" s="16">
        <v>0.01</v>
      </c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ht="15.0" customHeight="1">
      <c r="A115" s="17" t="s">
        <v>144</v>
      </c>
      <c r="B115" s="23"/>
      <c r="C115" s="18">
        <v>152.69</v>
      </c>
      <c r="D115" s="18">
        <v>265.03</v>
      </c>
      <c r="E115" s="19">
        <v>14.35</v>
      </c>
      <c r="F115" s="18">
        <v>139.95</v>
      </c>
      <c r="G115" s="24">
        <v>-30.4</v>
      </c>
      <c r="H115" s="25">
        <v>-112.96</v>
      </c>
      <c r="I115" s="24">
        <v>-2.33</v>
      </c>
      <c r="J115" s="24">
        <v>-5.19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 ht="15.0" customHeight="1">
      <c r="A116" s="14" t="s">
        <v>164</v>
      </c>
      <c r="B116" s="16">
        <v>0.47</v>
      </c>
      <c r="C116" s="16">
        <v>1.05</v>
      </c>
      <c r="D116" s="16">
        <v>2.05</v>
      </c>
      <c r="E116" s="20">
        <v>-0.24</v>
      </c>
      <c r="F116" s="16">
        <v>1.63</v>
      </c>
      <c r="G116" s="20">
        <v>-0.97</v>
      </c>
      <c r="H116" s="20">
        <v>-2.86</v>
      </c>
      <c r="I116" s="20">
        <v>-1.92</v>
      </c>
      <c r="J116" s="20">
        <v>-0.37</v>
      </c>
      <c r="K116" s="20">
        <v>-1.25</v>
      </c>
      <c r="L116" s="20">
        <v>-1.65</v>
      </c>
      <c r="M116" s="20">
        <v>-0.98</v>
      </c>
      <c r="N116" s="20">
        <v>-1.4</v>
      </c>
      <c r="O116" s="16">
        <v>0.21</v>
      </c>
      <c r="P116" s="20">
        <v>-0.83</v>
      </c>
      <c r="Q116" s="20">
        <v>-1.0</v>
      </c>
      <c r="R116" s="20">
        <v>-0.59</v>
      </c>
      <c r="S116" s="16">
        <v>0.61</v>
      </c>
      <c r="T116" s="16">
        <v>0.32</v>
      </c>
      <c r="U116" s="16">
        <v>0.77</v>
      </c>
      <c r="V116" s="16">
        <v>1.62</v>
      </c>
      <c r="W116" s="16">
        <v>0.62</v>
      </c>
    </row>
    <row r="117" ht="15.0" customHeight="1">
      <c r="A117" s="14" t="s">
        <v>165</v>
      </c>
      <c r="B117" s="16">
        <v>80.58</v>
      </c>
      <c r="C117" s="16">
        <v>78.17</v>
      </c>
      <c r="D117" s="16">
        <v>78.08</v>
      </c>
      <c r="E117" s="16">
        <v>44.65</v>
      </c>
      <c r="F117" s="16">
        <v>77.84</v>
      </c>
      <c r="G117" s="16">
        <v>44.65</v>
      </c>
      <c r="H117" s="16">
        <v>44.3</v>
      </c>
      <c r="I117" s="16">
        <v>44.07</v>
      </c>
      <c r="J117" s="16">
        <v>29.25</v>
      </c>
      <c r="K117" s="16">
        <v>25.88</v>
      </c>
      <c r="L117" s="16">
        <v>24.56</v>
      </c>
      <c r="M117" s="16">
        <v>23.29</v>
      </c>
      <c r="N117" s="16">
        <v>23.24</v>
      </c>
      <c r="O117" s="16">
        <v>23.16</v>
      </c>
      <c r="P117" s="16">
        <v>23.04</v>
      </c>
      <c r="Q117" s="16">
        <v>23.01</v>
      </c>
      <c r="R117" s="16">
        <v>23.72</v>
      </c>
      <c r="S117" s="16">
        <v>22.79</v>
      </c>
      <c r="T117" s="16">
        <v>22.73</v>
      </c>
      <c r="U117" s="16">
        <v>4.44</v>
      </c>
      <c r="V117" s="16">
        <v>4.47</v>
      </c>
      <c r="W117" s="16">
        <v>4.52</v>
      </c>
    </row>
    <row r="118" ht="15.0" customHeight="1">
      <c r="A118" s="14" t="s">
        <v>166</v>
      </c>
      <c r="B118" s="16">
        <v>0.47</v>
      </c>
      <c r="C118" s="16">
        <v>1.05</v>
      </c>
      <c r="D118" s="16">
        <v>2.05</v>
      </c>
      <c r="E118" s="20">
        <v>-0.24</v>
      </c>
      <c r="F118" s="16">
        <v>1.52</v>
      </c>
      <c r="G118" s="20">
        <v>-0.97</v>
      </c>
      <c r="H118" s="20">
        <v>-2.86</v>
      </c>
      <c r="I118" s="20">
        <v>-1.92</v>
      </c>
      <c r="J118" s="20">
        <v>-0.37</v>
      </c>
      <c r="K118" s="20">
        <v>-1.25</v>
      </c>
      <c r="L118" s="20">
        <v>-1.65</v>
      </c>
      <c r="M118" s="20">
        <v>-0.98</v>
      </c>
      <c r="N118" s="20">
        <v>-1.4</v>
      </c>
      <c r="O118" s="16">
        <v>0.21</v>
      </c>
      <c r="P118" s="20">
        <v>-0.83</v>
      </c>
      <c r="Q118" s="20">
        <v>-0.99</v>
      </c>
      <c r="R118" s="20">
        <v>-0.59</v>
      </c>
      <c r="S118" s="16">
        <v>0.79</v>
      </c>
      <c r="T118" s="16">
        <v>0.48</v>
      </c>
      <c r="U118" s="16">
        <v>0.77</v>
      </c>
      <c r="V118" s="16">
        <v>1.62</v>
      </c>
      <c r="W118" s="16">
        <v>0.62</v>
      </c>
    </row>
    <row r="119" ht="15.0" customHeight="1">
      <c r="A119" s="14" t="s">
        <v>167</v>
      </c>
      <c r="B119" s="16">
        <v>80.58</v>
      </c>
      <c r="C119" s="16">
        <v>78.17</v>
      </c>
      <c r="D119" s="16">
        <v>78.08</v>
      </c>
      <c r="E119" s="16">
        <v>44.65</v>
      </c>
      <c r="F119" s="16">
        <v>75.54</v>
      </c>
      <c r="G119" s="16">
        <v>44.65</v>
      </c>
      <c r="H119" s="16">
        <v>44.3</v>
      </c>
      <c r="I119" s="16">
        <v>44.07</v>
      </c>
      <c r="J119" s="16">
        <v>29.25</v>
      </c>
      <c r="K119" s="16">
        <v>25.88</v>
      </c>
      <c r="L119" s="16">
        <v>24.56</v>
      </c>
      <c r="M119" s="16">
        <v>23.29</v>
      </c>
      <c r="N119" s="16">
        <v>23.24</v>
      </c>
      <c r="O119" s="16">
        <v>23.04</v>
      </c>
      <c r="P119" s="16">
        <v>23.04</v>
      </c>
      <c r="Q119" s="16">
        <v>23.01</v>
      </c>
      <c r="R119" s="16">
        <v>23.72</v>
      </c>
      <c r="S119" s="16">
        <v>22.73</v>
      </c>
      <c r="T119" s="16">
        <v>22.73</v>
      </c>
      <c r="U119" s="16">
        <v>4.44</v>
      </c>
      <c r="V119" s="16">
        <v>4.47</v>
      </c>
      <c r="W119" s="16">
        <v>4.52</v>
      </c>
    </row>
    <row r="120" ht="15.0" customHeight="1">
      <c r="A120" s="14" t="s">
        <v>168</v>
      </c>
      <c r="B120" s="16">
        <v>0.47</v>
      </c>
      <c r="C120" s="16">
        <v>1.05</v>
      </c>
      <c r="D120" s="16">
        <v>2.05</v>
      </c>
      <c r="E120" s="20">
        <v>-0.24</v>
      </c>
      <c r="F120" s="16">
        <v>1.63</v>
      </c>
      <c r="G120" s="20">
        <v>-0.97</v>
      </c>
      <c r="H120" s="20">
        <v>-2.86</v>
      </c>
      <c r="I120" s="20">
        <v>-1.92</v>
      </c>
      <c r="J120" s="20">
        <v>-0.37</v>
      </c>
      <c r="K120" s="20">
        <v>-1.25</v>
      </c>
      <c r="L120" s="20">
        <v>-1.65</v>
      </c>
      <c r="M120" s="20">
        <v>-0.98</v>
      </c>
      <c r="N120" s="20">
        <v>-1.4</v>
      </c>
      <c r="O120" s="16">
        <v>0.21</v>
      </c>
      <c r="P120" s="20">
        <v>-0.83</v>
      </c>
      <c r="Q120" s="20">
        <v>-0.99</v>
      </c>
      <c r="R120" s="20">
        <v>-0.59</v>
      </c>
      <c r="S120" s="16">
        <v>0.79</v>
      </c>
      <c r="T120" s="16">
        <v>0.48</v>
      </c>
      <c r="U120" s="16">
        <v>0.77</v>
      </c>
      <c r="V120" s="16">
        <v>1.62</v>
      </c>
      <c r="W120" s="16">
        <v>0.62</v>
      </c>
    </row>
    <row r="121" ht="15.0" customHeight="1">
      <c r="A121" s="14" t="s">
        <v>169</v>
      </c>
      <c r="B121" s="16">
        <v>0.47</v>
      </c>
      <c r="C121" s="16">
        <v>1.05</v>
      </c>
      <c r="D121" s="16">
        <v>2.05</v>
      </c>
      <c r="E121" s="20">
        <v>-0.24</v>
      </c>
      <c r="F121" s="16">
        <v>1.52</v>
      </c>
      <c r="G121" s="20">
        <v>-0.97</v>
      </c>
      <c r="H121" s="20">
        <v>-2.86</v>
      </c>
      <c r="I121" s="20">
        <v>-1.92</v>
      </c>
      <c r="J121" s="20">
        <v>-0.37</v>
      </c>
      <c r="K121" s="20">
        <v>-1.25</v>
      </c>
      <c r="L121" s="20">
        <v>-1.65</v>
      </c>
      <c r="M121" s="20">
        <v>-0.98</v>
      </c>
      <c r="N121" s="20">
        <v>-1.4</v>
      </c>
      <c r="O121" s="16">
        <v>0.21</v>
      </c>
      <c r="P121" s="20">
        <v>-0.83</v>
      </c>
      <c r="Q121" s="20">
        <v>-1.0</v>
      </c>
      <c r="R121" s="20">
        <v>-0.59</v>
      </c>
      <c r="S121" s="16">
        <v>0.6</v>
      </c>
      <c r="T121" s="16">
        <v>0.32</v>
      </c>
      <c r="U121" s="16">
        <v>0.77</v>
      </c>
      <c r="V121" s="16">
        <v>1.62</v>
      </c>
      <c r="W121" s="16">
        <v>0.62</v>
      </c>
    </row>
    <row r="122" ht="15.0" customHeight="1">
      <c r="A122" s="14" t="s">
        <v>170</v>
      </c>
      <c r="B122" s="16">
        <v>36.17</v>
      </c>
      <c r="C122" s="16">
        <v>82.5</v>
      </c>
      <c r="D122" s="15">
        <v>163.46</v>
      </c>
      <c r="E122" s="20">
        <v>-10.51</v>
      </c>
      <c r="F122" s="15">
        <v>119.89</v>
      </c>
      <c r="G122" s="20">
        <v>-44.77</v>
      </c>
      <c r="H122" s="21">
        <v>-127.5</v>
      </c>
      <c r="I122" s="20">
        <v>-83.96</v>
      </c>
      <c r="J122" s="20">
        <v>-10.89</v>
      </c>
      <c r="K122" s="20">
        <v>-32.66</v>
      </c>
      <c r="L122" s="20">
        <v>-40.71</v>
      </c>
      <c r="M122" s="20">
        <v>-23.35</v>
      </c>
      <c r="N122" s="20">
        <v>-32.4</v>
      </c>
      <c r="O122" s="16">
        <v>5.1</v>
      </c>
      <c r="P122" s="20">
        <v>-19.15</v>
      </c>
      <c r="Q122" s="20">
        <v>-23.09</v>
      </c>
      <c r="R122" s="20">
        <v>-13.95</v>
      </c>
      <c r="S122" s="16">
        <v>17.96</v>
      </c>
      <c r="T122" s="16">
        <v>11.0</v>
      </c>
      <c r="U122" s="16">
        <v>3.43</v>
      </c>
      <c r="V122" s="16">
        <v>7.23</v>
      </c>
      <c r="W122" s="16">
        <v>2.82</v>
      </c>
    </row>
    <row r="123" ht="15.0" customHeight="1">
      <c r="A123" s="14" t="s">
        <v>171</v>
      </c>
      <c r="B123" s="16">
        <v>36.17</v>
      </c>
      <c r="C123" s="16">
        <v>82.5</v>
      </c>
      <c r="D123" s="15">
        <v>163.46</v>
      </c>
      <c r="E123" s="20">
        <v>-10.51</v>
      </c>
      <c r="F123" s="15">
        <v>119.89</v>
      </c>
      <c r="G123" s="20">
        <v>-44.77</v>
      </c>
      <c r="H123" s="21">
        <v>-127.5</v>
      </c>
      <c r="I123" s="20">
        <v>-83.96</v>
      </c>
      <c r="J123" s="20">
        <v>-10.89</v>
      </c>
      <c r="K123" s="20">
        <v>-32.66</v>
      </c>
      <c r="L123" s="20">
        <v>-40.71</v>
      </c>
      <c r="M123" s="20">
        <v>-23.35</v>
      </c>
      <c r="N123" s="20">
        <v>-32.4</v>
      </c>
      <c r="O123" s="16">
        <v>5.1</v>
      </c>
      <c r="P123" s="20">
        <v>-19.15</v>
      </c>
      <c r="Q123" s="20">
        <v>-23.09</v>
      </c>
      <c r="R123" s="20">
        <v>-13.95</v>
      </c>
      <c r="S123" s="16">
        <v>13.77</v>
      </c>
      <c r="T123" s="16">
        <v>7.3</v>
      </c>
      <c r="U123" s="16">
        <v>3.43</v>
      </c>
      <c r="V123" s="16">
        <v>7.23</v>
      </c>
      <c r="W123" s="16">
        <v>2.82</v>
      </c>
    </row>
    <row r="124" ht="15.0" customHeight="1">
      <c r="A124" s="14" t="s">
        <v>172</v>
      </c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16">
        <v>15.14</v>
      </c>
      <c r="R124" s="22"/>
      <c r="S124" s="22"/>
      <c r="T124" s="22"/>
      <c r="U124" s="16">
        <v>0.57</v>
      </c>
      <c r="V124" s="16">
        <v>0.78</v>
      </c>
      <c r="W124" s="16">
        <v>1.37</v>
      </c>
    </row>
    <row r="125" ht="15.0" customHeight="1">
      <c r="A125" s="14" t="s">
        <v>173</v>
      </c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16">
        <v>25.14</v>
      </c>
      <c r="O125" s="16">
        <v>27.25</v>
      </c>
      <c r="P125" s="22"/>
      <c r="Q125" s="22"/>
      <c r="R125" s="22"/>
      <c r="S125" s="16">
        <v>32.45</v>
      </c>
      <c r="T125" s="22"/>
      <c r="U125" s="22"/>
      <c r="V125" s="22"/>
      <c r="W125" s="22"/>
    </row>
    <row r="126" ht="15.0" customHeight="1">
      <c r="A126" s="14" t="s">
        <v>88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16">
        <v>30.16</v>
      </c>
      <c r="Q126" s="16">
        <v>35.74</v>
      </c>
      <c r="R126" s="16">
        <v>39.8</v>
      </c>
      <c r="S126" s="22"/>
      <c r="T126" s="16">
        <v>30.1</v>
      </c>
      <c r="U126" s="16">
        <v>5.57</v>
      </c>
      <c r="V126" s="16">
        <v>5.52</v>
      </c>
      <c r="W126" s="16">
        <v>5.83</v>
      </c>
    </row>
    <row r="127" ht="15.0" customHeight="1">
      <c r="A127" s="14" t="s">
        <v>174</v>
      </c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16">
        <v>2.48</v>
      </c>
      <c r="O127" s="16">
        <v>2.68</v>
      </c>
      <c r="P127" s="22"/>
      <c r="Q127" s="22"/>
      <c r="R127" s="22"/>
      <c r="S127" s="16">
        <v>3.29</v>
      </c>
      <c r="T127" s="16">
        <v>5.54</v>
      </c>
      <c r="U127" s="16">
        <v>0.04</v>
      </c>
      <c r="V127" s="22"/>
      <c r="W127" s="22"/>
    </row>
    <row r="128" ht="15.0" customHeight="1">
      <c r="A128" s="14" t="s">
        <v>175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>
        <v>0.0</v>
      </c>
      <c r="S128" s="16">
        <v>4.19</v>
      </c>
      <c r="T128" s="16">
        <v>3.7</v>
      </c>
      <c r="U128" s="22"/>
      <c r="V128" s="22"/>
      <c r="W128" s="22"/>
    </row>
    <row r="129" ht="15.0" customHeight="1">
      <c r="A129" s="14" t="s">
        <v>176</v>
      </c>
      <c r="B129" s="15">
        <v>117.11</v>
      </c>
      <c r="C129" s="16">
        <v>62.98</v>
      </c>
      <c r="D129" s="16">
        <v>60.9</v>
      </c>
      <c r="E129" s="16">
        <v>28.29</v>
      </c>
      <c r="F129" s="16">
        <v>28.83</v>
      </c>
      <c r="G129" s="16">
        <v>53.83</v>
      </c>
      <c r="H129" s="16">
        <v>51.42</v>
      </c>
      <c r="I129" s="16">
        <v>17.45</v>
      </c>
      <c r="J129" s="16">
        <v>16.59</v>
      </c>
      <c r="K129" s="16">
        <v>13.44</v>
      </c>
      <c r="L129" s="16">
        <v>19.69</v>
      </c>
      <c r="M129" s="16">
        <v>19.65</v>
      </c>
      <c r="N129" s="16">
        <v>27.63</v>
      </c>
      <c r="O129" s="16">
        <v>29.92</v>
      </c>
      <c r="P129" s="16">
        <v>32.61</v>
      </c>
      <c r="Q129" s="16">
        <v>35.74</v>
      </c>
      <c r="R129" s="16">
        <v>39.8</v>
      </c>
      <c r="S129" s="16">
        <v>40.7</v>
      </c>
      <c r="T129" s="16">
        <v>36.68</v>
      </c>
      <c r="U129" s="16">
        <v>5.61</v>
      </c>
      <c r="V129" s="16">
        <v>5.52</v>
      </c>
      <c r="W129" s="16">
        <v>5.83</v>
      </c>
    </row>
    <row r="130" ht="15.0" customHeight="1">
      <c r="A130" s="14" t="s">
        <v>177</v>
      </c>
      <c r="B130" s="16">
        <v>79.81</v>
      </c>
      <c r="C130" s="16">
        <v>58.45</v>
      </c>
      <c r="D130" s="16">
        <v>56.71</v>
      </c>
      <c r="E130" s="16">
        <v>24.89</v>
      </c>
      <c r="F130" s="16">
        <v>24.9</v>
      </c>
      <c r="G130" s="16">
        <v>49.66</v>
      </c>
      <c r="H130" s="16">
        <v>48.33</v>
      </c>
      <c r="I130" s="16">
        <v>16.21</v>
      </c>
      <c r="J130" s="16">
        <v>16.14</v>
      </c>
      <c r="K130" s="16">
        <v>12.23</v>
      </c>
      <c r="L130" s="16">
        <v>17.94</v>
      </c>
      <c r="M130" s="16">
        <v>17.9</v>
      </c>
      <c r="N130" s="16">
        <v>25.14</v>
      </c>
      <c r="O130" s="16">
        <v>27.25</v>
      </c>
      <c r="P130" s="16">
        <v>30.16</v>
      </c>
      <c r="Q130" s="16">
        <v>32.36</v>
      </c>
      <c r="R130" s="22"/>
      <c r="S130" s="16">
        <v>32.45</v>
      </c>
      <c r="T130" s="22"/>
      <c r="U130" s="22"/>
      <c r="V130" s="22"/>
      <c r="W130" s="22"/>
    </row>
    <row r="131" ht="15.0" customHeight="1">
      <c r="A131" s="14" t="s">
        <v>178</v>
      </c>
      <c r="B131" s="16">
        <v>37.3</v>
      </c>
      <c r="C131" s="16">
        <v>4.53</v>
      </c>
      <c r="D131" s="16">
        <v>4.2</v>
      </c>
      <c r="E131" s="16">
        <v>3.4</v>
      </c>
      <c r="F131" s="16">
        <v>3.93</v>
      </c>
      <c r="G131" s="16">
        <v>4.17</v>
      </c>
      <c r="H131" s="16">
        <v>3.09</v>
      </c>
      <c r="I131" s="16">
        <v>1.24</v>
      </c>
      <c r="J131" s="16">
        <v>0.45</v>
      </c>
      <c r="K131" s="16">
        <v>1.22</v>
      </c>
      <c r="L131" s="16">
        <v>1.75</v>
      </c>
      <c r="M131" s="16">
        <v>1.74</v>
      </c>
      <c r="N131" s="16">
        <v>2.48</v>
      </c>
      <c r="O131" s="16">
        <v>2.68</v>
      </c>
      <c r="P131" s="16">
        <v>2.45</v>
      </c>
      <c r="Q131" s="16">
        <v>3.39</v>
      </c>
      <c r="R131" s="22"/>
      <c r="S131" s="16">
        <v>3.29</v>
      </c>
      <c r="T131" s="16">
        <v>5.54</v>
      </c>
      <c r="U131" s="16">
        <v>0.04</v>
      </c>
      <c r="V131" s="22"/>
      <c r="W131" s="22"/>
    </row>
    <row r="132" ht="15.0" customHeight="1">
      <c r="A132" s="14" t="s">
        <v>179</v>
      </c>
      <c r="B132" s="22"/>
      <c r="C132" s="16">
        <v>4.33</v>
      </c>
      <c r="D132" s="16">
        <v>3.39</v>
      </c>
      <c r="E132" s="16">
        <v>1.64</v>
      </c>
      <c r="F132" s="16">
        <v>1.86</v>
      </c>
      <c r="G132" s="16">
        <v>1.76</v>
      </c>
      <c r="H132" s="16">
        <v>1.34</v>
      </c>
      <c r="I132" s="16">
        <v>1.29</v>
      </c>
      <c r="J132" s="16">
        <v>1.33</v>
      </c>
      <c r="K132" s="22"/>
      <c r="L132" s="22"/>
      <c r="M132" s="22"/>
      <c r="N132" s="22"/>
      <c r="O132" s="16">
        <v>0.93</v>
      </c>
      <c r="P132" s="22"/>
      <c r="Q132" s="22"/>
      <c r="R132" s="22"/>
      <c r="S132" s="22"/>
      <c r="T132" s="22"/>
      <c r="U132" s="22"/>
      <c r="V132" s="22"/>
      <c r="W132" s="22"/>
    </row>
    <row r="133" ht="15.0" customHeight="1">
      <c r="A133" s="14" t="s">
        <v>180</v>
      </c>
      <c r="B133" s="22"/>
      <c r="C133" s="16">
        <v>4.1</v>
      </c>
      <c r="D133" s="16">
        <v>2.75</v>
      </c>
      <c r="E133" s="16">
        <v>1.53</v>
      </c>
      <c r="F133" s="16">
        <v>1.54</v>
      </c>
      <c r="G133" s="16">
        <v>1.6</v>
      </c>
      <c r="H133" s="16">
        <v>1.14</v>
      </c>
      <c r="I133" s="16">
        <v>0.77</v>
      </c>
      <c r="J133" s="16">
        <v>0.55</v>
      </c>
      <c r="K133" s="22"/>
      <c r="L133" s="22"/>
      <c r="M133" s="22"/>
      <c r="N133" s="22"/>
      <c r="O133" s="16">
        <v>0.37</v>
      </c>
      <c r="P133" s="22"/>
      <c r="Q133" s="22"/>
      <c r="R133" s="22"/>
      <c r="S133" s="22"/>
      <c r="T133" s="22"/>
      <c r="U133" s="22"/>
      <c r="V133" s="22"/>
      <c r="W133" s="22"/>
    </row>
    <row r="134" ht="15.0" customHeight="1">
      <c r="A134" s="14" t="s">
        <v>181</v>
      </c>
      <c r="B134" s="22"/>
      <c r="C134" s="16">
        <v>0.23</v>
      </c>
      <c r="D134" s="16">
        <v>0.64</v>
      </c>
      <c r="E134" s="16">
        <v>0.1</v>
      </c>
      <c r="F134" s="16">
        <v>0.32</v>
      </c>
      <c r="G134" s="16">
        <v>0.16</v>
      </c>
      <c r="H134" s="16">
        <v>0.2</v>
      </c>
      <c r="I134" s="16">
        <v>0.52</v>
      </c>
      <c r="J134" s="16">
        <v>0.78</v>
      </c>
      <c r="K134" s="22"/>
      <c r="L134" s="22"/>
      <c r="M134" s="22"/>
      <c r="N134" s="22"/>
      <c r="O134" s="16">
        <v>0.55</v>
      </c>
      <c r="P134" s="22"/>
      <c r="Q134" s="22"/>
      <c r="R134" s="22"/>
      <c r="S134" s="22"/>
      <c r="T134" s="22"/>
      <c r="U134" s="22"/>
      <c r="V134" s="22"/>
      <c r="W134" s="22"/>
    </row>
    <row r="135" ht="15.0" customHeight="1">
      <c r="A135" s="14" t="s">
        <v>182</v>
      </c>
      <c r="B135" s="22"/>
      <c r="C135" s="16">
        <v>5.74</v>
      </c>
      <c r="D135" s="16">
        <v>3.66</v>
      </c>
      <c r="E135" s="16">
        <v>3.32</v>
      </c>
      <c r="F135" s="16">
        <v>3.29</v>
      </c>
      <c r="G135" s="16">
        <v>14.87</v>
      </c>
      <c r="H135" s="16">
        <v>11.46</v>
      </c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ht="15.0" customHeight="1">
      <c r="A136" s="14" t="s">
        <v>183</v>
      </c>
      <c r="B136" s="22"/>
      <c r="C136" s="16">
        <v>33.81</v>
      </c>
      <c r="D136" s="16">
        <v>26.43</v>
      </c>
      <c r="E136" s="16">
        <v>40.45</v>
      </c>
      <c r="F136" s="16">
        <v>47.08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ht="15.0" customHeight="1">
      <c r="A137" s="14" t="s">
        <v>184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0">
        <v>-0.01</v>
      </c>
      <c r="P137" s="22"/>
      <c r="Q137" s="22"/>
      <c r="R137" s="22"/>
      <c r="S137" s="22"/>
      <c r="T137" s="22"/>
      <c r="U137" s="22"/>
      <c r="V137" s="22"/>
      <c r="W137" s="22"/>
    </row>
    <row r="138" ht="15.0" customHeight="1">
      <c r="A138" s="14" t="s">
        <v>185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0">
        <v>-2.87</v>
      </c>
      <c r="R138" s="20">
        <v>-1.46</v>
      </c>
      <c r="S138" s="20">
        <v>-2.75</v>
      </c>
      <c r="T138" s="20">
        <v>-0.23</v>
      </c>
      <c r="U138" s="22"/>
      <c r="V138" s="22"/>
      <c r="W138" s="22"/>
    </row>
    <row r="139" ht="15.0" customHeight="1">
      <c r="A139" s="14" t="s">
        <v>186</v>
      </c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16">
        <v>1.98</v>
      </c>
      <c r="V139" s="22"/>
      <c r="W139" s="22"/>
    </row>
    <row r="140" ht="15.0" customHeight="1">
      <c r="A140" s="14" t="s">
        <v>187</v>
      </c>
      <c r="B140" s="22">
        <v>0.0</v>
      </c>
      <c r="C140" s="20">
        <v>-11.81</v>
      </c>
      <c r="D140" s="20">
        <v>-2.4</v>
      </c>
      <c r="E140" s="22"/>
      <c r="F140" s="22"/>
      <c r="G140" s="22"/>
      <c r="H140" s="22"/>
      <c r="I140" s="22"/>
      <c r="J140" s="22"/>
      <c r="K140" s="22"/>
      <c r="L140" s="22"/>
      <c r="M140" s="20">
        <v>-1.45</v>
      </c>
      <c r="N140" s="20">
        <v>-10.67</v>
      </c>
      <c r="O140" s="20">
        <v>-1.11</v>
      </c>
      <c r="P140" s="16">
        <v>6.62</v>
      </c>
      <c r="Q140" s="16">
        <v>4.27</v>
      </c>
      <c r="R140" s="16">
        <v>17.66</v>
      </c>
      <c r="S140" s="22">
        <v>0.0</v>
      </c>
      <c r="T140" s="22"/>
      <c r="U140" s="22"/>
      <c r="V140" s="22"/>
      <c r="W140" s="22"/>
    </row>
    <row r="141" ht="15.0" customHeight="1">
      <c r="A141" s="14" t="s">
        <v>188</v>
      </c>
      <c r="B141" s="22"/>
      <c r="C141" s="20">
        <v>-1.36</v>
      </c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ht="15.0" customHeight="1">
      <c r="A142" s="14" t="s">
        <v>189</v>
      </c>
      <c r="B142" s="20">
        <v>-1.42</v>
      </c>
      <c r="C142" s="20">
        <v>-4.9</v>
      </c>
      <c r="D142" s="20">
        <v>-3.39</v>
      </c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ht="15.0" customHeight="1">
      <c r="A143" s="14" t="s">
        <v>190</v>
      </c>
      <c r="B143" s="20">
        <v>-2.22</v>
      </c>
      <c r="C143" s="20">
        <v>-3.28</v>
      </c>
      <c r="D143" s="20">
        <v>-1.75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ht="15.0" customHeight="1">
      <c r="A144" s="14" t="s">
        <v>191</v>
      </c>
      <c r="B144" s="22">
        <v>0.0</v>
      </c>
      <c r="C144" s="16">
        <v>23.62</v>
      </c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ht="15.0" customHeight="1">
      <c r="A145" s="14" t="s">
        <v>192</v>
      </c>
      <c r="B145" s="20">
        <v>-4.29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ht="15.0" customHeight="1">
      <c r="A146" s="14" t="s">
        <v>193</v>
      </c>
      <c r="B146" s="20">
        <v>-4.45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ht="15.0" customHeight="1">
      <c r="A147" s="14" t="s">
        <v>194</v>
      </c>
      <c r="B147" s="20">
        <v>-0.98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ht="15.0" customHeight="1">
      <c r="A148" s="14" t="s">
        <v>195</v>
      </c>
      <c r="B148" s="20">
        <v>-20.76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ht="15.0" customHeight="1">
      <c r="A149" s="14" t="s">
        <v>196</v>
      </c>
      <c r="B149" s="22"/>
      <c r="C149" s="15">
        <v>221.43</v>
      </c>
      <c r="D149" s="15">
        <v>245.05</v>
      </c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ht="15.0" customHeight="1">
      <c r="A150" s="14" t="s">
        <v>197</v>
      </c>
      <c r="B150" s="16">
        <v>80.58</v>
      </c>
      <c r="C150" s="16">
        <v>78.17</v>
      </c>
      <c r="D150" s="16">
        <v>78.08</v>
      </c>
      <c r="E150" s="16">
        <v>44.65</v>
      </c>
      <c r="F150" s="16">
        <v>75.54</v>
      </c>
      <c r="G150" s="16">
        <v>44.65</v>
      </c>
      <c r="H150" s="16">
        <v>44.3</v>
      </c>
      <c r="I150" s="16">
        <v>44.07</v>
      </c>
      <c r="J150" s="16">
        <v>29.25</v>
      </c>
      <c r="K150" s="16">
        <v>25.88</v>
      </c>
      <c r="L150" s="16">
        <v>24.56</v>
      </c>
      <c r="M150" s="16">
        <v>23.29</v>
      </c>
      <c r="N150" s="16">
        <v>23.24</v>
      </c>
      <c r="O150" s="16">
        <v>23.04</v>
      </c>
      <c r="P150" s="22"/>
      <c r="Q150" s="22"/>
      <c r="R150" s="22"/>
      <c r="S150" s="22"/>
      <c r="T150" s="22"/>
      <c r="U150" s="22"/>
      <c r="V150" s="22"/>
      <c r="W150" s="22"/>
    </row>
    <row r="151" ht="15.0" customHeight="1">
      <c r="A151" s="14" t="s">
        <v>198</v>
      </c>
      <c r="B151" s="16">
        <v>80.58</v>
      </c>
      <c r="C151" s="16">
        <v>78.17</v>
      </c>
      <c r="D151" s="16">
        <v>78.08</v>
      </c>
      <c r="E151" s="16">
        <v>44.65</v>
      </c>
      <c r="F151" s="16">
        <v>77.84</v>
      </c>
      <c r="G151" s="16">
        <v>44.65</v>
      </c>
      <c r="H151" s="16">
        <v>44.3</v>
      </c>
      <c r="I151" s="16">
        <v>44.07</v>
      </c>
      <c r="J151" s="16">
        <v>29.25</v>
      </c>
      <c r="K151" s="16">
        <v>25.88</v>
      </c>
      <c r="L151" s="16">
        <v>24.56</v>
      </c>
      <c r="M151" s="16">
        <v>23.29</v>
      </c>
      <c r="N151" s="16">
        <v>23.24</v>
      </c>
      <c r="O151" s="16">
        <v>23.16</v>
      </c>
      <c r="P151" s="22"/>
      <c r="Q151" s="22"/>
      <c r="R151" s="22"/>
      <c r="S151" s="22"/>
      <c r="T151" s="22"/>
      <c r="U151" s="22"/>
      <c r="V151" s="22"/>
      <c r="W151" s="22"/>
    </row>
    <row r="152" ht="15.0" customHeight="1">
      <c r="A152" s="14" t="s">
        <v>199</v>
      </c>
      <c r="B152" s="16">
        <v>0.47</v>
      </c>
      <c r="C152" s="16">
        <v>1.05</v>
      </c>
      <c r="D152" s="16">
        <v>2.05</v>
      </c>
      <c r="E152" s="20">
        <v>-0.24</v>
      </c>
      <c r="F152" s="16">
        <v>1.63</v>
      </c>
      <c r="G152" s="20">
        <v>-0.97</v>
      </c>
      <c r="H152" s="20">
        <v>-2.86</v>
      </c>
      <c r="I152" s="20">
        <v>-1.92</v>
      </c>
      <c r="J152" s="20">
        <v>-0.37</v>
      </c>
      <c r="K152" s="20">
        <v>-1.25</v>
      </c>
      <c r="L152" s="20">
        <v>-1.65</v>
      </c>
      <c r="M152" s="20">
        <v>-0.98</v>
      </c>
      <c r="N152" s="20">
        <v>-1.4</v>
      </c>
      <c r="O152" s="16">
        <v>0.21</v>
      </c>
      <c r="P152" s="22"/>
      <c r="Q152" s="22"/>
      <c r="R152" s="22"/>
      <c r="S152" s="22"/>
      <c r="T152" s="22"/>
      <c r="U152" s="22"/>
      <c r="V152" s="22"/>
      <c r="W152" s="22"/>
    </row>
    <row r="153" ht="15.0" customHeight="1">
      <c r="A153" s="14" t="s">
        <v>200</v>
      </c>
      <c r="B153" s="16">
        <v>0.47</v>
      </c>
      <c r="C153" s="16">
        <v>1.05</v>
      </c>
      <c r="D153" s="16">
        <v>2.05</v>
      </c>
      <c r="E153" s="20">
        <v>-0.24</v>
      </c>
      <c r="F153" s="16">
        <v>1.52</v>
      </c>
      <c r="G153" s="20">
        <v>-0.97</v>
      </c>
      <c r="H153" s="20">
        <v>-2.86</v>
      </c>
      <c r="I153" s="20">
        <v>-1.92</v>
      </c>
      <c r="J153" s="20">
        <v>-0.37</v>
      </c>
      <c r="K153" s="20">
        <v>-1.25</v>
      </c>
      <c r="L153" s="20">
        <v>-1.65</v>
      </c>
      <c r="M153" s="20">
        <v>-0.98</v>
      </c>
      <c r="N153" s="20">
        <v>-1.4</v>
      </c>
      <c r="O153" s="16">
        <v>0.21</v>
      </c>
      <c r="P153" s="22"/>
      <c r="Q153" s="22"/>
      <c r="R153" s="22"/>
      <c r="S153" s="22"/>
      <c r="T153" s="22"/>
      <c r="U153" s="22"/>
      <c r="V153" s="22"/>
      <c r="W153" s="22"/>
    </row>
    <row r="154" ht="15.0" customHeight="1">
      <c r="A154" s="14" t="s">
        <v>201</v>
      </c>
      <c r="B154" s="16">
        <v>0.47</v>
      </c>
      <c r="C154" s="16">
        <v>1.05</v>
      </c>
      <c r="D154" s="16">
        <v>2.05</v>
      </c>
      <c r="E154" s="20">
        <v>-0.24</v>
      </c>
      <c r="F154" s="16">
        <v>1.63</v>
      </c>
      <c r="G154" s="20">
        <v>-0.97</v>
      </c>
      <c r="H154" s="20">
        <v>-2.86</v>
      </c>
      <c r="I154" s="20">
        <v>-1.92</v>
      </c>
      <c r="J154" s="20">
        <v>-0.37</v>
      </c>
      <c r="K154" s="20">
        <v>-1.25</v>
      </c>
      <c r="L154" s="20">
        <v>-1.65</v>
      </c>
      <c r="M154" s="20">
        <v>-0.98</v>
      </c>
      <c r="N154" s="20">
        <v>-1.4</v>
      </c>
      <c r="O154" s="16">
        <v>0.21</v>
      </c>
      <c r="P154" s="22"/>
      <c r="Q154" s="22"/>
      <c r="R154" s="22"/>
      <c r="S154" s="22"/>
      <c r="T154" s="22"/>
      <c r="U154" s="22"/>
      <c r="V154" s="22"/>
      <c r="W154" s="22"/>
    </row>
    <row r="155" ht="15.0" customHeight="1">
      <c r="A155" s="14" t="s">
        <v>202</v>
      </c>
      <c r="B155" s="16">
        <v>0.47</v>
      </c>
      <c r="C155" s="16">
        <v>1.05</v>
      </c>
      <c r="D155" s="16">
        <v>2.05</v>
      </c>
      <c r="E155" s="20">
        <v>-0.24</v>
      </c>
      <c r="F155" s="16">
        <v>1.52</v>
      </c>
      <c r="G155" s="20">
        <v>-0.97</v>
      </c>
      <c r="H155" s="20">
        <v>-2.86</v>
      </c>
      <c r="I155" s="20">
        <v>-1.92</v>
      </c>
      <c r="J155" s="20">
        <v>-0.37</v>
      </c>
      <c r="K155" s="20">
        <v>-1.25</v>
      </c>
      <c r="L155" s="20">
        <v>-1.65</v>
      </c>
      <c r="M155" s="20">
        <v>-0.98</v>
      </c>
      <c r="N155" s="20">
        <v>-1.4</v>
      </c>
      <c r="O155" s="16">
        <v>0.21</v>
      </c>
      <c r="P155" s="22"/>
      <c r="Q155" s="22"/>
      <c r="R155" s="22"/>
      <c r="S155" s="22"/>
      <c r="T155" s="22"/>
      <c r="U155" s="22"/>
      <c r="V155" s="22"/>
      <c r="W155" s="22"/>
    </row>
    <row r="156" ht="15.0" customHeight="1">
      <c r="A156" s="14" t="s">
        <v>203</v>
      </c>
      <c r="B156" s="16">
        <v>1.0</v>
      </c>
      <c r="C156" s="16">
        <v>1.0</v>
      </c>
      <c r="D156" s="16">
        <v>1.0</v>
      </c>
      <c r="E156" s="16">
        <v>1.0</v>
      </c>
      <c r="F156" s="16">
        <v>1.0</v>
      </c>
      <c r="G156" s="16">
        <v>1.0</v>
      </c>
      <c r="H156" s="16">
        <v>1.0</v>
      </c>
      <c r="I156" s="16">
        <v>1.0</v>
      </c>
      <c r="J156" s="16">
        <v>1.0</v>
      </c>
      <c r="K156" s="16">
        <v>1.0</v>
      </c>
      <c r="L156" s="16">
        <v>1.0</v>
      </c>
      <c r="M156" s="16">
        <v>1.0</v>
      </c>
      <c r="N156" s="16">
        <v>1.0</v>
      </c>
      <c r="O156" s="16">
        <v>1.0</v>
      </c>
      <c r="P156" s="22"/>
      <c r="Q156" s="22"/>
      <c r="R156" s="22"/>
      <c r="S156" s="22"/>
      <c r="T156" s="22"/>
      <c r="U156" s="22"/>
      <c r="V156" s="22"/>
      <c r="W156" s="22"/>
    </row>
    <row r="157" ht="15.0" customHeight="1">
      <c r="A157" s="14" t="s">
        <v>204</v>
      </c>
      <c r="B157" s="16">
        <v>1.0</v>
      </c>
      <c r="C157" s="16">
        <v>1.0</v>
      </c>
      <c r="D157" s="16">
        <v>1.0</v>
      </c>
      <c r="E157" s="16">
        <v>1.0</v>
      </c>
      <c r="F157" s="16">
        <v>1.0</v>
      </c>
      <c r="G157" s="16">
        <v>1.0</v>
      </c>
      <c r="H157" s="16">
        <v>1.0</v>
      </c>
      <c r="I157" s="16">
        <v>1.0</v>
      </c>
      <c r="J157" s="16">
        <v>1.0</v>
      </c>
      <c r="K157" s="16">
        <v>1.0</v>
      </c>
      <c r="L157" s="16">
        <v>1.0</v>
      </c>
      <c r="M157" s="16">
        <v>1.0</v>
      </c>
      <c r="N157" s="16">
        <v>1.0</v>
      </c>
      <c r="O157" s="16">
        <v>1.0</v>
      </c>
      <c r="P157" s="22"/>
      <c r="Q157" s="22"/>
      <c r="R157" s="22"/>
      <c r="S157" s="22"/>
      <c r="T157" s="22"/>
      <c r="U157" s="22"/>
      <c r="V157" s="22"/>
      <c r="W157" s="22"/>
    </row>
    <row r="158" ht="15.0" customHeight="1">
      <c r="A158" s="14" t="s">
        <v>205</v>
      </c>
      <c r="B158" s="16">
        <v>36.17</v>
      </c>
      <c r="C158" s="16">
        <v>82.5</v>
      </c>
      <c r="D158" s="15">
        <v>163.46</v>
      </c>
      <c r="E158" s="20">
        <v>-10.51</v>
      </c>
      <c r="F158" s="15">
        <v>119.89</v>
      </c>
      <c r="G158" s="20">
        <v>-44.77</v>
      </c>
      <c r="H158" s="21">
        <v>-127.5</v>
      </c>
      <c r="I158" s="20">
        <v>-83.96</v>
      </c>
      <c r="J158" s="20">
        <v>-10.89</v>
      </c>
      <c r="K158" s="20">
        <v>-32.66</v>
      </c>
      <c r="L158" s="20">
        <v>-40.71</v>
      </c>
      <c r="M158" s="20">
        <v>-23.35</v>
      </c>
      <c r="N158" s="20">
        <v>-32.4</v>
      </c>
      <c r="O158" s="16">
        <v>5.1</v>
      </c>
      <c r="P158" s="22"/>
      <c r="Q158" s="22"/>
      <c r="R158" s="22"/>
      <c r="S158" s="22"/>
      <c r="T158" s="22"/>
      <c r="U158" s="22"/>
      <c r="V158" s="22"/>
      <c r="W158" s="22"/>
    </row>
    <row r="159" ht="15.0" customHeight="1">
      <c r="A159" s="14" t="s">
        <v>206</v>
      </c>
      <c r="B159" s="16">
        <v>36.17</v>
      </c>
      <c r="C159" s="16">
        <v>82.5</v>
      </c>
      <c r="D159" s="15">
        <v>163.46</v>
      </c>
      <c r="E159" s="20">
        <v>-10.51</v>
      </c>
      <c r="F159" s="15">
        <v>119.89</v>
      </c>
      <c r="G159" s="20">
        <v>-44.77</v>
      </c>
      <c r="H159" s="21">
        <v>-127.5</v>
      </c>
      <c r="I159" s="20">
        <v>-83.96</v>
      </c>
      <c r="J159" s="20">
        <v>-10.89</v>
      </c>
      <c r="K159" s="20">
        <v>-32.66</v>
      </c>
      <c r="L159" s="20">
        <v>-40.71</v>
      </c>
      <c r="M159" s="20">
        <v>-23.35</v>
      </c>
      <c r="N159" s="20">
        <v>-32.4</v>
      </c>
      <c r="O159" s="16">
        <v>5.1</v>
      </c>
      <c r="P159" s="22"/>
      <c r="Q159" s="22"/>
      <c r="R159" s="22"/>
      <c r="S159" s="22"/>
      <c r="T159" s="22"/>
      <c r="U159" s="22"/>
      <c r="V159" s="22"/>
      <c r="W159" s="22"/>
    </row>
    <row r="160" ht="15.0" customHeight="1">
      <c r="A160" s="14" t="s">
        <v>207</v>
      </c>
      <c r="B160" s="16">
        <v>36.17</v>
      </c>
      <c r="C160" s="16">
        <v>82.5</v>
      </c>
      <c r="D160" s="15">
        <v>163.46</v>
      </c>
      <c r="E160" s="20">
        <v>-10.51</v>
      </c>
      <c r="F160" s="15">
        <v>119.89</v>
      </c>
      <c r="G160" s="20">
        <v>-44.77</v>
      </c>
      <c r="H160" s="21">
        <v>-127.5</v>
      </c>
      <c r="I160" s="20">
        <v>-83.96</v>
      </c>
      <c r="J160" s="20">
        <v>-10.89</v>
      </c>
      <c r="K160" s="20">
        <v>-32.66</v>
      </c>
      <c r="L160" s="20">
        <v>-40.71</v>
      </c>
      <c r="M160" s="20">
        <v>-23.35</v>
      </c>
      <c r="N160" s="20">
        <v>-32.4</v>
      </c>
      <c r="O160" s="16">
        <v>5.1</v>
      </c>
      <c r="P160" s="22"/>
      <c r="Q160" s="22"/>
      <c r="R160" s="22"/>
      <c r="S160" s="22"/>
      <c r="T160" s="22"/>
      <c r="U160" s="22"/>
      <c r="V160" s="22"/>
      <c r="W160" s="22"/>
    </row>
    <row r="161" ht="15.0" customHeight="1">
      <c r="A161" s="14" t="s">
        <v>208</v>
      </c>
      <c r="B161" s="16">
        <v>36.17</v>
      </c>
      <c r="C161" s="16">
        <v>82.5</v>
      </c>
      <c r="D161" s="15">
        <v>163.46</v>
      </c>
      <c r="E161" s="20">
        <v>-10.51</v>
      </c>
      <c r="F161" s="15">
        <v>119.89</v>
      </c>
      <c r="G161" s="20">
        <v>-44.77</v>
      </c>
      <c r="H161" s="21">
        <v>-127.5</v>
      </c>
      <c r="I161" s="20">
        <v>-83.96</v>
      </c>
      <c r="J161" s="20">
        <v>-10.89</v>
      </c>
      <c r="K161" s="20">
        <v>-32.66</v>
      </c>
      <c r="L161" s="20">
        <v>-40.71</v>
      </c>
      <c r="M161" s="20">
        <v>-23.35</v>
      </c>
      <c r="N161" s="20">
        <v>-32.4</v>
      </c>
      <c r="O161" s="16">
        <v>5.1</v>
      </c>
      <c r="P161" s="22"/>
      <c r="Q161" s="22"/>
      <c r="R161" s="22"/>
      <c r="S161" s="22"/>
      <c r="T161" s="22"/>
      <c r="U161" s="22"/>
      <c r="V161" s="22"/>
      <c r="W161" s="22"/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46097.3824999074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42004.0</v>
      </c>
      <c r="O13" s="9">
        <v>41274.0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210</v>
      </c>
      <c r="C15" s="10" t="s">
        <v>210</v>
      </c>
      <c r="D15" s="10" t="s">
        <v>210</v>
      </c>
      <c r="E15" s="10" t="s">
        <v>210</v>
      </c>
      <c r="F15" s="10" t="s">
        <v>210</v>
      </c>
      <c r="G15" s="10" t="s">
        <v>210</v>
      </c>
      <c r="H15" s="10" t="s">
        <v>210</v>
      </c>
      <c r="I15" s="10" t="s">
        <v>210</v>
      </c>
      <c r="J15" s="10" t="s">
        <v>210</v>
      </c>
      <c r="K15" s="10" t="s">
        <v>210</v>
      </c>
      <c r="L15" s="10" t="s">
        <v>210</v>
      </c>
      <c r="M15" s="10" t="s">
        <v>210</v>
      </c>
      <c r="N15" s="10" t="s">
        <v>210</v>
      </c>
      <c r="O15" s="10" t="s">
        <v>210</v>
      </c>
      <c r="P15" s="10" t="s">
        <v>210</v>
      </c>
      <c r="Q15" s="10" t="s">
        <v>210</v>
      </c>
      <c r="R15" s="10" t="s">
        <v>210</v>
      </c>
      <c r="S15" s="10" t="s">
        <v>210</v>
      </c>
      <c r="T15" s="10" t="s">
        <v>210</v>
      </c>
      <c r="U15" s="10" t="s">
        <v>210</v>
      </c>
      <c r="V15" s="10" t="s">
        <v>210</v>
      </c>
      <c r="W15" s="10" t="s">
        <v>210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212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16">
        <v>6.34</v>
      </c>
      <c r="V20" s="16">
        <v>5.45</v>
      </c>
      <c r="W20" s="16">
        <v>6.18</v>
      </c>
    </row>
    <row r="21" ht="15.0" customHeight="1">
      <c r="A21" s="14" t="s">
        <v>213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>
        <v>0.0</v>
      </c>
      <c r="S21" s="16">
        <v>5.37</v>
      </c>
      <c r="T21" s="22"/>
      <c r="U21" s="22"/>
      <c r="V21" s="22"/>
      <c r="W21" s="22"/>
    </row>
    <row r="22" ht="15.0" customHeight="1">
      <c r="A22" s="14" t="s">
        <v>214</v>
      </c>
      <c r="B22" s="15">
        <v>240.32</v>
      </c>
      <c r="C22" s="15">
        <v>191.77</v>
      </c>
      <c r="D22" s="15">
        <v>143.33</v>
      </c>
      <c r="E22" s="16">
        <v>64.38</v>
      </c>
      <c r="F22" s="16">
        <v>70.11</v>
      </c>
      <c r="G22" s="16">
        <v>46.84</v>
      </c>
      <c r="H22" s="16">
        <v>41.2</v>
      </c>
      <c r="I22" s="15">
        <v>114.08</v>
      </c>
      <c r="J22" s="16">
        <v>77.11</v>
      </c>
      <c r="K22" s="16">
        <v>20.92</v>
      </c>
      <c r="L22" s="16">
        <v>31.42</v>
      </c>
      <c r="M22" s="16">
        <v>13.83</v>
      </c>
      <c r="N22" s="16">
        <v>29.63</v>
      </c>
      <c r="O22" s="16">
        <v>35.97</v>
      </c>
      <c r="P22" s="16">
        <v>19.26</v>
      </c>
      <c r="Q22" s="16">
        <v>19.96</v>
      </c>
      <c r="R22" s="16">
        <v>18.56</v>
      </c>
      <c r="S22" s="16">
        <v>40.81</v>
      </c>
      <c r="T22" s="16">
        <v>24.46</v>
      </c>
      <c r="U22" s="16">
        <v>24.48</v>
      </c>
      <c r="V22" s="16">
        <v>25.85</v>
      </c>
      <c r="W22" s="16">
        <v>22.09</v>
      </c>
    </row>
    <row r="23" ht="15.0" customHeight="1">
      <c r="A23" s="14" t="s">
        <v>214</v>
      </c>
      <c r="B23" s="22"/>
      <c r="C23" s="15">
        <v>191.77</v>
      </c>
      <c r="D23" s="15">
        <v>143.33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ht="15.0" customHeight="1">
      <c r="A24" s="14" t="s">
        <v>215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16">
        <v>35.97</v>
      </c>
      <c r="P24" s="16">
        <v>19.26</v>
      </c>
      <c r="Q24" s="22"/>
      <c r="R24" s="22"/>
      <c r="S24" s="22"/>
      <c r="T24" s="22"/>
      <c r="U24" s="22"/>
      <c r="V24" s="22"/>
      <c r="W24" s="22"/>
    </row>
    <row r="25" ht="15.0" customHeight="1">
      <c r="A25" s="14" t="s">
        <v>216</v>
      </c>
      <c r="B25" s="15">
        <v>122.78</v>
      </c>
      <c r="C25" s="15">
        <v>151.33</v>
      </c>
      <c r="D25" s="15">
        <v>133.07</v>
      </c>
      <c r="E25" s="16">
        <v>95.39</v>
      </c>
      <c r="F25" s="15">
        <v>187.3</v>
      </c>
      <c r="G25" s="15">
        <v>100.09</v>
      </c>
      <c r="H25" s="16">
        <v>76.97</v>
      </c>
      <c r="I25" s="15">
        <v>108.51</v>
      </c>
      <c r="J25" s="15">
        <v>125.3</v>
      </c>
      <c r="K25" s="15">
        <v>113.48</v>
      </c>
      <c r="L25" s="15">
        <v>102.81</v>
      </c>
      <c r="M25" s="16">
        <v>87.21</v>
      </c>
      <c r="N25" s="16">
        <v>92.09</v>
      </c>
      <c r="O25" s="15">
        <v>103.91</v>
      </c>
      <c r="P25" s="15">
        <v>112.25</v>
      </c>
      <c r="Q25" s="16">
        <v>50.47</v>
      </c>
      <c r="R25" s="16">
        <v>69.59</v>
      </c>
      <c r="S25" s="16">
        <v>55.54</v>
      </c>
      <c r="T25" s="15">
        <v>119.75</v>
      </c>
      <c r="U25" s="22"/>
      <c r="V25" s="22"/>
      <c r="W25" s="22"/>
    </row>
    <row r="26" ht="15.0" customHeight="1">
      <c r="A26" s="14" t="s">
        <v>217</v>
      </c>
      <c r="B26" s="22"/>
      <c r="C26" s="16">
        <v>21.18</v>
      </c>
      <c r="D26" s="16">
        <v>27.78</v>
      </c>
      <c r="E26" s="16">
        <v>20.07</v>
      </c>
      <c r="F26" s="16">
        <v>39.85</v>
      </c>
      <c r="G26" s="16">
        <v>22.46</v>
      </c>
      <c r="H26" s="16">
        <v>6.37</v>
      </c>
      <c r="I26" s="16">
        <v>36.57</v>
      </c>
      <c r="J26" s="16">
        <v>43.37</v>
      </c>
      <c r="K26" s="22"/>
      <c r="L26" s="22"/>
      <c r="M26" s="22"/>
      <c r="N26" s="22"/>
      <c r="O26" s="16">
        <v>26.14</v>
      </c>
      <c r="P26" s="16">
        <v>33.14</v>
      </c>
      <c r="Q26" s="16">
        <v>32.58</v>
      </c>
      <c r="R26" s="16">
        <v>18.45</v>
      </c>
      <c r="S26" s="16">
        <v>32.25</v>
      </c>
      <c r="T26" s="22"/>
      <c r="U26" s="22"/>
      <c r="V26" s="22"/>
      <c r="W26" s="22"/>
    </row>
    <row r="27" ht="15.0" customHeight="1">
      <c r="A27" s="14" t="s">
        <v>218</v>
      </c>
      <c r="B27" s="22"/>
      <c r="C27" s="15">
        <v>120.07</v>
      </c>
      <c r="D27" s="15">
        <v>100.72</v>
      </c>
      <c r="E27" s="16">
        <v>74.02</v>
      </c>
      <c r="F27" s="15">
        <v>141.17</v>
      </c>
      <c r="G27" s="16">
        <v>71.02</v>
      </c>
      <c r="H27" s="16">
        <v>63.36</v>
      </c>
      <c r="I27" s="16">
        <v>64.92</v>
      </c>
      <c r="J27" s="16">
        <v>73.14</v>
      </c>
      <c r="K27" s="22"/>
      <c r="L27" s="22"/>
      <c r="M27" s="22"/>
      <c r="N27" s="22"/>
      <c r="O27" s="16">
        <v>63.2</v>
      </c>
      <c r="P27" s="16">
        <v>60.38</v>
      </c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219</v>
      </c>
      <c r="B28" s="22"/>
      <c r="C28" s="16">
        <v>7.2</v>
      </c>
      <c r="D28" s="16">
        <v>3.5</v>
      </c>
      <c r="E28" s="16">
        <v>1.16</v>
      </c>
      <c r="F28" s="16">
        <v>6.26</v>
      </c>
      <c r="G28" s="16">
        <v>5.67</v>
      </c>
      <c r="H28" s="16">
        <v>6.3</v>
      </c>
      <c r="I28" s="16">
        <v>3.37</v>
      </c>
      <c r="J28" s="16">
        <v>2.27</v>
      </c>
      <c r="K28" s="22"/>
      <c r="L28" s="22"/>
      <c r="M28" s="22"/>
      <c r="N28" s="22"/>
      <c r="O28" s="16">
        <v>11.56</v>
      </c>
      <c r="P28" s="16">
        <v>13.86</v>
      </c>
      <c r="Q28" s="16">
        <v>24.37</v>
      </c>
      <c r="R28" s="22"/>
      <c r="S28" s="22"/>
      <c r="T28" s="22"/>
      <c r="U28" s="22"/>
      <c r="V28" s="22"/>
      <c r="W28" s="22"/>
    </row>
    <row r="29" ht="15.0" customHeight="1">
      <c r="A29" s="14" t="s">
        <v>220</v>
      </c>
      <c r="B29" s="22"/>
      <c r="C29" s="16">
        <v>2.88</v>
      </c>
      <c r="D29" s="16">
        <v>1.06</v>
      </c>
      <c r="E29" s="16">
        <v>0.13</v>
      </c>
      <c r="F29" s="16">
        <v>0.03</v>
      </c>
      <c r="G29" s="16">
        <v>0.94</v>
      </c>
      <c r="H29" s="16">
        <v>0.94</v>
      </c>
      <c r="I29" s="16">
        <v>3.67</v>
      </c>
      <c r="J29" s="16">
        <v>6.53</v>
      </c>
      <c r="K29" s="22"/>
      <c r="L29" s="22"/>
      <c r="M29" s="22"/>
      <c r="N29" s="22"/>
      <c r="O29" s="16">
        <v>3.02</v>
      </c>
      <c r="P29" s="16">
        <v>4.86</v>
      </c>
      <c r="Q29" s="16">
        <v>3.1</v>
      </c>
      <c r="R29" s="16">
        <v>57.76</v>
      </c>
      <c r="S29" s="16">
        <v>35.44</v>
      </c>
      <c r="T29" s="22"/>
      <c r="U29" s="16">
        <v>12.25</v>
      </c>
      <c r="V29" s="16">
        <v>13.35</v>
      </c>
      <c r="W29" s="16">
        <v>11.81</v>
      </c>
    </row>
    <row r="30" ht="15.0" customHeight="1">
      <c r="A30" s="14" t="s">
        <v>221</v>
      </c>
      <c r="B30" s="22"/>
      <c r="C30" s="22"/>
      <c r="D30" s="22"/>
      <c r="E30" s="16">
        <v>0.01</v>
      </c>
      <c r="F30" s="22"/>
      <c r="G30" s="22"/>
      <c r="H30" s="22"/>
      <c r="I30" s="20">
        <v>-0.01</v>
      </c>
      <c r="J30" s="20">
        <v>-0.01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15.0" customHeight="1">
      <c r="A31" s="14" t="s">
        <v>222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16">
        <v>2.45</v>
      </c>
      <c r="R31" s="22">
        <v>0.0</v>
      </c>
      <c r="S31" s="16">
        <v>5.79</v>
      </c>
      <c r="T31" s="22"/>
      <c r="U31" s="22"/>
      <c r="V31" s="22"/>
      <c r="W31" s="22"/>
    </row>
    <row r="32" ht="15.0" customHeight="1">
      <c r="A32" s="14" t="s">
        <v>223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16">
        <v>6.08</v>
      </c>
      <c r="V32" s="16">
        <v>5.8</v>
      </c>
      <c r="W32" s="16">
        <v>5.45</v>
      </c>
    </row>
    <row r="33" ht="15.0" customHeight="1">
      <c r="A33" s="14" t="s">
        <v>224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16">
        <v>4.21</v>
      </c>
      <c r="V33" s="16">
        <v>3.39</v>
      </c>
      <c r="W33" s="16">
        <v>3.53</v>
      </c>
    </row>
    <row r="34" ht="15.0" customHeight="1">
      <c r="A34" s="14" t="s">
        <v>225</v>
      </c>
      <c r="B34" s="16">
        <v>13.35</v>
      </c>
      <c r="C34" s="16">
        <v>13.06</v>
      </c>
      <c r="D34" s="22">
        <v>0.0</v>
      </c>
      <c r="E34" s="16">
        <v>0.05</v>
      </c>
      <c r="F34" s="16">
        <v>0.32</v>
      </c>
      <c r="G34" s="22"/>
      <c r="H34" s="22"/>
      <c r="I34" s="22"/>
      <c r="J34" s="22"/>
      <c r="K34" s="16">
        <v>0.84</v>
      </c>
      <c r="L34" s="16">
        <v>0.64</v>
      </c>
      <c r="M34" s="16">
        <v>0.75</v>
      </c>
      <c r="N34" s="16">
        <v>0.78</v>
      </c>
      <c r="O34" s="16">
        <v>1.15</v>
      </c>
      <c r="P34" s="16">
        <v>0.29</v>
      </c>
      <c r="Q34" s="22"/>
      <c r="R34" s="22"/>
      <c r="S34" s="22"/>
      <c r="T34" s="22"/>
      <c r="U34" s="22"/>
      <c r="V34" s="22"/>
      <c r="W34" s="22"/>
    </row>
    <row r="35" ht="15.0" customHeight="1">
      <c r="A35" s="14" t="s">
        <v>226</v>
      </c>
      <c r="B35" s="16">
        <v>13.07</v>
      </c>
      <c r="C35" s="16">
        <v>13.48</v>
      </c>
      <c r="D35" s="16">
        <v>12.24</v>
      </c>
      <c r="E35" s="16">
        <v>2.5</v>
      </c>
      <c r="F35" s="16">
        <v>1.22</v>
      </c>
      <c r="G35" s="16">
        <v>0.91</v>
      </c>
      <c r="H35" s="16">
        <v>0.86</v>
      </c>
      <c r="I35" s="16">
        <v>0.8</v>
      </c>
      <c r="J35" s="16">
        <v>0.66</v>
      </c>
      <c r="K35" s="16">
        <v>0.37</v>
      </c>
      <c r="L35" s="22">
        <v>0.0</v>
      </c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5.0" customHeight="1">
      <c r="A36" s="14" t="s">
        <v>227</v>
      </c>
      <c r="B36" s="22"/>
      <c r="C36" s="22"/>
      <c r="D36" s="22"/>
      <c r="E36" s="22"/>
      <c r="F36" s="22"/>
      <c r="G36" s="16">
        <v>9.4</v>
      </c>
      <c r="H36" s="16">
        <v>8.83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5.0" customHeight="1">
      <c r="A37" s="14" t="s">
        <v>228</v>
      </c>
      <c r="B37" s="16">
        <v>0.01</v>
      </c>
      <c r="C37" s="22"/>
      <c r="D37" s="22"/>
      <c r="E37" s="22"/>
      <c r="F37" s="22"/>
      <c r="G37" s="16">
        <v>0.01</v>
      </c>
      <c r="H37" s="22"/>
      <c r="I37" s="22"/>
      <c r="J37" s="22"/>
      <c r="K37" s="16">
        <v>0.01</v>
      </c>
      <c r="L37" s="22"/>
      <c r="M37" s="16">
        <v>0.01</v>
      </c>
      <c r="N37" s="22"/>
      <c r="O37" s="22"/>
      <c r="P37" s="22"/>
      <c r="Q37" s="22"/>
      <c r="R37" s="16">
        <v>0.01</v>
      </c>
      <c r="S37" s="22"/>
      <c r="T37" s="22"/>
      <c r="U37" s="22"/>
      <c r="V37" s="22"/>
      <c r="W37" s="22"/>
    </row>
    <row r="38" ht="15.0" customHeight="1">
      <c r="A38" s="17" t="s">
        <v>229</v>
      </c>
      <c r="B38" s="18">
        <v>389.53</v>
      </c>
      <c r="C38" s="18">
        <v>369.65</v>
      </c>
      <c r="D38" s="18">
        <v>288.63</v>
      </c>
      <c r="E38" s="18">
        <v>162.32</v>
      </c>
      <c r="F38" s="18">
        <v>258.96</v>
      </c>
      <c r="G38" s="18">
        <v>157.25</v>
      </c>
      <c r="H38" s="18">
        <v>127.86</v>
      </c>
      <c r="I38" s="18">
        <v>223.39</v>
      </c>
      <c r="J38" s="18">
        <v>203.07</v>
      </c>
      <c r="K38" s="18">
        <v>135.62</v>
      </c>
      <c r="L38" s="18">
        <v>134.87</v>
      </c>
      <c r="M38" s="18">
        <v>101.8</v>
      </c>
      <c r="N38" s="18">
        <v>122.5</v>
      </c>
      <c r="O38" s="18">
        <v>141.03</v>
      </c>
      <c r="P38" s="18">
        <v>131.8</v>
      </c>
      <c r="Q38" s="18">
        <v>132.94</v>
      </c>
      <c r="R38" s="18">
        <v>164.37</v>
      </c>
      <c r="S38" s="18">
        <v>175.2</v>
      </c>
      <c r="T38" s="18">
        <v>144.21</v>
      </c>
      <c r="U38" s="19">
        <v>53.35</v>
      </c>
      <c r="V38" s="19">
        <v>53.84</v>
      </c>
      <c r="W38" s="19">
        <v>49.06</v>
      </c>
    </row>
    <row r="39" ht="15.0" customHeight="1">
      <c r="A39" s="14" t="s">
        <v>230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16">
        <v>0.36</v>
      </c>
      <c r="V39" s="16">
        <v>0.27</v>
      </c>
      <c r="W39" s="16">
        <v>0.21</v>
      </c>
    </row>
    <row r="40" ht="15.0" customHeight="1">
      <c r="A40" s="14" t="s">
        <v>231</v>
      </c>
      <c r="B40" s="22"/>
      <c r="C40" s="16">
        <v>0.99</v>
      </c>
      <c r="D40" s="16">
        <v>1.91</v>
      </c>
      <c r="E40" s="16">
        <v>1.85</v>
      </c>
      <c r="F40" s="16">
        <v>1.74</v>
      </c>
      <c r="G40" s="16">
        <v>2.15</v>
      </c>
      <c r="H40" s="16">
        <v>2.06</v>
      </c>
      <c r="I40" s="16">
        <v>1.92</v>
      </c>
      <c r="J40" s="16">
        <v>2.28</v>
      </c>
      <c r="K40" s="16">
        <v>2.39</v>
      </c>
      <c r="L40" s="16">
        <v>2.81</v>
      </c>
      <c r="M40" s="16">
        <v>1.56</v>
      </c>
      <c r="N40" s="16">
        <v>2.46</v>
      </c>
      <c r="O40" s="16">
        <v>2.86</v>
      </c>
      <c r="P40" s="16">
        <v>2.39</v>
      </c>
      <c r="Q40" s="16">
        <v>5.07</v>
      </c>
      <c r="R40" s="16">
        <v>4.12</v>
      </c>
      <c r="S40" s="16">
        <v>5.74</v>
      </c>
      <c r="T40" s="16">
        <v>1.67</v>
      </c>
      <c r="U40" s="22"/>
      <c r="V40" s="22"/>
      <c r="W40" s="22"/>
    </row>
    <row r="41" ht="15.0" customHeight="1">
      <c r="A41" s="14" t="s">
        <v>232</v>
      </c>
      <c r="B41" s="16">
        <v>48.72</v>
      </c>
      <c r="C41" s="16">
        <v>63.8</v>
      </c>
      <c r="D41" s="16">
        <v>83.56</v>
      </c>
      <c r="E41" s="16">
        <v>72.43</v>
      </c>
      <c r="F41" s="16">
        <v>67.36</v>
      </c>
      <c r="G41" s="22"/>
      <c r="H41" s="22">
        <v>0.0</v>
      </c>
      <c r="I41" s="16">
        <v>0.14</v>
      </c>
      <c r="J41" s="16">
        <v>5.58</v>
      </c>
      <c r="K41" s="16">
        <v>5.98</v>
      </c>
      <c r="L41" s="16">
        <v>5.85</v>
      </c>
      <c r="M41" s="16">
        <v>5.5</v>
      </c>
      <c r="N41" s="16">
        <v>7.72</v>
      </c>
      <c r="O41" s="16">
        <v>7.84</v>
      </c>
      <c r="P41" s="16">
        <v>7.38</v>
      </c>
      <c r="Q41" s="16">
        <v>5.92</v>
      </c>
      <c r="R41" s="16">
        <v>7.9</v>
      </c>
      <c r="S41" s="16">
        <v>4.09</v>
      </c>
      <c r="T41" s="16">
        <v>2.67</v>
      </c>
      <c r="U41" s="16">
        <v>2.69</v>
      </c>
      <c r="V41" s="16">
        <v>2.85</v>
      </c>
      <c r="W41" s="16">
        <v>2.42</v>
      </c>
    </row>
    <row r="42" ht="15.0" customHeight="1">
      <c r="A42" s="14" t="s">
        <v>233</v>
      </c>
      <c r="B42" s="16">
        <v>0.87</v>
      </c>
      <c r="C42" s="16">
        <v>0.84</v>
      </c>
      <c r="D42" s="16">
        <v>11.14</v>
      </c>
      <c r="E42" s="16">
        <v>3.66</v>
      </c>
      <c r="F42" s="16">
        <v>0.21</v>
      </c>
      <c r="G42" s="16">
        <v>2.52</v>
      </c>
      <c r="H42" s="16">
        <v>2.4</v>
      </c>
      <c r="I42" s="16">
        <v>26.15</v>
      </c>
      <c r="J42" s="16">
        <v>40.3</v>
      </c>
      <c r="K42" s="16">
        <v>51.87</v>
      </c>
      <c r="L42" s="16">
        <v>69.34</v>
      </c>
      <c r="M42" s="16">
        <v>0.32</v>
      </c>
      <c r="N42" s="16">
        <v>0.29</v>
      </c>
      <c r="O42" s="16">
        <v>0.26</v>
      </c>
      <c r="P42" s="16">
        <v>0.27</v>
      </c>
      <c r="Q42" s="16">
        <v>5.56</v>
      </c>
      <c r="R42" s="16">
        <v>5.95</v>
      </c>
      <c r="S42" s="16">
        <v>6.97</v>
      </c>
      <c r="T42" s="22">
        <v>0.0</v>
      </c>
      <c r="U42" s="22"/>
      <c r="V42" s="22"/>
      <c r="W42" s="22"/>
    </row>
    <row r="43" ht="15.0" customHeight="1">
      <c r="A43" s="14" t="s">
        <v>234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1">
        <v>-138.38</v>
      </c>
      <c r="P43" s="21">
        <v>-120.85</v>
      </c>
      <c r="Q43" s="21">
        <v>-102.29</v>
      </c>
      <c r="R43" s="20">
        <v>-82.37</v>
      </c>
      <c r="S43" s="20">
        <v>-97.04</v>
      </c>
      <c r="T43" s="20">
        <v>-55.43</v>
      </c>
      <c r="U43" s="20">
        <v>-96.1</v>
      </c>
      <c r="V43" s="20">
        <v>-83.74</v>
      </c>
      <c r="W43" s="20">
        <v>-80.73</v>
      </c>
    </row>
    <row r="44" ht="15.0" customHeight="1">
      <c r="A44" s="14" t="s">
        <v>235</v>
      </c>
      <c r="B44" s="15">
        <v>175.3</v>
      </c>
      <c r="C44" s="15">
        <v>172.72</v>
      </c>
      <c r="D44" s="15">
        <v>102.58</v>
      </c>
      <c r="E44" s="16">
        <v>96.24</v>
      </c>
      <c r="F44" s="16">
        <v>96.87</v>
      </c>
      <c r="G44" s="15">
        <v>108.77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15.0" customHeight="1">
      <c r="A45" s="14" t="s">
        <v>236</v>
      </c>
      <c r="B45" s="22"/>
      <c r="C45" s="21">
        <v>-128.64</v>
      </c>
      <c r="D45" s="21">
        <v>-120.51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15.0" customHeight="1">
      <c r="A46" s="14" t="s">
        <v>237</v>
      </c>
      <c r="B46" s="22"/>
      <c r="C46" s="15">
        <v>301.35</v>
      </c>
      <c r="D46" s="15">
        <v>223.09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5.0" customHeight="1">
      <c r="A47" s="14" t="s">
        <v>238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15">
        <v>422.71</v>
      </c>
      <c r="P47" s="15">
        <v>436.4</v>
      </c>
      <c r="Q47" s="22"/>
      <c r="R47" s="22"/>
      <c r="S47" s="22"/>
      <c r="T47" s="22"/>
      <c r="U47" s="22"/>
      <c r="V47" s="22"/>
      <c r="W47" s="22"/>
    </row>
    <row r="48" ht="15.0" customHeight="1">
      <c r="A48" s="14" t="s">
        <v>239</v>
      </c>
      <c r="B48" s="15">
        <v>392.38</v>
      </c>
      <c r="C48" s="15">
        <v>427.48</v>
      </c>
      <c r="D48" s="15">
        <v>760.39</v>
      </c>
      <c r="E48" s="15">
        <v>374.82</v>
      </c>
      <c r="F48" s="15">
        <v>372.0</v>
      </c>
      <c r="G48" s="15">
        <v>395.64</v>
      </c>
      <c r="H48" s="15">
        <v>352.39</v>
      </c>
      <c r="I48" s="16">
        <v>86.76</v>
      </c>
      <c r="J48" s="15">
        <v>128.4</v>
      </c>
      <c r="K48" s="15">
        <v>120.34</v>
      </c>
      <c r="L48" s="15">
        <v>135.25</v>
      </c>
      <c r="M48" s="15">
        <v>211.07</v>
      </c>
      <c r="N48" s="15">
        <v>262.58</v>
      </c>
      <c r="O48" s="15">
        <v>284.32</v>
      </c>
      <c r="P48" s="15">
        <v>315.54</v>
      </c>
      <c r="Q48" s="16">
        <f t="shared" ref="Q48:W48" si="1">SUM(Q49:Q61)+Q43</f>
        <v>347.47</v>
      </c>
      <c r="R48" s="16">
        <f t="shared" si="1"/>
        <v>384.96</v>
      </c>
      <c r="S48" s="16">
        <f t="shared" si="1"/>
        <v>471.27</v>
      </c>
      <c r="T48" s="16">
        <f t="shared" si="1"/>
        <v>380.9</v>
      </c>
      <c r="U48" s="16">
        <f t="shared" si="1"/>
        <v>51.57</v>
      </c>
      <c r="V48" s="16">
        <f t="shared" si="1"/>
        <v>53.2</v>
      </c>
      <c r="W48" s="16">
        <f t="shared" si="1"/>
        <v>58.48</v>
      </c>
    </row>
    <row r="49" ht="15.0" customHeight="1">
      <c r="A49" s="14" t="s">
        <v>240</v>
      </c>
      <c r="B49" s="22"/>
      <c r="C49" s="16">
        <v>3.08</v>
      </c>
      <c r="D49" s="16">
        <v>2.76</v>
      </c>
      <c r="E49" s="16">
        <v>2.59</v>
      </c>
      <c r="F49" s="16">
        <v>2.47</v>
      </c>
      <c r="G49" s="16">
        <v>2.59</v>
      </c>
      <c r="H49" s="16">
        <v>21.88</v>
      </c>
      <c r="I49" s="16">
        <v>1.46</v>
      </c>
      <c r="J49" s="16">
        <v>1.45</v>
      </c>
      <c r="K49" s="22"/>
      <c r="L49" s="22"/>
      <c r="M49" s="22"/>
      <c r="N49" s="22"/>
      <c r="O49" s="16">
        <v>1.08</v>
      </c>
      <c r="P49" s="16">
        <v>1.14</v>
      </c>
      <c r="Q49" s="16">
        <v>1.11</v>
      </c>
      <c r="R49" s="16">
        <v>1.16</v>
      </c>
      <c r="S49" s="16">
        <v>5.48</v>
      </c>
      <c r="T49" s="16">
        <v>4.44</v>
      </c>
      <c r="U49" s="16">
        <v>5.54</v>
      </c>
      <c r="V49" s="16">
        <v>1.35</v>
      </c>
      <c r="W49" s="16">
        <v>1.38</v>
      </c>
    </row>
    <row r="50" ht="15.0" customHeight="1">
      <c r="A50" s="14" t="s">
        <v>241</v>
      </c>
      <c r="B50" s="22"/>
      <c r="C50" s="22">
        <v>0.0</v>
      </c>
      <c r="D50" s="22">
        <v>0.0</v>
      </c>
      <c r="E50" s="22">
        <v>0.0</v>
      </c>
      <c r="F50" s="22">
        <v>0.0</v>
      </c>
      <c r="G50" s="22">
        <v>0.0</v>
      </c>
      <c r="H50" s="20">
        <v>-0.54</v>
      </c>
      <c r="I50" s="22">
        <v>0.0</v>
      </c>
      <c r="J50" s="22">
        <v>0.0</v>
      </c>
      <c r="K50" s="22"/>
      <c r="L50" s="22"/>
      <c r="M50" s="22"/>
      <c r="N50" s="22"/>
      <c r="O50" s="22">
        <v>0.0</v>
      </c>
      <c r="P50" s="22">
        <v>0.0</v>
      </c>
      <c r="Q50" s="22"/>
      <c r="R50" s="22"/>
      <c r="S50" s="22"/>
      <c r="T50" s="22"/>
      <c r="U50" s="22"/>
      <c r="V50" s="22"/>
      <c r="W50" s="22"/>
    </row>
    <row r="51" ht="15.0" customHeight="1">
      <c r="A51" s="14" t="s">
        <v>242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0">
        <v>-0.01</v>
      </c>
      <c r="P51" s="22"/>
      <c r="Q51" s="22"/>
      <c r="R51" s="22"/>
      <c r="S51" s="22"/>
      <c r="T51" s="22"/>
      <c r="U51" s="22"/>
      <c r="V51" s="22"/>
      <c r="W51" s="22"/>
    </row>
    <row r="52" ht="15.0" customHeight="1">
      <c r="A52" s="14" t="s">
        <v>243</v>
      </c>
      <c r="B52" s="22"/>
      <c r="C52" s="15">
        <v>139.78</v>
      </c>
      <c r="D52" s="15">
        <v>528.18</v>
      </c>
      <c r="E52" s="15">
        <v>494.47</v>
      </c>
      <c r="F52" s="15">
        <v>472.17</v>
      </c>
      <c r="G52" s="15">
        <v>484.69</v>
      </c>
      <c r="H52" s="15">
        <v>438.19</v>
      </c>
      <c r="I52" s="15">
        <v>155.62</v>
      </c>
      <c r="J52" s="15">
        <v>155.35</v>
      </c>
      <c r="K52" s="22"/>
      <c r="L52" s="22"/>
      <c r="M52" s="22"/>
      <c r="N52" s="22"/>
      <c r="O52" s="15">
        <v>130.88</v>
      </c>
      <c r="P52" s="15">
        <v>137.47</v>
      </c>
      <c r="Q52" s="15">
        <v>130.75</v>
      </c>
      <c r="R52" s="15">
        <v>139.26</v>
      </c>
      <c r="S52" s="15">
        <v>166.11</v>
      </c>
      <c r="T52" s="15">
        <v>102.95</v>
      </c>
      <c r="U52" s="16">
        <v>87.37</v>
      </c>
      <c r="V52" s="16">
        <v>84.82</v>
      </c>
      <c r="W52" s="16">
        <v>87.51</v>
      </c>
    </row>
    <row r="53" ht="15.0" customHeight="1">
      <c r="A53" s="14" t="s">
        <v>244</v>
      </c>
      <c r="B53" s="22"/>
      <c r="C53" s="20">
        <v>-99.04</v>
      </c>
      <c r="D53" s="21">
        <v>-154.97</v>
      </c>
      <c r="E53" s="21">
        <v>-128.68</v>
      </c>
      <c r="F53" s="21">
        <v>-106.85</v>
      </c>
      <c r="G53" s="20">
        <v>-95.38</v>
      </c>
      <c r="H53" s="21">
        <v>-124.12</v>
      </c>
      <c r="I53" s="20">
        <v>-76.24</v>
      </c>
      <c r="J53" s="20">
        <v>-64.71</v>
      </c>
      <c r="K53" s="22"/>
      <c r="L53" s="22"/>
      <c r="M53" s="22"/>
      <c r="N53" s="22"/>
      <c r="O53" s="20">
        <v>-17.56</v>
      </c>
      <c r="P53" s="20">
        <v>-13.4</v>
      </c>
      <c r="Q53" s="22"/>
      <c r="R53" s="22"/>
      <c r="S53" s="22"/>
      <c r="T53" s="22"/>
      <c r="U53" s="22"/>
      <c r="V53" s="22"/>
      <c r="W53" s="22"/>
    </row>
    <row r="54" ht="15.0" customHeight="1">
      <c r="A54" s="14" t="s">
        <v>245</v>
      </c>
      <c r="B54" s="22"/>
      <c r="C54" s="15">
        <v>629.94</v>
      </c>
      <c r="D54" s="15">
        <v>601.25</v>
      </c>
      <c r="E54" s="15">
        <v>182.27</v>
      </c>
      <c r="F54" s="15">
        <v>172.95</v>
      </c>
      <c r="G54" s="15">
        <v>180.69</v>
      </c>
      <c r="H54" s="15">
        <v>186.84</v>
      </c>
      <c r="I54" s="15">
        <v>170.48</v>
      </c>
      <c r="J54" s="15">
        <v>184.73</v>
      </c>
      <c r="K54" s="22"/>
      <c r="L54" s="22"/>
      <c r="M54" s="22"/>
      <c r="N54" s="22"/>
      <c r="O54" s="15">
        <v>283.11</v>
      </c>
      <c r="P54" s="15">
        <v>290.33</v>
      </c>
      <c r="Q54" s="15">
        <v>304.24</v>
      </c>
      <c r="R54" s="15">
        <v>313.39</v>
      </c>
      <c r="S54" s="15">
        <v>363.56</v>
      </c>
      <c r="T54" s="15">
        <v>240.14</v>
      </c>
      <c r="U54" s="16">
        <v>53.67</v>
      </c>
      <c r="V54" s="16">
        <v>49.69</v>
      </c>
      <c r="W54" s="16">
        <v>49.19</v>
      </c>
    </row>
    <row r="55" ht="15.0" customHeight="1">
      <c r="A55" s="14" t="s">
        <v>246</v>
      </c>
      <c r="B55" s="22"/>
      <c r="C55" s="21">
        <v>-249.65</v>
      </c>
      <c r="D55" s="21">
        <v>-218.41</v>
      </c>
      <c r="E55" s="21">
        <v>-179.49</v>
      </c>
      <c r="F55" s="21">
        <v>-171.4</v>
      </c>
      <c r="G55" s="21">
        <v>-178.8</v>
      </c>
      <c r="H55" s="21">
        <v>-170.0</v>
      </c>
      <c r="I55" s="21">
        <v>-166.37</v>
      </c>
      <c r="J55" s="21">
        <v>-159.84</v>
      </c>
      <c r="K55" s="22"/>
      <c r="L55" s="22"/>
      <c r="M55" s="22"/>
      <c r="N55" s="22"/>
      <c r="O55" s="21">
        <v>-116.64</v>
      </c>
      <c r="P55" s="21">
        <v>-103.53</v>
      </c>
      <c r="Q55" s="22"/>
      <c r="R55" s="22"/>
      <c r="S55" s="22"/>
      <c r="T55" s="22"/>
      <c r="U55" s="22"/>
      <c r="V55" s="22"/>
      <c r="W55" s="22"/>
    </row>
    <row r="56" ht="15.0" customHeight="1">
      <c r="A56" s="14" t="s">
        <v>247</v>
      </c>
      <c r="B56" s="22"/>
      <c r="C56" s="22"/>
      <c r="D56" s="22"/>
      <c r="E56" s="22"/>
      <c r="F56" s="16">
        <v>0.01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0" customHeight="1">
      <c r="A57" s="14" t="s">
        <v>248</v>
      </c>
      <c r="B57" s="22"/>
      <c r="C57" s="22"/>
      <c r="D57" s="22"/>
      <c r="E57" s="22"/>
      <c r="F57" s="22"/>
      <c r="G57" s="22"/>
      <c r="H57" s="20">
        <v>-0.02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0" customHeight="1">
      <c r="A58" s="14" t="s">
        <v>249</v>
      </c>
      <c r="B58" s="22"/>
      <c r="C58" s="22"/>
      <c r="D58" s="22"/>
      <c r="E58" s="22"/>
      <c r="F58" s="22"/>
      <c r="G58" s="20">
        <v>-0.01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0" customHeight="1">
      <c r="A59" s="14" t="s">
        <v>250</v>
      </c>
      <c r="B59" s="22"/>
      <c r="C59" s="16">
        <v>10.86</v>
      </c>
      <c r="D59" s="16">
        <v>10.17</v>
      </c>
      <c r="E59" s="16">
        <v>9.48</v>
      </c>
      <c r="F59" s="16">
        <v>8.82</v>
      </c>
      <c r="G59" s="16">
        <v>8.97</v>
      </c>
      <c r="H59" s="16">
        <v>6.9</v>
      </c>
      <c r="I59" s="16">
        <v>6.95</v>
      </c>
      <c r="J59" s="16">
        <v>7.28</v>
      </c>
      <c r="K59" s="22"/>
      <c r="L59" s="22"/>
      <c r="M59" s="22"/>
      <c r="N59" s="22"/>
      <c r="O59" s="16">
        <v>4.84</v>
      </c>
      <c r="P59" s="16">
        <v>4.98</v>
      </c>
      <c r="Q59" s="16">
        <v>4.87</v>
      </c>
      <c r="R59" s="16">
        <v>5.08</v>
      </c>
      <c r="S59" s="16">
        <v>23.35</v>
      </c>
      <c r="T59" s="16">
        <v>14.96</v>
      </c>
      <c r="U59" s="16">
        <v>1.09</v>
      </c>
      <c r="V59" s="16">
        <v>1.08</v>
      </c>
      <c r="W59" s="16">
        <v>1.13</v>
      </c>
    </row>
    <row r="60" ht="15.0" customHeight="1">
      <c r="A60" s="14" t="s">
        <v>251</v>
      </c>
      <c r="B60" s="22"/>
      <c r="C60" s="20">
        <v>-7.59</v>
      </c>
      <c r="D60" s="20">
        <v>-8.85</v>
      </c>
      <c r="E60" s="20">
        <v>-7.94</v>
      </c>
      <c r="F60" s="20">
        <v>-7.24</v>
      </c>
      <c r="G60" s="20">
        <v>-7.2</v>
      </c>
      <c r="H60" s="20">
        <v>-6.75</v>
      </c>
      <c r="I60" s="20">
        <v>-6.77</v>
      </c>
      <c r="J60" s="20">
        <v>-6.64</v>
      </c>
      <c r="K60" s="22"/>
      <c r="L60" s="22"/>
      <c r="M60" s="22"/>
      <c r="N60" s="22"/>
      <c r="O60" s="20">
        <v>-4.18</v>
      </c>
      <c r="P60" s="20">
        <v>-3.92</v>
      </c>
      <c r="Q60" s="22"/>
      <c r="R60" s="22"/>
      <c r="S60" s="22"/>
      <c r="T60" s="22"/>
      <c r="U60" s="22"/>
      <c r="V60" s="22"/>
      <c r="W60" s="22"/>
    </row>
    <row r="61" ht="15.0" customHeight="1">
      <c r="A61" s="14" t="s">
        <v>252</v>
      </c>
      <c r="B61" s="22"/>
      <c r="C61" s="22"/>
      <c r="D61" s="22"/>
      <c r="E61" s="22"/>
      <c r="F61" s="22"/>
      <c r="G61" s="22"/>
      <c r="H61" s="22"/>
      <c r="I61" s="16">
        <v>1.63</v>
      </c>
      <c r="J61" s="16">
        <v>10.79</v>
      </c>
      <c r="K61" s="22"/>
      <c r="L61" s="22"/>
      <c r="M61" s="22"/>
      <c r="N61" s="22"/>
      <c r="O61" s="16">
        <v>2.8</v>
      </c>
      <c r="P61" s="16">
        <v>2.48</v>
      </c>
      <c r="Q61" s="16">
        <v>8.79</v>
      </c>
      <c r="R61" s="16">
        <v>8.44</v>
      </c>
      <c r="S61" s="16">
        <v>9.81</v>
      </c>
      <c r="T61" s="16">
        <v>73.84</v>
      </c>
      <c r="U61" s="22"/>
      <c r="V61" s="22"/>
      <c r="W61" s="22"/>
    </row>
    <row r="62" ht="15.0" customHeight="1">
      <c r="A62" s="14" t="s">
        <v>253</v>
      </c>
      <c r="B62" s="22"/>
      <c r="C62" s="16">
        <v>0.09</v>
      </c>
      <c r="D62" s="16">
        <v>0.26</v>
      </c>
      <c r="E62" s="16">
        <v>2.13</v>
      </c>
      <c r="F62" s="16">
        <v>1.06</v>
      </c>
      <c r="G62" s="16">
        <v>0.07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15.0" customHeight="1">
      <c r="A63" s="14" t="s">
        <v>254</v>
      </c>
      <c r="B63" s="22"/>
      <c r="C63" s="22"/>
      <c r="D63" s="22"/>
      <c r="E63" s="22"/>
      <c r="F63" s="22"/>
      <c r="G63" s="16">
        <v>0.01</v>
      </c>
      <c r="H63" s="16">
        <v>0.01</v>
      </c>
      <c r="I63" s="22"/>
      <c r="J63" s="20">
        <v>-0.01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15.0" customHeight="1">
      <c r="A64" s="14" t="s">
        <v>255</v>
      </c>
      <c r="B64" s="16">
        <v>96.41</v>
      </c>
      <c r="C64" s="16">
        <v>86.56</v>
      </c>
      <c r="D64" s="16">
        <v>10.06</v>
      </c>
      <c r="E64" s="16">
        <v>9.43</v>
      </c>
      <c r="F64" s="16">
        <v>9.0</v>
      </c>
      <c r="G64" s="16">
        <v>9.42</v>
      </c>
      <c r="H64" s="16">
        <v>8.85</v>
      </c>
      <c r="I64" s="16">
        <v>59.15</v>
      </c>
      <c r="J64" s="16">
        <v>88.31</v>
      </c>
      <c r="K64" s="16">
        <v>81.45</v>
      </c>
      <c r="L64" s="16">
        <v>86.11</v>
      </c>
      <c r="M64" s="16">
        <v>86.01</v>
      </c>
      <c r="N64" s="16">
        <v>79.35</v>
      </c>
      <c r="O64" s="16">
        <v>69.85</v>
      </c>
      <c r="P64" s="16">
        <v>73.62</v>
      </c>
      <c r="Q64" s="16">
        <v>74.11</v>
      </c>
      <c r="R64" s="16">
        <v>78.92</v>
      </c>
      <c r="S64" s="16">
        <v>88.64</v>
      </c>
      <c r="T64" s="16">
        <v>85.03</v>
      </c>
      <c r="U64" s="22"/>
      <c r="V64" s="22"/>
      <c r="W64" s="22"/>
    </row>
    <row r="65" ht="15.0" customHeight="1">
      <c r="A65" s="14" t="s">
        <v>256</v>
      </c>
      <c r="B65" s="22"/>
      <c r="C65" s="15">
        <v>148.59</v>
      </c>
      <c r="D65" s="16">
        <v>69.02</v>
      </c>
      <c r="E65" s="16">
        <v>64.7</v>
      </c>
      <c r="F65" s="16">
        <v>61.78</v>
      </c>
      <c r="G65" s="16">
        <v>64.65</v>
      </c>
      <c r="H65" s="16">
        <v>60.73</v>
      </c>
      <c r="I65" s="16">
        <v>59.15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ht="15.0" customHeight="1">
      <c r="A66" s="14" t="s">
        <v>257</v>
      </c>
      <c r="B66" s="22"/>
      <c r="C66" s="20">
        <v>-62.02</v>
      </c>
      <c r="D66" s="20">
        <v>-58.96</v>
      </c>
      <c r="E66" s="20">
        <v>-55.26</v>
      </c>
      <c r="F66" s="20">
        <v>-52.77</v>
      </c>
      <c r="G66" s="20">
        <v>-55.22</v>
      </c>
      <c r="H66" s="20">
        <v>-51.87</v>
      </c>
      <c r="I66" s="22">
        <v>0.0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15.0" customHeight="1">
      <c r="A67" s="14" t="s">
        <v>258</v>
      </c>
      <c r="B67" s="22"/>
      <c r="C67" s="20">
        <v>-0.01</v>
      </c>
      <c r="D67" s="20">
        <v>-0.01</v>
      </c>
      <c r="E67" s="20">
        <v>-0.01</v>
      </c>
      <c r="F67" s="20">
        <v>-0.01</v>
      </c>
      <c r="G67" s="20">
        <v>-0.01</v>
      </c>
      <c r="H67" s="20">
        <v>-0.01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15.0" customHeight="1">
      <c r="A68" s="14" t="s">
        <v>259</v>
      </c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0">
        <v>-23.39</v>
      </c>
      <c r="P68" s="20">
        <v>-21.89</v>
      </c>
      <c r="Q68" s="22"/>
      <c r="R68" s="22"/>
      <c r="S68" s="22"/>
      <c r="T68" s="22"/>
      <c r="U68" s="20">
        <v>-1.6</v>
      </c>
      <c r="V68" s="20">
        <v>-1.51</v>
      </c>
      <c r="W68" s="20">
        <v>-1.54</v>
      </c>
    </row>
    <row r="69" ht="15.0" customHeight="1">
      <c r="A69" s="14" t="s">
        <v>260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16">
        <v>1.9</v>
      </c>
      <c r="V69" s="22"/>
      <c r="W69" s="22"/>
    </row>
    <row r="70" ht="15.0" customHeight="1">
      <c r="A70" s="14" t="s">
        <v>261</v>
      </c>
      <c r="B70" s="16">
        <v>46.23</v>
      </c>
      <c r="C70" s="16">
        <v>72.86</v>
      </c>
      <c r="D70" s="16">
        <v>14.26</v>
      </c>
      <c r="E70" s="16">
        <v>9.8</v>
      </c>
      <c r="F70" s="16">
        <v>11.86</v>
      </c>
      <c r="G70" s="16">
        <v>17.55</v>
      </c>
      <c r="H70" s="16">
        <v>19.02</v>
      </c>
      <c r="I70" s="16">
        <v>13.77</v>
      </c>
      <c r="J70" s="16">
        <v>0.57</v>
      </c>
      <c r="K70" s="16">
        <v>0.55</v>
      </c>
      <c r="L70" s="16">
        <v>1.83</v>
      </c>
      <c r="M70" s="16">
        <v>3.2</v>
      </c>
      <c r="N70" s="16">
        <v>4.42</v>
      </c>
      <c r="O70" s="16">
        <v>5.97</v>
      </c>
      <c r="P70" s="16">
        <v>5.56</v>
      </c>
      <c r="Q70" s="22"/>
      <c r="R70" s="16">
        <v>1.61</v>
      </c>
      <c r="S70" s="16">
        <v>1.9</v>
      </c>
      <c r="T70" s="16">
        <v>11.7</v>
      </c>
      <c r="U70" s="22"/>
      <c r="V70" s="22"/>
      <c r="W70" s="22"/>
    </row>
    <row r="71" ht="15.0" customHeight="1">
      <c r="A71" s="14" t="s">
        <v>262</v>
      </c>
      <c r="B71" s="22"/>
      <c r="C71" s="16">
        <v>10.2</v>
      </c>
      <c r="D71" s="16">
        <v>9.66</v>
      </c>
      <c r="E71" s="16">
        <v>9.05</v>
      </c>
      <c r="F71" s="16">
        <v>8.39</v>
      </c>
      <c r="G71" s="16">
        <v>8.78</v>
      </c>
      <c r="H71" s="16">
        <v>8.28</v>
      </c>
      <c r="I71" s="16">
        <v>8.28</v>
      </c>
      <c r="J71" s="16">
        <v>8.25</v>
      </c>
      <c r="K71" s="22"/>
      <c r="L71" s="22"/>
      <c r="M71" s="22"/>
      <c r="N71" s="22"/>
      <c r="O71" s="16">
        <v>6.13</v>
      </c>
      <c r="P71" s="16">
        <v>6.33</v>
      </c>
      <c r="Q71" s="22"/>
      <c r="R71" s="22"/>
      <c r="S71" s="22"/>
      <c r="T71" s="22"/>
      <c r="U71" s="22"/>
      <c r="V71" s="22"/>
      <c r="W71" s="22"/>
    </row>
    <row r="72" ht="15.0" customHeight="1">
      <c r="A72" s="14" t="s">
        <v>263</v>
      </c>
      <c r="B72" s="22"/>
      <c r="C72" s="20">
        <v>-10.0</v>
      </c>
      <c r="D72" s="20">
        <v>-9.44</v>
      </c>
      <c r="E72" s="20">
        <v>-8.8</v>
      </c>
      <c r="F72" s="20">
        <v>-8.37</v>
      </c>
      <c r="G72" s="20">
        <v>-8.76</v>
      </c>
      <c r="H72" s="20">
        <v>-8.23</v>
      </c>
      <c r="I72" s="20">
        <v>-8.27</v>
      </c>
      <c r="J72" s="20">
        <v>-8.22</v>
      </c>
      <c r="K72" s="22"/>
      <c r="L72" s="22"/>
      <c r="M72" s="22"/>
      <c r="N72" s="22"/>
      <c r="O72" s="20">
        <v>-5.84</v>
      </c>
      <c r="P72" s="20">
        <v>-5.69</v>
      </c>
      <c r="Q72" s="22"/>
      <c r="R72" s="22"/>
      <c r="S72" s="22"/>
      <c r="T72" s="22"/>
      <c r="U72" s="22"/>
      <c r="V72" s="22"/>
      <c r="W72" s="22"/>
    </row>
    <row r="73" ht="15.0" customHeight="1">
      <c r="A73" s="14" t="s">
        <v>264</v>
      </c>
      <c r="B73" s="22"/>
      <c r="C73" s="20">
        <v>-0.01</v>
      </c>
      <c r="D73" s="20">
        <v>-0.01</v>
      </c>
      <c r="E73" s="22"/>
      <c r="F73" s="22"/>
      <c r="G73" s="22"/>
      <c r="H73" s="22"/>
      <c r="I73" s="22"/>
      <c r="J73" s="16">
        <v>0.01</v>
      </c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15.0" customHeight="1">
      <c r="A74" s="14" t="s">
        <v>265</v>
      </c>
      <c r="B74" s="22"/>
      <c r="C74" s="16">
        <v>72.79</v>
      </c>
      <c r="D74" s="16">
        <v>71.35</v>
      </c>
      <c r="E74" s="16">
        <v>59.44</v>
      </c>
      <c r="F74" s="16">
        <v>56.03</v>
      </c>
      <c r="G74" s="16">
        <v>60.01</v>
      </c>
      <c r="H74" s="16">
        <v>55.06</v>
      </c>
      <c r="I74" s="16">
        <v>46.99</v>
      </c>
      <c r="J74" s="16">
        <v>32.28</v>
      </c>
      <c r="K74" s="22"/>
      <c r="L74" s="22"/>
      <c r="M74" s="22"/>
      <c r="N74" s="22"/>
      <c r="O74" s="16">
        <v>23.23</v>
      </c>
      <c r="P74" s="16">
        <v>21.12</v>
      </c>
      <c r="Q74" s="22"/>
      <c r="R74" s="22"/>
      <c r="S74" s="22"/>
      <c r="T74" s="22"/>
      <c r="U74" s="22"/>
      <c r="V74" s="22"/>
      <c r="W74" s="22"/>
    </row>
    <row r="75" ht="15.0" customHeight="1">
      <c r="A75" s="14" t="s">
        <v>266</v>
      </c>
      <c r="B75" s="22"/>
      <c r="C75" s="20">
        <v>-64.8</v>
      </c>
      <c r="D75" s="20">
        <v>-57.3</v>
      </c>
      <c r="E75" s="20">
        <v>-49.89</v>
      </c>
      <c r="F75" s="20">
        <v>-44.2</v>
      </c>
      <c r="G75" s="20">
        <v>-42.48</v>
      </c>
      <c r="H75" s="20">
        <v>-36.09</v>
      </c>
      <c r="I75" s="20">
        <v>-33.23</v>
      </c>
      <c r="J75" s="20">
        <v>-31.75</v>
      </c>
      <c r="K75" s="22"/>
      <c r="L75" s="22"/>
      <c r="M75" s="22"/>
      <c r="N75" s="22"/>
      <c r="O75" s="20">
        <v>-17.56</v>
      </c>
      <c r="P75" s="20">
        <v>-16.19</v>
      </c>
      <c r="Q75" s="22"/>
      <c r="R75" s="22"/>
      <c r="S75" s="22"/>
      <c r="T75" s="22"/>
      <c r="U75" s="22"/>
      <c r="V75" s="22"/>
      <c r="W75" s="22"/>
    </row>
    <row r="76" ht="15.0" customHeight="1">
      <c r="A76" s="14" t="s">
        <v>267</v>
      </c>
      <c r="B76" s="22"/>
      <c r="C76" s="22"/>
      <c r="D76" s="22"/>
      <c r="E76" s="16">
        <v>0.01</v>
      </c>
      <c r="F76" s="16">
        <v>0.01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15.0" customHeight="1">
      <c r="A77" s="14" t="s">
        <v>268</v>
      </c>
      <c r="B77" s="22"/>
      <c r="C77" s="16">
        <v>20.26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5.0" customHeight="1">
      <c r="A78" s="14" t="s">
        <v>269</v>
      </c>
      <c r="B78" s="22"/>
      <c r="C78" s="16">
        <v>44.41</v>
      </c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15.0" customHeight="1">
      <c r="A79" s="14" t="s">
        <v>270</v>
      </c>
      <c r="B79" s="22"/>
      <c r="C79" s="16">
        <v>0.01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5.0" customHeight="1">
      <c r="A80" s="14" t="s">
        <v>271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16">
        <v>6.37</v>
      </c>
      <c r="R80" s="16">
        <v>6.97</v>
      </c>
      <c r="S80" s="16">
        <v>13.22</v>
      </c>
      <c r="T80" s="16">
        <v>8.74</v>
      </c>
      <c r="U80" s="22"/>
      <c r="V80" s="22"/>
      <c r="W80" s="22"/>
    </row>
    <row r="81" ht="15.0" customHeight="1">
      <c r="A81" s="14" t="s">
        <v>260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16">
        <v>1.55</v>
      </c>
      <c r="W81" s="16">
        <v>1.6</v>
      </c>
    </row>
    <row r="82" ht="15.0" customHeight="1">
      <c r="A82" s="14" t="s">
        <v>272</v>
      </c>
      <c r="B82" s="20">
        <v>-0.01</v>
      </c>
      <c r="C82" s="20">
        <v>-0.01</v>
      </c>
      <c r="D82" s="22"/>
      <c r="E82" s="20">
        <v>-0.01</v>
      </c>
      <c r="F82" s="20">
        <v>-0.01</v>
      </c>
      <c r="G82" s="22"/>
      <c r="H82" s="22"/>
      <c r="I82" s="22"/>
      <c r="J82" s="20">
        <v>-0.01</v>
      </c>
      <c r="K82" s="20">
        <v>-0.01</v>
      </c>
      <c r="L82" s="22"/>
      <c r="M82" s="22"/>
      <c r="N82" s="16">
        <v>0.01</v>
      </c>
      <c r="O82" s="22"/>
      <c r="P82" s="22"/>
      <c r="Q82" s="22"/>
      <c r="R82" s="22"/>
      <c r="S82" s="22"/>
      <c r="T82" s="22"/>
      <c r="U82" s="22"/>
      <c r="V82" s="22"/>
      <c r="W82" s="22"/>
    </row>
    <row r="83" ht="15.0" customHeight="1">
      <c r="A83" s="17" t="s">
        <v>273</v>
      </c>
      <c r="B83" s="18">
        <v>759.9</v>
      </c>
      <c r="C83" s="18">
        <v>825.23</v>
      </c>
      <c r="D83" s="18">
        <v>983.9</v>
      </c>
      <c r="E83" s="18">
        <v>568.21</v>
      </c>
      <c r="F83" s="18">
        <v>559.03</v>
      </c>
      <c r="G83" s="18">
        <v>536.06</v>
      </c>
      <c r="H83" s="18">
        <v>384.72</v>
      </c>
      <c r="I83" s="18">
        <v>187.89</v>
      </c>
      <c r="J83" s="18">
        <v>265.43</v>
      </c>
      <c r="K83" s="18">
        <v>262.58</v>
      </c>
      <c r="L83" s="18">
        <v>301.19</v>
      </c>
      <c r="M83" s="18">
        <v>307.66</v>
      </c>
      <c r="N83" s="18">
        <v>356.83</v>
      </c>
      <c r="O83" s="18">
        <v>371.09</v>
      </c>
      <c r="P83" s="18">
        <v>404.77</v>
      </c>
      <c r="Q83" s="18">
        <v>444.5</v>
      </c>
      <c r="R83" s="18">
        <v>490.44</v>
      </c>
      <c r="S83" s="18">
        <v>591.81</v>
      </c>
      <c r="T83" s="18">
        <v>490.71</v>
      </c>
      <c r="U83" s="19">
        <v>54.92</v>
      </c>
      <c r="V83" s="19">
        <v>56.35</v>
      </c>
      <c r="W83" s="19">
        <v>61.17</v>
      </c>
    </row>
    <row r="84" ht="15.0" customHeight="1">
      <c r="A84" s="14" t="s">
        <v>274</v>
      </c>
      <c r="B84" s="22"/>
      <c r="C84" s="22"/>
      <c r="D84" s="22"/>
      <c r="E84" s="22"/>
      <c r="F84" s="22"/>
      <c r="G84" s="22"/>
      <c r="H84" s="22"/>
      <c r="I84" s="22"/>
      <c r="J84" s="22"/>
      <c r="K84" s="22">
        <v>0.0</v>
      </c>
      <c r="L84" s="16">
        <v>45.22</v>
      </c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15.0" customHeight="1">
      <c r="A85" s="17" t="s">
        <v>275</v>
      </c>
      <c r="B85" s="18">
        <v>1149.43</v>
      </c>
      <c r="C85" s="18">
        <v>1194.89</v>
      </c>
      <c r="D85" s="18">
        <v>1272.53</v>
      </c>
      <c r="E85" s="18">
        <v>730.52</v>
      </c>
      <c r="F85" s="18">
        <v>817.99</v>
      </c>
      <c r="G85" s="18">
        <v>693.3</v>
      </c>
      <c r="H85" s="18">
        <v>512.58</v>
      </c>
      <c r="I85" s="18">
        <v>411.28</v>
      </c>
      <c r="J85" s="18">
        <v>468.5</v>
      </c>
      <c r="K85" s="18">
        <v>398.2</v>
      </c>
      <c r="L85" s="18">
        <v>481.28</v>
      </c>
      <c r="M85" s="18">
        <v>409.45</v>
      </c>
      <c r="N85" s="18">
        <v>479.32</v>
      </c>
      <c r="O85" s="18">
        <v>512.11</v>
      </c>
      <c r="P85" s="18">
        <v>536.57</v>
      </c>
      <c r="Q85" s="18">
        <v>577.43</v>
      </c>
      <c r="R85" s="18">
        <v>654.81</v>
      </c>
      <c r="S85" s="18">
        <v>767.01</v>
      </c>
      <c r="T85" s="18">
        <v>634.92</v>
      </c>
      <c r="U85" s="18">
        <v>108.28</v>
      </c>
      <c r="V85" s="18">
        <v>110.19</v>
      </c>
      <c r="W85" s="18">
        <v>110.23</v>
      </c>
    </row>
    <row r="86" ht="15.0" customHeight="1">
      <c r="A86" s="14" t="s">
        <v>276</v>
      </c>
      <c r="B86" s="16">
        <v>82.17</v>
      </c>
      <c r="C86" s="16">
        <v>95.57</v>
      </c>
      <c r="D86" s="15">
        <v>230.76</v>
      </c>
      <c r="E86" s="15">
        <v>104.88</v>
      </c>
      <c r="F86" s="16">
        <v>19.26</v>
      </c>
      <c r="G86" s="16">
        <v>19.34</v>
      </c>
      <c r="H86" s="16">
        <f> 30.53 - H89</f>
        <v>7.69</v>
      </c>
      <c r="I86" s="16">
        <f> 52.04 - I89</f>
        <v>10.02</v>
      </c>
      <c r="J86" s="16">
        <f> 14.49 - J89</f>
        <v>8.83</v>
      </c>
      <c r="K86" s="16">
        <v>17.42</v>
      </c>
      <c r="L86" s="16">
        <v>43.36</v>
      </c>
      <c r="M86" s="16">
        <v>77.66</v>
      </c>
      <c r="N86" s="16">
        <v>74.23</v>
      </c>
      <c r="O86" s="16">
        <v>84.67</v>
      </c>
      <c r="P86" s="16">
        <v>77.34</v>
      </c>
      <c r="Q86" s="16">
        <f> 45.89 - Q89</f>
        <v>39.73</v>
      </c>
      <c r="R86" s="16">
        <f> 20.86 - R89</f>
        <v>14.5</v>
      </c>
      <c r="S86" s="16">
        <f> 86.61 - S89</f>
        <v>84.62</v>
      </c>
      <c r="T86" s="16">
        <f> 20.72 - T89</f>
        <v>18.82</v>
      </c>
      <c r="U86" s="16">
        <v>11.74</v>
      </c>
      <c r="V86" s="16">
        <v>3.58</v>
      </c>
      <c r="W86" s="16">
        <v>4.37</v>
      </c>
    </row>
    <row r="87" ht="15.0" customHeight="1">
      <c r="A87" s="14" t="s">
        <v>277</v>
      </c>
      <c r="B87" s="22"/>
      <c r="C87" s="22"/>
      <c r="D87" s="22"/>
      <c r="E87" s="22"/>
      <c r="F87" s="22"/>
      <c r="G87" s="22"/>
      <c r="H87" s="16">
        <v>7.69</v>
      </c>
      <c r="I87" s="16">
        <v>10.02</v>
      </c>
      <c r="J87" s="16">
        <v>8.83</v>
      </c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16">
        <v>2.34</v>
      </c>
      <c r="W87" s="22"/>
    </row>
    <row r="88" ht="15.0" customHeight="1">
      <c r="A88" s="26" t="s">
        <v>278</v>
      </c>
      <c r="B88" s="16">
        <v>82.17</v>
      </c>
      <c r="C88" s="16">
        <v>95.57</v>
      </c>
      <c r="D88" s="15">
        <v>230.76</v>
      </c>
      <c r="E88" s="15">
        <v>104.88</v>
      </c>
      <c r="F88" s="16">
        <v>19.26</v>
      </c>
      <c r="G88" s="16">
        <v>19.34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15.0" customHeight="1">
      <c r="A89" s="14" t="s">
        <v>279</v>
      </c>
      <c r="B89" s="16">
        <v>40.98</v>
      </c>
      <c r="C89" s="16">
        <v>30.46</v>
      </c>
      <c r="D89" s="16">
        <v>6.81</v>
      </c>
      <c r="E89" s="16">
        <v>5.77</v>
      </c>
      <c r="F89" s="16">
        <v>6.77</v>
      </c>
      <c r="G89" s="16">
        <v>6.67</v>
      </c>
      <c r="H89" s="16">
        <v>22.84</v>
      </c>
      <c r="I89" s="16">
        <v>42.02</v>
      </c>
      <c r="J89" s="16">
        <v>5.66</v>
      </c>
      <c r="K89" s="22"/>
      <c r="L89" s="22"/>
      <c r="M89" s="22"/>
      <c r="N89" s="22"/>
      <c r="O89" s="22"/>
      <c r="P89" s="22"/>
      <c r="Q89" s="16">
        <v>6.16</v>
      </c>
      <c r="R89" s="16">
        <v>6.36</v>
      </c>
      <c r="S89" s="16">
        <v>1.99</v>
      </c>
      <c r="T89" s="16">
        <v>1.9</v>
      </c>
      <c r="U89" s="22"/>
      <c r="V89" s="22"/>
      <c r="W89" s="22"/>
    </row>
    <row r="90" ht="15.0" customHeight="1">
      <c r="A90" s="14" t="s">
        <v>280</v>
      </c>
      <c r="B90" s="15">
        <v>126.17</v>
      </c>
      <c r="C90" s="15">
        <v>138.24</v>
      </c>
      <c r="D90" s="15">
        <v>184.71</v>
      </c>
      <c r="E90" s="15">
        <v>108.13</v>
      </c>
      <c r="F90" s="15">
        <v>186.45</v>
      </c>
      <c r="G90" s="15">
        <v>114.22</v>
      </c>
      <c r="H90" s="16">
        <v>76.86</v>
      </c>
      <c r="I90" s="16">
        <v>87.05</v>
      </c>
      <c r="J90" s="15">
        <v>123.49</v>
      </c>
      <c r="K90" s="15">
        <v>112.79</v>
      </c>
      <c r="L90" s="15">
        <v>127.22</v>
      </c>
      <c r="M90" s="15">
        <v>107.83</v>
      </c>
      <c r="N90" s="16">
        <v>98.77</v>
      </c>
      <c r="O90" s="16">
        <v>69.71</v>
      </c>
      <c r="P90" s="16">
        <v>88.43</v>
      </c>
      <c r="Q90" s="16">
        <v>15.61</v>
      </c>
      <c r="R90" s="16">
        <v>16.41</v>
      </c>
      <c r="S90" s="16">
        <v>20.66</v>
      </c>
      <c r="T90" s="15">
        <v>124.91</v>
      </c>
      <c r="U90" s="16">
        <v>4.29</v>
      </c>
      <c r="V90" s="16">
        <v>4.14</v>
      </c>
      <c r="W90" s="16">
        <v>3.54</v>
      </c>
    </row>
    <row r="91" ht="15.0" customHeight="1">
      <c r="A91" s="14" t="s">
        <v>281</v>
      </c>
      <c r="B91" s="22"/>
      <c r="C91" s="16">
        <v>62.82</v>
      </c>
      <c r="D91" s="16">
        <v>68.8</v>
      </c>
      <c r="E91" s="16">
        <v>50.44</v>
      </c>
      <c r="F91" s="16">
        <v>76.84</v>
      </c>
      <c r="G91" s="16">
        <v>54.17</v>
      </c>
      <c r="H91" s="16">
        <v>25.39</v>
      </c>
      <c r="I91" s="16">
        <v>31.48</v>
      </c>
      <c r="J91" s="16">
        <v>57.45</v>
      </c>
      <c r="K91" s="22"/>
      <c r="L91" s="22"/>
      <c r="M91" s="22"/>
      <c r="N91" s="22"/>
      <c r="O91" s="16">
        <v>24.09</v>
      </c>
      <c r="P91" s="16">
        <v>26.16</v>
      </c>
      <c r="Q91" s="22"/>
      <c r="R91" s="22"/>
      <c r="S91" s="22"/>
      <c r="T91" s="22"/>
      <c r="U91" s="22"/>
      <c r="V91" s="22"/>
      <c r="W91" s="22"/>
    </row>
    <row r="92" ht="15.0" customHeight="1">
      <c r="A92" s="14" t="s">
        <v>282</v>
      </c>
      <c r="B92" s="22"/>
      <c r="C92" s="16">
        <v>5.91</v>
      </c>
      <c r="D92" s="16">
        <v>43.41</v>
      </c>
      <c r="E92" s="16">
        <v>1.55</v>
      </c>
      <c r="F92" s="16">
        <v>2.84</v>
      </c>
      <c r="G92" s="16">
        <v>0.37</v>
      </c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5.0" customHeight="1">
      <c r="A93" s="14" t="s">
        <v>283</v>
      </c>
      <c r="B93" s="22"/>
      <c r="C93" s="16">
        <v>7.45</v>
      </c>
      <c r="D93" s="16">
        <v>6.41</v>
      </c>
      <c r="E93" s="16">
        <v>3.8</v>
      </c>
      <c r="F93" s="16">
        <v>4.35</v>
      </c>
      <c r="G93" s="16">
        <v>7.31</v>
      </c>
      <c r="H93" s="16">
        <v>43.95</v>
      </c>
      <c r="I93" s="16">
        <v>48.72</v>
      </c>
      <c r="J93" s="16">
        <v>3.96</v>
      </c>
      <c r="K93" s="22"/>
      <c r="L93" s="22"/>
      <c r="M93" s="22"/>
      <c r="N93" s="22"/>
      <c r="O93" s="16">
        <v>2.2</v>
      </c>
      <c r="P93" s="16">
        <v>3.97</v>
      </c>
      <c r="Q93" s="16">
        <v>19.8</v>
      </c>
      <c r="R93" s="16">
        <v>21.09</v>
      </c>
      <c r="S93" s="16">
        <v>24.69</v>
      </c>
      <c r="T93" s="22">
        <v>0.0</v>
      </c>
      <c r="U93" s="16">
        <v>1.98</v>
      </c>
      <c r="V93" s="16">
        <v>1.46</v>
      </c>
      <c r="W93" s="16">
        <v>1.99</v>
      </c>
    </row>
    <row r="94" ht="15.0" customHeight="1">
      <c r="A94" s="14" t="s">
        <v>284</v>
      </c>
      <c r="B94" s="22"/>
      <c r="C94" s="16">
        <v>62.07</v>
      </c>
      <c r="D94" s="16">
        <v>66.09</v>
      </c>
      <c r="E94" s="16">
        <v>52.35</v>
      </c>
      <c r="F94" s="15">
        <v>102.42</v>
      </c>
      <c r="G94" s="16">
        <v>52.37</v>
      </c>
      <c r="H94" s="16">
        <v>7.54</v>
      </c>
      <c r="I94" s="16">
        <v>6.86</v>
      </c>
      <c r="J94" s="16">
        <v>62.08</v>
      </c>
      <c r="K94" s="22"/>
      <c r="L94" s="22"/>
      <c r="M94" s="22"/>
      <c r="N94" s="22"/>
      <c r="O94" s="16">
        <v>43.42</v>
      </c>
      <c r="P94" s="16">
        <v>58.3</v>
      </c>
      <c r="Q94" s="16">
        <v>52.65</v>
      </c>
      <c r="R94" s="16">
        <v>64.91</v>
      </c>
      <c r="S94" s="16">
        <v>53.95</v>
      </c>
      <c r="T94" s="22"/>
      <c r="U94" s="16">
        <v>5.82</v>
      </c>
      <c r="V94" s="16">
        <v>6.28</v>
      </c>
      <c r="W94" s="16">
        <v>5.35</v>
      </c>
    </row>
    <row r="95" ht="15.0" customHeight="1">
      <c r="A95" s="14" t="s">
        <v>285</v>
      </c>
      <c r="B95" s="22"/>
      <c r="C95" s="20">
        <v>-0.01</v>
      </c>
      <c r="D95" s="22"/>
      <c r="E95" s="22"/>
      <c r="F95" s="22"/>
      <c r="G95" s="22"/>
      <c r="H95" s="20">
        <v>-0.01</v>
      </c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5.0" customHeight="1">
      <c r="A96" s="14" t="s">
        <v>286</v>
      </c>
      <c r="B96" s="16">
        <v>8.92</v>
      </c>
      <c r="C96" s="16">
        <v>13.7</v>
      </c>
      <c r="D96" s="16">
        <v>1.19</v>
      </c>
      <c r="E96" s="16">
        <v>0.43</v>
      </c>
      <c r="F96" s="16">
        <v>2.53</v>
      </c>
      <c r="G96" s="16">
        <v>0.01</v>
      </c>
      <c r="H96" s="16">
        <v>2.33</v>
      </c>
      <c r="I96" s="16">
        <v>3.63</v>
      </c>
      <c r="J96" s="16">
        <v>3.26</v>
      </c>
      <c r="K96" s="16">
        <v>1.28</v>
      </c>
      <c r="L96" s="16">
        <v>0.76</v>
      </c>
      <c r="M96" s="16">
        <v>1.15</v>
      </c>
      <c r="N96" s="16">
        <v>0.73</v>
      </c>
      <c r="O96" s="16">
        <v>2.08</v>
      </c>
      <c r="P96" s="16">
        <v>0.02</v>
      </c>
      <c r="Q96" s="22"/>
      <c r="R96" s="22"/>
      <c r="S96" s="22"/>
      <c r="T96" s="22"/>
      <c r="U96" s="22"/>
      <c r="V96" s="22"/>
      <c r="W96" s="22"/>
    </row>
    <row r="97" ht="15.0" customHeight="1">
      <c r="A97" s="14" t="s">
        <v>287</v>
      </c>
      <c r="B97" s="22"/>
      <c r="C97" s="22"/>
      <c r="D97" s="22"/>
      <c r="E97" s="22"/>
      <c r="F97" s="22"/>
      <c r="G97" s="16">
        <v>0.76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ht="15.0" customHeight="1">
      <c r="A98" s="14" t="s">
        <v>288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16">
        <v>0.58</v>
      </c>
      <c r="V98" s="16">
        <v>0.14</v>
      </c>
      <c r="W98" s="16">
        <v>0.64</v>
      </c>
    </row>
    <row r="99" ht="15.0" customHeight="1">
      <c r="A99" s="14" t="s">
        <v>289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16">
        <v>5.54</v>
      </c>
      <c r="R99" s="16">
        <v>15.75</v>
      </c>
      <c r="S99" s="16">
        <v>14.56</v>
      </c>
      <c r="T99" s="22"/>
      <c r="U99" s="22"/>
      <c r="V99" s="22"/>
      <c r="W99" s="22"/>
    </row>
    <row r="100" ht="15.0" customHeight="1">
      <c r="A100" s="14" t="s">
        <v>290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16">
        <v>0.81</v>
      </c>
      <c r="R100" s="22"/>
      <c r="S100" s="22"/>
      <c r="T100" s="22"/>
      <c r="U100" s="22"/>
      <c r="V100" s="22"/>
      <c r="W100" s="22"/>
    </row>
    <row r="101" ht="15.0" customHeight="1">
      <c r="A101" s="14" t="s">
        <v>291</v>
      </c>
      <c r="B101" s="22"/>
      <c r="C101" s="22"/>
      <c r="D101" s="22"/>
      <c r="E101" s="20">
        <v>-0.01</v>
      </c>
      <c r="F101" s="16">
        <v>0.01</v>
      </c>
      <c r="G101" s="20">
        <v>-0.01</v>
      </c>
      <c r="H101" s="22"/>
      <c r="I101" s="22"/>
      <c r="J101" s="22"/>
      <c r="K101" s="22"/>
      <c r="L101" s="20">
        <v>-0.01</v>
      </c>
      <c r="M101" s="22"/>
      <c r="N101" s="20">
        <v>-0.01</v>
      </c>
      <c r="O101" s="16">
        <v>0.01</v>
      </c>
      <c r="P101" s="22"/>
      <c r="Q101" s="22"/>
      <c r="R101" s="22"/>
      <c r="S101" s="22"/>
      <c r="T101" s="22"/>
      <c r="U101" s="22"/>
      <c r="V101" s="22"/>
      <c r="W101" s="22"/>
    </row>
    <row r="102" ht="15.0" customHeight="1">
      <c r="A102" s="17" t="s">
        <v>292</v>
      </c>
      <c r="B102" s="18">
        <v>258.24</v>
      </c>
      <c r="C102" s="18">
        <v>277.97</v>
      </c>
      <c r="D102" s="18">
        <v>423.47</v>
      </c>
      <c r="E102" s="18">
        <v>219.21</v>
      </c>
      <c r="F102" s="18">
        <v>215.03</v>
      </c>
      <c r="G102" s="18">
        <v>141.0</v>
      </c>
      <c r="H102" s="18">
        <v>109.72</v>
      </c>
      <c r="I102" s="18">
        <v>142.71</v>
      </c>
      <c r="J102" s="18">
        <v>141.24</v>
      </c>
      <c r="K102" s="18">
        <v>131.5</v>
      </c>
      <c r="L102" s="18">
        <v>171.33</v>
      </c>
      <c r="M102" s="18">
        <v>186.64</v>
      </c>
      <c r="N102" s="18">
        <v>173.72</v>
      </c>
      <c r="O102" s="18">
        <v>156.46</v>
      </c>
      <c r="P102" s="18">
        <v>165.79</v>
      </c>
      <c r="Q102" s="18">
        <v>146.48</v>
      </c>
      <c r="R102" s="18">
        <v>145.38</v>
      </c>
      <c r="S102" s="18">
        <v>202.45</v>
      </c>
      <c r="T102" s="18">
        <v>147.53</v>
      </c>
      <c r="U102" s="19">
        <v>24.44</v>
      </c>
      <c r="V102" s="19">
        <v>17.96</v>
      </c>
      <c r="W102" s="19">
        <v>15.89</v>
      </c>
    </row>
    <row r="103" ht="15.0" customHeight="1">
      <c r="A103" s="14" t="s">
        <v>293</v>
      </c>
      <c r="B103" s="16">
        <v>15.37</v>
      </c>
      <c r="C103" s="16">
        <v>19.22</v>
      </c>
      <c r="D103" s="16">
        <v>31.21</v>
      </c>
      <c r="E103" s="22"/>
      <c r="F103" s="22"/>
      <c r="G103" s="22"/>
      <c r="H103" s="16">
        <v>0.24</v>
      </c>
      <c r="I103" s="16">
        <v>0.28</v>
      </c>
      <c r="J103" s="16">
        <v>3.79</v>
      </c>
      <c r="K103" s="16">
        <v>3.63</v>
      </c>
      <c r="L103" s="16">
        <v>4.29</v>
      </c>
      <c r="M103" s="16">
        <v>3.85</v>
      </c>
      <c r="N103" s="16">
        <v>2.92</v>
      </c>
      <c r="O103" s="16">
        <v>3.16</v>
      </c>
      <c r="P103" s="16">
        <v>3.08</v>
      </c>
      <c r="Q103" s="16">
        <v>3.22</v>
      </c>
      <c r="R103" s="16">
        <v>2.72</v>
      </c>
      <c r="S103" s="16">
        <v>2.5</v>
      </c>
      <c r="T103" s="16">
        <v>6.03</v>
      </c>
      <c r="U103" s="16">
        <v>2.39</v>
      </c>
      <c r="V103" s="16">
        <v>2.17</v>
      </c>
      <c r="W103" s="16">
        <v>2.55</v>
      </c>
    </row>
    <row r="104" ht="15.0" customHeight="1">
      <c r="A104" s="14" t="s">
        <v>283</v>
      </c>
      <c r="B104" s="16">
        <v>0.52</v>
      </c>
      <c r="C104" s="16">
        <v>0.27</v>
      </c>
      <c r="D104" s="16">
        <v>0.6</v>
      </c>
      <c r="E104" s="16">
        <v>1.13</v>
      </c>
      <c r="F104" s="16">
        <v>1.06</v>
      </c>
      <c r="G104" s="16">
        <v>1.67</v>
      </c>
      <c r="H104" s="16">
        <v>2.09</v>
      </c>
      <c r="I104" s="16">
        <v>3.25</v>
      </c>
      <c r="J104" s="16">
        <v>3.24</v>
      </c>
      <c r="K104" s="16">
        <v>3.41</v>
      </c>
      <c r="L104" s="16">
        <v>2.93</v>
      </c>
      <c r="M104" s="16">
        <v>3.16</v>
      </c>
      <c r="N104" s="16">
        <v>4.68</v>
      </c>
      <c r="O104" s="16">
        <v>4.81</v>
      </c>
      <c r="P104" s="16">
        <v>4.91</v>
      </c>
      <c r="Q104" s="22"/>
      <c r="R104" s="22"/>
      <c r="S104" s="22"/>
      <c r="T104" s="22"/>
      <c r="U104" s="22"/>
      <c r="V104" s="22"/>
      <c r="W104" s="22"/>
    </row>
    <row r="105" ht="15.0" customHeight="1">
      <c r="A105" s="26" t="s">
        <v>294</v>
      </c>
      <c r="B105" s="22"/>
      <c r="C105" s="22"/>
      <c r="D105" s="22"/>
      <c r="E105" s="22"/>
      <c r="F105" s="22"/>
      <c r="G105" s="22"/>
      <c r="H105" s="15">
        <v>392.64</v>
      </c>
      <c r="I105" s="15">
        <v>134.74</v>
      </c>
      <c r="J105" s="15">
        <v>175.8</v>
      </c>
      <c r="K105" s="15">
        <v>201.56</v>
      </c>
      <c r="L105" s="15">
        <v>228.09</v>
      </c>
      <c r="M105" s="15">
        <v>119.31</v>
      </c>
      <c r="N105" s="15">
        <v>123.81</v>
      </c>
      <c r="O105" s="15">
        <v>128.97</v>
      </c>
      <c r="P105" s="15">
        <v>147.34</v>
      </c>
      <c r="Q105" s="22"/>
      <c r="R105" s="22"/>
      <c r="S105" s="22"/>
      <c r="T105" s="22"/>
      <c r="U105" s="22"/>
      <c r="V105" s="22"/>
      <c r="W105" s="22"/>
    </row>
    <row r="106" ht="15.0" customHeight="1">
      <c r="A106" s="26" t="s">
        <v>295</v>
      </c>
      <c r="B106" s="15">
        <v>228.87</v>
      </c>
      <c r="C106" s="15">
        <v>267.57</v>
      </c>
      <c r="D106" s="15">
        <v>203.25</v>
      </c>
      <c r="E106" s="15">
        <v>163.22</v>
      </c>
      <c r="F106" s="15">
        <v>251.35</v>
      </c>
      <c r="G106" s="15">
        <v>302.95</v>
      </c>
      <c r="H106" s="15">
        <v>128.33</v>
      </c>
      <c r="I106" s="15">
        <v>134.24</v>
      </c>
      <c r="J106" s="15">
        <v>133.48</v>
      </c>
      <c r="K106" s="22"/>
      <c r="L106" s="22"/>
      <c r="M106" s="22"/>
      <c r="N106" s="22"/>
      <c r="O106" s="22"/>
      <c r="P106" s="22"/>
      <c r="Q106" s="16">
        <v>47.88</v>
      </c>
      <c r="R106" s="16">
        <v>61.1</v>
      </c>
      <c r="S106" s="15">
        <v>139.62</v>
      </c>
      <c r="T106" s="15">
        <v>278.87</v>
      </c>
      <c r="U106" s="16">
        <v>2.76</v>
      </c>
      <c r="V106" s="16">
        <v>14.08</v>
      </c>
      <c r="W106" s="16">
        <v>19.8</v>
      </c>
    </row>
    <row r="107" ht="15.0" customHeight="1">
      <c r="A107" s="14" t="s">
        <v>296</v>
      </c>
      <c r="B107" s="15">
        <v>141.65</v>
      </c>
      <c r="C107" s="15">
        <v>145.6</v>
      </c>
      <c r="D107" s="15">
        <v>100.68</v>
      </c>
      <c r="E107" s="16">
        <v>93.8</v>
      </c>
      <c r="F107" s="16">
        <v>92.22</v>
      </c>
      <c r="G107" s="15">
        <v>102.97</v>
      </c>
      <c r="H107" s="15">
        <v>264.31</v>
      </c>
      <c r="I107" s="16">
        <v>0.51</v>
      </c>
      <c r="J107" s="16">
        <v>42.32</v>
      </c>
      <c r="K107" s="22"/>
      <c r="L107" s="22"/>
      <c r="M107" s="22"/>
      <c r="N107" s="22"/>
      <c r="O107" s="22"/>
      <c r="P107" s="22"/>
      <c r="Q107" s="15">
        <v>113.74</v>
      </c>
      <c r="R107" s="15">
        <v>125.86</v>
      </c>
      <c r="S107" s="16">
        <v>1.73</v>
      </c>
      <c r="T107" s="16">
        <v>1.62</v>
      </c>
      <c r="U107" s="22"/>
      <c r="V107" s="22"/>
      <c r="W107" s="22"/>
    </row>
    <row r="108" ht="15.0" customHeight="1">
      <c r="A108" s="14" t="s">
        <v>297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16">
        <v>5.71</v>
      </c>
      <c r="R108" s="16">
        <v>7.06</v>
      </c>
      <c r="S108" s="16">
        <v>7.56</v>
      </c>
      <c r="T108" s="16">
        <v>11.73</v>
      </c>
      <c r="U108" s="16">
        <v>1.47</v>
      </c>
      <c r="V108" s="16">
        <v>1.49</v>
      </c>
      <c r="W108" s="16">
        <v>1.6</v>
      </c>
    </row>
    <row r="109" ht="15.0" customHeight="1">
      <c r="A109" s="14" t="s">
        <v>298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16">
        <v>19.97</v>
      </c>
      <c r="R109" s="16">
        <v>42.44</v>
      </c>
      <c r="S109" s="16">
        <v>74.48</v>
      </c>
      <c r="T109" s="16">
        <v>2.78</v>
      </c>
      <c r="U109" s="22"/>
      <c r="V109" s="22"/>
      <c r="W109" s="22"/>
    </row>
    <row r="110" ht="15.0" customHeight="1">
      <c r="A110" s="14" t="s">
        <v>299</v>
      </c>
      <c r="B110" s="22"/>
      <c r="C110" s="16">
        <v>0.01</v>
      </c>
      <c r="D110" s="22"/>
      <c r="E110" s="22"/>
      <c r="F110" s="22"/>
      <c r="G110" s="16">
        <v>0.01</v>
      </c>
      <c r="H110" s="22"/>
      <c r="I110" s="22"/>
      <c r="J110" s="22"/>
      <c r="K110" s="20">
        <v>-0.01</v>
      </c>
      <c r="L110" s="22"/>
      <c r="M110" s="16">
        <v>0.01</v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15.0" customHeight="1">
      <c r="A111" s="17" t="s">
        <v>300</v>
      </c>
      <c r="B111" s="18">
        <v>386.41</v>
      </c>
      <c r="C111" s="18">
        <v>432.67</v>
      </c>
      <c r="D111" s="18">
        <v>335.74</v>
      </c>
      <c r="E111" s="18">
        <v>258.15</v>
      </c>
      <c r="F111" s="18">
        <v>344.63</v>
      </c>
      <c r="G111" s="18">
        <v>407.6</v>
      </c>
      <c r="H111" s="18">
        <v>394.96</v>
      </c>
      <c r="I111" s="18">
        <v>138.27</v>
      </c>
      <c r="J111" s="18">
        <v>182.83</v>
      </c>
      <c r="K111" s="18">
        <v>208.59</v>
      </c>
      <c r="L111" s="18">
        <v>235.31</v>
      </c>
      <c r="M111" s="18">
        <v>126.34</v>
      </c>
      <c r="N111" s="18">
        <v>131.41</v>
      </c>
      <c r="O111" s="18">
        <v>136.95</v>
      </c>
      <c r="P111" s="18">
        <v>155.33</v>
      </c>
      <c r="Q111" s="18">
        <v>190.52</v>
      </c>
      <c r="R111" s="18">
        <v>239.18</v>
      </c>
      <c r="S111" s="18">
        <v>225.9</v>
      </c>
      <c r="T111" s="18">
        <v>301.02</v>
      </c>
      <c r="U111" s="19">
        <v>6.63</v>
      </c>
      <c r="V111" s="19">
        <v>17.75</v>
      </c>
      <c r="W111" s="19">
        <v>23.94</v>
      </c>
    </row>
    <row r="112" ht="15.0" customHeight="1">
      <c r="A112" s="14" t="s">
        <v>301</v>
      </c>
      <c r="B112" s="22"/>
      <c r="C112" s="22"/>
      <c r="D112" s="22"/>
      <c r="E112" s="22"/>
      <c r="F112" s="22"/>
      <c r="G112" s="20">
        <v>-0.01</v>
      </c>
      <c r="H112" s="16">
        <v>0.01</v>
      </c>
      <c r="I112" s="22"/>
      <c r="J112" s="22"/>
      <c r="K112" s="22"/>
      <c r="L112" s="22"/>
      <c r="M112" s="20">
        <v>-0.01</v>
      </c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15.0" customHeight="1">
      <c r="A113" s="17" t="s">
        <v>302</v>
      </c>
      <c r="B113" s="18">
        <v>644.65</v>
      </c>
      <c r="C113" s="18">
        <v>710.64</v>
      </c>
      <c r="D113" s="18">
        <v>759.21</v>
      </c>
      <c r="E113" s="18">
        <v>477.36</v>
      </c>
      <c r="F113" s="18">
        <v>559.65</v>
      </c>
      <c r="G113" s="18">
        <v>548.59</v>
      </c>
      <c r="H113" s="18">
        <v>504.69</v>
      </c>
      <c r="I113" s="18">
        <v>280.98</v>
      </c>
      <c r="J113" s="18">
        <v>324.07</v>
      </c>
      <c r="K113" s="18">
        <v>340.09</v>
      </c>
      <c r="L113" s="18">
        <v>406.64</v>
      </c>
      <c r="M113" s="18">
        <v>312.97</v>
      </c>
      <c r="N113" s="18">
        <v>305.13</v>
      </c>
      <c r="O113" s="18">
        <v>293.41</v>
      </c>
      <c r="P113" s="18">
        <v>321.12</v>
      </c>
      <c r="Q113" s="18">
        <v>337.0</v>
      </c>
      <c r="R113" s="18">
        <v>384.56</v>
      </c>
      <c r="S113" s="18">
        <v>428.35</v>
      </c>
      <c r="T113" s="18">
        <v>448.55</v>
      </c>
      <c r="U113" s="19">
        <v>31.06</v>
      </c>
      <c r="V113" s="19">
        <v>35.71</v>
      </c>
      <c r="W113" s="19">
        <v>39.83</v>
      </c>
    </row>
    <row r="114" ht="15.0" customHeight="1">
      <c r="A114" s="14" t="s">
        <v>303</v>
      </c>
      <c r="B114" s="16">
        <v>49.8</v>
      </c>
      <c r="C114" s="16">
        <v>49.6</v>
      </c>
      <c r="D114" s="16">
        <v>47.14</v>
      </c>
      <c r="E114" s="16">
        <v>44.19</v>
      </c>
      <c r="F114" s="16">
        <v>42.2</v>
      </c>
      <c r="G114" s="16">
        <v>44.16</v>
      </c>
      <c r="H114" s="16">
        <v>41.48</v>
      </c>
      <c r="I114" s="16">
        <v>41.76</v>
      </c>
      <c r="J114" s="16">
        <v>41.5</v>
      </c>
      <c r="K114" s="16">
        <v>38.27</v>
      </c>
      <c r="L114" s="16">
        <v>40.46</v>
      </c>
      <c r="M114" s="16">
        <v>38.1</v>
      </c>
      <c r="N114" s="16">
        <v>35.15</v>
      </c>
      <c r="O114" s="16">
        <v>30.94</v>
      </c>
      <c r="P114" s="16">
        <v>32.61</v>
      </c>
      <c r="Q114" s="16">
        <v>32.83</v>
      </c>
      <c r="R114" s="16">
        <v>34.96</v>
      </c>
      <c r="S114" s="16">
        <v>40.92</v>
      </c>
      <c r="T114" s="16">
        <v>33.42</v>
      </c>
      <c r="U114" s="16">
        <v>34.67</v>
      </c>
      <c r="V114" s="16">
        <v>33.83</v>
      </c>
      <c r="W114" s="16">
        <v>35.43</v>
      </c>
    </row>
    <row r="115" ht="15.0" customHeight="1">
      <c r="A115" s="14" t="s">
        <v>304</v>
      </c>
      <c r="B115" s="20">
        <v>-46.64</v>
      </c>
      <c r="C115" s="20">
        <v>-86.43</v>
      </c>
      <c r="D115" s="21">
        <v>-165.0</v>
      </c>
      <c r="E115" s="21">
        <v>-307.9</v>
      </c>
      <c r="F115" s="21">
        <v>-284.19</v>
      </c>
      <c r="G115" s="21">
        <v>-413.75</v>
      </c>
      <c r="H115" s="21">
        <v>-349.31</v>
      </c>
      <c r="I115" s="21">
        <v>-224.07</v>
      </c>
      <c r="J115" s="21">
        <v>-134.77</v>
      </c>
      <c r="K115" s="21">
        <v>-114.26</v>
      </c>
      <c r="L115" s="20">
        <v>-97.11</v>
      </c>
      <c r="M115" s="20">
        <v>-57.39</v>
      </c>
      <c r="N115" s="16">
        <v>6.0</v>
      </c>
      <c r="O115" s="16">
        <v>42.56</v>
      </c>
      <c r="P115" s="16">
        <v>36.15</v>
      </c>
      <c r="Q115" s="16">
        <v>57.42</v>
      </c>
      <c r="R115" s="16">
        <v>80.76</v>
      </c>
      <c r="S115" s="15">
        <v>103.63</v>
      </c>
      <c r="T115" s="16">
        <v>81.74</v>
      </c>
      <c r="U115" s="16">
        <v>22.09</v>
      </c>
      <c r="V115" s="16">
        <v>20.74</v>
      </c>
      <c r="W115" s="16">
        <v>15.08</v>
      </c>
    </row>
    <row r="116" ht="15.0" customHeight="1">
      <c r="A116" s="14" t="s">
        <v>305</v>
      </c>
      <c r="B116" s="16">
        <v>10.72</v>
      </c>
      <c r="C116" s="16">
        <v>0.58</v>
      </c>
      <c r="D116" s="20">
        <v>-0.2</v>
      </c>
      <c r="E116" s="20">
        <v>-0.06</v>
      </c>
      <c r="F116" s="20">
        <v>-0.08</v>
      </c>
      <c r="G116" s="20">
        <v>-0.03</v>
      </c>
      <c r="H116" s="20">
        <v>-0.06</v>
      </c>
      <c r="I116" s="16">
        <v>0.35</v>
      </c>
      <c r="J116" s="20">
        <v>-73.95</v>
      </c>
      <c r="K116" s="20">
        <v>-66.15</v>
      </c>
      <c r="L116" s="20">
        <v>-78.41</v>
      </c>
      <c r="M116" s="20">
        <v>-69.41</v>
      </c>
      <c r="N116" s="20">
        <v>-34.96</v>
      </c>
      <c r="O116" s="20">
        <v>-24.05</v>
      </c>
      <c r="P116" s="20">
        <v>-28.62</v>
      </c>
      <c r="Q116" s="20">
        <v>-26.1</v>
      </c>
      <c r="R116" s="22"/>
      <c r="S116" s="22"/>
      <c r="T116" s="22"/>
      <c r="U116" s="22"/>
      <c r="V116" s="22"/>
      <c r="W116" s="22"/>
    </row>
    <row r="117" ht="15.0" customHeight="1">
      <c r="A117" s="14" t="s">
        <v>306</v>
      </c>
      <c r="B117" s="22"/>
      <c r="C117" s="22"/>
      <c r="D117" s="22"/>
      <c r="E117" s="22"/>
      <c r="F117" s="22"/>
      <c r="G117" s="16">
        <v>13.1</v>
      </c>
      <c r="H117" s="16">
        <v>14.76</v>
      </c>
      <c r="I117" s="16">
        <v>14.86</v>
      </c>
      <c r="J117" s="16">
        <v>14.77</v>
      </c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ht="15.0" customHeight="1">
      <c r="A118" s="14" t="s">
        <v>307</v>
      </c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0">
        <v>-34.34</v>
      </c>
      <c r="S118" s="20">
        <v>-33.41</v>
      </c>
      <c r="T118" s="22">
        <v>0.0</v>
      </c>
      <c r="U118" s="22"/>
      <c r="V118" s="22"/>
      <c r="W118" s="22"/>
    </row>
    <row r="119" ht="15.0" customHeight="1">
      <c r="A119" s="14" t="s">
        <v>308</v>
      </c>
      <c r="B119" s="22"/>
      <c r="C119" s="22"/>
      <c r="D119" s="22"/>
      <c r="E119" s="22"/>
      <c r="F119" s="22"/>
      <c r="G119" s="22"/>
      <c r="H119" s="15">
        <v>283.49</v>
      </c>
      <c r="I119" s="15">
        <v>285.42</v>
      </c>
      <c r="J119" s="15">
        <v>283.62</v>
      </c>
      <c r="K119" s="15">
        <v>193.16</v>
      </c>
      <c r="L119" s="15">
        <v>204.17</v>
      </c>
      <c r="M119" s="15">
        <v>176.87</v>
      </c>
      <c r="N119" s="15">
        <v>162.63</v>
      </c>
      <c r="O119" s="15">
        <v>150.73</v>
      </c>
      <c r="P119" s="15">
        <v>166.41</v>
      </c>
      <c r="Q119" s="15">
        <v>167.87</v>
      </c>
      <c r="R119" s="15">
        <v>179.25</v>
      </c>
      <c r="S119" s="15">
        <v>217.21</v>
      </c>
      <c r="T119" s="16">
        <v>67.44</v>
      </c>
      <c r="U119" s="16">
        <v>19.53</v>
      </c>
      <c r="V119" s="16">
        <v>18.95</v>
      </c>
      <c r="W119" s="16">
        <v>19.66</v>
      </c>
    </row>
    <row r="120" ht="15.0" customHeight="1">
      <c r="A120" s="14" t="s">
        <v>309</v>
      </c>
      <c r="B120" s="15">
        <v>363.36</v>
      </c>
      <c r="C120" s="15">
        <v>390.36</v>
      </c>
      <c r="D120" s="15">
        <v>398.09</v>
      </c>
      <c r="E120" s="15">
        <v>373.15</v>
      </c>
      <c r="F120" s="15">
        <v>368.8</v>
      </c>
      <c r="G120" s="15">
        <v>372.43</v>
      </c>
      <c r="H120" s="15">
        <v>260.09</v>
      </c>
      <c r="I120" s="22"/>
      <c r="J120" s="22"/>
      <c r="K120" s="22"/>
      <c r="L120" s="22"/>
      <c r="M120" s="22"/>
      <c r="N120" s="22"/>
      <c r="O120" s="15">
        <v>133.28</v>
      </c>
      <c r="P120" s="15">
        <v>148.01</v>
      </c>
      <c r="Q120" s="22"/>
      <c r="R120" s="22"/>
      <c r="S120" s="22"/>
      <c r="T120" s="22"/>
      <c r="U120" s="22"/>
      <c r="V120" s="22"/>
      <c r="W120" s="22"/>
    </row>
    <row r="121" ht="15.0" customHeight="1">
      <c r="A121" s="14" t="s">
        <v>310</v>
      </c>
      <c r="B121" s="16">
        <v>28.07</v>
      </c>
      <c r="C121" s="16">
        <v>27.96</v>
      </c>
      <c r="D121" s="16">
        <v>26.58</v>
      </c>
      <c r="E121" s="16">
        <v>24.91</v>
      </c>
      <c r="F121" s="16">
        <v>23.79</v>
      </c>
      <c r="G121" s="16">
        <v>24.89</v>
      </c>
      <c r="H121" s="16">
        <v>23.4</v>
      </c>
      <c r="I121" s="22"/>
      <c r="J121" s="22"/>
      <c r="K121" s="22"/>
      <c r="L121" s="22"/>
      <c r="M121" s="22"/>
      <c r="N121" s="22"/>
      <c r="O121" s="16">
        <v>17.45</v>
      </c>
      <c r="P121" s="16">
        <v>18.4</v>
      </c>
      <c r="Q121" s="22"/>
      <c r="R121" s="22"/>
      <c r="S121" s="22"/>
      <c r="T121" s="22"/>
      <c r="U121" s="22"/>
      <c r="V121" s="22"/>
      <c r="W121" s="22"/>
    </row>
    <row r="122" ht="15.0" customHeight="1">
      <c r="A122" s="14" t="s">
        <v>311</v>
      </c>
      <c r="B122" s="16">
        <v>1.02</v>
      </c>
      <c r="C122" s="16">
        <v>1.01</v>
      </c>
      <c r="D122" s="16">
        <v>0.96</v>
      </c>
      <c r="E122" s="16">
        <v>0.9</v>
      </c>
      <c r="F122" s="16">
        <v>0.86</v>
      </c>
      <c r="G122" s="16">
        <v>0.9</v>
      </c>
      <c r="H122" s="16">
        <v>0.85</v>
      </c>
      <c r="I122" s="16">
        <v>0.85</v>
      </c>
      <c r="J122" s="16">
        <v>0.85</v>
      </c>
      <c r="K122" s="16">
        <v>0.78</v>
      </c>
      <c r="L122" s="16">
        <v>0.83</v>
      </c>
      <c r="M122" s="16">
        <v>0.78</v>
      </c>
      <c r="N122" s="16">
        <v>0.72</v>
      </c>
      <c r="O122" s="16">
        <v>0.63</v>
      </c>
      <c r="P122" s="16">
        <v>0.67</v>
      </c>
      <c r="Q122" s="16">
        <v>0.67</v>
      </c>
      <c r="R122" s="16">
        <v>0.74</v>
      </c>
      <c r="S122" s="16">
        <v>0.83</v>
      </c>
      <c r="T122" s="16">
        <v>0.68</v>
      </c>
      <c r="U122" s="16">
        <v>0.71</v>
      </c>
      <c r="V122" s="16">
        <v>0.51</v>
      </c>
      <c r="W122" s="22">
        <v>0.0</v>
      </c>
    </row>
    <row r="123" ht="15.0" customHeight="1">
      <c r="A123" s="14" t="s">
        <v>312</v>
      </c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16">
        <v>0.15</v>
      </c>
      <c r="W123" s="22"/>
    </row>
    <row r="124" ht="15.0" customHeight="1">
      <c r="A124" s="14" t="s">
        <v>313</v>
      </c>
      <c r="B124" s="22"/>
      <c r="C124" s="22"/>
      <c r="D124" s="16">
        <v>0.01</v>
      </c>
      <c r="E124" s="16">
        <v>0.01</v>
      </c>
      <c r="F124" s="22"/>
      <c r="G124" s="16">
        <v>0.01</v>
      </c>
      <c r="H124" s="16">
        <v>0.01</v>
      </c>
      <c r="I124" s="22"/>
      <c r="J124" s="22"/>
      <c r="K124" s="22"/>
      <c r="L124" s="16">
        <v>0.01</v>
      </c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ht="15.0" customHeight="1">
      <c r="A125" s="14" t="s">
        <v>314</v>
      </c>
      <c r="B125" s="16">
        <v>0.01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16">
        <v>0.01</v>
      </c>
      <c r="R125" s="22"/>
      <c r="S125" s="22"/>
      <c r="T125" s="22"/>
      <c r="U125" s="22"/>
      <c r="V125" s="22"/>
      <c r="W125" s="22"/>
    </row>
    <row r="126" ht="15.0" customHeight="1">
      <c r="A126" s="17" t="s">
        <v>315</v>
      </c>
      <c r="B126" s="18">
        <v>406.33</v>
      </c>
      <c r="C126" s="18">
        <v>383.07</v>
      </c>
      <c r="D126" s="18">
        <v>307.57</v>
      </c>
      <c r="E126" s="18">
        <v>135.18</v>
      </c>
      <c r="F126" s="18">
        <v>151.38</v>
      </c>
      <c r="G126" s="19">
        <v>41.7</v>
      </c>
      <c r="H126" s="24">
        <v>-8.8</v>
      </c>
      <c r="I126" s="18">
        <v>119.17</v>
      </c>
      <c r="J126" s="18">
        <v>132.01</v>
      </c>
      <c r="K126" s="19">
        <v>51.8</v>
      </c>
      <c r="L126" s="19">
        <v>69.94</v>
      </c>
      <c r="M126" s="19">
        <v>88.95</v>
      </c>
      <c r="N126" s="18">
        <v>169.54</v>
      </c>
      <c r="O126" s="18">
        <v>200.82</v>
      </c>
      <c r="P126" s="18">
        <v>207.22</v>
      </c>
      <c r="Q126" s="18">
        <v>232.69</v>
      </c>
      <c r="R126" s="18">
        <v>261.36</v>
      </c>
      <c r="S126" s="18">
        <v>329.19</v>
      </c>
      <c r="T126" s="18">
        <v>183.28</v>
      </c>
      <c r="U126" s="19">
        <v>77.21</v>
      </c>
      <c r="V126" s="19">
        <v>74.19</v>
      </c>
      <c r="W126" s="19">
        <v>70.17</v>
      </c>
    </row>
    <row r="127" ht="15.0" customHeight="1">
      <c r="A127" s="14" t="s">
        <v>316</v>
      </c>
      <c r="B127" s="16">
        <v>98.45</v>
      </c>
      <c r="C127" s="15">
        <v>101.17</v>
      </c>
      <c r="D127" s="15">
        <v>205.75</v>
      </c>
      <c r="E127" s="15">
        <v>117.97</v>
      </c>
      <c r="F127" s="15">
        <v>106.95</v>
      </c>
      <c r="G127" s="15">
        <v>103.01</v>
      </c>
      <c r="H127" s="16">
        <v>16.68</v>
      </c>
      <c r="I127" s="16">
        <v>11.13</v>
      </c>
      <c r="J127" s="16">
        <v>12.41</v>
      </c>
      <c r="K127" s="16">
        <v>6.31</v>
      </c>
      <c r="L127" s="16">
        <v>4.69</v>
      </c>
      <c r="M127" s="16">
        <v>7.53</v>
      </c>
      <c r="N127" s="16">
        <v>4.65</v>
      </c>
      <c r="O127" s="16">
        <v>17.89</v>
      </c>
      <c r="P127" s="16">
        <v>8.23</v>
      </c>
      <c r="Q127" s="16">
        <v>7.73</v>
      </c>
      <c r="R127" s="16">
        <v>8.89</v>
      </c>
      <c r="S127" s="16">
        <v>9.47</v>
      </c>
      <c r="T127" s="16">
        <v>3.1</v>
      </c>
      <c r="U127" s="22">
        <v>0.0</v>
      </c>
      <c r="V127" s="16">
        <v>0.31</v>
      </c>
      <c r="W127" s="16">
        <v>0.23</v>
      </c>
    </row>
    <row r="128" ht="15.0" customHeight="1">
      <c r="A128" s="17" t="s">
        <v>317</v>
      </c>
      <c r="B128" s="19">
        <v>98.45</v>
      </c>
      <c r="C128" s="18">
        <v>101.17</v>
      </c>
      <c r="D128" s="18">
        <v>205.75</v>
      </c>
      <c r="E128" s="18">
        <v>117.97</v>
      </c>
      <c r="F128" s="18">
        <v>106.95</v>
      </c>
      <c r="G128" s="18">
        <v>103.01</v>
      </c>
      <c r="H128" s="19">
        <v>16.68</v>
      </c>
      <c r="I128" s="19">
        <v>11.13</v>
      </c>
      <c r="J128" s="19">
        <v>12.41</v>
      </c>
      <c r="K128" s="19">
        <v>6.31</v>
      </c>
      <c r="L128" s="19">
        <v>4.69</v>
      </c>
      <c r="M128" s="19">
        <v>7.53</v>
      </c>
      <c r="N128" s="19">
        <v>4.65</v>
      </c>
      <c r="O128" s="19">
        <v>17.89</v>
      </c>
      <c r="P128" s="19">
        <v>8.23</v>
      </c>
      <c r="Q128" s="19">
        <v>7.73</v>
      </c>
      <c r="R128" s="19">
        <v>8.89</v>
      </c>
      <c r="S128" s="19">
        <v>9.47</v>
      </c>
      <c r="T128" s="19">
        <v>3.1</v>
      </c>
      <c r="U128" s="23"/>
      <c r="V128" s="19">
        <v>0.31</v>
      </c>
      <c r="W128" s="19">
        <v>0.23</v>
      </c>
    </row>
    <row r="129" ht="15.0" customHeight="1">
      <c r="A129" s="17" t="s">
        <v>318</v>
      </c>
      <c r="B129" s="18">
        <v>504.78</v>
      </c>
      <c r="C129" s="18">
        <v>484.25</v>
      </c>
      <c r="D129" s="18">
        <v>513.33</v>
      </c>
      <c r="E129" s="18">
        <v>253.16</v>
      </c>
      <c r="F129" s="18">
        <v>258.34</v>
      </c>
      <c r="G129" s="18">
        <v>144.72</v>
      </c>
      <c r="H129" s="19">
        <v>7.89</v>
      </c>
      <c r="I129" s="18">
        <v>130.3</v>
      </c>
      <c r="J129" s="18">
        <v>144.43</v>
      </c>
      <c r="K129" s="19">
        <v>58.11</v>
      </c>
      <c r="L129" s="19">
        <v>74.64</v>
      </c>
      <c r="M129" s="19">
        <v>96.48</v>
      </c>
      <c r="N129" s="18">
        <v>174.19</v>
      </c>
      <c r="O129" s="18">
        <v>218.7</v>
      </c>
      <c r="P129" s="18">
        <v>215.45</v>
      </c>
      <c r="Q129" s="18">
        <v>240.43</v>
      </c>
      <c r="R129" s="18">
        <v>270.25</v>
      </c>
      <c r="S129" s="18">
        <v>338.66</v>
      </c>
      <c r="T129" s="18">
        <v>186.38</v>
      </c>
      <c r="U129" s="19">
        <v>77.21</v>
      </c>
      <c r="V129" s="19">
        <v>74.5</v>
      </c>
      <c r="W129" s="19">
        <v>70.4</v>
      </c>
    </row>
    <row r="130" ht="15.0" customHeight="1">
      <c r="A130" s="14" t="s">
        <v>319</v>
      </c>
      <c r="B130" s="22"/>
      <c r="C130" s="22"/>
      <c r="D130" s="22"/>
      <c r="E130" s="22"/>
      <c r="F130" s="22"/>
      <c r="G130" s="22"/>
      <c r="H130" s="20">
        <v>-0.01</v>
      </c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ht="15.0" customHeight="1">
      <c r="A131" s="17" t="s">
        <v>320</v>
      </c>
      <c r="B131" s="18">
        <v>1149.43</v>
      </c>
      <c r="C131" s="18">
        <v>1194.89</v>
      </c>
      <c r="D131" s="18">
        <v>1272.53</v>
      </c>
      <c r="E131" s="18">
        <v>730.52</v>
      </c>
      <c r="F131" s="18">
        <v>817.99</v>
      </c>
      <c r="G131" s="18">
        <v>693.3</v>
      </c>
      <c r="H131" s="18">
        <v>512.58</v>
      </c>
      <c r="I131" s="18">
        <v>411.28</v>
      </c>
      <c r="J131" s="18">
        <v>468.5</v>
      </c>
      <c r="K131" s="18">
        <v>398.2</v>
      </c>
      <c r="L131" s="18">
        <v>481.28</v>
      </c>
      <c r="M131" s="18">
        <v>409.45</v>
      </c>
      <c r="N131" s="18">
        <v>479.32</v>
      </c>
      <c r="O131" s="18">
        <v>512.11</v>
      </c>
      <c r="P131" s="18">
        <v>536.57</v>
      </c>
      <c r="Q131" s="18">
        <v>577.43</v>
      </c>
      <c r="R131" s="18">
        <v>654.81</v>
      </c>
      <c r="S131" s="18">
        <v>767.01</v>
      </c>
      <c r="T131" s="18">
        <v>634.93</v>
      </c>
      <c r="U131" s="18">
        <v>108.28</v>
      </c>
      <c r="V131" s="18">
        <v>110.21</v>
      </c>
      <c r="W131" s="18">
        <v>110.23</v>
      </c>
    </row>
    <row r="132" ht="15.0" customHeight="1">
      <c r="A132" s="14" t="s">
        <v>321</v>
      </c>
      <c r="B132" s="16">
        <v>80.7</v>
      </c>
      <c r="C132" s="16">
        <v>78.21</v>
      </c>
      <c r="D132" s="16">
        <v>78.13</v>
      </c>
      <c r="E132" s="16">
        <v>78.04</v>
      </c>
      <c r="F132" s="16">
        <v>77.13</v>
      </c>
      <c r="G132" s="16">
        <v>74.15</v>
      </c>
      <c r="H132" s="16">
        <v>44.5</v>
      </c>
      <c r="I132" s="16">
        <v>44.25</v>
      </c>
      <c r="J132" s="16">
        <v>43.94</v>
      </c>
      <c r="K132" s="16">
        <v>26.01</v>
      </c>
      <c r="L132" s="16">
        <v>25.83</v>
      </c>
      <c r="M132" s="16">
        <v>23.3</v>
      </c>
      <c r="N132" s="16">
        <v>23.24</v>
      </c>
      <c r="O132" s="16">
        <v>23.04</v>
      </c>
      <c r="P132" s="16">
        <v>23.06</v>
      </c>
      <c r="Q132" s="16">
        <v>23.01</v>
      </c>
      <c r="R132" s="16">
        <v>23.01</v>
      </c>
      <c r="S132" s="16">
        <v>22.73</v>
      </c>
      <c r="T132" s="16">
        <v>22.73</v>
      </c>
      <c r="U132" s="16">
        <v>4.43</v>
      </c>
      <c r="V132" s="16">
        <v>4.45</v>
      </c>
      <c r="W132" s="16">
        <v>4.52</v>
      </c>
    </row>
    <row r="133" ht="15.0" customHeight="1">
      <c r="A133" s="14" t="s">
        <v>322</v>
      </c>
      <c r="B133" s="22">
        <v>0.0</v>
      </c>
      <c r="C133" s="22">
        <v>0.0</v>
      </c>
      <c r="D133" s="22">
        <v>0.0</v>
      </c>
      <c r="E133" s="16">
        <v>0.07</v>
      </c>
      <c r="F133" s="16">
        <v>0.07</v>
      </c>
      <c r="G133" s="16">
        <v>0.07</v>
      </c>
      <c r="H133" s="16">
        <v>0.11</v>
      </c>
      <c r="I133" s="22">
        <v>0.0</v>
      </c>
      <c r="J133" s="16">
        <v>0.32</v>
      </c>
      <c r="K133" s="16">
        <v>0.21</v>
      </c>
      <c r="L133" s="16">
        <v>0.21</v>
      </c>
      <c r="M133" s="16">
        <v>0.04</v>
      </c>
      <c r="N133" s="16">
        <v>0.02</v>
      </c>
      <c r="O133" s="16">
        <v>0.02</v>
      </c>
      <c r="P133" s="22">
        <v>0.0</v>
      </c>
      <c r="Q133" s="22">
        <v>0.0</v>
      </c>
      <c r="R133" s="22">
        <v>0.0</v>
      </c>
      <c r="S133" s="22">
        <v>0.0</v>
      </c>
      <c r="T133" s="22">
        <v>0.0</v>
      </c>
      <c r="U133" s="22">
        <v>0.0</v>
      </c>
      <c r="V133" s="22">
        <v>0.0</v>
      </c>
      <c r="W133" s="22">
        <v>0.0</v>
      </c>
    </row>
    <row r="134" ht="15.0" customHeight="1">
      <c r="A134" s="14" t="s">
        <v>323</v>
      </c>
      <c r="B134" s="22"/>
      <c r="C134" s="16">
        <v>0.01</v>
      </c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0">
        <v>-0.01</v>
      </c>
      <c r="R134" s="22"/>
      <c r="S134" s="22"/>
      <c r="T134" s="22"/>
      <c r="U134" s="22"/>
      <c r="V134" s="22"/>
      <c r="W134" s="22"/>
    </row>
    <row r="135" ht="15.0" customHeight="1">
      <c r="A135" s="14" t="s">
        <v>324</v>
      </c>
      <c r="B135" s="16">
        <v>80.7</v>
      </c>
      <c r="C135" s="16">
        <v>78.21</v>
      </c>
      <c r="D135" s="16">
        <v>78.13</v>
      </c>
      <c r="E135" s="16">
        <v>78.1</v>
      </c>
      <c r="F135" s="16">
        <v>77.19</v>
      </c>
      <c r="G135" s="16">
        <v>74.21</v>
      </c>
      <c r="H135" s="16">
        <v>44.6</v>
      </c>
      <c r="I135" s="16">
        <v>44.25</v>
      </c>
      <c r="J135" s="16">
        <v>44.25</v>
      </c>
      <c r="K135" s="16">
        <v>26.22</v>
      </c>
      <c r="L135" s="16">
        <v>26.04</v>
      </c>
      <c r="M135" s="16">
        <v>23.33</v>
      </c>
      <c r="N135" s="16">
        <v>23.25</v>
      </c>
      <c r="O135" s="16">
        <v>23.06</v>
      </c>
      <c r="P135" s="16">
        <v>23.06</v>
      </c>
      <c r="Q135" s="16">
        <v>23.01</v>
      </c>
      <c r="R135" s="16">
        <v>23.01</v>
      </c>
      <c r="S135" s="16">
        <v>22.73</v>
      </c>
      <c r="T135" s="16">
        <v>22.73</v>
      </c>
      <c r="U135" s="16">
        <v>4.43</v>
      </c>
      <c r="V135" s="16">
        <v>4.45</v>
      </c>
      <c r="W135" s="16">
        <v>4.52</v>
      </c>
    </row>
    <row r="136" ht="15.0" customHeight="1">
      <c r="A136" s="14" t="s">
        <v>213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16">
        <v>0.02</v>
      </c>
      <c r="V136" s="22"/>
      <c r="W136" s="22"/>
    </row>
    <row r="137" ht="15.0" customHeight="1">
      <c r="A137" s="14" t="s">
        <v>325</v>
      </c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16">
        <v>0.22</v>
      </c>
      <c r="V137" s="22"/>
      <c r="W137" s="22"/>
    </row>
    <row r="138" ht="15.0" customHeight="1">
      <c r="A138" s="14" t="s">
        <v>326</v>
      </c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0">
        <v>-19.58</v>
      </c>
      <c r="R138" s="20">
        <v>-17.34</v>
      </c>
      <c r="S138" s="20">
        <v>-17.75</v>
      </c>
      <c r="T138" s="20">
        <v>-11.62</v>
      </c>
      <c r="U138" s="22"/>
      <c r="V138" s="22"/>
      <c r="W138" s="22"/>
    </row>
    <row r="139" ht="15.0" customHeight="1">
      <c r="A139" s="14" t="s">
        <v>327</v>
      </c>
      <c r="B139" s="22"/>
      <c r="C139" s="22"/>
      <c r="D139" s="22"/>
      <c r="E139" s="15">
        <v>145.67</v>
      </c>
      <c r="F139" s="15">
        <v>145.29</v>
      </c>
      <c r="G139" s="15">
        <v>162.37</v>
      </c>
      <c r="H139" s="22"/>
      <c r="I139" s="16">
        <v>42.52</v>
      </c>
      <c r="J139" s="16">
        <v>47.99</v>
      </c>
      <c r="K139" s="22"/>
      <c r="L139" s="22"/>
      <c r="M139" s="22"/>
      <c r="N139" s="22"/>
      <c r="O139" s="15">
        <v>103.84</v>
      </c>
      <c r="P139" s="15">
        <v>114.11</v>
      </c>
      <c r="Q139" s="16">
        <v>63.32</v>
      </c>
      <c r="R139" s="15">
        <v>132.22</v>
      </c>
      <c r="S139" s="16">
        <v>3.72</v>
      </c>
      <c r="T139" s="16">
        <v>3.52</v>
      </c>
      <c r="U139" s="22"/>
      <c r="V139" s="22"/>
      <c r="W139" s="22"/>
    </row>
    <row r="140" ht="15.0" customHeight="1">
      <c r="A140" s="14" t="s">
        <v>328</v>
      </c>
      <c r="B140" s="22"/>
      <c r="C140" s="16">
        <v>40.77</v>
      </c>
      <c r="D140" s="16">
        <v>11.11</v>
      </c>
      <c r="E140" s="16">
        <v>8.68</v>
      </c>
      <c r="F140" s="16">
        <v>9.22</v>
      </c>
      <c r="G140" s="16">
        <v>10.14</v>
      </c>
      <c r="H140" s="22"/>
      <c r="I140" s="16">
        <v>40.7</v>
      </c>
      <c r="J140" s="16">
        <v>5.66</v>
      </c>
      <c r="K140" s="22"/>
      <c r="L140" s="22"/>
      <c r="M140" s="22"/>
      <c r="N140" s="22"/>
      <c r="O140" s="16">
        <v>6.85</v>
      </c>
      <c r="P140" s="16">
        <v>6.08</v>
      </c>
      <c r="Q140" s="16">
        <v>6.04</v>
      </c>
      <c r="R140" s="16">
        <v>6.36</v>
      </c>
      <c r="S140" s="16">
        <v>1.99</v>
      </c>
      <c r="T140" s="16">
        <v>1.9</v>
      </c>
      <c r="U140" s="22"/>
      <c r="V140" s="22"/>
      <c r="W140" s="22"/>
    </row>
    <row r="141" ht="15.0" customHeight="1">
      <c r="A141" s="14" t="s">
        <v>329</v>
      </c>
      <c r="B141" s="22"/>
      <c r="C141" s="15">
        <v>144.78</v>
      </c>
      <c r="D141" s="16">
        <v>26.51</v>
      </c>
      <c r="E141" s="16">
        <v>23.61</v>
      </c>
      <c r="F141" s="16">
        <v>23.19</v>
      </c>
      <c r="G141" s="16">
        <v>29.0</v>
      </c>
      <c r="H141" s="22"/>
      <c r="I141" s="16">
        <v>1.82</v>
      </c>
      <c r="J141" s="16">
        <v>42.32</v>
      </c>
      <c r="K141" s="22"/>
      <c r="L141" s="22"/>
      <c r="M141" s="22"/>
      <c r="N141" s="22"/>
      <c r="O141" s="16">
        <v>25.12</v>
      </c>
      <c r="P141" s="16">
        <v>25.18</v>
      </c>
      <c r="Q141" s="16">
        <v>22.76</v>
      </c>
      <c r="R141" s="15">
        <v>125.86</v>
      </c>
      <c r="S141" s="16">
        <v>1.73</v>
      </c>
      <c r="T141" s="16">
        <v>1.62</v>
      </c>
      <c r="U141" s="22"/>
      <c r="V141" s="22"/>
      <c r="W141" s="22"/>
    </row>
    <row r="142" ht="15.0" customHeight="1">
      <c r="A142" s="14" t="s">
        <v>330</v>
      </c>
      <c r="B142" s="22"/>
      <c r="C142" s="16">
        <v>29.9</v>
      </c>
      <c r="D142" s="15">
        <v>115.58</v>
      </c>
      <c r="E142" s="15">
        <v>113.38</v>
      </c>
      <c r="F142" s="15">
        <v>112.88</v>
      </c>
      <c r="G142" s="15">
        <v>123.23</v>
      </c>
      <c r="H142" s="22"/>
      <c r="I142" s="22"/>
      <c r="J142" s="22"/>
      <c r="K142" s="22"/>
      <c r="L142" s="22"/>
      <c r="M142" s="22"/>
      <c r="N142" s="22"/>
      <c r="O142" s="16">
        <v>71.86</v>
      </c>
      <c r="P142" s="16">
        <v>82.84</v>
      </c>
      <c r="Q142" s="16">
        <v>34.52</v>
      </c>
      <c r="R142" s="22"/>
      <c r="S142" s="22">
        <v>0.0</v>
      </c>
      <c r="T142" s="22"/>
      <c r="U142" s="22"/>
      <c r="V142" s="22"/>
      <c r="W142" s="22"/>
    </row>
    <row r="143" ht="15.0" customHeight="1">
      <c r="A143" s="14" t="s">
        <v>331</v>
      </c>
      <c r="B143" s="22"/>
      <c r="C143" s="22"/>
      <c r="D143" s="22"/>
      <c r="E143" s="15">
        <v>268.1</v>
      </c>
      <c r="F143" s="15">
        <v>270.6</v>
      </c>
      <c r="G143" s="15">
        <v>316.15</v>
      </c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ht="15.0" customHeight="1">
      <c r="A144" s="14" t="s">
        <v>332</v>
      </c>
      <c r="B144" s="22"/>
      <c r="C144" s="16">
        <v>36.85</v>
      </c>
      <c r="D144" s="15">
        <v>178.19</v>
      </c>
      <c r="E144" s="15">
        <v>104.88</v>
      </c>
      <c r="F144" s="16">
        <v>19.26</v>
      </c>
      <c r="G144" s="16">
        <v>12.56</v>
      </c>
      <c r="H144" s="22">
        <v>0.0</v>
      </c>
      <c r="I144" s="22">
        <v>0.0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ht="15.0" customHeight="1">
      <c r="A145" s="14" t="s">
        <v>333</v>
      </c>
      <c r="B145" s="22"/>
      <c r="C145" s="15">
        <v>245.67</v>
      </c>
      <c r="D145" s="15">
        <v>113.56</v>
      </c>
      <c r="E145" s="16">
        <v>56.71</v>
      </c>
      <c r="F145" s="15">
        <v>158.07</v>
      </c>
      <c r="G145" s="15">
        <v>190.74</v>
      </c>
      <c r="H145" s="15">
        <v>128.33</v>
      </c>
      <c r="I145" s="15">
        <v>133.75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ht="15.0" customHeight="1">
      <c r="A146" s="14" t="s">
        <v>334</v>
      </c>
      <c r="B146" s="22"/>
      <c r="C146" s="22"/>
      <c r="D146" s="16">
        <v>89.69</v>
      </c>
      <c r="E146" s="15">
        <v>106.51</v>
      </c>
      <c r="F146" s="16">
        <v>93.27</v>
      </c>
      <c r="G146" s="15">
        <v>112.85</v>
      </c>
      <c r="H146" s="15">
        <v>128.33</v>
      </c>
      <c r="I146" s="15">
        <v>133.75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ht="15.0" customHeight="1">
      <c r="A147" s="14" t="s">
        <v>335</v>
      </c>
      <c r="B147" s="16">
        <v>80.7</v>
      </c>
      <c r="C147" s="16">
        <v>78.21</v>
      </c>
      <c r="D147" s="16">
        <v>78.13</v>
      </c>
      <c r="E147" s="16">
        <v>78.04</v>
      </c>
      <c r="F147" s="16">
        <v>77.13</v>
      </c>
      <c r="G147" s="16">
        <v>74.15</v>
      </c>
      <c r="H147" s="16">
        <v>44.5</v>
      </c>
      <c r="I147" s="16">
        <v>44.25</v>
      </c>
      <c r="J147" s="16">
        <v>43.94</v>
      </c>
      <c r="K147" s="16">
        <v>26.01</v>
      </c>
      <c r="L147" s="16">
        <v>25.83</v>
      </c>
      <c r="M147" s="16">
        <v>23.3</v>
      </c>
      <c r="N147" s="16">
        <v>23.24</v>
      </c>
      <c r="O147" s="16">
        <v>23.04</v>
      </c>
      <c r="P147" s="16">
        <v>23.06</v>
      </c>
      <c r="Q147" s="16">
        <v>23.01</v>
      </c>
      <c r="R147" s="16">
        <v>23.01</v>
      </c>
      <c r="S147" s="16">
        <v>22.73</v>
      </c>
      <c r="T147" s="16">
        <v>22.73</v>
      </c>
      <c r="U147" s="16">
        <v>3.89</v>
      </c>
      <c r="V147" s="16">
        <v>3.92</v>
      </c>
      <c r="W147" s="16">
        <v>3.98</v>
      </c>
    </row>
    <row r="148" ht="15.0" customHeight="1">
      <c r="A148" s="14" t="s">
        <v>336</v>
      </c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16">
        <v>23.06</v>
      </c>
      <c r="P148" s="22"/>
      <c r="Q148" s="22"/>
      <c r="R148" s="22"/>
      <c r="S148" s="22"/>
      <c r="T148" s="22"/>
      <c r="U148" s="22"/>
      <c r="V148" s="22"/>
      <c r="W148" s="22"/>
    </row>
    <row r="149" ht="15.0" customHeight="1">
      <c r="A149" s="14" t="s">
        <v>337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>
        <v>2.013032E7</v>
      </c>
      <c r="P149" s="22"/>
      <c r="Q149" s="22"/>
      <c r="R149" s="22"/>
      <c r="S149" s="22"/>
      <c r="T149" s="22"/>
      <c r="U149" s="22"/>
      <c r="V149" s="22"/>
      <c r="W149" s="22"/>
    </row>
    <row r="150" ht="15.0" customHeight="1">
      <c r="A150" s="14" t="s">
        <v>338</v>
      </c>
      <c r="B150" s="16">
        <v>1.0</v>
      </c>
      <c r="C150" s="16">
        <v>1.0</v>
      </c>
      <c r="D150" s="16">
        <v>1.0</v>
      </c>
      <c r="E150" s="16">
        <v>1.0</v>
      </c>
      <c r="F150" s="16">
        <v>1.0</v>
      </c>
      <c r="G150" s="16">
        <v>1.0</v>
      </c>
      <c r="H150" s="16">
        <v>1.0</v>
      </c>
      <c r="I150" s="16">
        <v>1.0</v>
      </c>
      <c r="J150" s="16">
        <v>1.0</v>
      </c>
      <c r="K150" s="16">
        <v>1.0</v>
      </c>
      <c r="L150" s="16">
        <v>1.0</v>
      </c>
      <c r="M150" s="16">
        <v>1.0</v>
      </c>
      <c r="N150" s="16">
        <v>1.0</v>
      </c>
      <c r="O150" s="16">
        <v>1.0</v>
      </c>
      <c r="P150" s="16">
        <v>1.0</v>
      </c>
      <c r="Q150" s="16">
        <v>1.0</v>
      </c>
      <c r="R150" s="16">
        <v>1.0</v>
      </c>
      <c r="S150" s="16">
        <v>1.0</v>
      </c>
      <c r="T150" s="16">
        <v>1.0</v>
      </c>
      <c r="U150" s="16">
        <v>0.88</v>
      </c>
      <c r="V150" s="16">
        <v>0.88</v>
      </c>
      <c r="W150" s="16">
        <v>0.88</v>
      </c>
    </row>
    <row r="151" ht="15.0" customHeight="1">
      <c r="A151" s="14" t="s">
        <v>339</v>
      </c>
      <c r="B151" s="16">
        <v>80.7</v>
      </c>
      <c r="C151" s="16">
        <v>78.21</v>
      </c>
      <c r="D151" s="16">
        <v>78.13</v>
      </c>
      <c r="E151" s="16">
        <v>78.1</v>
      </c>
      <c r="F151" s="16">
        <v>77.19</v>
      </c>
      <c r="G151" s="16">
        <v>74.21</v>
      </c>
      <c r="H151" s="16">
        <v>44.6</v>
      </c>
      <c r="I151" s="16">
        <v>44.25</v>
      </c>
      <c r="J151" s="16">
        <v>44.25</v>
      </c>
      <c r="K151" s="16">
        <v>26.22</v>
      </c>
      <c r="L151" s="16">
        <v>26.04</v>
      </c>
      <c r="M151" s="16">
        <v>23.33</v>
      </c>
      <c r="N151" s="16">
        <v>23.25</v>
      </c>
      <c r="O151" s="16">
        <v>23.06</v>
      </c>
      <c r="P151" s="16">
        <v>23.06</v>
      </c>
      <c r="Q151" s="16">
        <v>23.01</v>
      </c>
      <c r="R151" s="16">
        <v>23.01</v>
      </c>
      <c r="S151" s="16">
        <v>22.73</v>
      </c>
      <c r="T151" s="16">
        <v>22.73</v>
      </c>
      <c r="U151" s="16">
        <v>3.89</v>
      </c>
      <c r="V151" s="16">
        <v>3.92</v>
      </c>
      <c r="W151" s="16">
        <v>3.98</v>
      </c>
    </row>
    <row r="152" ht="15.0" customHeight="1">
      <c r="A152" s="14" t="s">
        <v>340</v>
      </c>
      <c r="B152" s="22">
        <v>0.0</v>
      </c>
      <c r="C152" s="22">
        <v>0.0</v>
      </c>
      <c r="D152" s="22">
        <v>0.0</v>
      </c>
      <c r="E152" s="16">
        <v>0.07</v>
      </c>
      <c r="F152" s="16">
        <v>0.07</v>
      </c>
      <c r="G152" s="16">
        <v>0.07</v>
      </c>
      <c r="H152" s="16">
        <v>0.11</v>
      </c>
      <c r="I152" s="22">
        <v>0.0</v>
      </c>
      <c r="J152" s="16">
        <v>0.32</v>
      </c>
      <c r="K152" s="16">
        <v>0.21</v>
      </c>
      <c r="L152" s="16">
        <v>0.21</v>
      </c>
      <c r="M152" s="16">
        <v>0.04</v>
      </c>
      <c r="N152" s="16">
        <v>0.02</v>
      </c>
      <c r="O152" s="16">
        <v>0.02</v>
      </c>
      <c r="P152" s="22">
        <v>0.0</v>
      </c>
      <c r="Q152" s="22">
        <v>0.0</v>
      </c>
      <c r="R152" s="22">
        <v>0.0</v>
      </c>
      <c r="S152" s="22">
        <v>0.0</v>
      </c>
      <c r="T152" s="22">
        <v>0.0</v>
      </c>
      <c r="U152" s="22">
        <v>0.0</v>
      </c>
      <c r="V152" s="22">
        <v>0.0</v>
      </c>
      <c r="W152" s="22">
        <v>0.0</v>
      </c>
    </row>
    <row r="153" ht="15.0" customHeight="1">
      <c r="A153" s="14" t="s">
        <v>341</v>
      </c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16">
        <v>0.3</v>
      </c>
      <c r="V153" s="16">
        <v>0.3</v>
      </c>
      <c r="W153" s="16">
        <v>0.3</v>
      </c>
    </row>
    <row r="154" ht="15.0" customHeight="1">
      <c r="A154" s="14" t="s">
        <v>342</v>
      </c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16">
        <v>0.3</v>
      </c>
      <c r="V154" s="16">
        <v>0.3</v>
      </c>
      <c r="W154" s="16">
        <v>0.3</v>
      </c>
    </row>
    <row r="155" ht="15.0" customHeight="1">
      <c r="A155" s="14" t="s">
        <v>338</v>
      </c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16">
        <v>0.12</v>
      </c>
      <c r="V155" s="16">
        <v>0.12</v>
      </c>
      <c r="W155" s="16">
        <v>0.12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343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46097.3825005093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344</v>
      </c>
      <c r="C15" s="10" t="s">
        <v>344</v>
      </c>
      <c r="D15" s="10" t="s">
        <v>344</v>
      </c>
      <c r="E15" s="10" t="s">
        <v>344</v>
      </c>
      <c r="F15" s="10" t="s">
        <v>344</v>
      </c>
      <c r="G15" s="10" t="s">
        <v>344</v>
      </c>
      <c r="H15" s="10" t="s">
        <v>344</v>
      </c>
      <c r="I15" s="10" t="s">
        <v>344</v>
      </c>
      <c r="J15" s="10" t="s">
        <v>344</v>
      </c>
      <c r="K15" s="10" t="s">
        <v>344</v>
      </c>
      <c r="L15" s="10" t="s">
        <v>344</v>
      </c>
      <c r="M15" s="10" t="s">
        <v>344</v>
      </c>
      <c r="N15" s="10" t="s">
        <v>344</v>
      </c>
      <c r="O15" s="10" t="s">
        <v>344</v>
      </c>
      <c r="P15" s="10" t="s">
        <v>344</v>
      </c>
      <c r="Q15" s="10" t="s">
        <v>344</v>
      </c>
      <c r="R15" s="10" t="s">
        <v>344</v>
      </c>
      <c r="S15" s="10" t="s">
        <v>344</v>
      </c>
      <c r="T15" s="10" t="s">
        <v>344</v>
      </c>
      <c r="U15" s="10" t="s">
        <v>344</v>
      </c>
      <c r="V15" s="10" t="s">
        <v>344</v>
      </c>
      <c r="W15" s="10" t="s">
        <v>344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345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346</v>
      </c>
      <c r="B20" s="22"/>
      <c r="C20" s="15">
        <v>151.87</v>
      </c>
      <c r="D20" s="15">
        <v>265.48</v>
      </c>
      <c r="E20" s="16">
        <v>14.86</v>
      </c>
      <c r="F20" s="15">
        <v>139.99</v>
      </c>
      <c r="G20" s="20">
        <v>-30.42</v>
      </c>
      <c r="H20" s="21">
        <v>-112.56</v>
      </c>
      <c r="I20" s="20">
        <v>-75.0</v>
      </c>
      <c r="J20" s="20">
        <v>-2.27</v>
      </c>
      <c r="K20" s="20">
        <v>-28.97</v>
      </c>
      <c r="L20" s="20">
        <v>-39.13</v>
      </c>
      <c r="M20" s="20">
        <v>-19.56</v>
      </c>
      <c r="N20" s="20">
        <v>-30.82</v>
      </c>
      <c r="O20" s="16">
        <v>20.06</v>
      </c>
      <c r="P20" s="20">
        <v>-11.92</v>
      </c>
      <c r="Q20" s="20">
        <v>-16.24</v>
      </c>
      <c r="R20" s="20">
        <v>-5.93</v>
      </c>
      <c r="S20" s="16">
        <v>23.53</v>
      </c>
      <c r="T20" s="16">
        <v>13.47</v>
      </c>
      <c r="U20" s="16">
        <v>4.8</v>
      </c>
      <c r="V20" s="16">
        <v>7.85</v>
      </c>
      <c r="W20" s="16">
        <v>4.68</v>
      </c>
    </row>
    <row r="21" ht="15.0" customHeight="1">
      <c r="A21" s="14" t="s">
        <v>347</v>
      </c>
      <c r="B21" s="22"/>
      <c r="C21" s="22"/>
      <c r="D21" s="16">
        <v>60.93</v>
      </c>
      <c r="E21" s="16">
        <v>28.39</v>
      </c>
      <c r="F21" s="16">
        <v>30.15</v>
      </c>
      <c r="G21" s="22"/>
      <c r="H21" s="15">
        <v>108.73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ht="15.0" customHeight="1">
      <c r="A22" s="14" t="s">
        <v>348</v>
      </c>
      <c r="B22" s="22"/>
      <c r="C22" s="22"/>
      <c r="D22" s="16">
        <v>0.02</v>
      </c>
      <c r="E22" s="16">
        <v>0.1</v>
      </c>
      <c r="F22" s="16">
        <v>1.31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ht="15.0" customHeight="1">
      <c r="A23" s="14" t="s">
        <v>349</v>
      </c>
      <c r="B23" s="22"/>
      <c r="C23" s="22"/>
      <c r="D23" s="22"/>
      <c r="E23" s="22"/>
      <c r="F23" s="16">
        <v>0.01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ht="15.0" customHeight="1">
      <c r="A24" s="14" t="s">
        <v>350</v>
      </c>
      <c r="B24" s="22"/>
      <c r="C24" s="16">
        <v>62.98</v>
      </c>
      <c r="D24" s="22"/>
      <c r="E24" s="22"/>
      <c r="F24" s="22"/>
      <c r="G24" s="16">
        <v>53.83</v>
      </c>
      <c r="H24" s="22"/>
      <c r="I24" s="16">
        <v>19.11</v>
      </c>
      <c r="J24" s="16">
        <v>16.59</v>
      </c>
      <c r="K24" s="16">
        <v>13.44</v>
      </c>
      <c r="L24" s="16">
        <v>19.69</v>
      </c>
      <c r="M24" s="16">
        <v>19.65</v>
      </c>
      <c r="N24" s="16">
        <v>27.63</v>
      </c>
      <c r="O24" s="16">
        <v>29.92</v>
      </c>
      <c r="P24" s="16">
        <v>32.61</v>
      </c>
      <c r="Q24" s="16">
        <v>35.74</v>
      </c>
      <c r="R24" s="16">
        <v>39.8</v>
      </c>
      <c r="S24" s="16">
        <v>40.7</v>
      </c>
      <c r="T24" s="16">
        <v>36.68</v>
      </c>
      <c r="U24" s="16">
        <v>5.61</v>
      </c>
      <c r="V24" s="16">
        <v>5.52</v>
      </c>
      <c r="W24" s="16">
        <v>5.83</v>
      </c>
    </row>
    <row r="25" ht="15.0" customHeight="1">
      <c r="A25" s="14" t="s">
        <v>351</v>
      </c>
      <c r="B25" s="22"/>
      <c r="C25" s="16">
        <v>4.53</v>
      </c>
      <c r="D25" s="16">
        <v>4.2</v>
      </c>
      <c r="E25" s="16">
        <v>3.4</v>
      </c>
      <c r="F25" s="16">
        <v>3.93</v>
      </c>
      <c r="G25" s="16">
        <v>4.17</v>
      </c>
      <c r="H25" s="16">
        <v>54.98</v>
      </c>
      <c r="I25" s="16">
        <v>1.24</v>
      </c>
      <c r="J25" s="16">
        <v>0.45</v>
      </c>
      <c r="K25" s="22"/>
      <c r="L25" s="22"/>
      <c r="M25" s="22"/>
      <c r="N25" s="16">
        <v>2.48</v>
      </c>
      <c r="O25" s="22"/>
      <c r="P25" s="22"/>
      <c r="Q25" s="22"/>
      <c r="R25" s="22"/>
      <c r="S25" s="22"/>
      <c r="T25" s="22"/>
      <c r="U25" s="22"/>
      <c r="V25" s="22"/>
      <c r="W25" s="22"/>
    </row>
    <row r="26" ht="15.0" customHeight="1">
      <c r="A26" s="14" t="s">
        <v>352</v>
      </c>
      <c r="B26" s="22"/>
      <c r="C26" s="16">
        <v>43.18</v>
      </c>
      <c r="D26" s="16">
        <v>56.71</v>
      </c>
      <c r="E26" s="16">
        <v>24.89</v>
      </c>
      <c r="F26" s="16">
        <v>24.9</v>
      </c>
      <c r="G26" s="16">
        <v>49.66</v>
      </c>
      <c r="H26" s="16">
        <v>53.74</v>
      </c>
      <c r="I26" s="16">
        <v>16.21</v>
      </c>
      <c r="J26" s="16">
        <v>16.14</v>
      </c>
      <c r="K26" s="22"/>
      <c r="L26" s="22"/>
      <c r="M26" s="22"/>
      <c r="N26" s="16">
        <v>25.14</v>
      </c>
      <c r="O26" s="22"/>
      <c r="P26" s="22"/>
      <c r="Q26" s="22"/>
      <c r="R26" s="22"/>
      <c r="S26" s="22"/>
      <c r="T26" s="22"/>
      <c r="U26" s="22"/>
      <c r="V26" s="22"/>
      <c r="W26" s="22"/>
    </row>
    <row r="27" ht="15.0" customHeight="1">
      <c r="A27" s="14" t="s">
        <v>353</v>
      </c>
      <c r="B27" s="22"/>
      <c r="C27" s="16">
        <v>15.27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0" customHeight="1">
      <c r="A28" s="14" t="s">
        <v>354</v>
      </c>
      <c r="B28" s="22"/>
      <c r="C28" s="22"/>
      <c r="D28" s="22"/>
      <c r="E28" s="22"/>
      <c r="F28" s="22"/>
      <c r="G28" s="22"/>
      <c r="H28" s="22"/>
      <c r="I28" s="16">
        <v>1.66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0" customHeight="1">
      <c r="A29" s="14" t="s">
        <v>355</v>
      </c>
      <c r="B29" s="22"/>
      <c r="C29" s="22"/>
      <c r="D29" s="22"/>
      <c r="E29" s="22"/>
      <c r="F29" s="22"/>
      <c r="G29" s="22"/>
      <c r="H29" s="22"/>
      <c r="I29" s="22"/>
      <c r="J29" s="20">
        <v>-0.32</v>
      </c>
      <c r="K29" s="20">
        <v>-0.77</v>
      </c>
      <c r="L29" s="20">
        <v>-0.62</v>
      </c>
      <c r="M29" s="20">
        <v>-0.16</v>
      </c>
      <c r="N29" s="20">
        <v>-13.16</v>
      </c>
      <c r="O29" s="20">
        <v>-4.18</v>
      </c>
      <c r="P29" s="20">
        <v>-0.25</v>
      </c>
      <c r="Q29" s="16">
        <v>0.14</v>
      </c>
      <c r="R29" s="20">
        <v>-0.53</v>
      </c>
      <c r="S29" s="20">
        <v>-26.13</v>
      </c>
      <c r="T29" s="22">
        <v>0.0</v>
      </c>
      <c r="U29" s="22"/>
      <c r="V29" s="22"/>
      <c r="W29" s="22"/>
    </row>
    <row r="30" ht="15.0" customHeight="1">
      <c r="A30" s="14" t="s">
        <v>356</v>
      </c>
      <c r="B30" s="22"/>
      <c r="C30" s="22"/>
      <c r="D30" s="22"/>
      <c r="E30" s="22"/>
      <c r="F30" s="22"/>
      <c r="G30" s="22"/>
      <c r="H30" s="22"/>
      <c r="I30" s="22"/>
      <c r="J30" s="16">
        <v>0.11</v>
      </c>
      <c r="K30" s="16">
        <v>0.29</v>
      </c>
      <c r="L30" s="20">
        <v>-1.28</v>
      </c>
      <c r="M30" s="16">
        <v>0.48</v>
      </c>
      <c r="N30" s="20">
        <v>-0.98</v>
      </c>
      <c r="O30" s="20">
        <v>-1.38</v>
      </c>
      <c r="P30" s="20">
        <v>-0.71</v>
      </c>
      <c r="Q30" s="20">
        <v>-2.87</v>
      </c>
      <c r="R30" s="20">
        <v>-1.46</v>
      </c>
      <c r="S30" s="20">
        <v>-2.75</v>
      </c>
      <c r="T30" s="22">
        <v>0.0</v>
      </c>
      <c r="U30" s="22"/>
      <c r="V30" s="22"/>
      <c r="W30" s="22"/>
    </row>
    <row r="31" ht="15.0" customHeight="1">
      <c r="A31" s="14" t="s">
        <v>357</v>
      </c>
      <c r="B31" s="22"/>
      <c r="C31" s="20">
        <v>-0.38</v>
      </c>
      <c r="D31" s="22"/>
      <c r="E31" s="22"/>
      <c r="F31" s="22"/>
      <c r="G31" s="22"/>
      <c r="H31" s="22"/>
      <c r="I31" s="22">
        <v>0.0</v>
      </c>
      <c r="J31" s="16">
        <v>0.98</v>
      </c>
      <c r="K31" s="20">
        <v>-0.13</v>
      </c>
      <c r="L31" s="16">
        <v>1.75</v>
      </c>
      <c r="M31" s="16">
        <v>12.79</v>
      </c>
      <c r="N31" s="16">
        <v>8.36</v>
      </c>
      <c r="O31" s="20">
        <v>-2.41</v>
      </c>
      <c r="P31" s="16">
        <v>1.82</v>
      </c>
      <c r="Q31" s="20">
        <v>-8.56</v>
      </c>
      <c r="R31" s="16">
        <v>2.25</v>
      </c>
      <c r="S31" s="16">
        <v>1.84</v>
      </c>
      <c r="T31" s="16">
        <v>3.2</v>
      </c>
      <c r="U31" s="22"/>
      <c r="V31" s="22"/>
      <c r="W31" s="22"/>
    </row>
    <row r="32" ht="15.0" customHeight="1">
      <c r="A32" s="14" t="s">
        <v>358</v>
      </c>
      <c r="B32" s="22"/>
      <c r="C32" s="20">
        <v>-21.59</v>
      </c>
      <c r="D32" s="21">
        <v>-138.61</v>
      </c>
      <c r="E32" s="16">
        <v>1.79</v>
      </c>
      <c r="F32" s="16">
        <v>6.96</v>
      </c>
      <c r="G32" s="16">
        <v>0.64</v>
      </c>
      <c r="H32" s="20">
        <v>-12.38</v>
      </c>
      <c r="I32" s="16">
        <v>9.45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0" customHeight="1">
      <c r="A33" s="14" t="s">
        <v>359</v>
      </c>
      <c r="B33" s="22"/>
      <c r="C33" s="22"/>
      <c r="D33" s="22"/>
      <c r="E33" s="22"/>
      <c r="F33" s="22"/>
      <c r="G33" s="22"/>
      <c r="H33" s="22">
        <v>0.0</v>
      </c>
      <c r="I33" s="16">
        <v>73.34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ht="15.0" customHeight="1">
      <c r="A34" s="14" t="s">
        <v>360</v>
      </c>
      <c r="B34" s="22"/>
      <c r="C34" s="16">
        <v>34.8</v>
      </c>
      <c r="D34" s="16">
        <v>42.7</v>
      </c>
      <c r="E34" s="16">
        <v>14.99</v>
      </c>
      <c r="F34" s="16">
        <v>17.97</v>
      </c>
      <c r="G34" s="16">
        <v>23.89</v>
      </c>
      <c r="H34" s="16">
        <v>23.34</v>
      </c>
      <c r="I34" s="16">
        <v>11.19</v>
      </c>
      <c r="J34" s="16">
        <v>12.13</v>
      </c>
      <c r="K34" s="16">
        <v>14.24</v>
      </c>
      <c r="L34" s="16">
        <v>18.81</v>
      </c>
      <c r="M34" s="16">
        <v>14.09</v>
      </c>
      <c r="N34" s="16">
        <v>18.11</v>
      </c>
      <c r="O34" s="16">
        <v>14.08</v>
      </c>
      <c r="P34" s="16">
        <v>19.88</v>
      </c>
      <c r="Q34" s="16">
        <v>15.06</v>
      </c>
      <c r="R34" s="22"/>
      <c r="S34" s="22">
        <v>0.0</v>
      </c>
      <c r="T34" s="16">
        <v>0.42</v>
      </c>
      <c r="U34" s="22"/>
      <c r="V34" s="22"/>
      <c r="W34" s="22"/>
    </row>
    <row r="35" ht="15.0" customHeight="1">
      <c r="A35" s="14" t="s">
        <v>361</v>
      </c>
      <c r="B35" s="22"/>
      <c r="C35" s="16">
        <v>36.49</v>
      </c>
      <c r="D35" s="16">
        <v>69.23</v>
      </c>
      <c r="E35" s="16">
        <v>4.57</v>
      </c>
      <c r="F35" s="20">
        <v>-60.47</v>
      </c>
      <c r="G35" s="16">
        <v>4.29</v>
      </c>
      <c r="H35" s="16">
        <v>5.61</v>
      </c>
      <c r="I35" s="16">
        <v>3.98</v>
      </c>
      <c r="J35" s="16">
        <v>4.82</v>
      </c>
      <c r="K35" s="16">
        <v>5.78</v>
      </c>
      <c r="L35" s="16">
        <v>0.83</v>
      </c>
      <c r="M35" s="16">
        <v>3.31</v>
      </c>
      <c r="N35" s="16">
        <v>7.02</v>
      </c>
      <c r="O35" s="16">
        <v>10.16</v>
      </c>
      <c r="P35" s="16">
        <v>6.11</v>
      </c>
      <c r="Q35" s="16">
        <v>7.66</v>
      </c>
      <c r="R35" s="16">
        <v>23.44</v>
      </c>
      <c r="S35" s="16">
        <v>16.61</v>
      </c>
      <c r="T35" s="16">
        <v>21.01</v>
      </c>
      <c r="U35" s="22"/>
      <c r="V35" s="22"/>
      <c r="W35" s="22"/>
    </row>
    <row r="36" ht="15.0" customHeight="1">
      <c r="A36" s="14" t="s">
        <v>362</v>
      </c>
      <c r="B36" s="22"/>
      <c r="C36" s="16">
        <v>1.01</v>
      </c>
      <c r="D36" s="22">
        <v>0.0</v>
      </c>
      <c r="E36" s="20">
        <v>-0.02</v>
      </c>
      <c r="F36" s="16">
        <v>0.43</v>
      </c>
      <c r="G36" s="16">
        <v>0.26</v>
      </c>
      <c r="H36" s="20">
        <v>-0.68</v>
      </c>
      <c r="I36" s="20">
        <v>-2.05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5.0" customHeight="1">
      <c r="A37" s="14" t="s">
        <v>363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>
        <v>0.0</v>
      </c>
      <c r="P37" s="20">
        <v>-1.46</v>
      </c>
      <c r="Q37" s="22">
        <v>0.0</v>
      </c>
      <c r="R37" s="16">
        <v>2.42</v>
      </c>
      <c r="S37" s="16">
        <v>6.41</v>
      </c>
      <c r="T37" s="16">
        <v>0.62</v>
      </c>
      <c r="U37" s="22"/>
      <c r="V37" s="22"/>
      <c r="W37" s="22"/>
    </row>
    <row r="38" ht="15.0" customHeight="1">
      <c r="A38" s="14" t="s">
        <v>364</v>
      </c>
      <c r="B38" s="22"/>
      <c r="C38" s="20">
        <v>-0.6</v>
      </c>
      <c r="D38" s="16">
        <v>2.37</v>
      </c>
      <c r="E38" s="20">
        <v>-1.17</v>
      </c>
      <c r="F38" s="20">
        <v>-0.35</v>
      </c>
      <c r="G38" s="22">
        <v>0.0</v>
      </c>
      <c r="H38" s="20">
        <v>-0.06</v>
      </c>
      <c r="I38" s="20">
        <v>-0.14</v>
      </c>
      <c r="J38" s="20">
        <v>-0.23</v>
      </c>
      <c r="K38" s="20">
        <v>-0.38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15.0" customHeight="1">
      <c r="A39" s="14" t="s">
        <v>365</v>
      </c>
      <c r="B39" s="22"/>
      <c r="C39" s="16">
        <v>33.23</v>
      </c>
      <c r="D39" s="20">
        <v>-12.75</v>
      </c>
      <c r="E39" s="16">
        <v>96.01</v>
      </c>
      <c r="F39" s="21">
        <v>-101.9</v>
      </c>
      <c r="G39" s="20">
        <v>-17.38</v>
      </c>
      <c r="H39" s="16">
        <v>23.97</v>
      </c>
      <c r="I39" s="16">
        <v>5.29</v>
      </c>
      <c r="J39" s="20">
        <v>-1.93</v>
      </c>
      <c r="K39" s="16">
        <v>14.88</v>
      </c>
      <c r="L39" s="16">
        <v>13.26</v>
      </c>
      <c r="M39" s="16">
        <v>3.13</v>
      </c>
      <c r="N39" s="16">
        <v>21.41</v>
      </c>
      <c r="O39" s="16">
        <v>2.81</v>
      </c>
      <c r="P39" s="20">
        <v>-1.04</v>
      </c>
      <c r="Q39" s="16">
        <v>31.58</v>
      </c>
      <c r="R39" s="20">
        <v>-37.08</v>
      </c>
      <c r="S39" s="16">
        <v>2.92</v>
      </c>
      <c r="T39" s="16">
        <v>5.62</v>
      </c>
      <c r="U39" s="22"/>
      <c r="V39" s="22"/>
      <c r="W39" s="22"/>
    </row>
    <row r="40" ht="15.0" customHeight="1">
      <c r="A40" s="14" t="s">
        <v>366</v>
      </c>
      <c r="B40" s="22"/>
      <c r="C40" s="20">
        <v>-78.27</v>
      </c>
      <c r="D40" s="16">
        <v>53.36</v>
      </c>
      <c r="E40" s="20">
        <v>-86.75</v>
      </c>
      <c r="F40" s="16">
        <v>71.0</v>
      </c>
      <c r="G40" s="16">
        <v>28.61</v>
      </c>
      <c r="H40" s="20">
        <v>-12.3</v>
      </c>
      <c r="I40" s="20">
        <v>-41.01</v>
      </c>
      <c r="J40" s="16">
        <v>16.36</v>
      </c>
      <c r="K40" s="20">
        <v>-4.16</v>
      </c>
      <c r="L40" s="16">
        <v>16.96</v>
      </c>
      <c r="M40" s="16">
        <v>1.68</v>
      </c>
      <c r="N40" s="16">
        <v>16.44</v>
      </c>
      <c r="O40" s="20">
        <v>-14.6</v>
      </c>
      <c r="P40" s="22"/>
      <c r="Q40" s="22"/>
      <c r="R40" s="22"/>
      <c r="S40" s="22"/>
      <c r="T40" s="22"/>
      <c r="U40" s="22"/>
      <c r="V40" s="22"/>
      <c r="W40" s="22"/>
    </row>
    <row r="41" ht="15.0" customHeight="1">
      <c r="A41" s="14" t="s">
        <v>367</v>
      </c>
      <c r="B41" s="15">
        <v>296.45</v>
      </c>
      <c r="C41" s="22"/>
      <c r="D41" s="15">
        <v>299.75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ht="15.0" customHeight="1">
      <c r="A42" s="14" t="s">
        <v>368</v>
      </c>
      <c r="B42" s="16">
        <v>15.3</v>
      </c>
      <c r="C42" s="22"/>
      <c r="D42" s="22"/>
      <c r="E42" s="22"/>
      <c r="F42" s="22"/>
      <c r="G42" s="22"/>
      <c r="H42" s="22"/>
      <c r="I42" s="22"/>
      <c r="J42" s="16">
        <v>32.06</v>
      </c>
      <c r="K42" s="16">
        <v>3.86</v>
      </c>
      <c r="L42" s="16">
        <v>0.05</v>
      </c>
      <c r="M42" s="20">
        <v>-22.18</v>
      </c>
      <c r="N42" s="22"/>
      <c r="O42" s="22"/>
      <c r="P42" s="16">
        <v>14.91</v>
      </c>
      <c r="Q42" s="20">
        <v>-17.7</v>
      </c>
      <c r="R42" s="16">
        <v>24.31</v>
      </c>
      <c r="S42" s="20">
        <v>-45.77</v>
      </c>
      <c r="T42" s="16">
        <v>36.82</v>
      </c>
      <c r="U42" s="22"/>
      <c r="V42" s="22"/>
      <c r="W42" s="22"/>
    </row>
    <row r="43" ht="15.0" customHeight="1">
      <c r="A43" s="14" t="s">
        <v>368</v>
      </c>
      <c r="B43" s="22"/>
      <c r="C43" s="22"/>
      <c r="D43" s="22"/>
      <c r="E43" s="22"/>
      <c r="F43" s="22"/>
      <c r="G43" s="22"/>
      <c r="H43" s="22"/>
      <c r="I43" s="22"/>
      <c r="J43" s="16">
        <v>46.24</v>
      </c>
      <c r="K43" s="16">
        <v>14.2</v>
      </c>
      <c r="L43" s="16">
        <v>30.27</v>
      </c>
      <c r="M43" s="16">
        <v>13.22</v>
      </c>
      <c r="N43" s="16">
        <v>54.01</v>
      </c>
      <c r="O43" s="16">
        <v>54.48</v>
      </c>
      <c r="P43" s="22"/>
      <c r="Q43" s="22"/>
      <c r="R43" s="22"/>
      <c r="S43" s="22"/>
      <c r="T43" s="22"/>
      <c r="U43" s="22"/>
      <c r="V43" s="22"/>
      <c r="W43" s="22"/>
    </row>
    <row r="44" ht="15.0" customHeight="1">
      <c r="A44" s="14" t="s">
        <v>369</v>
      </c>
      <c r="B44" s="22"/>
      <c r="C44" s="20">
        <v>-39.08</v>
      </c>
      <c r="D44" s="20">
        <v>-36.65</v>
      </c>
      <c r="E44" s="20">
        <v>-10.31</v>
      </c>
      <c r="F44" s="20">
        <v>-13.5</v>
      </c>
      <c r="G44" s="20">
        <v>-18.41</v>
      </c>
      <c r="H44" s="20">
        <v>-17.19</v>
      </c>
      <c r="I44" s="20">
        <v>-5.62</v>
      </c>
      <c r="J44" s="20">
        <v>-11.15</v>
      </c>
      <c r="K44" s="20">
        <v>-12.93</v>
      </c>
      <c r="L44" s="20">
        <v>-13.69</v>
      </c>
      <c r="M44" s="20">
        <v>-10.82</v>
      </c>
      <c r="N44" s="20">
        <v>-10.94</v>
      </c>
      <c r="O44" s="20">
        <v>-10.18</v>
      </c>
      <c r="P44" s="20">
        <v>-12.44</v>
      </c>
      <c r="Q44" s="20">
        <v>-15.29</v>
      </c>
      <c r="R44" s="20">
        <v>-24.29</v>
      </c>
      <c r="S44" s="20">
        <v>-17.03</v>
      </c>
      <c r="T44" s="20">
        <v>-18.08</v>
      </c>
      <c r="U44" s="22"/>
      <c r="V44" s="22"/>
      <c r="W44" s="22"/>
    </row>
    <row r="45" ht="15.0" customHeight="1">
      <c r="A45" s="14" t="s">
        <v>370</v>
      </c>
      <c r="B45" s="22"/>
      <c r="C45" s="16">
        <v>0.78</v>
      </c>
      <c r="D45" s="16">
        <v>0.44</v>
      </c>
      <c r="E45" s="16">
        <v>0.67</v>
      </c>
      <c r="F45" s="16">
        <v>0.23</v>
      </c>
      <c r="G45" s="16">
        <v>0.34</v>
      </c>
      <c r="H45" s="22"/>
      <c r="I45" s="16">
        <v>0.01</v>
      </c>
      <c r="J45" s="16">
        <v>1.09</v>
      </c>
      <c r="K45" s="16">
        <v>0.78</v>
      </c>
      <c r="L45" s="16">
        <v>0.68</v>
      </c>
      <c r="M45" s="16">
        <v>0.01</v>
      </c>
      <c r="N45" s="16">
        <v>0.01</v>
      </c>
      <c r="O45" s="16">
        <v>0.46</v>
      </c>
      <c r="P45" s="16">
        <v>0.71</v>
      </c>
      <c r="Q45" s="16">
        <v>0.81</v>
      </c>
      <c r="R45" s="16">
        <v>0.64</v>
      </c>
      <c r="S45" s="16">
        <v>1.21</v>
      </c>
      <c r="T45" s="16">
        <v>0.01</v>
      </c>
      <c r="U45" s="16">
        <v>0.55</v>
      </c>
      <c r="V45" s="16">
        <v>0.37</v>
      </c>
      <c r="W45" s="16">
        <v>1.44</v>
      </c>
    </row>
    <row r="46" ht="15.0" customHeight="1">
      <c r="A46" s="14" t="s">
        <v>371</v>
      </c>
      <c r="B46" s="20">
        <v>-76.53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5.0" customHeight="1">
      <c r="A47" s="14" t="s">
        <v>372</v>
      </c>
      <c r="B47" s="22"/>
      <c r="C47" s="20">
        <v>-5.59</v>
      </c>
      <c r="D47" s="20">
        <v>-2.67</v>
      </c>
      <c r="E47" s="20">
        <v>-2.12</v>
      </c>
      <c r="F47" s="20">
        <v>-4.77</v>
      </c>
      <c r="G47" s="20">
        <v>-3.46</v>
      </c>
      <c r="H47" s="20">
        <v>-1.96</v>
      </c>
      <c r="I47" s="20">
        <v>-1.79</v>
      </c>
      <c r="J47" s="20">
        <v>-2.09</v>
      </c>
      <c r="K47" s="20">
        <v>-2.13</v>
      </c>
      <c r="L47" s="20">
        <v>-5.84</v>
      </c>
      <c r="M47" s="20">
        <v>-3.23</v>
      </c>
      <c r="N47" s="20">
        <v>-3.63</v>
      </c>
      <c r="O47" s="20">
        <v>-3.41</v>
      </c>
      <c r="P47" s="20">
        <v>-2.54</v>
      </c>
      <c r="Q47" s="20">
        <v>-1.77</v>
      </c>
      <c r="R47" s="20">
        <v>-0.89</v>
      </c>
      <c r="S47" s="20">
        <v>-0.81</v>
      </c>
      <c r="T47" s="22">
        <v>0.0</v>
      </c>
      <c r="U47" s="20">
        <v>-0.13</v>
      </c>
      <c r="V47" s="16">
        <v>0.37</v>
      </c>
      <c r="W47" s="20">
        <v>-1.18</v>
      </c>
    </row>
    <row r="48" ht="15.0" customHeight="1">
      <c r="A48" s="14" t="s">
        <v>373</v>
      </c>
      <c r="B48" s="22"/>
      <c r="C48" s="20">
        <v>-37.76</v>
      </c>
      <c r="D48" s="20">
        <v>-14.42</v>
      </c>
      <c r="E48" s="20">
        <v>-8.02</v>
      </c>
      <c r="F48" s="20">
        <v>-5.65</v>
      </c>
      <c r="G48" s="20">
        <v>-4.66</v>
      </c>
      <c r="H48" s="22"/>
      <c r="I48" s="20">
        <v>-4.72</v>
      </c>
      <c r="J48" s="20">
        <v>-1.81</v>
      </c>
      <c r="K48" s="20">
        <v>-4.37</v>
      </c>
      <c r="L48" s="20">
        <v>-1.36</v>
      </c>
      <c r="M48" s="20">
        <v>-2.92</v>
      </c>
      <c r="N48" s="20">
        <v>-9.71</v>
      </c>
      <c r="O48" s="20">
        <v>-8.67</v>
      </c>
      <c r="P48" s="20">
        <v>-7.75</v>
      </c>
      <c r="Q48" s="20">
        <v>-5.46</v>
      </c>
      <c r="R48" s="20">
        <v>-1.55</v>
      </c>
      <c r="S48" s="20">
        <v>-10.91</v>
      </c>
      <c r="T48" s="20">
        <v>-0.62</v>
      </c>
      <c r="U48" s="20">
        <v>-0.82</v>
      </c>
      <c r="V48" s="20">
        <v>-0.88</v>
      </c>
      <c r="W48" s="20">
        <v>-1.19</v>
      </c>
    </row>
    <row r="49" ht="15.0" customHeight="1">
      <c r="A49" s="14" t="s">
        <v>374</v>
      </c>
      <c r="B49" s="22"/>
      <c r="C49" s="22"/>
      <c r="D49" s="22"/>
      <c r="E49" s="22"/>
      <c r="F49" s="22"/>
      <c r="G49" s="22"/>
      <c r="H49" s="22"/>
      <c r="I49" s="22"/>
      <c r="J49" s="22"/>
      <c r="K49" s="22">
        <v>0.0</v>
      </c>
      <c r="L49" s="16">
        <v>0.17</v>
      </c>
      <c r="M49" s="22"/>
      <c r="N49" s="22"/>
      <c r="O49" s="22"/>
      <c r="P49" s="22"/>
      <c r="Q49" s="22"/>
      <c r="R49" s="22">
        <v>0.0</v>
      </c>
      <c r="S49" s="16">
        <v>3.97</v>
      </c>
      <c r="T49" s="22">
        <v>0.0</v>
      </c>
      <c r="U49" s="22"/>
      <c r="V49" s="22"/>
      <c r="W49" s="22"/>
    </row>
    <row r="50" ht="15.0" customHeight="1">
      <c r="A50" s="14" t="s">
        <v>375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16">
        <v>5.77</v>
      </c>
      <c r="V50" s="20">
        <v>-0.54</v>
      </c>
      <c r="W50" s="20">
        <v>-0.49</v>
      </c>
    </row>
    <row r="51" ht="15.0" customHeight="1">
      <c r="A51" s="14" t="s">
        <v>376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0">
        <v>-0.6</v>
      </c>
      <c r="V51" s="20">
        <v>-0.8</v>
      </c>
      <c r="W51" s="20">
        <v>-0.98</v>
      </c>
    </row>
    <row r="52" ht="15.0" customHeight="1">
      <c r="A52" s="14" t="s">
        <v>377</v>
      </c>
      <c r="B52" s="22"/>
      <c r="C52" s="16">
        <v>0.02</v>
      </c>
      <c r="D52" s="22"/>
      <c r="E52" s="20">
        <v>-0.01</v>
      </c>
      <c r="F52" s="20">
        <v>-0.01</v>
      </c>
      <c r="G52" s="20">
        <v>-0.02</v>
      </c>
      <c r="H52" s="20">
        <v>-0.02</v>
      </c>
      <c r="I52" s="16">
        <v>0.01</v>
      </c>
      <c r="J52" s="16">
        <v>0.01</v>
      </c>
      <c r="K52" s="20">
        <v>-0.01</v>
      </c>
      <c r="L52" s="20">
        <v>-0.01</v>
      </c>
      <c r="M52" s="22"/>
      <c r="N52" s="22"/>
      <c r="O52" s="22"/>
      <c r="P52" s="20">
        <v>-0.01</v>
      </c>
      <c r="Q52" s="22"/>
      <c r="R52" s="22"/>
      <c r="S52" s="22"/>
      <c r="T52" s="22"/>
      <c r="U52" s="22"/>
      <c r="V52" s="22"/>
      <c r="W52" s="22"/>
    </row>
    <row r="53" ht="15.0" customHeight="1">
      <c r="A53" s="14" t="s">
        <v>378</v>
      </c>
      <c r="B53" s="22"/>
      <c r="C53" s="22"/>
      <c r="D53" s="16">
        <v>0.02</v>
      </c>
      <c r="E53" s="20">
        <v>-0.07</v>
      </c>
      <c r="F53" s="20">
        <v>-0.1</v>
      </c>
      <c r="G53" s="16">
        <v>0.46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5.0" customHeight="1">
      <c r="A54" s="17" t="s">
        <v>379</v>
      </c>
      <c r="B54" s="18">
        <v>235.21</v>
      </c>
      <c r="C54" s="18">
        <v>137.9</v>
      </c>
      <c r="D54" s="18">
        <v>289.44</v>
      </c>
      <c r="E54" s="19">
        <v>52.81</v>
      </c>
      <c r="F54" s="19">
        <v>79.97</v>
      </c>
      <c r="G54" s="19">
        <v>37.96</v>
      </c>
      <c r="H54" s="19">
        <v>4.51</v>
      </c>
      <c r="I54" s="24">
        <v>-7.97</v>
      </c>
      <c r="J54" s="19">
        <v>32.29</v>
      </c>
      <c r="K54" s="24">
        <v>-4.45</v>
      </c>
      <c r="L54" s="19">
        <v>10.22</v>
      </c>
      <c r="M54" s="24">
        <v>-3.74</v>
      </c>
      <c r="N54" s="19">
        <v>29.74</v>
      </c>
      <c r="O54" s="19">
        <v>32.68</v>
      </c>
      <c r="P54" s="19">
        <v>37.93</v>
      </c>
      <c r="Q54" s="19">
        <v>23.11</v>
      </c>
      <c r="R54" s="19">
        <v>21.12</v>
      </c>
      <c r="S54" s="24">
        <v>-6.21</v>
      </c>
      <c r="T54" s="19">
        <v>99.13</v>
      </c>
      <c r="U54" s="19">
        <v>15.18</v>
      </c>
      <c r="V54" s="19">
        <v>11.88</v>
      </c>
      <c r="W54" s="19">
        <v>8.12</v>
      </c>
    </row>
    <row r="55" ht="15.0" customHeight="1">
      <c r="A55" s="14" t="s">
        <v>380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0">
        <v>-4.83</v>
      </c>
      <c r="M55" s="20">
        <v>-4.09</v>
      </c>
      <c r="N55" s="20">
        <v>-3.48</v>
      </c>
      <c r="O55" s="20">
        <v>-8.6</v>
      </c>
      <c r="P55" s="20">
        <v>-7.05</v>
      </c>
      <c r="Q55" s="20">
        <v>-6.79</v>
      </c>
      <c r="R55" s="20">
        <v>-25.2</v>
      </c>
      <c r="S55" s="20">
        <v>-91.5</v>
      </c>
      <c r="T55" s="21">
        <v>-165.32</v>
      </c>
      <c r="U55" s="20">
        <v>-3.11</v>
      </c>
      <c r="V55" s="22"/>
      <c r="W55" s="22"/>
    </row>
    <row r="56" ht="15.0" customHeight="1">
      <c r="A56" s="14" t="s">
        <v>381</v>
      </c>
      <c r="B56" s="22"/>
      <c r="C56" s="22"/>
      <c r="D56" s="22"/>
      <c r="E56" s="22"/>
      <c r="F56" s="22"/>
      <c r="G56" s="22"/>
      <c r="H56" s="22"/>
      <c r="I56" s="22">
        <v>0.0</v>
      </c>
      <c r="J56" s="16">
        <v>0.46</v>
      </c>
      <c r="K56" s="16">
        <v>53.52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0" customHeight="1">
      <c r="A57" s="14" t="s">
        <v>382</v>
      </c>
      <c r="B57" s="22"/>
      <c r="C57" s="20">
        <v>-23.02</v>
      </c>
      <c r="D57" s="20">
        <v>-12.79</v>
      </c>
      <c r="E57" s="20">
        <v>-4.26</v>
      </c>
      <c r="F57" s="20">
        <v>-3.47</v>
      </c>
      <c r="G57" s="20">
        <v>-94.65</v>
      </c>
      <c r="H57" s="20">
        <v>-7.16</v>
      </c>
      <c r="I57" s="20">
        <v>-7.16</v>
      </c>
      <c r="J57" s="20">
        <v>-16.28</v>
      </c>
      <c r="K57" s="20">
        <v>-4.16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0" customHeight="1">
      <c r="A58" s="14" t="s">
        <v>383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0">
        <v>-2.09</v>
      </c>
      <c r="W58" s="20">
        <v>-1.75</v>
      </c>
    </row>
    <row r="59" ht="15.0" customHeight="1">
      <c r="A59" s="14" t="s">
        <v>384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16">
        <v>11.99</v>
      </c>
      <c r="M59" s="16">
        <v>6.33</v>
      </c>
      <c r="N59" s="16">
        <v>27.57</v>
      </c>
      <c r="O59" s="16">
        <v>4.78</v>
      </c>
      <c r="P59" s="16">
        <v>0.42</v>
      </c>
      <c r="Q59" s="16">
        <v>0.64</v>
      </c>
      <c r="R59" s="15">
        <v>133.82</v>
      </c>
      <c r="S59" s="16">
        <v>7.95</v>
      </c>
      <c r="T59" s="16">
        <v>0.9</v>
      </c>
      <c r="U59" s="22">
        <v>0.0</v>
      </c>
      <c r="V59" s="22"/>
      <c r="W59" s="22"/>
    </row>
    <row r="60" ht="15.0" customHeight="1">
      <c r="A60" s="14" t="s">
        <v>385</v>
      </c>
      <c r="B60" s="22"/>
      <c r="C60" s="15">
        <v>125.5</v>
      </c>
      <c r="D60" s="22"/>
      <c r="E60" s="22"/>
      <c r="F60" s="22"/>
      <c r="G60" s="22"/>
      <c r="H60" s="22"/>
      <c r="I60" s="22"/>
      <c r="J60" s="22"/>
      <c r="K60" s="22">
        <v>0.0</v>
      </c>
      <c r="L60" s="16">
        <v>0.29</v>
      </c>
      <c r="M60" s="22">
        <v>0.0</v>
      </c>
      <c r="N60" s="16">
        <v>0.02</v>
      </c>
      <c r="O60" s="22"/>
      <c r="P60" s="22">
        <v>0.0</v>
      </c>
      <c r="Q60" s="16">
        <v>0.03</v>
      </c>
      <c r="R60" s="22">
        <v>0.0</v>
      </c>
      <c r="S60" s="16">
        <v>32.7</v>
      </c>
      <c r="T60" s="22">
        <v>0.0</v>
      </c>
      <c r="U60" s="22"/>
      <c r="V60" s="22"/>
      <c r="W60" s="22"/>
    </row>
    <row r="61" ht="15.0" customHeight="1">
      <c r="A61" s="14" t="s">
        <v>386</v>
      </c>
      <c r="B61" s="22"/>
      <c r="C61" s="16">
        <v>11.33</v>
      </c>
      <c r="D61" s="20">
        <v>-7.03</v>
      </c>
      <c r="E61" s="20">
        <v>-3.56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ht="15.0" customHeight="1">
      <c r="A62" s="14" t="s">
        <v>117</v>
      </c>
      <c r="B62" s="22"/>
      <c r="C62" s="22"/>
      <c r="D62" s="22"/>
      <c r="E62" s="22"/>
      <c r="F62" s="22"/>
      <c r="G62" s="22"/>
      <c r="H62" s="22">
        <v>0.0</v>
      </c>
      <c r="I62" s="16">
        <v>0.15</v>
      </c>
      <c r="J62" s="22"/>
      <c r="K62" s="22"/>
      <c r="L62" s="22"/>
      <c r="M62" s="22"/>
      <c r="N62" s="22"/>
      <c r="O62" s="22">
        <v>0.0</v>
      </c>
      <c r="P62" s="16">
        <v>3.15</v>
      </c>
      <c r="Q62" s="22">
        <v>0.0</v>
      </c>
      <c r="R62" s="22"/>
      <c r="S62" s="22"/>
      <c r="T62" s="22"/>
      <c r="U62" s="22"/>
      <c r="V62" s="22"/>
      <c r="W62" s="22"/>
    </row>
    <row r="63" ht="15.0" customHeight="1">
      <c r="A63" s="14" t="s">
        <v>387</v>
      </c>
      <c r="B63" s="22"/>
      <c r="C63" s="22"/>
      <c r="D63" s="22"/>
      <c r="E63" s="22"/>
      <c r="F63" s="22"/>
      <c r="G63" s="22"/>
      <c r="H63" s="22"/>
      <c r="I63" s="22"/>
      <c r="J63" s="22"/>
      <c r="K63" s="22">
        <v>0.0</v>
      </c>
      <c r="L63" s="16">
        <v>0.04</v>
      </c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15.0" customHeight="1">
      <c r="A64" s="14" t="s">
        <v>388</v>
      </c>
      <c r="B64" s="22"/>
      <c r="C64" s="22"/>
      <c r="D64" s="22"/>
      <c r="E64" s="22"/>
      <c r="F64" s="22"/>
      <c r="G64" s="22"/>
      <c r="H64" s="20">
        <v>-1.08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ht="15.0" customHeight="1">
      <c r="A65" s="14" t="s">
        <v>389</v>
      </c>
      <c r="B65" s="22"/>
      <c r="C65" s="20">
        <v>-76.14</v>
      </c>
      <c r="D65" s="16">
        <v>48.45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ht="15.0" customHeight="1">
      <c r="A66" s="14" t="s">
        <v>390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>
        <v>0.0</v>
      </c>
      <c r="R66" s="16">
        <v>2.32</v>
      </c>
      <c r="S66" s="16">
        <v>19.31</v>
      </c>
      <c r="T66" s="22">
        <v>0.0</v>
      </c>
      <c r="U66" s="22"/>
      <c r="V66" s="22"/>
      <c r="W66" s="22"/>
    </row>
    <row r="67" ht="15.0" customHeight="1">
      <c r="A67" s="14" t="s">
        <v>391</v>
      </c>
      <c r="B67" s="22"/>
      <c r="C67" s="22"/>
      <c r="D67" s="22">
        <v>0.0</v>
      </c>
      <c r="E67" s="22">
        <v>0.0</v>
      </c>
      <c r="F67" s="20">
        <v>-1.76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>
        <v>0.0</v>
      </c>
      <c r="R67" s="20">
        <v>-3.16</v>
      </c>
      <c r="S67" s="16">
        <v>51.39</v>
      </c>
      <c r="T67" s="20">
        <v>-10.71</v>
      </c>
      <c r="U67" s="22"/>
      <c r="V67" s="22"/>
      <c r="W67" s="22"/>
    </row>
    <row r="68" ht="15.0" customHeight="1">
      <c r="A68" s="14" t="s">
        <v>392</v>
      </c>
      <c r="B68" s="22"/>
      <c r="C68" s="22"/>
      <c r="D68" s="22"/>
      <c r="E68" s="22"/>
      <c r="F68" s="22"/>
      <c r="G68" s="22"/>
      <c r="H68" s="22"/>
      <c r="I68" s="22"/>
      <c r="J68" s="22"/>
      <c r="K68" s="22">
        <v>0.0</v>
      </c>
      <c r="L68" s="20">
        <v>-4.58</v>
      </c>
      <c r="M68" s="22"/>
      <c r="N68" s="22"/>
      <c r="O68" s="22"/>
      <c r="P68" s="22"/>
      <c r="Q68" s="22"/>
      <c r="R68" s="22"/>
      <c r="S68" s="20">
        <v>-2.06</v>
      </c>
      <c r="T68" s="22">
        <v>0.0</v>
      </c>
      <c r="U68" s="22"/>
      <c r="V68" s="22"/>
      <c r="W68" s="22"/>
    </row>
    <row r="69" ht="15.0" customHeight="1">
      <c r="A69" s="14" t="s">
        <v>393</v>
      </c>
      <c r="B69" s="22"/>
      <c r="C69" s="22"/>
      <c r="D69" s="22"/>
      <c r="E69" s="22"/>
      <c r="F69" s="22"/>
      <c r="G69" s="22"/>
      <c r="H69" s="22"/>
      <c r="I69" s="22"/>
      <c r="J69" s="22">
        <v>0.0</v>
      </c>
      <c r="K69" s="16">
        <v>4.76</v>
      </c>
      <c r="L69" s="22">
        <v>0.0</v>
      </c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0" customHeight="1">
      <c r="A70" s="14" t="s">
        <v>394</v>
      </c>
      <c r="B70" s="22"/>
      <c r="C70" s="22"/>
      <c r="D70" s="22"/>
      <c r="E70" s="16">
        <v>0.01</v>
      </c>
      <c r="F70" s="20">
        <v>-0.01</v>
      </c>
      <c r="G70" s="22"/>
      <c r="H70" s="22"/>
      <c r="I70" s="22"/>
      <c r="J70" s="16">
        <v>0.01</v>
      </c>
      <c r="K70" s="22"/>
      <c r="L70" s="22"/>
      <c r="M70" s="22"/>
      <c r="N70" s="22"/>
      <c r="O70" s="22"/>
      <c r="P70" s="20">
        <v>-0.01</v>
      </c>
      <c r="Q70" s="22"/>
      <c r="R70" s="22"/>
      <c r="S70" s="22"/>
      <c r="T70" s="22"/>
      <c r="U70" s="22"/>
      <c r="V70" s="22"/>
      <c r="W70" s="22"/>
    </row>
    <row r="71" ht="15.0" customHeight="1">
      <c r="A71" s="14" t="s">
        <v>395</v>
      </c>
      <c r="B71" s="22"/>
      <c r="C71" s="22"/>
      <c r="D71" s="22"/>
      <c r="E71" s="22"/>
      <c r="F71" s="22"/>
      <c r="G71" s="22"/>
      <c r="H71" s="22">
        <v>0.0</v>
      </c>
      <c r="I71" s="20">
        <v>-1.66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ht="15.0" customHeight="1">
      <c r="A72" s="14" t="s">
        <v>396</v>
      </c>
      <c r="B72" s="22"/>
      <c r="C72" s="22"/>
      <c r="D72" s="22"/>
      <c r="E72" s="22"/>
      <c r="F72" s="22"/>
      <c r="G72" s="22"/>
      <c r="H72" s="16">
        <v>7.44</v>
      </c>
      <c r="I72" s="16">
        <v>66.51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15.0" customHeight="1">
      <c r="A73" s="14" t="s">
        <v>397</v>
      </c>
      <c r="B73" s="22"/>
      <c r="C73" s="22"/>
      <c r="D73" s="22"/>
      <c r="E73" s="22">
        <v>0.0</v>
      </c>
      <c r="F73" s="16">
        <v>0.18</v>
      </c>
      <c r="G73" s="16">
        <v>2.51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15.0" customHeight="1">
      <c r="A74" s="17" t="s">
        <v>398</v>
      </c>
      <c r="B74" s="24">
        <v>-79.24</v>
      </c>
      <c r="C74" s="19">
        <v>37.67</v>
      </c>
      <c r="D74" s="19">
        <v>28.63</v>
      </c>
      <c r="E74" s="24">
        <v>-7.81</v>
      </c>
      <c r="F74" s="24">
        <v>-5.05</v>
      </c>
      <c r="G74" s="24">
        <v>-92.14</v>
      </c>
      <c r="H74" s="24">
        <v>-0.8</v>
      </c>
      <c r="I74" s="19">
        <v>57.84</v>
      </c>
      <c r="J74" s="24">
        <v>-15.81</v>
      </c>
      <c r="K74" s="19">
        <v>54.11</v>
      </c>
      <c r="L74" s="19">
        <v>2.91</v>
      </c>
      <c r="M74" s="19">
        <v>2.24</v>
      </c>
      <c r="N74" s="19">
        <v>24.11</v>
      </c>
      <c r="O74" s="24">
        <v>-3.83</v>
      </c>
      <c r="P74" s="24">
        <v>-3.49</v>
      </c>
      <c r="Q74" s="24">
        <v>-6.12</v>
      </c>
      <c r="R74" s="18">
        <v>107.79</v>
      </c>
      <c r="S74" s="19">
        <v>17.8</v>
      </c>
      <c r="T74" s="25">
        <v>-175.13</v>
      </c>
      <c r="U74" s="24">
        <v>-3.11</v>
      </c>
      <c r="V74" s="24">
        <v>-2.09</v>
      </c>
      <c r="W74" s="24">
        <v>-1.75</v>
      </c>
    </row>
    <row r="75" ht="15.0" customHeight="1">
      <c r="A75" s="14" t="s">
        <v>399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0">
        <v>-8.05</v>
      </c>
      <c r="O75" s="20">
        <v>-6.75</v>
      </c>
      <c r="P75" s="22"/>
      <c r="Q75" s="22"/>
      <c r="R75" s="22"/>
      <c r="S75" s="22"/>
      <c r="T75" s="22"/>
      <c r="U75" s="22"/>
      <c r="V75" s="22"/>
      <c r="W75" s="22"/>
    </row>
    <row r="76" ht="15.0" customHeight="1">
      <c r="A76" s="14" t="s">
        <v>400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16">
        <v>0.53</v>
      </c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15.0" customHeight="1">
      <c r="A77" s="14" t="s">
        <v>401</v>
      </c>
      <c r="B77" s="22"/>
      <c r="C77" s="22"/>
      <c r="D77" s="22"/>
      <c r="E77" s="22"/>
      <c r="F77" s="22"/>
      <c r="G77" s="22"/>
      <c r="H77" s="22"/>
      <c r="I77" s="22">
        <v>0.0</v>
      </c>
      <c r="J77" s="16">
        <v>47.36</v>
      </c>
      <c r="K77" s="22">
        <v>0.0</v>
      </c>
      <c r="L77" s="16">
        <v>15.21</v>
      </c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5.0" customHeight="1">
      <c r="A78" s="14" t="s">
        <v>402</v>
      </c>
      <c r="B78" s="22"/>
      <c r="C78" s="22"/>
      <c r="D78" s="22"/>
      <c r="E78" s="22"/>
      <c r="F78" s="22"/>
      <c r="G78" s="22"/>
      <c r="H78" s="22"/>
      <c r="I78" s="16">
        <v>1.09</v>
      </c>
      <c r="J78" s="22"/>
      <c r="K78" s="22"/>
      <c r="L78" s="16">
        <v>0.64</v>
      </c>
      <c r="M78" s="16">
        <v>17.44</v>
      </c>
      <c r="N78" s="16">
        <v>8.04</v>
      </c>
      <c r="O78" s="16">
        <v>21.73</v>
      </c>
      <c r="P78" s="16">
        <v>31.17</v>
      </c>
      <c r="Q78" s="16">
        <v>27.21</v>
      </c>
      <c r="R78" s="16">
        <v>26.18</v>
      </c>
      <c r="S78" s="16">
        <v>24.71</v>
      </c>
      <c r="T78" s="22">
        <v>0.0</v>
      </c>
      <c r="U78" s="22"/>
      <c r="V78" s="22"/>
      <c r="W78" s="22"/>
    </row>
    <row r="79" ht="15.0" customHeight="1">
      <c r="A79" s="14" t="s">
        <v>402</v>
      </c>
      <c r="B79" s="22"/>
      <c r="C79" s="22"/>
      <c r="D79" s="22"/>
      <c r="E79" s="22"/>
      <c r="F79" s="22"/>
      <c r="G79" s="22"/>
      <c r="H79" s="22"/>
      <c r="I79" s="22"/>
      <c r="J79" s="16">
        <v>0.69</v>
      </c>
      <c r="K79" s="20">
        <v>-0.02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5.0" customHeight="1">
      <c r="A80" s="14" t="s">
        <v>403</v>
      </c>
      <c r="B80" s="22"/>
      <c r="C80" s="20">
        <v>-54.51</v>
      </c>
      <c r="D80" s="22">
        <v>0.0</v>
      </c>
      <c r="E80" s="20">
        <v>-12.59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ht="15.0" customHeight="1">
      <c r="A81" s="14" t="s">
        <v>404</v>
      </c>
      <c r="B81" s="22"/>
      <c r="C81" s="22"/>
      <c r="D81" s="22"/>
      <c r="E81" s="22"/>
      <c r="F81" s="22"/>
      <c r="G81" s="22"/>
      <c r="H81" s="20">
        <v>-5.36</v>
      </c>
      <c r="I81" s="22">
        <v>0.0</v>
      </c>
      <c r="J81" s="20">
        <v>-5.6</v>
      </c>
      <c r="K81" s="20">
        <v>-48.43</v>
      </c>
      <c r="L81" s="20">
        <v>-39.38</v>
      </c>
      <c r="M81" s="20">
        <v>-16.27</v>
      </c>
      <c r="N81" s="20">
        <v>-38.75</v>
      </c>
      <c r="O81" s="20">
        <v>-11.33</v>
      </c>
      <c r="P81" s="20">
        <v>-25.28</v>
      </c>
      <c r="Q81" s="22">
        <v>0.0</v>
      </c>
      <c r="R81" s="20">
        <v>-80.83</v>
      </c>
      <c r="S81" s="20">
        <v>-3.91</v>
      </c>
      <c r="T81" s="20">
        <v>-12.56</v>
      </c>
      <c r="U81" s="22"/>
      <c r="V81" s="22"/>
      <c r="W81" s="22"/>
    </row>
    <row r="82" ht="15.0" customHeight="1">
      <c r="A82" s="14" t="s">
        <v>405</v>
      </c>
      <c r="B82" s="22"/>
      <c r="C82" s="22"/>
      <c r="D82" s="22"/>
      <c r="E82" s="22"/>
      <c r="F82" s="22"/>
      <c r="G82" s="22"/>
      <c r="H82" s="22"/>
      <c r="I82" s="22"/>
      <c r="J82" s="22">
        <v>0.0</v>
      </c>
      <c r="K82" s="16">
        <v>1.37</v>
      </c>
      <c r="L82" s="22">
        <v>0.0</v>
      </c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15.0" customHeight="1">
      <c r="A83" s="14" t="s">
        <v>406</v>
      </c>
      <c r="B83" s="22"/>
      <c r="C83" s="20">
        <v>-30.82</v>
      </c>
      <c r="D83" s="16">
        <v>24.95</v>
      </c>
      <c r="E83" s="16">
        <v>4.7</v>
      </c>
      <c r="F83" s="20">
        <v>-0.62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ht="15.0" customHeight="1">
      <c r="A84" s="14" t="s">
        <v>407</v>
      </c>
      <c r="B84" s="22"/>
      <c r="C84" s="15">
        <v>245.55</v>
      </c>
      <c r="D84" s="15">
        <v>171.11</v>
      </c>
      <c r="E84" s="22">
        <v>0.0</v>
      </c>
      <c r="F84" s="22"/>
      <c r="G84" s="16">
        <v>0.56</v>
      </c>
      <c r="H84" s="22"/>
      <c r="I84" s="22">
        <v>0.0</v>
      </c>
      <c r="J84" s="16">
        <v>0.62</v>
      </c>
      <c r="K84" s="22">
        <v>0.0</v>
      </c>
      <c r="L84" s="16">
        <v>49.97</v>
      </c>
      <c r="M84" s="22">
        <v>0.0</v>
      </c>
      <c r="N84" s="16">
        <v>3.12</v>
      </c>
      <c r="O84" s="16">
        <v>17.94</v>
      </c>
      <c r="P84" s="16">
        <v>12.04</v>
      </c>
      <c r="Q84" s="16">
        <v>12.8</v>
      </c>
      <c r="R84" s="22">
        <v>0.0</v>
      </c>
      <c r="S84" s="16">
        <v>78.51</v>
      </c>
      <c r="T84" s="16">
        <v>42.92</v>
      </c>
      <c r="U84" s="22"/>
      <c r="V84" s="22"/>
      <c r="W84" s="22"/>
    </row>
    <row r="85" ht="15.0" customHeight="1">
      <c r="A85" s="14" t="s">
        <v>408</v>
      </c>
      <c r="B85" s="22"/>
      <c r="C85" s="21">
        <v>-201.52</v>
      </c>
      <c r="D85" s="21">
        <v>-410.5</v>
      </c>
      <c r="E85" s="20">
        <v>-19.96</v>
      </c>
      <c r="F85" s="20">
        <v>-31.04</v>
      </c>
      <c r="G85" s="22"/>
      <c r="H85" s="20">
        <v>-4.92</v>
      </c>
      <c r="I85" s="20">
        <v>-1.38</v>
      </c>
      <c r="J85" s="20">
        <v>-0.07</v>
      </c>
      <c r="K85" s="20">
        <v>-1.86</v>
      </c>
      <c r="L85" s="22">
        <v>0.0</v>
      </c>
      <c r="M85" s="20">
        <v>-7.52</v>
      </c>
      <c r="N85" s="20">
        <v>-7.81</v>
      </c>
      <c r="O85" s="20">
        <v>-23.35</v>
      </c>
      <c r="P85" s="20">
        <v>-40.69</v>
      </c>
      <c r="Q85" s="20">
        <v>-42.7</v>
      </c>
      <c r="R85" s="20">
        <v>-79.24</v>
      </c>
      <c r="S85" s="20">
        <v>-86.92</v>
      </c>
      <c r="T85" s="21">
        <v>-136.6</v>
      </c>
      <c r="U85" s="22"/>
      <c r="V85" s="22"/>
      <c r="W85" s="22"/>
    </row>
    <row r="86" ht="15.0" customHeight="1">
      <c r="A86" s="14" t="s">
        <v>409</v>
      </c>
      <c r="B86" s="22"/>
      <c r="C86" s="20">
        <v>-13.47</v>
      </c>
      <c r="D86" s="20">
        <v>-9.02</v>
      </c>
      <c r="E86" s="20">
        <v>-6.26</v>
      </c>
      <c r="F86" s="20">
        <v>-6.54</v>
      </c>
      <c r="G86" s="20">
        <v>-24.97</v>
      </c>
      <c r="H86" s="20">
        <v>-57.78</v>
      </c>
      <c r="I86" s="20">
        <v>-3.52</v>
      </c>
      <c r="J86" s="20">
        <v>-4.39</v>
      </c>
      <c r="K86" s="20">
        <v>-8.27</v>
      </c>
      <c r="L86" s="20">
        <v>-20.84</v>
      </c>
      <c r="M86" s="20">
        <v>-6.65</v>
      </c>
      <c r="N86" s="20">
        <v>-6.47</v>
      </c>
      <c r="O86" s="20">
        <v>-4.51</v>
      </c>
      <c r="P86" s="20">
        <v>-5.04</v>
      </c>
      <c r="Q86" s="20">
        <v>-4.2</v>
      </c>
      <c r="R86" s="20">
        <v>-0.73</v>
      </c>
      <c r="S86" s="22"/>
      <c r="T86" s="22"/>
      <c r="U86" s="22"/>
      <c r="V86" s="22"/>
      <c r="W86" s="22"/>
    </row>
    <row r="87" ht="15.0" customHeight="1">
      <c r="A87" s="14" t="s">
        <v>410</v>
      </c>
      <c r="B87" s="22"/>
      <c r="C87" s="20">
        <v>-80.49</v>
      </c>
      <c r="D87" s="20">
        <v>-29.76</v>
      </c>
      <c r="E87" s="20">
        <v>-19.62</v>
      </c>
      <c r="F87" s="20">
        <v>-11.47</v>
      </c>
      <c r="G87" s="20">
        <v>-15.73</v>
      </c>
      <c r="H87" s="20">
        <v>-9.22</v>
      </c>
      <c r="I87" s="20">
        <v>-10.72</v>
      </c>
      <c r="J87" s="20">
        <v>-3.35</v>
      </c>
      <c r="K87" s="20">
        <v>-1.77</v>
      </c>
      <c r="L87" s="20">
        <v>-3.17</v>
      </c>
      <c r="M87" s="20">
        <v>-1.49</v>
      </c>
      <c r="N87" s="22"/>
      <c r="O87" s="22"/>
      <c r="P87" s="20">
        <v>-6.68</v>
      </c>
      <c r="Q87" s="20">
        <v>-7.39</v>
      </c>
      <c r="R87" s="20">
        <v>-10.64</v>
      </c>
      <c r="S87" s="20">
        <v>-13.77</v>
      </c>
      <c r="T87" s="22">
        <v>0.0</v>
      </c>
      <c r="U87" s="20">
        <v>-2.39</v>
      </c>
      <c r="V87" s="20">
        <v>-1.0</v>
      </c>
      <c r="W87" s="20">
        <v>-1.05</v>
      </c>
    </row>
    <row r="88" ht="15.0" customHeight="1">
      <c r="A88" s="14" t="s">
        <v>411</v>
      </c>
      <c r="B88" s="22"/>
      <c r="C88" s="22"/>
      <c r="D88" s="22"/>
      <c r="E88" s="22"/>
      <c r="F88" s="20">
        <v>-11.47</v>
      </c>
      <c r="G88" s="20">
        <v>-15.73</v>
      </c>
      <c r="H88" s="22"/>
      <c r="I88" s="22"/>
      <c r="J88" s="22"/>
      <c r="K88" s="22"/>
      <c r="L88" s="22"/>
      <c r="M88" s="22"/>
      <c r="N88" s="20">
        <v>-13.52</v>
      </c>
      <c r="O88" s="20">
        <v>-4.69</v>
      </c>
      <c r="P88" s="22"/>
      <c r="Q88" s="22"/>
      <c r="R88" s="22"/>
      <c r="S88" s="22"/>
      <c r="T88" s="22"/>
      <c r="U88" s="22"/>
      <c r="V88" s="22"/>
      <c r="W88" s="22"/>
    </row>
    <row r="89" ht="15.0" customHeight="1">
      <c r="A89" s="14" t="s">
        <v>412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>
        <v>0.0</v>
      </c>
      <c r="W89" s="20">
        <v>-0.33</v>
      </c>
    </row>
    <row r="90" ht="15.0" customHeight="1">
      <c r="A90" s="14" t="s">
        <v>413</v>
      </c>
      <c r="B90" s="22"/>
      <c r="C90" s="22">
        <v>0.0</v>
      </c>
      <c r="D90" s="16">
        <v>11.41</v>
      </c>
      <c r="E90" s="22"/>
      <c r="F90" s="22"/>
      <c r="G90" s="22"/>
      <c r="H90" s="22"/>
      <c r="I90" s="22"/>
      <c r="J90" s="22"/>
      <c r="K90" s="22"/>
      <c r="L90" s="22"/>
      <c r="M90" s="22"/>
      <c r="N90" s="22">
        <v>0.0</v>
      </c>
      <c r="O90" s="16">
        <v>0.47</v>
      </c>
      <c r="P90" s="22"/>
      <c r="Q90" s="22"/>
      <c r="R90" s="22"/>
      <c r="S90" s="22"/>
      <c r="T90" s="22"/>
      <c r="U90" s="22"/>
      <c r="V90" s="22"/>
      <c r="W90" s="22"/>
    </row>
    <row r="91" ht="15.0" customHeight="1">
      <c r="A91" s="14" t="s">
        <v>414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0">
        <v>-11.48</v>
      </c>
      <c r="V91" s="20">
        <v>-4.25</v>
      </c>
      <c r="W91" s="20">
        <v>-4.48</v>
      </c>
    </row>
    <row r="92" ht="15.0" customHeight="1">
      <c r="A92" s="14" t="s">
        <v>415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>
        <v>0.0</v>
      </c>
      <c r="N92" s="22">
        <v>0.0</v>
      </c>
      <c r="O92" s="20">
        <v>-0.52</v>
      </c>
      <c r="P92" s="20">
        <v>-0.37</v>
      </c>
      <c r="Q92" s="20">
        <v>-0.45</v>
      </c>
      <c r="R92" s="22"/>
      <c r="S92" s="22"/>
      <c r="T92" s="22"/>
      <c r="U92" s="20">
        <v>-0.31</v>
      </c>
      <c r="V92" s="20">
        <v>-0.08</v>
      </c>
      <c r="W92" s="20">
        <v>-0.48</v>
      </c>
    </row>
    <row r="93" ht="15.0" customHeight="1">
      <c r="A93" s="14" t="s">
        <v>416</v>
      </c>
      <c r="B93" s="22"/>
      <c r="C93" s="16">
        <v>0.01</v>
      </c>
      <c r="D93" s="20">
        <v>-0.01</v>
      </c>
      <c r="E93" s="20">
        <v>-0.01</v>
      </c>
      <c r="F93" s="16">
        <v>0.01</v>
      </c>
      <c r="G93" s="22"/>
      <c r="H93" s="22"/>
      <c r="I93" s="16">
        <v>0.01</v>
      </c>
      <c r="J93" s="22"/>
      <c r="K93" s="20">
        <v>-0.01</v>
      </c>
      <c r="L93" s="20">
        <v>-0.01</v>
      </c>
      <c r="M93" s="22"/>
      <c r="N93" s="22"/>
      <c r="O93" s="20">
        <v>-0.01</v>
      </c>
      <c r="P93" s="20">
        <v>-0.01</v>
      </c>
      <c r="Q93" s="22"/>
      <c r="R93" s="22"/>
      <c r="S93" s="22"/>
      <c r="T93" s="22"/>
      <c r="U93" s="22"/>
      <c r="V93" s="22"/>
      <c r="W93" s="22"/>
    </row>
    <row r="94" ht="15.0" customHeight="1">
      <c r="A94" s="14" t="s">
        <v>417</v>
      </c>
      <c r="B94" s="22"/>
      <c r="C94" s="22"/>
      <c r="D94" s="22"/>
      <c r="E94" s="22">
        <v>0.0</v>
      </c>
      <c r="F94" s="16">
        <v>5.25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ht="15.0" customHeight="1">
      <c r="A95" s="14" t="s">
        <v>417</v>
      </c>
      <c r="B95" s="22"/>
      <c r="C95" s="22"/>
      <c r="D95" s="22"/>
      <c r="E95" s="22"/>
      <c r="F95" s="22"/>
      <c r="G95" s="16">
        <v>1.67</v>
      </c>
      <c r="H95" s="16">
        <v>0.13</v>
      </c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5.0" customHeight="1">
      <c r="A96" s="14" t="s">
        <v>418</v>
      </c>
      <c r="B96" s="22"/>
      <c r="C96" s="22"/>
      <c r="D96" s="22"/>
      <c r="E96" s="22">
        <v>0.0</v>
      </c>
      <c r="F96" s="20">
        <v>-4.82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ht="15.0" customHeight="1">
      <c r="A97" s="14" t="s">
        <v>418</v>
      </c>
      <c r="B97" s="22"/>
      <c r="C97" s="22"/>
      <c r="D97" s="22"/>
      <c r="E97" s="22"/>
      <c r="F97" s="22"/>
      <c r="G97" s="15">
        <v>100.04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ht="15.0" customHeight="1">
      <c r="A98" s="14" t="s">
        <v>419</v>
      </c>
      <c r="B98" s="22"/>
      <c r="C98" s="22"/>
      <c r="D98" s="22"/>
      <c r="E98" s="22"/>
      <c r="F98" s="22"/>
      <c r="G98" s="20">
        <v>-2.68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15.0" customHeight="1">
      <c r="A99" s="17" t="s">
        <v>420</v>
      </c>
      <c r="B99" s="25">
        <v>-108.69</v>
      </c>
      <c r="C99" s="25">
        <v>-135.24</v>
      </c>
      <c r="D99" s="25">
        <v>-241.83</v>
      </c>
      <c r="E99" s="24">
        <v>-53.73</v>
      </c>
      <c r="F99" s="24">
        <v>-49.23</v>
      </c>
      <c r="G99" s="19">
        <v>58.88</v>
      </c>
      <c r="H99" s="24">
        <v>-77.15</v>
      </c>
      <c r="I99" s="24">
        <v>-14.52</v>
      </c>
      <c r="J99" s="19">
        <v>35.25</v>
      </c>
      <c r="K99" s="24">
        <v>-58.99</v>
      </c>
      <c r="L99" s="19">
        <v>2.42</v>
      </c>
      <c r="M99" s="24">
        <v>-13.96</v>
      </c>
      <c r="N99" s="24">
        <v>-63.42</v>
      </c>
      <c r="O99" s="24">
        <v>-11.02</v>
      </c>
      <c r="P99" s="24">
        <v>-34.85</v>
      </c>
      <c r="Q99" s="24">
        <v>-14.72</v>
      </c>
      <c r="R99" s="25">
        <v>-145.26</v>
      </c>
      <c r="S99" s="24">
        <v>-1.38</v>
      </c>
      <c r="T99" s="25">
        <v>-106.24</v>
      </c>
      <c r="U99" s="24">
        <v>-14.17</v>
      </c>
      <c r="V99" s="24">
        <v>-5.33</v>
      </c>
      <c r="W99" s="24">
        <v>-6.35</v>
      </c>
    </row>
    <row r="100" ht="15.0" customHeight="1">
      <c r="A100" s="14" t="s">
        <v>421</v>
      </c>
      <c r="B100" s="15">
        <v>192.53</v>
      </c>
      <c r="C100" s="15">
        <v>150.78</v>
      </c>
      <c r="D100" s="16">
        <v>68.69</v>
      </c>
      <c r="E100" s="16">
        <v>73.42</v>
      </c>
      <c r="F100" s="16">
        <v>44.76</v>
      </c>
      <c r="G100" s="16">
        <v>42.47</v>
      </c>
      <c r="H100" s="15">
        <v>113.3</v>
      </c>
      <c r="I100" s="16">
        <v>77.6</v>
      </c>
      <c r="J100" s="16">
        <v>22.68</v>
      </c>
      <c r="K100" s="16">
        <v>29.72</v>
      </c>
      <c r="L100" s="16">
        <v>14.69</v>
      </c>
      <c r="M100" s="16">
        <v>32.12</v>
      </c>
      <c r="N100" s="16">
        <v>40.87</v>
      </c>
      <c r="O100" s="16">
        <v>18.28</v>
      </c>
      <c r="P100" s="16">
        <v>19.83</v>
      </c>
      <c r="Q100" s="16">
        <v>17.43</v>
      </c>
      <c r="R100" s="16">
        <v>34.87</v>
      </c>
      <c r="S100" s="16">
        <v>31.44</v>
      </c>
      <c r="T100" s="22"/>
      <c r="U100" s="16">
        <v>26.63</v>
      </c>
      <c r="V100" s="16">
        <v>21.41</v>
      </c>
      <c r="W100" s="16">
        <v>22.08</v>
      </c>
    </row>
    <row r="101" ht="15.0" customHeight="1">
      <c r="A101" s="14" t="s">
        <v>422</v>
      </c>
      <c r="B101" s="16">
        <v>47.29</v>
      </c>
      <c r="C101" s="22"/>
      <c r="D101" s="16">
        <v>76.25</v>
      </c>
      <c r="E101" s="20">
        <v>-8.74</v>
      </c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ht="15.0" customHeight="1">
      <c r="A102" s="14" t="s">
        <v>423</v>
      </c>
      <c r="B102" s="16">
        <v>0.05</v>
      </c>
      <c r="C102" s="16">
        <v>0.14</v>
      </c>
      <c r="D102" s="20">
        <v>-0.11</v>
      </c>
      <c r="E102" s="16">
        <v>0.04</v>
      </c>
      <c r="F102" s="16">
        <v>0.03</v>
      </c>
      <c r="G102" s="20">
        <v>-0.23</v>
      </c>
      <c r="H102" s="22"/>
      <c r="I102" s="22">
        <v>0.0</v>
      </c>
      <c r="J102" s="16">
        <v>0.01</v>
      </c>
      <c r="K102" s="16">
        <v>0.33</v>
      </c>
      <c r="L102" s="16">
        <v>0.04</v>
      </c>
      <c r="M102" s="20">
        <v>-1.44</v>
      </c>
      <c r="N102" s="20">
        <v>-0.95</v>
      </c>
      <c r="O102" s="16">
        <v>0.19</v>
      </c>
      <c r="P102" s="20">
        <v>-0.16</v>
      </c>
      <c r="Q102" s="16">
        <v>0.33</v>
      </c>
      <c r="R102" s="20">
        <v>-0.79</v>
      </c>
      <c r="S102" s="20">
        <v>-2.26</v>
      </c>
      <c r="T102" s="22"/>
      <c r="U102" s="22"/>
      <c r="V102" s="22"/>
      <c r="W102" s="22"/>
    </row>
    <row r="103" ht="15.0" customHeight="1">
      <c r="A103" s="14" t="s">
        <v>424</v>
      </c>
      <c r="B103" s="15">
        <v>240.32</v>
      </c>
      <c r="C103" s="15">
        <v>191.77</v>
      </c>
      <c r="D103" s="15">
        <v>143.33</v>
      </c>
      <c r="E103" s="16">
        <v>64.38</v>
      </c>
      <c r="F103" s="16">
        <v>70.11</v>
      </c>
      <c r="G103" s="16">
        <v>46.84</v>
      </c>
      <c r="H103" s="16">
        <v>39.89</v>
      </c>
      <c r="I103" s="15">
        <v>114.08</v>
      </c>
      <c r="J103" s="16">
        <v>77.11</v>
      </c>
      <c r="K103" s="16">
        <v>20.92</v>
      </c>
      <c r="L103" s="16">
        <v>31.42</v>
      </c>
      <c r="M103" s="16">
        <v>13.83</v>
      </c>
      <c r="N103" s="16">
        <v>29.63</v>
      </c>
      <c r="O103" s="16">
        <v>35.97</v>
      </c>
      <c r="P103" s="16">
        <v>19.26</v>
      </c>
      <c r="Q103" s="16">
        <v>19.96</v>
      </c>
      <c r="R103" s="16">
        <v>18.56</v>
      </c>
      <c r="S103" s="16">
        <v>40.81</v>
      </c>
      <c r="T103" s="22"/>
      <c r="U103" s="16">
        <v>24.48</v>
      </c>
      <c r="V103" s="16">
        <v>25.85</v>
      </c>
      <c r="W103" s="16">
        <v>22.09</v>
      </c>
    </row>
    <row r="104" ht="15.0" customHeight="1">
      <c r="A104" s="14" t="s">
        <v>312</v>
      </c>
      <c r="B104" s="22"/>
      <c r="C104" s="22"/>
      <c r="D104" s="22"/>
      <c r="E104" s="22"/>
      <c r="F104" s="22"/>
      <c r="G104" s="22"/>
      <c r="H104" s="22"/>
      <c r="I104" s="22">
        <v>0.0</v>
      </c>
      <c r="J104" s="20">
        <v>-0.15</v>
      </c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ht="15.0" customHeight="1">
      <c r="A105" s="14" t="s">
        <v>425</v>
      </c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0">
        <v>-0.01</v>
      </c>
      <c r="S105" s="16">
        <v>0.02</v>
      </c>
      <c r="T105" s="16">
        <v>0.01</v>
      </c>
      <c r="U105" s="22"/>
      <c r="V105" s="22"/>
      <c r="W105" s="22"/>
    </row>
    <row r="106" ht="15.0" customHeight="1">
      <c r="A106" s="17" t="s">
        <v>426</v>
      </c>
      <c r="B106" s="19">
        <v>47.33</v>
      </c>
      <c r="C106" s="19">
        <v>40.47</v>
      </c>
      <c r="D106" s="19">
        <v>76.13</v>
      </c>
      <c r="E106" s="24">
        <v>-8.69</v>
      </c>
      <c r="F106" s="19">
        <v>25.72</v>
      </c>
      <c r="G106" s="19">
        <v>4.47</v>
      </c>
      <c r="H106" s="24">
        <v>-73.44</v>
      </c>
      <c r="I106" s="19">
        <v>35.35</v>
      </c>
      <c r="J106" s="19">
        <v>51.59</v>
      </c>
      <c r="K106" s="24">
        <v>-9.0</v>
      </c>
      <c r="L106" s="19">
        <v>15.58</v>
      </c>
      <c r="M106" s="24">
        <v>-16.9</v>
      </c>
      <c r="N106" s="24">
        <v>-10.53</v>
      </c>
      <c r="O106" s="19">
        <v>18.02</v>
      </c>
      <c r="P106" s="24">
        <v>-0.57</v>
      </c>
      <c r="Q106" s="19">
        <v>2.6</v>
      </c>
      <c r="R106" s="24">
        <v>-17.16</v>
      </c>
      <c r="S106" s="19">
        <v>7.96</v>
      </c>
      <c r="T106" s="25">
        <v>-182.23</v>
      </c>
      <c r="U106" s="24">
        <v>-2.11</v>
      </c>
      <c r="V106" s="19">
        <v>4.45</v>
      </c>
      <c r="W106" s="19">
        <v>0.02</v>
      </c>
    </row>
    <row r="107" ht="15.0" customHeight="1">
      <c r="A107" s="14" t="s">
        <v>427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0">
        <v>-5.46</v>
      </c>
      <c r="R107" s="20">
        <v>-1.55</v>
      </c>
      <c r="S107" s="20">
        <v>-10.91</v>
      </c>
      <c r="T107" s="20">
        <v>-0.62</v>
      </c>
      <c r="U107" s="20">
        <v>-0.82</v>
      </c>
      <c r="V107" s="20">
        <v>-0.88</v>
      </c>
      <c r="W107" s="20">
        <v>-1.19</v>
      </c>
    </row>
    <row r="108" ht="15.0" customHeight="1">
      <c r="A108" s="14" t="s">
        <v>428</v>
      </c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0">
        <v>-0.6</v>
      </c>
      <c r="V108" s="20">
        <v>-0.8</v>
      </c>
      <c r="W108" s="20">
        <v>-0.98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429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46097.3825008565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430</v>
      </c>
      <c r="X11" s="7" t="s">
        <v>431</v>
      </c>
      <c r="Y11" s="7" t="s">
        <v>432</v>
      </c>
      <c r="Z11" s="7" t="s">
        <v>433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40268.0</v>
      </c>
      <c r="R13" s="9">
        <v>39813.0</v>
      </c>
      <c r="S13" s="9">
        <v>39813.0</v>
      </c>
      <c r="T13" s="9">
        <v>39082.0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</row>
    <row r="16" ht="15.0" customHeight="1" outlineLevel="1">
      <c r="A16" s="8" t="s">
        <v>46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</row>
    <row r="18">
      <c r="A18" s="12" t="s">
        <v>434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435</v>
      </c>
      <c r="X19" s="13" t="s">
        <v>436</v>
      </c>
      <c r="Y19" s="13" t="s">
        <v>437</v>
      </c>
      <c r="Z19" s="13" t="s">
        <v>438</v>
      </c>
    </row>
    <row r="20" ht="15.0" customHeight="1">
      <c r="A20" s="27" t="s">
        <v>439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0" customHeight="1">
      <c r="A21" s="29" t="s">
        <v>439</v>
      </c>
      <c r="B21" s="30">
        <v>1383.7</v>
      </c>
      <c r="C21" s="30">
        <v>1624.46</v>
      </c>
      <c r="D21" s="30">
        <v>878.44</v>
      </c>
      <c r="E21" s="30">
        <v>1788.18</v>
      </c>
      <c r="F21" s="30">
        <v>679.83</v>
      </c>
      <c r="G21" s="30">
        <v>505.42</v>
      </c>
      <c r="H21" s="30">
        <v>183.67</v>
      </c>
      <c r="I21" s="30">
        <v>344.75</v>
      </c>
      <c r="J21" s="30">
        <v>289.07</v>
      </c>
      <c r="K21" s="30">
        <v>384.51</v>
      </c>
      <c r="L21" s="30">
        <v>297.54</v>
      </c>
      <c r="M21" s="30">
        <v>331.83</v>
      </c>
      <c r="N21" s="30">
        <v>352.2</v>
      </c>
      <c r="O21" s="30">
        <v>364.43</v>
      </c>
      <c r="P21" s="30">
        <v>467.34</v>
      </c>
      <c r="Q21" s="30">
        <v>550.53</v>
      </c>
      <c r="R21" s="30">
        <v>587.37</v>
      </c>
      <c r="S21" s="30">
        <v>359.28</v>
      </c>
      <c r="T21" s="31">
        <v>50.85</v>
      </c>
      <c r="U21" s="31">
        <v>31.59</v>
      </c>
      <c r="V21" s="31">
        <v>30.36</v>
      </c>
      <c r="W21" s="31">
        <v>30.11</v>
      </c>
      <c r="X21" s="31">
        <v>32.41</v>
      </c>
      <c r="Y21" s="31">
        <v>75.66</v>
      </c>
      <c r="Z21" s="31">
        <v>67.55</v>
      </c>
    </row>
    <row r="22" ht="15.0" customHeight="1">
      <c r="A22" s="29" t="s">
        <v>440</v>
      </c>
      <c r="B22" s="30">
        <v>1388.78</v>
      </c>
      <c r="C22" s="30">
        <v>1171.94</v>
      </c>
      <c r="D22" s="30">
        <v>832.85</v>
      </c>
      <c r="E22" s="30">
        <v>697.65</v>
      </c>
      <c r="F22" s="30">
        <v>422.49</v>
      </c>
      <c r="G22" s="30">
        <v>347.97</v>
      </c>
      <c r="H22" s="30">
        <v>313.8</v>
      </c>
      <c r="I22" s="30">
        <v>353.68</v>
      </c>
      <c r="J22" s="30">
        <v>349.74</v>
      </c>
      <c r="K22" s="30">
        <v>399.09</v>
      </c>
      <c r="L22" s="30">
        <v>411.83</v>
      </c>
      <c r="M22" s="30">
        <v>435.7</v>
      </c>
      <c r="N22" s="30">
        <v>413.94</v>
      </c>
      <c r="O22" s="30">
        <v>432.19</v>
      </c>
      <c r="P22" s="30">
        <v>371.3</v>
      </c>
      <c r="Q22" s="30">
        <v>302.45</v>
      </c>
      <c r="R22" s="30">
        <v>232.3</v>
      </c>
      <c r="S22" s="31">
        <v>99.47</v>
      </c>
      <c r="T22" s="31">
        <v>35.97</v>
      </c>
      <c r="U22" s="31">
        <v>40.22</v>
      </c>
      <c r="V22" s="31">
        <v>48.45</v>
      </c>
      <c r="W22" s="32"/>
      <c r="X22" s="32"/>
      <c r="Y22" s="32"/>
      <c r="Z22" s="32"/>
    </row>
    <row r="23" ht="15.0" customHeight="1">
      <c r="A23" s="27" t="s">
        <v>441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0" customHeight="1">
      <c r="A24" s="29" t="s">
        <v>441</v>
      </c>
      <c r="B24" s="30">
        <v>935.09</v>
      </c>
      <c r="C24" s="30">
        <v>1020.53</v>
      </c>
      <c r="D24" s="30">
        <v>457.18</v>
      </c>
      <c r="E24" s="30">
        <v>1381.75</v>
      </c>
      <c r="F24" s="30">
        <v>191.72</v>
      </c>
      <c r="G24" s="30">
        <v>106.78</v>
      </c>
      <c r="H24" s="31">
        <v>99.84</v>
      </c>
      <c r="I24" s="30">
        <v>219.15</v>
      </c>
      <c r="J24" s="31">
        <v>84.69</v>
      </c>
      <c r="K24" s="30">
        <v>139.79</v>
      </c>
      <c r="L24" s="30">
        <v>106.86</v>
      </c>
      <c r="M24" s="30">
        <v>158.77</v>
      </c>
      <c r="N24" s="30">
        <v>156.65</v>
      </c>
      <c r="O24" s="30">
        <v>150.78</v>
      </c>
      <c r="P24" s="30">
        <v>245.92</v>
      </c>
      <c r="Q24" s="30">
        <v>303.59</v>
      </c>
      <c r="R24" s="30">
        <v>314.29</v>
      </c>
      <c r="S24" s="31">
        <v>74.76</v>
      </c>
      <c r="T24" s="31">
        <v>60.83</v>
      </c>
      <c r="U24" s="31">
        <v>37.12</v>
      </c>
      <c r="V24" s="31">
        <v>28.05</v>
      </c>
      <c r="W24" s="31">
        <v>24.46</v>
      </c>
      <c r="X24" s="31">
        <v>16.65</v>
      </c>
      <c r="Y24" s="31">
        <v>22.61</v>
      </c>
      <c r="Z24" s="31">
        <v>23.45</v>
      </c>
    </row>
    <row r="25" ht="15.0" customHeight="1">
      <c r="A25" s="29" t="s">
        <v>442</v>
      </c>
      <c r="B25" s="30">
        <v>872.24</v>
      </c>
      <c r="C25" s="30">
        <v>675.61</v>
      </c>
      <c r="D25" s="30">
        <v>463.09</v>
      </c>
      <c r="E25" s="30">
        <v>399.47</v>
      </c>
      <c r="F25" s="30">
        <v>148.38</v>
      </c>
      <c r="G25" s="30">
        <v>132.01</v>
      </c>
      <c r="H25" s="30">
        <v>134.84</v>
      </c>
      <c r="I25" s="30">
        <v>151.64</v>
      </c>
      <c r="J25" s="30">
        <v>138.19</v>
      </c>
      <c r="K25" s="30">
        <v>165.61</v>
      </c>
      <c r="L25" s="30">
        <v>186.69</v>
      </c>
      <c r="M25" s="30">
        <v>213.54</v>
      </c>
      <c r="N25" s="30">
        <v>207.55</v>
      </c>
      <c r="O25" s="30">
        <v>200.34</v>
      </c>
      <c r="P25" s="30">
        <v>182.83</v>
      </c>
      <c r="Q25" s="30">
        <v>150.04</v>
      </c>
      <c r="R25" s="30">
        <v>111.17</v>
      </c>
      <c r="S25" s="31">
        <v>44.07</v>
      </c>
      <c r="T25" s="31">
        <v>33.97</v>
      </c>
      <c r="U25" s="31">
        <v>25.7</v>
      </c>
      <c r="V25" s="31">
        <v>23.54</v>
      </c>
      <c r="W25" s="32"/>
      <c r="X25" s="32"/>
      <c r="Y25" s="32"/>
      <c r="Z25" s="32"/>
    </row>
    <row r="26" ht="15.0" customHeight="1">
      <c r="A26" s="27" t="s">
        <v>443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0" customHeight="1">
      <c r="A27" s="29" t="s">
        <v>444</v>
      </c>
      <c r="B27" s="31">
        <v>11.96</v>
      </c>
      <c r="C27" s="31">
        <v>13.06</v>
      </c>
      <c r="D27" s="31">
        <v>5.85</v>
      </c>
      <c r="E27" s="31">
        <v>17.9</v>
      </c>
      <c r="F27" s="31">
        <v>4.27</v>
      </c>
      <c r="G27" s="31">
        <v>2.39</v>
      </c>
      <c r="H27" s="31">
        <v>2.26</v>
      </c>
      <c r="I27" s="31">
        <v>4.95</v>
      </c>
      <c r="J27" s="31">
        <v>3.23</v>
      </c>
      <c r="K27" s="31">
        <v>5.4</v>
      </c>
      <c r="L27" s="31">
        <v>4.58</v>
      </c>
      <c r="M27" s="31">
        <v>6.83</v>
      </c>
      <c r="N27" s="31">
        <v>6.79</v>
      </c>
      <c r="O27" s="31">
        <v>6.54</v>
      </c>
      <c r="P27" s="31">
        <v>10.69</v>
      </c>
      <c r="Q27" s="31">
        <v>13.19</v>
      </c>
      <c r="R27" s="31">
        <v>13.83</v>
      </c>
      <c r="S27" s="31">
        <v>19.2</v>
      </c>
      <c r="T27" s="31">
        <v>15.62</v>
      </c>
      <c r="U27" s="31">
        <v>9.48</v>
      </c>
      <c r="V27" s="31">
        <v>7.04</v>
      </c>
      <c r="W27" s="31">
        <v>6.14</v>
      </c>
      <c r="X27" s="31">
        <v>4.18</v>
      </c>
      <c r="Y27" s="31">
        <v>5.67</v>
      </c>
      <c r="Z27" s="31">
        <v>5.88</v>
      </c>
    </row>
    <row r="28" ht="15.0" customHeight="1">
      <c r="A28" s="29" t="s">
        <v>445</v>
      </c>
      <c r="B28" s="31">
        <v>11.62</v>
      </c>
      <c r="C28" s="31">
        <v>9.32</v>
      </c>
      <c r="D28" s="31">
        <v>6.76</v>
      </c>
      <c r="E28" s="31">
        <v>6.35</v>
      </c>
      <c r="F28" s="31">
        <v>3.64</v>
      </c>
      <c r="G28" s="31">
        <v>3.72</v>
      </c>
      <c r="H28" s="31">
        <v>4.27</v>
      </c>
      <c r="I28" s="31">
        <v>5.41</v>
      </c>
      <c r="J28" s="31">
        <v>5.76</v>
      </c>
      <c r="K28" s="31">
        <v>7.03</v>
      </c>
      <c r="L28" s="31">
        <v>8.08</v>
      </c>
      <c r="M28" s="31">
        <v>9.26</v>
      </c>
      <c r="N28" s="31">
        <v>9.04</v>
      </c>
      <c r="O28" s="31">
        <v>11.84</v>
      </c>
      <c r="P28" s="31">
        <v>13.56</v>
      </c>
      <c r="Q28" s="31">
        <v>14.14</v>
      </c>
      <c r="R28" s="31">
        <v>15.12</v>
      </c>
      <c r="S28" s="31">
        <v>11.25</v>
      </c>
      <c r="T28" s="31">
        <v>8.63</v>
      </c>
      <c r="U28" s="31">
        <v>6.48</v>
      </c>
      <c r="V28" s="31">
        <v>5.91</v>
      </c>
      <c r="W28" s="32"/>
      <c r="X28" s="32"/>
      <c r="Y28" s="32"/>
      <c r="Z28" s="32"/>
    </row>
    <row r="29" ht="15.0" customHeight="1">
      <c r="A29" s="27" t="s">
        <v>446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0" customHeight="1">
      <c r="A30" s="29" t="s">
        <v>447</v>
      </c>
      <c r="B30" s="33">
        <v>12.45</v>
      </c>
      <c r="C30" s="33">
        <v>26.6</v>
      </c>
      <c r="D30" s="33">
        <v>19.29</v>
      </c>
      <c r="E30" s="33">
        <v>5.41</v>
      </c>
      <c r="F30" s="34">
        <v>-29.03</v>
      </c>
      <c r="G30" s="34">
        <v>-2.5</v>
      </c>
      <c r="H30" s="34">
        <v>-15.7</v>
      </c>
      <c r="I30" s="33">
        <v>11.66</v>
      </c>
      <c r="J30" s="34">
        <v>-10.07</v>
      </c>
      <c r="K30" s="33">
        <v>4.36</v>
      </c>
      <c r="L30" s="34">
        <v>-7.95</v>
      </c>
      <c r="M30" s="33">
        <v>17.67</v>
      </c>
      <c r="N30" s="33">
        <v>15.02</v>
      </c>
      <c r="O30" s="33">
        <v>20.36</v>
      </c>
      <c r="P30" s="33">
        <v>6.46</v>
      </c>
      <c r="Q30" s="34">
        <v>-1.24</v>
      </c>
      <c r="R30" s="34">
        <v>-36.54</v>
      </c>
      <c r="S30" s="34">
        <v>-15.01</v>
      </c>
      <c r="T30" s="33">
        <v>17.8</v>
      </c>
      <c r="U30" s="33">
        <v>23.03</v>
      </c>
      <c r="V30" s="33">
        <v>19.7</v>
      </c>
      <c r="W30" s="33">
        <v>17.06</v>
      </c>
      <c r="X30" s="33">
        <v>51.25</v>
      </c>
      <c r="Y30" s="34">
        <v>-39.44</v>
      </c>
      <c r="Z30" s="33">
        <v>22.66</v>
      </c>
    </row>
    <row r="31" ht="15.0" customHeight="1">
      <c r="A31" s="29" t="s">
        <v>448</v>
      </c>
      <c r="B31" s="33">
        <v>10.59</v>
      </c>
      <c r="C31" s="33">
        <v>9.38</v>
      </c>
      <c r="D31" s="33">
        <v>1.37</v>
      </c>
      <c r="E31" s="34">
        <v>-0.15</v>
      </c>
      <c r="F31" s="34">
        <v>-7.91</v>
      </c>
      <c r="G31" s="33">
        <v>0.29</v>
      </c>
      <c r="H31" s="34">
        <v>-1.33</v>
      </c>
      <c r="I31" s="33">
        <v>5.53</v>
      </c>
      <c r="J31" s="33">
        <v>7.33</v>
      </c>
      <c r="K31" s="33">
        <v>12.03</v>
      </c>
      <c r="L31" s="33">
        <v>11.28</v>
      </c>
      <c r="M31" s="33">
        <v>9.45</v>
      </c>
      <c r="N31" s="34">
        <v>-2.28</v>
      </c>
      <c r="O31" s="34">
        <v>-8.4</v>
      </c>
      <c r="P31" s="34">
        <v>-5.48</v>
      </c>
      <c r="Q31" s="34">
        <v>-3.43</v>
      </c>
      <c r="R31" s="34">
        <v>-1.34</v>
      </c>
      <c r="S31" s="33">
        <v>7.63</v>
      </c>
      <c r="T31" s="33">
        <v>22.85</v>
      </c>
      <c r="U31" s="33">
        <v>14.29</v>
      </c>
      <c r="V31" s="33">
        <v>13.05</v>
      </c>
      <c r="W31" s="33"/>
      <c r="X31" s="33"/>
      <c r="Y31" s="33"/>
      <c r="Z31" s="33"/>
    </row>
    <row r="32" ht="15.0" customHeight="1">
      <c r="A32" s="27" t="s">
        <v>449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0" customHeight="1">
      <c r="A33" s="29" t="s">
        <v>450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>
        <v>0.0</v>
      </c>
      <c r="N33" s="33">
        <v>0.0</v>
      </c>
      <c r="O33" s="33">
        <v>0.0</v>
      </c>
      <c r="P33" s="33">
        <v>0.0</v>
      </c>
      <c r="Q33" s="33">
        <v>1.7</v>
      </c>
      <c r="R33" s="33">
        <v>3.79</v>
      </c>
      <c r="S33" s="33">
        <v>2.23</v>
      </c>
      <c r="T33" s="33">
        <v>2.84</v>
      </c>
      <c r="U33" s="33">
        <v>2.36</v>
      </c>
      <c r="V33" s="33">
        <v>3.27</v>
      </c>
      <c r="W33" s="33">
        <v>6.12</v>
      </c>
      <c r="X33" s="33">
        <v>0.0</v>
      </c>
      <c r="Y33" s="33">
        <v>7.93</v>
      </c>
      <c r="Z33" s="33">
        <v>6.61</v>
      </c>
    </row>
    <row r="34" ht="15.0" customHeight="1">
      <c r="A34" s="29" t="s">
        <v>451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0.49</v>
      </c>
      <c r="N34" s="33">
        <v>1.32</v>
      </c>
      <c r="O34" s="33">
        <v>1.76</v>
      </c>
      <c r="P34" s="33">
        <v>2.17</v>
      </c>
      <c r="Q34" s="33">
        <v>2.55</v>
      </c>
      <c r="R34" s="33">
        <v>2.8</v>
      </c>
      <c r="S34" s="33">
        <v>2.94</v>
      </c>
      <c r="T34" s="33">
        <v>2.95</v>
      </c>
      <c r="U34" s="33">
        <v>3.87</v>
      </c>
      <c r="V34" s="33">
        <v>4.92</v>
      </c>
      <c r="W34" s="33"/>
      <c r="X34" s="33"/>
      <c r="Y34" s="33"/>
      <c r="Z34" s="33"/>
    </row>
    <row r="35" ht="15.0" customHeight="1">
      <c r="A35" s="29" t="s">
        <v>452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>
        <v>0.0</v>
      </c>
      <c r="N35" s="33">
        <v>0.0</v>
      </c>
      <c r="O35" s="33">
        <v>0.0</v>
      </c>
      <c r="P35" s="33">
        <v>0.0</v>
      </c>
      <c r="Q35" s="33">
        <v>2.11</v>
      </c>
      <c r="R35" s="33">
        <v>4.71</v>
      </c>
      <c r="S35" s="33">
        <v>2.77</v>
      </c>
      <c r="T35" s="33">
        <v>3.54</v>
      </c>
      <c r="U35" s="33">
        <v>2.36</v>
      </c>
      <c r="V35" s="33">
        <v>3.27</v>
      </c>
      <c r="W35" s="33">
        <v>6.12</v>
      </c>
      <c r="X35" s="33">
        <v>0.0</v>
      </c>
      <c r="Y35" s="33">
        <v>7.93</v>
      </c>
      <c r="Z35" s="33">
        <v>6.61</v>
      </c>
    </row>
    <row r="36" ht="15.0" customHeight="1">
      <c r="A36" s="29" t="s">
        <v>453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>
        <v>0.0</v>
      </c>
      <c r="J36" s="33">
        <v>0.0</v>
      </c>
      <c r="K36" s="33">
        <v>0.0</v>
      </c>
      <c r="L36" s="33">
        <v>0.0</v>
      </c>
      <c r="M36" s="33">
        <v>0.6</v>
      </c>
      <c r="N36" s="33">
        <v>1.64</v>
      </c>
      <c r="O36" s="33">
        <v>2.19</v>
      </c>
      <c r="P36" s="33">
        <v>2.7</v>
      </c>
      <c r="Q36" s="33">
        <v>3.09</v>
      </c>
      <c r="R36" s="33">
        <v>3.31</v>
      </c>
      <c r="S36" s="33">
        <v>3.31</v>
      </c>
      <c r="T36" s="33">
        <v>3.2</v>
      </c>
      <c r="U36" s="33">
        <v>3.87</v>
      </c>
      <c r="V36" s="33">
        <v>4.92</v>
      </c>
      <c r="W36" s="33"/>
      <c r="X36" s="33"/>
      <c r="Y36" s="33"/>
      <c r="Z36" s="33"/>
    </row>
    <row r="37" ht="15.0" customHeight="1">
      <c r="A37" s="27" t="s">
        <v>454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0" customHeight="1">
      <c r="A38" s="29" t="s">
        <v>455</v>
      </c>
      <c r="B38" s="31">
        <v>2.44</v>
      </c>
      <c r="C38" s="31">
        <v>3.32</v>
      </c>
      <c r="D38" s="31">
        <v>3.38</v>
      </c>
      <c r="E38" s="31">
        <v>9.12</v>
      </c>
      <c r="F38" s="31">
        <v>11.07</v>
      </c>
      <c r="G38" s="32"/>
      <c r="H38" s="31">
        <v>0.96</v>
      </c>
      <c r="I38" s="31">
        <v>1.86</v>
      </c>
      <c r="J38" s="31">
        <v>1.62</v>
      </c>
      <c r="K38" s="31">
        <v>2.0</v>
      </c>
      <c r="L38" s="31">
        <v>1.2</v>
      </c>
      <c r="M38" s="31">
        <v>0.94</v>
      </c>
      <c r="N38" s="31">
        <v>0.78</v>
      </c>
      <c r="O38" s="31">
        <v>0.73</v>
      </c>
      <c r="P38" s="31">
        <v>1.06</v>
      </c>
      <c r="Q38" s="31">
        <v>1.16</v>
      </c>
      <c r="R38" s="31">
        <v>0.95</v>
      </c>
      <c r="S38" s="31">
        <v>2.38</v>
      </c>
      <c r="T38" s="31">
        <v>0.9</v>
      </c>
      <c r="U38" s="31">
        <v>0.57</v>
      </c>
      <c r="V38" s="31">
        <v>0.45</v>
      </c>
      <c r="W38" s="31">
        <v>0.35</v>
      </c>
      <c r="X38" s="31">
        <v>0.27</v>
      </c>
      <c r="Y38" s="31">
        <v>0.43</v>
      </c>
      <c r="Z38" s="31">
        <v>0.39</v>
      </c>
    </row>
    <row r="39" ht="15.0" customHeight="1">
      <c r="A39" s="29" t="s">
        <v>456</v>
      </c>
      <c r="B39" s="31">
        <v>4.23</v>
      </c>
      <c r="C39" s="31">
        <v>5.98</v>
      </c>
      <c r="D39" s="31">
        <v>5.54</v>
      </c>
      <c r="E39" s="31">
        <v>4.61</v>
      </c>
      <c r="F39" s="31">
        <v>2.44</v>
      </c>
      <c r="G39" s="31">
        <v>1.98</v>
      </c>
      <c r="H39" s="31">
        <v>1.5</v>
      </c>
      <c r="I39" s="31">
        <v>1.33</v>
      </c>
      <c r="J39" s="31">
        <v>1.06</v>
      </c>
      <c r="K39" s="31">
        <v>0.93</v>
      </c>
      <c r="L39" s="31">
        <v>0.9</v>
      </c>
      <c r="M39" s="31">
        <v>0.94</v>
      </c>
      <c r="N39" s="31">
        <v>0.95</v>
      </c>
      <c r="O39" s="31">
        <v>1.21</v>
      </c>
      <c r="P39" s="31">
        <v>1.19</v>
      </c>
      <c r="Q39" s="31">
        <v>1.05</v>
      </c>
      <c r="R39" s="31">
        <v>0.91</v>
      </c>
      <c r="S39" s="31">
        <v>0.77</v>
      </c>
      <c r="T39" s="31">
        <v>0.51</v>
      </c>
      <c r="U39" s="31">
        <v>0.41</v>
      </c>
      <c r="V39" s="31">
        <v>0.37</v>
      </c>
      <c r="W39" s="32"/>
      <c r="X39" s="32"/>
      <c r="Y39" s="32"/>
      <c r="Z39" s="32"/>
    </row>
    <row r="40" ht="15.0" customHeight="1">
      <c r="A40" s="27" t="s">
        <v>457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0" customHeight="1">
      <c r="A41" s="29" t="s">
        <v>458</v>
      </c>
      <c r="B41" s="31">
        <v>4.18</v>
      </c>
      <c r="C41" s="31">
        <v>3.6</v>
      </c>
      <c r="D41" s="31">
        <v>3.94</v>
      </c>
      <c r="E41" s="31">
        <v>10.58</v>
      </c>
      <c r="F41" s="30">
        <v>192.63</v>
      </c>
      <c r="G41" s="32"/>
      <c r="H41" s="31">
        <v>3.18</v>
      </c>
      <c r="I41" s="31">
        <v>7.67</v>
      </c>
      <c r="J41" s="32"/>
      <c r="K41" s="32"/>
      <c r="L41" s="32"/>
      <c r="M41" s="31">
        <v>1.85</v>
      </c>
      <c r="N41" s="31">
        <v>1.25</v>
      </c>
      <c r="O41" s="31">
        <v>1.18</v>
      </c>
      <c r="P41" s="31">
        <v>1.62</v>
      </c>
      <c r="Q41" s="31">
        <v>1.75</v>
      </c>
      <c r="R41" s="31">
        <v>1.39</v>
      </c>
      <c r="S41" s="31">
        <v>5.61</v>
      </c>
      <c r="T41" s="31">
        <v>0.9</v>
      </c>
      <c r="U41" s="31">
        <v>0.57</v>
      </c>
      <c r="V41" s="31">
        <v>0.45</v>
      </c>
      <c r="W41" s="31">
        <v>0.4</v>
      </c>
      <c r="X41" s="31">
        <v>0.3</v>
      </c>
      <c r="Y41" s="31">
        <v>0.49</v>
      </c>
      <c r="Z41" s="31">
        <v>0.45</v>
      </c>
    </row>
    <row r="42" ht="15.0" customHeight="1">
      <c r="A42" s="29" t="s">
        <v>459</v>
      </c>
      <c r="B42" s="31">
        <v>5.61</v>
      </c>
      <c r="C42" s="31">
        <v>8.02</v>
      </c>
      <c r="D42" s="31">
        <v>12.08</v>
      </c>
      <c r="E42" s="31">
        <v>16.61</v>
      </c>
      <c r="F42" s="32"/>
      <c r="G42" s="32"/>
      <c r="H42" s="32"/>
      <c r="I42" s="31">
        <v>8.96</v>
      </c>
      <c r="J42" s="31">
        <v>3.23</v>
      </c>
      <c r="K42" s="31">
        <v>2.0</v>
      </c>
      <c r="L42" s="31">
        <v>1.63</v>
      </c>
      <c r="M42" s="31">
        <v>1.52</v>
      </c>
      <c r="N42" s="31">
        <v>1.45</v>
      </c>
      <c r="O42" s="31">
        <v>1.95</v>
      </c>
      <c r="P42" s="31">
        <v>1.64</v>
      </c>
      <c r="Q42" s="31">
        <v>1.3</v>
      </c>
      <c r="R42" s="31">
        <v>1.03</v>
      </c>
      <c r="S42" s="31">
        <v>0.85</v>
      </c>
      <c r="T42" s="31">
        <v>0.53</v>
      </c>
      <c r="U42" s="31">
        <v>0.44</v>
      </c>
      <c r="V42" s="31">
        <v>0.41</v>
      </c>
      <c r="W42" s="32"/>
      <c r="X42" s="32"/>
      <c r="Y42" s="32"/>
      <c r="Z42" s="32"/>
    </row>
    <row r="43" ht="15.0" customHeight="1">
      <c r="A43" s="27" t="s">
        <v>460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0" customHeight="1">
      <c r="A44" s="29" t="s">
        <v>461</v>
      </c>
      <c r="B44" s="31">
        <v>0.76</v>
      </c>
      <c r="C44" s="31">
        <v>0.71</v>
      </c>
      <c r="D44" s="31">
        <v>0.2</v>
      </c>
      <c r="E44" s="31">
        <v>0.99</v>
      </c>
      <c r="F44" s="31">
        <v>0.23</v>
      </c>
      <c r="G44" s="31">
        <v>0.16</v>
      </c>
      <c r="H44" s="31">
        <v>0.13</v>
      </c>
      <c r="I44" s="31">
        <v>0.19</v>
      </c>
      <c r="J44" s="31">
        <v>0.18</v>
      </c>
      <c r="K44" s="31">
        <v>0.27</v>
      </c>
      <c r="L44" s="31">
        <v>0.22</v>
      </c>
      <c r="M44" s="31">
        <v>0.3</v>
      </c>
      <c r="N44" s="31">
        <v>0.27</v>
      </c>
      <c r="O44" s="31">
        <v>0.25</v>
      </c>
      <c r="P44" s="31">
        <v>0.45</v>
      </c>
      <c r="Q44" s="31">
        <v>0.6</v>
      </c>
      <c r="R44" s="31">
        <v>0.4</v>
      </c>
      <c r="S44" s="31">
        <v>0.73</v>
      </c>
      <c r="T44" s="31">
        <v>0.76</v>
      </c>
      <c r="U44" s="31">
        <v>0.47</v>
      </c>
      <c r="V44" s="31">
        <v>0.37</v>
      </c>
      <c r="W44" s="31">
        <v>0.33</v>
      </c>
      <c r="X44" s="31">
        <v>0.25</v>
      </c>
      <c r="Y44" s="31">
        <v>0.21</v>
      </c>
      <c r="Z44" s="31">
        <v>0.18</v>
      </c>
    </row>
    <row r="45" ht="15.0" customHeight="1">
      <c r="A45" s="29" t="s">
        <v>462</v>
      </c>
      <c r="B45" s="31">
        <v>0.53</v>
      </c>
      <c r="C45" s="31">
        <v>0.44</v>
      </c>
      <c r="D45" s="31">
        <v>0.33</v>
      </c>
      <c r="E45" s="31">
        <v>0.33</v>
      </c>
      <c r="F45" s="31">
        <v>0.18</v>
      </c>
      <c r="G45" s="31">
        <v>0.19</v>
      </c>
      <c r="H45" s="31">
        <v>0.2</v>
      </c>
      <c r="I45" s="31">
        <v>0.24</v>
      </c>
      <c r="J45" s="31">
        <v>0.26</v>
      </c>
      <c r="K45" s="31">
        <v>0.27</v>
      </c>
      <c r="L45" s="31">
        <v>0.3</v>
      </c>
      <c r="M45" s="31">
        <v>0.37</v>
      </c>
      <c r="N45" s="31">
        <v>0.39</v>
      </c>
      <c r="O45" s="31">
        <v>0.48</v>
      </c>
      <c r="P45" s="31">
        <v>0.58</v>
      </c>
      <c r="Q45" s="31">
        <v>0.59</v>
      </c>
      <c r="R45" s="31">
        <v>0.55</v>
      </c>
      <c r="S45" s="31">
        <v>0.55</v>
      </c>
      <c r="T45" s="31">
        <v>0.44</v>
      </c>
      <c r="U45" s="31">
        <v>0.32</v>
      </c>
      <c r="V45" s="31">
        <v>0.25</v>
      </c>
      <c r="W45" s="32"/>
      <c r="X45" s="32"/>
      <c r="Y45" s="32"/>
      <c r="Z45" s="32"/>
    </row>
    <row r="46" ht="15.0" customHeight="1">
      <c r="A46" s="27" t="s">
        <v>463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0" customHeight="1">
      <c r="A47" s="29" t="s">
        <v>464</v>
      </c>
      <c r="B47" s="31">
        <v>8.03</v>
      </c>
      <c r="C47" s="31">
        <v>3.76</v>
      </c>
      <c r="D47" s="31">
        <v>5.18</v>
      </c>
      <c r="E47" s="31">
        <v>18.49</v>
      </c>
      <c r="F47" s="32"/>
      <c r="G47" s="32"/>
      <c r="H47" s="32"/>
      <c r="I47" s="31">
        <v>8.57</v>
      </c>
      <c r="J47" s="32"/>
      <c r="K47" s="31">
        <v>22.93</v>
      </c>
      <c r="L47" s="32"/>
      <c r="M47" s="31">
        <v>5.66</v>
      </c>
      <c r="N47" s="31">
        <v>6.66</v>
      </c>
      <c r="O47" s="31">
        <v>4.91</v>
      </c>
      <c r="P47" s="31">
        <v>15.49</v>
      </c>
      <c r="Q47" s="32"/>
      <c r="R47" s="32"/>
      <c r="S47" s="32"/>
      <c r="T47" s="31">
        <v>5.62</v>
      </c>
      <c r="U47" s="31">
        <v>4.34</v>
      </c>
      <c r="V47" s="31">
        <v>5.08</v>
      </c>
      <c r="W47" s="31">
        <v>5.86</v>
      </c>
      <c r="X47" s="31">
        <v>1.95</v>
      </c>
      <c r="Y47" s="32"/>
      <c r="Z47" s="31">
        <v>4.41</v>
      </c>
    </row>
    <row r="48" ht="15.0" customHeight="1">
      <c r="A48" s="29" t="s">
        <v>465</v>
      </c>
      <c r="B48" s="31">
        <v>9.44</v>
      </c>
      <c r="C48" s="31">
        <v>10.66</v>
      </c>
      <c r="D48" s="31">
        <v>72.95</v>
      </c>
      <c r="E48" s="32"/>
      <c r="F48" s="32"/>
      <c r="G48" s="30">
        <v>340.15</v>
      </c>
      <c r="H48" s="32"/>
      <c r="I48" s="31">
        <v>18.1</v>
      </c>
      <c r="J48" s="31">
        <v>13.65</v>
      </c>
      <c r="K48" s="31">
        <v>8.32</v>
      </c>
      <c r="L48" s="31">
        <v>8.86</v>
      </c>
      <c r="M48" s="31">
        <v>10.58</v>
      </c>
      <c r="N48" s="32"/>
      <c r="O48" s="32"/>
      <c r="P48" s="32"/>
      <c r="Q48" s="32"/>
      <c r="R48" s="32"/>
      <c r="S48" s="31">
        <v>13.11</v>
      </c>
      <c r="T48" s="31">
        <v>4.38</v>
      </c>
      <c r="U48" s="31">
        <v>7.0</v>
      </c>
      <c r="V48" s="31">
        <v>7.66</v>
      </c>
      <c r="W48" s="32"/>
      <c r="X48" s="32"/>
      <c r="Y48" s="32"/>
      <c r="Z48" s="32"/>
    </row>
    <row r="49" ht="15.0" customHeight="1">
      <c r="A49" s="27" t="s">
        <v>466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0" customHeight="1">
      <c r="A50" s="29" t="s">
        <v>467</v>
      </c>
      <c r="B50" s="31">
        <v>4.3</v>
      </c>
      <c r="C50" s="31">
        <v>3.19</v>
      </c>
      <c r="D50" s="31">
        <v>5.83</v>
      </c>
      <c r="E50" s="31">
        <v>8.38</v>
      </c>
      <c r="F50" s="31">
        <v>8.35</v>
      </c>
      <c r="G50" s="32"/>
      <c r="H50" s="32"/>
      <c r="I50" s="31">
        <v>9.58</v>
      </c>
      <c r="J50" s="32"/>
      <c r="K50" s="32"/>
      <c r="L50" s="30">
        <v>1179.78</v>
      </c>
      <c r="M50" s="32"/>
      <c r="N50" s="31">
        <v>3.21</v>
      </c>
      <c r="O50" s="31">
        <v>7.33</v>
      </c>
      <c r="P50" s="31">
        <v>4.78</v>
      </c>
      <c r="Q50" s="31">
        <v>9.7</v>
      </c>
      <c r="R50" s="31">
        <v>1.4</v>
      </c>
      <c r="S50" s="31">
        <v>9.49</v>
      </c>
      <c r="T50" s="31">
        <v>7.5</v>
      </c>
      <c r="U50" s="31">
        <v>1.48</v>
      </c>
      <c r="V50" s="31">
        <v>3.71</v>
      </c>
      <c r="W50" s="31">
        <v>3.91</v>
      </c>
      <c r="X50" s="31">
        <v>3.38</v>
      </c>
      <c r="Y50" s="31">
        <v>5.16</v>
      </c>
      <c r="Z50" s="31">
        <v>1.84</v>
      </c>
    </row>
    <row r="51" ht="15.0" customHeight="1">
      <c r="A51" s="29" t="s">
        <v>468</v>
      </c>
      <c r="B51" s="31">
        <v>5.14</v>
      </c>
      <c r="C51" s="31">
        <v>7.13</v>
      </c>
      <c r="D51" s="31">
        <v>39.39</v>
      </c>
      <c r="E51" s="31">
        <v>82.04</v>
      </c>
      <c r="F51" s="32"/>
      <c r="G51" s="32"/>
      <c r="H51" s="32"/>
      <c r="I51" s="32"/>
      <c r="J51" s="31">
        <v>26.74</v>
      </c>
      <c r="K51" s="31">
        <v>12.26</v>
      </c>
      <c r="L51" s="31">
        <v>6.63</v>
      </c>
      <c r="M51" s="31">
        <v>6.63</v>
      </c>
      <c r="N51" s="31">
        <v>3.29</v>
      </c>
      <c r="O51" s="31">
        <v>4.16</v>
      </c>
      <c r="P51" s="31">
        <v>4.4</v>
      </c>
      <c r="Q51" s="31">
        <v>3.42</v>
      </c>
      <c r="R51" s="31">
        <v>3.04</v>
      </c>
      <c r="S51" s="31">
        <v>4.11</v>
      </c>
      <c r="T51" s="31">
        <v>3.2</v>
      </c>
      <c r="U51" s="31">
        <v>2.66</v>
      </c>
      <c r="V51" s="31">
        <v>3.22</v>
      </c>
      <c r="W51" s="32"/>
      <c r="X51" s="32"/>
      <c r="Y51" s="32"/>
      <c r="Z51" s="32"/>
    </row>
    <row r="52" ht="15.0" customHeight="1">
      <c r="A52" s="27" t="s">
        <v>469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0" customHeight="1">
      <c r="A53" s="29" t="s">
        <v>470</v>
      </c>
      <c r="B53" s="31">
        <v>11.19</v>
      </c>
      <c r="C53" s="31">
        <v>6.36</v>
      </c>
      <c r="D53" s="32"/>
      <c r="E53" s="31">
        <v>11.8</v>
      </c>
      <c r="F53" s="32"/>
      <c r="G53" s="32"/>
      <c r="H53" s="32"/>
      <c r="I53" s="32"/>
      <c r="J53" s="32"/>
      <c r="K53" s="32"/>
      <c r="L53" s="32"/>
      <c r="M53" s="32"/>
      <c r="N53" s="31">
        <v>31.44</v>
      </c>
      <c r="O53" s="32"/>
      <c r="P53" s="32"/>
      <c r="Q53" s="32"/>
      <c r="R53" s="31">
        <v>19.42</v>
      </c>
      <c r="S53" s="31">
        <v>60.41</v>
      </c>
      <c r="T53" s="31">
        <v>19.74</v>
      </c>
      <c r="U53" s="31">
        <v>5.88</v>
      </c>
      <c r="V53" s="31">
        <v>11.47</v>
      </c>
      <c r="W53" s="32"/>
      <c r="X53" s="32"/>
      <c r="Y53" s="31">
        <v>11.78</v>
      </c>
      <c r="Z53" s="31">
        <v>4.43</v>
      </c>
    </row>
    <row r="54" ht="15.0" customHeight="1">
      <c r="A54" s="29" t="s">
        <v>471</v>
      </c>
      <c r="B54" s="31">
        <v>15.97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0">
        <v>514.93</v>
      </c>
      <c r="Q54" s="31">
        <v>24.75</v>
      </c>
      <c r="R54" s="31">
        <v>16.01</v>
      </c>
      <c r="S54" s="31">
        <v>17.4</v>
      </c>
      <c r="T54" s="31">
        <v>16.68</v>
      </c>
      <c r="U54" s="31">
        <v>40.76</v>
      </c>
      <c r="V54" s="31">
        <v>61.42</v>
      </c>
      <c r="W54" s="32"/>
      <c r="X54" s="32"/>
      <c r="Y54" s="32"/>
      <c r="Z54" s="32"/>
    </row>
    <row r="55" ht="15.0" customHeight="1">
      <c r="A55" s="27" t="s">
        <v>472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0" customHeight="1">
      <c r="A56" s="29" t="s">
        <v>473</v>
      </c>
      <c r="B56" s="31">
        <v>11.57</v>
      </c>
      <c r="C56" s="31">
        <v>33.5</v>
      </c>
      <c r="D56" s="32"/>
      <c r="E56" s="31">
        <v>11.67</v>
      </c>
      <c r="F56" s="32"/>
      <c r="G56" s="32"/>
      <c r="H56" s="32"/>
      <c r="I56" s="32"/>
      <c r="J56" s="32"/>
      <c r="K56" s="32"/>
      <c r="L56" s="32"/>
      <c r="M56" s="32"/>
      <c r="N56" s="31">
        <v>20.71</v>
      </c>
      <c r="O56" s="32"/>
      <c r="P56" s="31">
        <v>21.55</v>
      </c>
      <c r="Q56" s="32"/>
      <c r="R56" s="31">
        <v>1.94</v>
      </c>
      <c r="S56" s="31">
        <v>60.41</v>
      </c>
      <c r="T56" s="31">
        <v>19.74</v>
      </c>
      <c r="U56" s="31">
        <v>2.01</v>
      </c>
      <c r="V56" s="31">
        <v>12.42</v>
      </c>
      <c r="W56" s="30">
        <v>1661.73</v>
      </c>
      <c r="X56" s="31">
        <v>38.76</v>
      </c>
      <c r="Y56" s="31">
        <v>11.85</v>
      </c>
      <c r="Z56" s="31">
        <v>4.43</v>
      </c>
    </row>
    <row r="57" ht="15.0" customHeight="1">
      <c r="A57" s="29" t="s">
        <v>474</v>
      </c>
      <c r="B57" s="31">
        <v>4.23</v>
      </c>
      <c r="C57" s="31">
        <v>5.98</v>
      </c>
      <c r="D57" s="31">
        <v>5.54</v>
      </c>
      <c r="E57" s="31">
        <v>4.61</v>
      </c>
      <c r="F57" s="31">
        <v>2.44</v>
      </c>
      <c r="G57" s="31">
        <v>1.98</v>
      </c>
      <c r="H57" s="31">
        <v>1.5</v>
      </c>
      <c r="I57" s="31">
        <v>1.33</v>
      </c>
      <c r="J57" s="31">
        <v>1.06</v>
      </c>
      <c r="K57" s="31">
        <v>0.93</v>
      </c>
      <c r="L57" s="31">
        <v>0.9</v>
      </c>
      <c r="M57" s="31">
        <v>0.94</v>
      </c>
      <c r="N57" s="31">
        <v>0.95</v>
      </c>
      <c r="O57" s="31">
        <v>1.21</v>
      </c>
      <c r="P57" s="31">
        <v>1.19</v>
      </c>
      <c r="Q57" s="31">
        <v>1.05</v>
      </c>
      <c r="R57" s="31">
        <v>0.91</v>
      </c>
      <c r="S57" s="31">
        <v>0.79</v>
      </c>
      <c r="T57" s="31">
        <v>0.53</v>
      </c>
      <c r="U57" s="31">
        <v>0.44</v>
      </c>
      <c r="V57" s="31">
        <v>0.41</v>
      </c>
      <c r="W57" s="32"/>
      <c r="X57" s="32"/>
      <c r="Y57" s="32"/>
      <c r="Z57" s="32"/>
    </row>
    <row r="58" ht="15.0" customHeight="1">
      <c r="A58" s="27" t="s">
        <v>475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0" customHeight="1">
      <c r="A59" s="29" t="s">
        <v>476</v>
      </c>
      <c r="B59" s="35">
        <v>-0.22</v>
      </c>
      <c r="C59" s="31">
        <v>0.01</v>
      </c>
      <c r="D59" s="32"/>
      <c r="E59" s="31">
        <v>0.05</v>
      </c>
      <c r="F59" s="32"/>
      <c r="G59" s="32"/>
      <c r="H59" s="32"/>
      <c r="I59" s="32"/>
      <c r="J59" s="32"/>
      <c r="K59" s="32"/>
      <c r="L59" s="32"/>
      <c r="M59" s="32"/>
      <c r="N59" s="31">
        <v>0.25</v>
      </c>
      <c r="O59" s="32"/>
      <c r="P59" s="32"/>
      <c r="Q59" s="32"/>
      <c r="R59" s="31">
        <v>0.23</v>
      </c>
      <c r="S59" s="35">
        <v>-1.04</v>
      </c>
      <c r="T59" s="35">
        <v>-0.38</v>
      </c>
      <c r="U59" s="31">
        <v>0.03</v>
      </c>
      <c r="V59" s="31">
        <v>0.01</v>
      </c>
      <c r="W59" s="32"/>
      <c r="X59" s="32"/>
      <c r="Y59" s="35">
        <v>-0.16</v>
      </c>
      <c r="Z59" s="32"/>
    </row>
    <row r="60" ht="15.0" customHeight="1">
      <c r="A60" s="29" t="s">
        <v>477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1">
        <v>2.34</v>
      </c>
      <c r="U60" s="31">
        <v>8.73</v>
      </c>
      <c r="V60" s="32"/>
      <c r="W60" s="32"/>
      <c r="X60" s="32"/>
      <c r="Y60" s="32"/>
      <c r="Z60" s="32"/>
    </row>
    <row r="61" ht="15.0" customHeight="1">
      <c r="A61" s="27" t="s">
        <v>478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0" customHeight="1">
      <c r="A62" s="29" t="s">
        <v>479</v>
      </c>
      <c r="B62" s="31">
        <v>1.12</v>
      </c>
      <c r="C62" s="31">
        <v>1.14</v>
      </c>
      <c r="D62" s="31">
        <v>0.68</v>
      </c>
      <c r="E62" s="31">
        <v>1.26</v>
      </c>
      <c r="F62" s="31">
        <v>0.8</v>
      </c>
      <c r="G62" s="31">
        <v>0.74</v>
      </c>
      <c r="H62" s="31">
        <v>0.24</v>
      </c>
      <c r="I62" s="31">
        <v>0.46</v>
      </c>
      <c r="J62" s="31">
        <v>0.64</v>
      </c>
      <c r="K62" s="31">
        <v>0.79</v>
      </c>
      <c r="L62" s="31">
        <v>0.62</v>
      </c>
      <c r="M62" s="31">
        <v>0.62</v>
      </c>
      <c r="N62" s="31">
        <v>0.61</v>
      </c>
      <c r="O62" s="31">
        <v>0.61</v>
      </c>
      <c r="P62" s="31">
        <v>0.86</v>
      </c>
      <c r="Q62" s="31">
        <v>1.06</v>
      </c>
      <c r="R62" s="31">
        <v>0.74</v>
      </c>
      <c r="S62" s="31">
        <v>0.6</v>
      </c>
      <c r="T62" s="31">
        <v>0.56</v>
      </c>
      <c r="U62" s="31">
        <v>0.35</v>
      </c>
      <c r="V62" s="31">
        <v>0.36</v>
      </c>
      <c r="W62" s="31">
        <v>0.36</v>
      </c>
      <c r="X62" s="31">
        <v>0.42</v>
      </c>
      <c r="Y62" s="31">
        <v>0.61</v>
      </c>
      <c r="Z62" s="31">
        <v>0.45</v>
      </c>
    </row>
    <row r="63" ht="15.0" customHeight="1">
      <c r="A63" s="29" t="s">
        <v>480</v>
      </c>
      <c r="B63" s="31">
        <v>1.02</v>
      </c>
      <c r="C63" s="31">
        <v>0.97</v>
      </c>
      <c r="D63" s="31">
        <v>0.81</v>
      </c>
      <c r="E63" s="31">
        <v>0.78</v>
      </c>
      <c r="F63" s="31">
        <v>0.57</v>
      </c>
      <c r="G63" s="31">
        <v>0.55</v>
      </c>
      <c r="H63" s="31">
        <v>0.51</v>
      </c>
      <c r="I63" s="31">
        <v>0.61</v>
      </c>
      <c r="J63" s="31">
        <v>0.65</v>
      </c>
      <c r="K63" s="31">
        <v>0.65</v>
      </c>
      <c r="L63" s="31">
        <v>0.67</v>
      </c>
      <c r="M63" s="31">
        <v>0.74</v>
      </c>
      <c r="N63" s="31">
        <v>0.76</v>
      </c>
      <c r="O63" s="31">
        <v>0.76</v>
      </c>
      <c r="P63" s="31">
        <v>0.79</v>
      </c>
      <c r="Q63" s="31">
        <v>0.75</v>
      </c>
      <c r="R63" s="31">
        <v>0.63</v>
      </c>
      <c r="S63" s="31">
        <v>0.53</v>
      </c>
      <c r="T63" s="31">
        <v>0.41</v>
      </c>
      <c r="U63" s="31">
        <v>0.44</v>
      </c>
      <c r="V63" s="31">
        <v>0.45</v>
      </c>
      <c r="W63" s="32"/>
      <c r="X63" s="32"/>
      <c r="Y63" s="32"/>
      <c r="Z63" s="32"/>
    </row>
    <row r="64" ht="15.0" customHeight="1">
      <c r="A64" s="27" t="s">
        <v>481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0" customHeight="1">
      <c r="A65" s="29" t="s">
        <v>482</v>
      </c>
      <c r="B65" s="31">
        <v>5.24</v>
      </c>
      <c r="C65" s="31">
        <v>5.42</v>
      </c>
      <c r="D65" s="31">
        <v>13.56</v>
      </c>
      <c r="E65" s="31">
        <v>14.49</v>
      </c>
      <c r="F65" s="31">
        <v>13.53</v>
      </c>
      <c r="G65" s="31">
        <v>20.51</v>
      </c>
      <c r="H65" s="31">
        <v>9.47</v>
      </c>
      <c r="I65" s="31">
        <v>10.25</v>
      </c>
      <c r="J65" s="31">
        <v>80.6</v>
      </c>
      <c r="K65" s="32"/>
      <c r="L65" s="31">
        <v>9.0</v>
      </c>
      <c r="M65" s="31">
        <v>19.22</v>
      </c>
      <c r="N65" s="31">
        <v>5.29</v>
      </c>
      <c r="O65" s="31">
        <v>7.72</v>
      </c>
      <c r="P65" s="31">
        <v>4.9</v>
      </c>
      <c r="Q65" s="31">
        <v>9.57</v>
      </c>
      <c r="R65" s="31">
        <v>1.46</v>
      </c>
      <c r="S65" s="31">
        <v>5.44</v>
      </c>
      <c r="T65" s="31">
        <v>4.78</v>
      </c>
      <c r="U65" s="31">
        <v>1.09</v>
      </c>
      <c r="V65" s="31">
        <v>1.08</v>
      </c>
      <c r="W65" s="31">
        <v>4.24</v>
      </c>
      <c r="X65" s="31">
        <v>3.68</v>
      </c>
      <c r="Y65" s="31">
        <v>4.87</v>
      </c>
      <c r="Z65" s="31">
        <v>2.95</v>
      </c>
    </row>
    <row r="66" ht="15.0" customHeight="1">
      <c r="A66" s="29" t="s">
        <v>483</v>
      </c>
      <c r="B66" s="31">
        <v>8.14</v>
      </c>
      <c r="C66" s="31">
        <v>9.96</v>
      </c>
      <c r="D66" s="31">
        <v>14.31</v>
      </c>
      <c r="E66" s="31">
        <v>13.94</v>
      </c>
      <c r="F66" s="31">
        <v>15.43</v>
      </c>
      <c r="G66" s="31">
        <v>21.37</v>
      </c>
      <c r="H66" s="31">
        <v>16.8</v>
      </c>
      <c r="I66" s="31">
        <v>18.82</v>
      </c>
      <c r="J66" s="31">
        <v>12.67</v>
      </c>
      <c r="K66" s="31">
        <v>9.94</v>
      </c>
      <c r="L66" s="31">
        <v>6.87</v>
      </c>
      <c r="M66" s="31">
        <v>7.17</v>
      </c>
      <c r="N66" s="31">
        <v>3.72</v>
      </c>
      <c r="O66" s="31">
        <v>3.72</v>
      </c>
      <c r="P66" s="31">
        <v>3.39</v>
      </c>
      <c r="Q66" s="31">
        <v>2.96</v>
      </c>
      <c r="R66" s="31">
        <v>2.06</v>
      </c>
      <c r="S66" s="31">
        <v>3.58</v>
      </c>
      <c r="T66" s="31">
        <v>2.1</v>
      </c>
      <c r="U66" s="31">
        <v>2.27</v>
      </c>
      <c r="V66" s="31">
        <v>2.88</v>
      </c>
      <c r="W66" s="32"/>
      <c r="X66" s="32"/>
      <c r="Y66" s="32"/>
      <c r="Z66" s="32"/>
    </row>
    <row r="67" ht="15.0" customHeight="1">
      <c r="A67" s="27" t="s">
        <v>484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0" customHeight="1">
      <c r="A68" s="29" t="s">
        <v>485</v>
      </c>
      <c r="B68" s="31">
        <v>9.91</v>
      </c>
      <c r="C68" s="31">
        <v>5.72</v>
      </c>
      <c r="D68" s="31">
        <v>16.01</v>
      </c>
      <c r="E68" s="31">
        <v>22.7</v>
      </c>
      <c r="F68" s="31">
        <v>18.33</v>
      </c>
      <c r="G68" s="30">
        <v>112.14</v>
      </c>
      <c r="H68" s="32"/>
      <c r="I68" s="31">
        <v>10.12</v>
      </c>
      <c r="J68" s="32"/>
      <c r="K68" s="31">
        <v>35.04</v>
      </c>
      <c r="L68" s="32"/>
      <c r="M68" s="31">
        <v>10.45</v>
      </c>
      <c r="N68" s="31">
        <v>10.98</v>
      </c>
      <c r="O68" s="31">
        <v>9.68</v>
      </c>
      <c r="P68" s="31">
        <v>20.78</v>
      </c>
      <c r="Q68" s="31">
        <v>27.44</v>
      </c>
      <c r="R68" s="32"/>
      <c r="S68" s="31">
        <v>3.66</v>
      </c>
      <c r="T68" s="31">
        <v>3.28</v>
      </c>
      <c r="U68" s="31">
        <v>2.67</v>
      </c>
      <c r="V68" s="31">
        <v>3.8</v>
      </c>
      <c r="W68" s="31">
        <v>6.36</v>
      </c>
      <c r="X68" s="31">
        <v>3.35</v>
      </c>
      <c r="Y68" s="31">
        <v>26.53</v>
      </c>
      <c r="Z68" s="31">
        <v>4.14</v>
      </c>
    </row>
    <row r="69" ht="15.0" customHeight="1">
      <c r="A69" s="29" t="s">
        <v>486</v>
      </c>
      <c r="B69" s="31">
        <v>10.95</v>
      </c>
      <c r="C69" s="31">
        <v>12.33</v>
      </c>
      <c r="D69" s="31">
        <v>24.41</v>
      </c>
      <c r="E69" s="31">
        <v>24.03</v>
      </c>
      <c r="F69" s="31">
        <v>32.79</v>
      </c>
      <c r="G69" s="31">
        <v>47.11</v>
      </c>
      <c r="H69" s="31">
        <v>55.62</v>
      </c>
      <c r="I69" s="31">
        <v>24.0</v>
      </c>
      <c r="J69" s="31">
        <v>22.94</v>
      </c>
      <c r="K69" s="31">
        <v>15.12</v>
      </c>
      <c r="L69" s="31">
        <v>14.71</v>
      </c>
      <c r="M69" s="31">
        <v>14.23</v>
      </c>
      <c r="N69" s="31">
        <v>20.44</v>
      </c>
      <c r="O69" s="31">
        <v>12.81</v>
      </c>
      <c r="P69" s="31">
        <v>12.67</v>
      </c>
      <c r="Q69" s="31">
        <v>10.47</v>
      </c>
      <c r="R69" s="31">
        <v>7.49</v>
      </c>
      <c r="S69" s="31">
        <v>3.63</v>
      </c>
      <c r="T69" s="31">
        <v>3.51</v>
      </c>
      <c r="U69" s="31">
        <v>5.35</v>
      </c>
      <c r="V69" s="31">
        <v>5.66</v>
      </c>
      <c r="W69" s="32"/>
      <c r="X69" s="32"/>
      <c r="Y69" s="32"/>
      <c r="Z69" s="32"/>
    </row>
    <row r="70" ht="15.0" customHeight="1">
      <c r="A70" s="27" t="s">
        <v>487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0" customHeight="1">
      <c r="A71" s="29" t="s">
        <v>488</v>
      </c>
      <c r="B71" s="31">
        <v>11.89</v>
      </c>
      <c r="C71" s="31">
        <v>5.99</v>
      </c>
      <c r="D71" s="31">
        <v>17.42</v>
      </c>
      <c r="E71" s="31">
        <v>23.72</v>
      </c>
      <c r="F71" s="32"/>
      <c r="G71" s="32"/>
      <c r="H71" s="32"/>
      <c r="I71" s="31">
        <v>20.41</v>
      </c>
      <c r="J71" s="32"/>
      <c r="K71" s="31">
        <v>66.42</v>
      </c>
      <c r="L71" s="32"/>
      <c r="M71" s="31">
        <v>11.84</v>
      </c>
      <c r="N71" s="31">
        <v>14.9</v>
      </c>
      <c r="O71" s="31">
        <v>11.89</v>
      </c>
      <c r="P71" s="31">
        <v>29.43</v>
      </c>
      <c r="Q71" s="32"/>
      <c r="R71" s="32"/>
      <c r="S71" s="32"/>
      <c r="T71" s="31">
        <v>4.12</v>
      </c>
      <c r="U71" s="31">
        <v>3.24</v>
      </c>
      <c r="V71" s="31">
        <v>4.84</v>
      </c>
      <c r="W71" s="31">
        <v>6.36</v>
      </c>
      <c r="X71" s="31">
        <v>3.35</v>
      </c>
      <c r="Y71" s="32"/>
      <c r="Z71" s="31">
        <v>11.21</v>
      </c>
    </row>
    <row r="72" ht="15.0" customHeight="1">
      <c r="A72" s="29" t="s">
        <v>489</v>
      </c>
      <c r="B72" s="31">
        <v>14.33</v>
      </c>
      <c r="C72" s="31">
        <v>16.88</v>
      </c>
      <c r="D72" s="31">
        <v>76.28</v>
      </c>
      <c r="E72" s="30">
        <v>164.89</v>
      </c>
      <c r="F72" s="32"/>
      <c r="G72" s="32"/>
      <c r="H72" s="32"/>
      <c r="I72" s="31">
        <v>47.07</v>
      </c>
      <c r="J72" s="31">
        <v>36.19</v>
      </c>
      <c r="K72" s="31">
        <v>20.36</v>
      </c>
      <c r="L72" s="31">
        <v>19.56</v>
      </c>
      <c r="M72" s="31">
        <v>21.56</v>
      </c>
      <c r="N72" s="32"/>
      <c r="O72" s="32"/>
      <c r="P72" s="32"/>
      <c r="Q72" s="32"/>
      <c r="R72" s="32"/>
      <c r="S72" s="32"/>
      <c r="T72" s="31">
        <v>4.07</v>
      </c>
      <c r="U72" s="31">
        <v>9.66</v>
      </c>
      <c r="V72" s="31">
        <v>13.9</v>
      </c>
      <c r="W72" s="32"/>
      <c r="X72" s="32"/>
      <c r="Y72" s="32"/>
      <c r="Z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