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DZhYrcgTruZa5luP8CgmUAy4XjgwrDwQKNJt8ICsAo="/>
    </ext>
  </extLst>
</workbook>
</file>

<file path=xl/sharedStrings.xml><?xml version="1.0" encoding="utf-8"?>
<sst xmlns="http://schemas.openxmlformats.org/spreadsheetml/2006/main" count="824" uniqueCount="420">
  <si>
    <t>Company Fundamentals - Income Statement</t>
  </si>
  <si>
    <t>Company Name</t>
  </si>
  <si>
    <t>Bong AB (BOLJ.ST)</t>
  </si>
  <si>
    <t>Country of Exchange</t>
  </si>
  <si>
    <t>Sweden</t>
  </si>
  <si>
    <t>Country of Headquarters</t>
  </si>
  <si>
    <t>TRBC Industry Group</t>
  </si>
  <si>
    <t>Paper &amp; Forest Products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</si>
  <si>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</si>
  <si>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</si>
  <si>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</si>
  <si>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</si>
  <si>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</si>
  <si>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</si>
  <si>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</si>
  <si>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</si>
  <si>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</si>
  <si>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</si>
  <si>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</si>
  <si>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</si>
  <si>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</si>
  <si>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</si>
  <si>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</si>
  <si>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</si>
  <si>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</si>
  <si>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</si>
  <si>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</si>
  <si>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</si>
  <si>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</si>
  <si>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</si>
  <si>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</si>
  <si>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</si>
  <si>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</si>
  <si>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</si>
  <si>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</si>
  <si>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</si>
  <si>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</si>
  <si>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</si>
  <si>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</si>
  <si>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</si>
  <si>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</si>
  <si>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</si>
  <si>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</si>
  <si>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</si>
  <si>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</si>
  <si>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</si>
  <si>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</si>
  <si>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</si>
  <si>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</si>
  <si>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</si>
  <si>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</si>
  <si>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</si>
  <si>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</si>
  <si>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</si>
  <si>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</si>
  <si>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</si>
  <si>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</si>
  <si>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</si>
  <si>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</si>
  <si>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</si>
  <si>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</si>
  <si>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</si>
  <si>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</si>
  <si>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</si>
  <si>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</si>
  <si>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</si>
  <si>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</si>
  <si>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</si>
  <si>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</si>
  <si>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</si>
  <si>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</si>
  <si>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</si>
  <si>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</si>
  <si>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</si>
  <si>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Goods Sold</t>
  </si>
  <si>
    <t>Depreciation/Amortization in COR/COGS</t>
  </si>
  <si>
    <t>Cost of Goods Sold - Balancing value</t>
  </si>
  <si>
    <t>Balancing Item - Gross Margin</t>
  </si>
  <si>
    <t>Cost of revenues/COGS</t>
  </si>
  <si>
    <t>Gross profit</t>
  </si>
  <si>
    <t>Selling expenses</t>
  </si>
  <si>
    <t>Depreciation/Amortization in Selling</t>
  </si>
  <si>
    <t>Selling expenses - Other</t>
  </si>
  <si>
    <t>Administrative expenses</t>
  </si>
  <si>
    <t>Administrative expenses - Other</t>
  </si>
  <si>
    <t>Other operating income</t>
  </si>
  <si>
    <t>Exchange gains on operating receivables and liabilities</t>
  </si>
  <si>
    <t>Capital gain on sale of non-current asset</t>
  </si>
  <si>
    <t>Other operating income - Balancing value</t>
  </si>
  <si>
    <t>Other operating expenses</t>
  </si>
  <si>
    <t>Restructuring and transaction costs</t>
  </si>
  <si>
    <t>Exchange losses on operating receivables and liabilities</t>
  </si>
  <si>
    <t>Other operating expenses - Balancing value</t>
  </si>
  <si>
    <t>Loss on sale of non-current assets</t>
  </si>
  <si>
    <t>Goodwill impairment write-down</t>
  </si>
  <si>
    <t>Share in profit in associated companies</t>
  </si>
  <si>
    <t>Other operating income and expenses</t>
  </si>
  <si>
    <t>Other Expenses</t>
  </si>
  <si>
    <t>Depreciation in Selling / Administrative</t>
  </si>
  <si>
    <t>Sale of Property</t>
  </si>
  <si>
    <t>Restructuring Charges</t>
  </si>
  <si>
    <t>Balancing Item - Income from Operations, net</t>
  </si>
  <si>
    <t>Operating (Income)/Expense, net</t>
  </si>
  <si>
    <t>Operating profit</t>
  </si>
  <si>
    <t>Financial income</t>
  </si>
  <si>
    <t>Interest Income</t>
  </si>
  <si>
    <t>Exchange gains on finan- cial items</t>
  </si>
  <si>
    <t>Financial income - Balancing value</t>
  </si>
  <si>
    <t>Financial expenses</t>
  </si>
  <si>
    <t>Write-down of holdings in other companies</t>
  </si>
  <si>
    <t>Interest portion in this year’s pension costs</t>
  </si>
  <si>
    <t>Interest expenses, other</t>
  </si>
  <si>
    <t>Interest Expense on Financial Lease Liabilities</t>
  </si>
  <si>
    <t>Interest expenses, other - Balancing value</t>
  </si>
  <si>
    <t>Exchange losses on financial items</t>
  </si>
  <si>
    <t>Other Financial Expenses</t>
  </si>
  <si>
    <t>Net financial items</t>
  </si>
  <si>
    <t>Share of Associates</t>
  </si>
  <si>
    <t>Non-recurring items, financial net</t>
  </si>
  <si>
    <t>Interest Expense</t>
  </si>
  <si>
    <t>Balancing Item - Non Operating Income/(Expense), net</t>
  </si>
  <si>
    <t>Total financial income and expenses</t>
  </si>
  <si>
    <t>Result before tax</t>
  </si>
  <si>
    <t>Income tax</t>
  </si>
  <si>
    <t>Current tax</t>
  </si>
  <si>
    <t>Deferred tax</t>
  </si>
  <si>
    <t>Income Taxes - Other -rounding of adjustment</t>
  </si>
  <si>
    <t>Net result</t>
  </si>
  <si>
    <t>Share holders in Parent Company</t>
  </si>
  <si>
    <t>Non-controlling interests</t>
  </si>
  <si>
    <t>As Rep Net Inc Attrib to Common S/H</t>
  </si>
  <si>
    <t>Minority Interests</t>
  </si>
  <si>
    <t>Balancing Item - Net Income available to Controlling Interest</t>
  </si>
  <si>
    <t>Parent Companys shareholders</t>
  </si>
  <si>
    <t>Shareholders in Parent Company</t>
  </si>
  <si>
    <t>Actuarial profit/loss on post employment benefit obligations</t>
  </si>
  <si>
    <t>Cash flow hedges</t>
  </si>
  <si>
    <t>Impact of extended equity</t>
  </si>
  <si>
    <t>Translation differences</t>
  </si>
  <si>
    <t>Income tax relating to components of other comprehensive income</t>
  </si>
  <si>
    <t>Other comprehensive income after tax</t>
  </si>
  <si>
    <t>Comprehensive Income - Attributable to Parent Company - Total</t>
  </si>
  <si>
    <t>Total comprehensive income</t>
  </si>
  <si>
    <t>Basic Weighted Average Shares</t>
  </si>
  <si>
    <t>Average number of shares</t>
  </si>
  <si>
    <t>Earnings per share</t>
  </si>
  <si>
    <t>Dilution Adjustment</t>
  </si>
  <si>
    <t>Diluted Net Income</t>
  </si>
  <si>
    <t>Diluted earnings per share</t>
  </si>
  <si>
    <t>Diluted EPS Excluding ExtraOrd Items</t>
  </si>
  <si>
    <t>Diluted Net Income excluding Extra Items applicable to Common - (Company Level)</t>
  </si>
  <si>
    <t>Rental Expense</t>
  </si>
  <si>
    <t>Depreciation &amp; Amortization</t>
  </si>
  <si>
    <t>Amort of Intangibles</t>
  </si>
  <si>
    <t>Depreciation</t>
  </si>
  <si>
    <t>Depreciation of Financial Lease Right-of-Use Assets - Supplemental</t>
  </si>
  <si>
    <t>Auditor Fees - Total</t>
  </si>
  <si>
    <t>Tax Fees</t>
  </si>
  <si>
    <t>Audit Fees</t>
  </si>
  <si>
    <t>Audit-Related Fees</t>
  </si>
  <si>
    <t>Other Fees</t>
  </si>
  <si>
    <t>STAFF EXPENSES</t>
  </si>
  <si>
    <t>Selling, General &amp; Admin</t>
  </si>
  <si>
    <t>Total Depreciation of Fixed Assets</t>
  </si>
  <si>
    <t>Total Depreciation &amp; Amortization (Combined)</t>
  </si>
  <si>
    <t>Amortization of Intangible Assets excluding Goodwill - Total</t>
  </si>
  <si>
    <t>Non-Recurring Items - Impact on Income Tax</t>
  </si>
  <si>
    <t>Interest Expense on Financial Lease Liabilities - Supplemental</t>
  </si>
  <si>
    <t>Variable Financial Lease Expenses</t>
  </si>
  <si>
    <t>Short-Term Lease Cost</t>
  </si>
  <si>
    <t>Impairment - Goodwill</t>
  </si>
  <si>
    <t>Restructuring Charges &amp; Provisions</t>
  </si>
  <si>
    <t>COVID-19 One-time Government Grants Received</t>
  </si>
  <si>
    <t>Realized capital gain</t>
  </si>
  <si>
    <t>Non-Recurring Income/Expense - Other</t>
  </si>
  <si>
    <t>Non-GAAP Income from Operations</t>
  </si>
  <si>
    <t>Non-GAAP Adjusted EBITDA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</si>
  <si>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</si>
  <si>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</si>
  <si>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</si>
  <si>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</si>
  <si>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</si>
  <si>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</si>
  <si>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</si>
  <si>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</si>
  <si>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</si>
  <si>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</si>
  <si>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</si>
  <si>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</si>
  <si>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</si>
  <si>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</si>
  <si>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</si>
  <si>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</si>
  <si>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</si>
  <si>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Products in progress</t>
  </si>
  <si>
    <t>Finished products and merchandise</t>
  </si>
  <si>
    <t>Current Receivables</t>
  </si>
  <si>
    <t>Trade receivables</t>
  </si>
  <si>
    <t>Trade Receivables</t>
  </si>
  <si>
    <t>Minus provision for impairment of receiva- bles</t>
  </si>
  <si>
    <t>Other Current Assets</t>
  </si>
  <si>
    <t>Current tax assets</t>
  </si>
  <si>
    <t>Other current receivables</t>
  </si>
  <si>
    <t>Deferred expenses and accrued income</t>
  </si>
  <si>
    <t>Cash and cash equivalents</t>
  </si>
  <si>
    <t>Cash/Bank</t>
  </si>
  <si>
    <t>Escrow account</t>
  </si>
  <si>
    <t>Securities</t>
  </si>
  <si>
    <t>Total current assets</t>
  </si>
  <si>
    <t>Intangible assets</t>
  </si>
  <si>
    <t>Goodwill</t>
  </si>
  <si>
    <t>Other intangible assets</t>
  </si>
  <si>
    <t>Other intangible assets, Gross</t>
  </si>
  <si>
    <t>Other intangible assets, Amortization</t>
  </si>
  <si>
    <t>Others Intangibles Assets - Balancing value</t>
  </si>
  <si>
    <t>Tangible Assets</t>
  </si>
  <si>
    <t>Property, plant and equipment</t>
  </si>
  <si>
    <t>Property, plant and equipment, Gross</t>
  </si>
  <si>
    <t>Property, plant and equipment, Depreciation</t>
  </si>
  <si>
    <t>Plant and machinery</t>
  </si>
  <si>
    <t>Plant and machinery, Gross</t>
  </si>
  <si>
    <t>Plant and machinery, Depreciation</t>
  </si>
  <si>
    <t>Equipment, tools, and fitting</t>
  </si>
  <si>
    <t>Equipment, tools, and fitting, Gross</t>
  </si>
  <si>
    <t>Equipment, tools, and fitting, Depreciation</t>
  </si>
  <si>
    <t>Construction in progress</t>
  </si>
  <si>
    <t>Right to use assets</t>
  </si>
  <si>
    <t>Right of Use Tangible Assets - Capital/Finance Lease - Accumulated Depreciation</t>
  </si>
  <si>
    <t>Right of Use Tangible Assets - Capital/Finance Lease - Gross</t>
  </si>
  <si>
    <t>Right to use assets - Balancing value</t>
  </si>
  <si>
    <t>Interests in other companies</t>
  </si>
  <si>
    <t>Other non-current assets</t>
  </si>
  <si>
    <t>Deferred tax assets</t>
  </si>
  <si>
    <t>Other non-current receivables</t>
  </si>
  <si>
    <t>Construction, Gross</t>
  </si>
  <si>
    <t>Interests in associated companies</t>
  </si>
  <si>
    <t>Accumulated Intangible Amortization</t>
  </si>
  <si>
    <t>Misc intangibles FA, gross</t>
  </si>
  <si>
    <t>Misc intangibles FA amortization</t>
  </si>
  <si>
    <t>Misc intangibles FA, net</t>
  </si>
  <si>
    <t>Buildings - acc depreciation</t>
  </si>
  <si>
    <t>Buildings-Net</t>
  </si>
  <si>
    <t>Cap leases-cost</t>
  </si>
  <si>
    <t>Cap leases - acc depreciation</t>
  </si>
  <si>
    <t>Cap leases-Net</t>
  </si>
  <si>
    <t>Land/buildings-Net</t>
  </si>
  <si>
    <t>Land/buildings- acc depreciation</t>
  </si>
  <si>
    <t>Leased assets-Net</t>
  </si>
  <si>
    <t>Leased assets - acc depreciation</t>
  </si>
  <si>
    <t>Balancing Item - Noncurrent Assets</t>
  </si>
  <si>
    <t>Total Non-current Assets</t>
  </si>
  <si>
    <t>Total Assets</t>
  </si>
  <si>
    <t>Interest-bearing loans</t>
  </si>
  <si>
    <t>Interests -bearing loan</t>
  </si>
  <si>
    <t>Bank loans</t>
  </si>
  <si>
    <t>Current tax liability</t>
  </si>
  <si>
    <t>Other current liabilities</t>
  </si>
  <si>
    <t>Capitalized Leases - Current Portion</t>
  </si>
  <si>
    <t>Other provisions</t>
  </si>
  <si>
    <t>Accrued expenses and deferred income</t>
  </si>
  <si>
    <t>Pay-related accrued expenses</t>
  </si>
  <si>
    <t>Accrued interest payable</t>
  </si>
  <si>
    <t>Accrued customer bonus</t>
  </si>
  <si>
    <t>Other accrued expenses</t>
  </si>
  <si>
    <t>Accrued expenses and deferred income - Balancing value</t>
  </si>
  <si>
    <t>Current Liabilities</t>
  </si>
  <si>
    <t>Trade payables</t>
  </si>
  <si>
    <t>Leasing contracts - IFRS 16</t>
  </si>
  <si>
    <t>Currency and interest rate derivatives</t>
  </si>
  <si>
    <t>Convertibles</t>
  </si>
  <si>
    <t>Interest Bearing Liabilities</t>
  </si>
  <si>
    <t>Current liabilities</t>
  </si>
  <si>
    <t>Other Provisions</t>
  </si>
  <si>
    <t>Non-current liabilities</t>
  </si>
  <si>
    <t>Interest-bearing loans (Do not use)</t>
  </si>
  <si>
    <t>Leasing contracts</t>
  </si>
  <si>
    <t>Other non-current liabilities</t>
  </si>
  <si>
    <t>Deferred tax liabilities</t>
  </si>
  <si>
    <t>Pension obligations</t>
  </si>
  <si>
    <t>Adjustment</t>
  </si>
  <si>
    <t>Other Loans</t>
  </si>
  <si>
    <t>Interest-Bearing Pension Provision</t>
  </si>
  <si>
    <t>Convertible Loan</t>
  </si>
  <si>
    <t>Misc other L/T liabilities</t>
  </si>
  <si>
    <t>Total Debt &amp; Liabilities (LT &amp; Current)</t>
  </si>
  <si>
    <t>Share Capital</t>
  </si>
  <si>
    <t>Other contributed capital</t>
  </si>
  <si>
    <t>Reserves</t>
  </si>
  <si>
    <t>Retained earnings including net result for the year</t>
  </si>
  <si>
    <t>Equity attributable to equity holders of the Parent Tangible assets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</si>
  <si>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</si>
  <si>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</si>
  <si>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</si>
  <si>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</si>
  <si>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</si>
  <si>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</si>
  <si>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Reported Total LT Debt, Supplemental</t>
  </si>
  <si>
    <t>LT Debt Remaining Maturities</t>
  </si>
  <si>
    <t>LT Debt Maturity within 2-5 Years</t>
  </si>
  <si>
    <t>LT Debt Maturity within 1-2 Years</t>
  </si>
  <si>
    <t>Reported Total Capital Leases, Supplemental</t>
  </si>
  <si>
    <t>Capital Leases Remaining Maturities</t>
  </si>
  <si>
    <t>Capital Leases Maturity within 1 Year</t>
  </si>
  <si>
    <t>Capital Leases Maturity within 1-5 Years</t>
  </si>
  <si>
    <t>Convertible loans</t>
  </si>
  <si>
    <t>S/O-Common Stock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</si>
  <si>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</si>
  <si>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</si>
  <si>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</si>
  <si>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</si>
  <si>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</si>
  <si>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Depreciation, amortisation</t>
  </si>
  <si>
    <t>Sale of Fixed Assets</t>
  </si>
  <si>
    <t>Change in Provisions</t>
  </si>
  <si>
    <t>Exchange Difference and Other</t>
  </si>
  <si>
    <t>Other items not affecting liquidity Cash flw from operating activities before changes in</t>
  </si>
  <si>
    <t>Financial Items</t>
  </si>
  <si>
    <t>working capital Non-current liabilities</t>
  </si>
  <si>
    <t>Operating profit/loss</t>
  </si>
  <si>
    <t>Depreciation amortisation and impairment losses</t>
  </si>
  <si>
    <t>Interest received</t>
  </si>
  <si>
    <t>Interest paid</t>
  </si>
  <si>
    <t>Financial receivable</t>
  </si>
  <si>
    <t>Tax paid</t>
  </si>
  <si>
    <t>Other items not affecting liquidity</t>
  </si>
  <si>
    <t>Current receivables</t>
  </si>
  <si>
    <t>Current operating liabilities</t>
  </si>
  <si>
    <t>Changes in Working Capital</t>
  </si>
  <si>
    <t>Balancing Item - Operating (Indirect)</t>
  </si>
  <si>
    <t>Cash flw from operating activities CHANGES IN EQUITY Jan-Dec</t>
  </si>
  <si>
    <t>Aquisition of intangible and tangible assets incl. advanced payments to suppliers</t>
  </si>
  <si>
    <t>Disposal of intangible and tangible assets</t>
  </si>
  <si>
    <t>Acquisition of subsidiaries, net of cash required</t>
  </si>
  <si>
    <t>Cash flw from investing activities</t>
  </si>
  <si>
    <t>Purchase/Investments</t>
  </si>
  <si>
    <t>Purchase/Intangible Assets</t>
  </si>
  <si>
    <t>Sale/Investments</t>
  </si>
  <si>
    <t>Cash flow from investing activities</t>
  </si>
  <si>
    <t>Amortisation of loans</t>
  </si>
  <si>
    <t>New long-term debt</t>
  </si>
  <si>
    <t>Change in other long-term debt</t>
  </si>
  <si>
    <t>Change in credit facilities</t>
  </si>
  <si>
    <t>Dividend to non-controlling interest</t>
  </si>
  <si>
    <t>Cash flow from financing activities</t>
  </si>
  <si>
    <t>New issue</t>
  </si>
  <si>
    <t>Rights Issue</t>
  </si>
  <si>
    <t>Lease payment</t>
  </si>
  <si>
    <t>Cash flw from financing ativities</t>
  </si>
  <si>
    <t>Cash flw for the period</t>
  </si>
  <si>
    <t>Cash and cash equivalents at beginning of period</t>
  </si>
  <si>
    <t>Exchange rate difference in cash and cash equivalents</t>
  </si>
  <si>
    <t>Cash and cash equivalents at end of period</t>
  </si>
  <si>
    <t>Cash flow for the period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</si>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</sst>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46092.4136324306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40086.0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1916.34</v>
      </c>
      <c r="C20" s="15">
        <v>1946.81</v>
      </c>
      <c r="D20" s="15">
        <v>2078.17</v>
      </c>
      <c r="E20" s="15">
        <v>2056.78</v>
      </c>
      <c r="F20" s="15">
        <v>1808.03</v>
      </c>
      <c r="G20" s="15">
        <v>1886.34</v>
      </c>
      <c r="H20" s="15">
        <v>2015.48</v>
      </c>
      <c r="I20" s="15">
        <v>2079.36</v>
      </c>
      <c r="J20" s="15">
        <v>2028.95</v>
      </c>
      <c r="K20" s="15">
        <v>2096.03</v>
      </c>
      <c r="L20" s="15">
        <v>2242.16</v>
      </c>
      <c r="M20" s="15">
        <v>2326.67</v>
      </c>
      <c r="N20" s="15">
        <v>2313.62</v>
      </c>
      <c r="O20" s="15">
        <v>2531.79</v>
      </c>
      <c r="P20" s="15">
        <v>2766.17</v>
      </c>
      <c r="Q20" s="15">
        <v>1953.51</v>
      </c>
      <c r="R20" s="15">
        <v>1575.81</v>
      </c>
      <c r="S20" s="15">
        <v>1656.83</v>
      </c>
      <c r="T20" s="15">
        <v>1726.05</v>
      </c>
      <c r="U20" s="15">
        <v>1726.85</v>
      </c>
      <c r="V20" s="15">
        <v>1539.29</v>
      </c>
      <c r="W20" s="15">
        <v>1658.54</v>
      </c>
    </row>
    <row r="21" ht="15.0" customHeight="1">
      <c r="A21" s="16" t="s">
        <v>73</v>
      </c>
      <c r="B21" s="17">
        <v>1916.34</v>
      </c>
      <c r="C21" s="17">
        <v>1946.81</v>
      </c>
      <c r="D21" s="17">
        <v>2078.17</v>
      </c>
      <c r="E21" s="17">
        <v>2056.78</v>
      </c>
      <c r="F21" s="17">
        <v>1808.03</v>
      </c>
      <c r="G21" s="17">
        <v>1886.34</v>
      </c>
      <c r="H21" s="17">
        <v>2015.48</v>
      </c>
      <c r="I21" s="17">
        <v>2079.36</v>
      </c>
      <c r="J21" s="17">
        <v>2028.95</v>
      </c>
      <c r="K21" s="17">
        <v>2096.03</v>
      </c>
      <c r="L21" s="17">
        <v>2242.16</v>
      </c>
      <c r="M21" s="17">
        <v>2326.67</v>
      </c>
      <c r="N21" s="17">
        <v>2313.62</v>
      </c>
      <c r="O21" s="17">
        <v>2531.79</v>
      </c>
      <c r="P21" s="17">
        <v>2766.17</v>
      </c>
      <c r="Q21" s="17">
        <v>1953.51</v>
      </c>
      <c r="R21" s="17">
        <v>1575.81</v>
      </c>
      <c r="S21" s="17">
        <v>1656.83</v>
      </c>
      <c r="T21" s="17">
        <v>1726.05</v>
      </c>
      <c r="U21" s="17">
        <v>1726.85</v>
      </c>
      <c r="V21" s="17">
        <v>1539.29</v>
      </c>
      <c r="W21" s="17">
        <v>1658.54</v>
      </c>
    </row>
    <row r="22" ht="15.0" customHeight="1">
      <c r="A22" s="14" t="s">
        <v>74</v>
      </c>
      <c r="B22" s="15">
        <v>1621.9</v>
      </c>
      <c r="C22" s="15">
        <v>1630.66</v>
      </c>
      <c r="D22" s="15">
        <v>1752.22</v>
      </c>
      <c r="E22" s="15">
        <v>1691.18</v>
      </c>
      <c r="F22" s="15">
        <v>1501.71</v>
      </c>
      <c r="G22" s="15">
        <v>1564.03</v>
      </c>
      <c r="H22" s="15">
        <v>1676.69</v>
      </c>
      <c r="I22" s="15">
        <v>1735.78</v>
      </c>
      <c r="J22" s="15">
        <v>1659.93</v>
      </c>
      <c r="K22" s="15">
        <v>1729.89</v>
      </c>
      <c r="L22" s="15">
        <v>1853.74</v>
      </c>
      <c r="M22" s="15">
        <v>1898.09</v>
      </c>
      <c r="N22" s="15">
        <v>1912.18</v>
      </c>
      <c r="O22" s="15">
        <v>2062.25</v>
      </c>
      <c r="P22" s="15">
        <v>2257.63</v>
      </c>
      <c r="Q22" s="15">
        <v>1600.32</v>
      </c>
      <c r="R22" s="15">
        <v>1243.21</v>
      </c>
      <c r="S22" s="15">
        <v>1325.57</v>
      </c>
      <c r="T22" s="15">
        <v>1389.84</v>
      </c>
      <c r="U22" s="15">
        <v>1401.59</v>
      </c>
      <c r="V22" s="15">
        <v>1247.23</v>
      </c>
      <c r="W22" s="15">
        <v>1354.47</v>
      </c>
    </row>
    <row r="23" ht="15.0" customHeight="1">
      <c r="A23" s="14" t="s">
        <v>75</v>
      </c>
      <c r="B23" s="18"/>
      <c r="C23" s="19">
        <v>69.33</v>
      </c>
      <c r="D23" s="19">
        <v>68.07</v>
      </c>
      <c r="E23" s="19">
        <v>54.55</v>
      </c>
      <c r="F23" s="19">
        <v>53.67</v>
      </c>
      <c r="G23" s="19">
        <v>67.24</v>
      </c>
      <c r="H23" s="19">
        <v>66.26</v>
      </c>
      <c r="I23" s="19">
        <v>27.89</v>
      </c>
      <c r="J23" s="19">
        <v>30.9</v>
      </c>
      <c r="K23" s="19">
        <v>36.61</v>
      </c>
      <c r="L23" s="19">
        <v>49.66</v>
      </c>
      <c r="M23" s="19">
        <v>73.92</v>
      </c>
      <c r="N23" s="19">
        <v>68.46</v>
      </c>
      <c r="O23" s="19">
        <v>74.1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76</v>
      </c>
      <c r="B24" s="18"/>
      <c r="C24" s="15">
        <v>1561.33</v>
      </c>
      <c r="D24" s="15">
        <v>1684.15</v>
      </c>
      <c r="E24" s="15">
        <v>1636.64</v>
      </c>
      <c r="F24" s="15">
        <v>1448.03</v>
      </c>
      <c r="G24" s="15">
        <v>1496.79</v>
      </c>
      <c r="H24" s="15">
        <v>1610.43</v>
      </c>
      <c r="I24" s="15">
        <v>1707.88</v>
      </c>
      <c r="J24" s="15">
        <v>1629.03</v>
      </c>
      <c r="K24" s="15">
        <v>1693.28</v>
      </c>
      <c r="L24" s="15">
        <v>1804.08</v>
      </c>
      <c r="M24" s="15">
        <v>1824.17</v>
      </c>
      <c r="N24" s="15">
        <v>1843.71</v>
      </c>
      <c r="O24" s="15">
        <v>1988.15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77</v>
      </c>
      <c r="B25" s="18"/>
      <c r="C25" s="18"/>
      <c r="D25" s="18"/>
      <c r="E25" s="18"/>
      <c r="F25" s="18">
        <v>0.0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6" t="s">
        <v>78</v>
      </c>
      <c r="B26" s="17">
        <v>1621.9</v>
      </c>
      <c r="C26" s="17">
        <v>1630.66</v>
      </c>
      <c r="D26" s="17">
        <v>1752.22</v>
      </c>
      <c r="E26" s="17">
        <v>1691.18</v>
      </c>
      <c r="F26" s="17">
        <v>1501.71</v>
      </c>
      <c r="G26" s="17">
        <v>1564.03</v>
      </c>
      <c r="H26" s="17">
        <v>1676.69</v>
      </c>
      <c r="I26" s="17">
        <v>1735.78</v>
      </c>
      <c r="J26" s="17">
        <v>1659.93</v>
      </c>
      <c r="K26" s="17">
        <v>1729.89</v>
      </c>
      <c r="L26" s="17">
        <v>1853.74</v>
      </c>
      <c r="M26" s="17">
        <v>1898.09</v>
      </c>
      <c r="N26" s="17">
        <v>1912.18</v>
      </c>
      <c r="O26" s="17">
        <v>2062.25</v>
      </c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6" t="s">
        <v>79</v>
      </c>
      <c r="B27" s="17">
        <v>294.45</v>
      </c>
      <c r="C27" s="17">
        <v>316.14</v>
      </c>
      <c r="D27" s="17">
        <v>325.95</v>
      </c>
      <c r="E27" s="17">
        <v>365.6</v>
      </c>
      <c r="F27" s="17">
        <v>306.33</v>
      </c>
      <c r="G27" s="17">
        <v>322.31</v>
      </c>
      <c r="H27" s="17">
        <v>338.79</v>
      </c>
      <c r="I27" s="17">
        <v>343.58</v>
      </c>
      <c r="J27" s="17">
        <v>369.02</v>
      </c>
      <c r="K27" s="17">
        <v>366.14</v>
      </c>
      <c r="L27" s="17">
        <v>388.42</v>
      </c>
      <c r="M27" s="17">
        <v>428.58</v>
      </c>
      <c r="N27" s="17">
        <v>401.44</v>
      </c>
      <c r="O27" s="17">
        <v>469.54</v>
      </c>
      <c r="P27" s="20"/>
      <c r="Q27" s="20"/>
      <c r="R27" s="20"/>
      <c r="S27" s="20"/>
      <c r="T27" s="20"/>
      <c r="U27" s="20"/>
      <c r="V27" s="20"/>
      <c r="W27" s="20"/>
    </row>
    <row r="28" ht="15.0" customHeight="1">
      <c r="A28" s="14" t="s">
        <v>80</v>
      </c>
      <c r="B28" s="15">
        <v>152.73</v>
      </c>
      <c r="C28" s="15">
        <v>159.86</v>
      </c>
      <c r="D28" s="15">
        <v>156.88</v>
      </c>
      <c r="E28" s="15">
        <v>139.36</v>
      </c>
      <c r="F28" s="15">
        <v>151.96</v>
      </c>
      <c r="G28" s="15">
        <v>181.51</v>
      </c>
      <c r="H28" s="15">
        <v>179.12</v>
      </c>
      <c r="I28" s="15">
        <v>184.28</v>
      </c>
      <c r="J28" s="15">
        <v>175.74</v>
      </c>
      <c r="K28" s="15">
        <v>187.93</v>
      </c>
      <c r="L28" s="15">
        <v>208.31</v>
      </c>
      <c r="M28" s="15">
        <v>231.05</v>
      </c>
      <c r="N28" s="15">
        <v>236.59</v>
      </c>
      <c r="O28" s="15">
        <v>227.54</v>
      </c>
      <c r="P28" s="15">
        <v>243.84</v>
      </c>
      <c r="Q28" s="15">
        <v>167.66</v>
      </c>
      <c r="R28" s="15">
        <v>155.02</v>
      </c>
      <c r="S28" s="15">
        <v>157.21</v>
      </c>
      <c r="T28" s="15">
        <v>181.67</v>
      </c>
      <c r="U28" s="15">
        <v>184.75</v>
      </c>
      <c r="V28" s="15">
        <v>125.99</v>
      </c>
      <c r="W28" s="15">
        <v>129.32</v>
      </c>
    </row>
    <row r="29" ht="15.0" customHeight="1">
      <c r="A29" s="14" t="s">
        <v>81</v>
      </c>
      <c r="B29" s="18"/>
      <c r="C29" s="19">
        <v>5.69</v>
      </c>
      <c r="D29" s="19">
        <v>7.32</v>
      </c>
      <c r="E29" s="19">
        <v>6.14</v>
      </c>
      <c r="F29" s="19">
        <v>6.74</v>
      </c>
      <c r="G29" s="19">
        <v>8.49</v>
      </c>
      <c r="H29" s="19">
        <v>7.84</v>
      </c>
      <c r="I29" s="19">
        <v>3.61</v>
      </c>
      <c r="J29" s="19">
        <v>3.58</v>
      </c>
      <c r="K29" s="19">
        <v>3.9</v>
      </c>
      <c r="L29" s="19">
        <v>3.16</v>
      </c>
      <c r="M29" s="19">
        <v>4.79</v>
      </c>
      <c r="N29" s="19">
        <v>2.91</v>
      </c>
      <c r="O29" s="19">
        <v>2.73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8"/>
      <c r="C30" s="15">
        <v>154.17</v>
      </c>
      <c r="D30" s="15">
        <v>149.56</v>
      </c>
      <c r="E30" s="15">
        <v>133.22</v>
      </c>
      <c r="F30" s="15">
        <v>145.22</v>
      </c>
      <c r="G30" s="15">
        <v>173.02</v>
      </c>
      <c r="H30" s="15">
        <v>171.28</v>
      </c>
      <c r="I30" s="15">
        <v>180.67</v>
      </c>
      <c r="J30" s="15">
        <v>172.16</v>
      </c>
      <c r="K30" s="15">
        <v>184.03</v>
      </c>
      <c r="L30" s="15">
        <v>205.15</v>
      </c>
      <c r="M30" s="15">
        <v>226.25</v>
      </c>
      <c r="N30" s="15">
        <v>233.68</v>
      </c>
      <c r="O30" s="15">
        <v>224.8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83</v>
      </c>
      <c r="B31" s="15">
        <v>127.95</v>
      </c>
      <c r="C31" s="15">
        <v>128.65</v>
      </c>
      <c r="D31" s="15">
        <v>135.14</v>
      </c>
      <c r="E31" s="15">
        <v>115.49</v>
      </c>
      <c r="F31" s="15">
        <v>122.3</v>
      </c>
      <c r="G31" s="15">
        <v>152.11</v>
      </c>
      <c r="H31" s="15">
        <v>119.81</v>
      </c>
      <c r="I31" s="15">
        <v>213.16</v>
      </c>
      <c r="J31" s="15">
        <v>141.79</v>
      </c>
      <c r="K31" s="15">
        <v>152.42</v>
      </c>
      <c r="L31" s="15">
        <v>165.03</v>
      </c>
      <c r="M31" s="15">
        <v>185.72</v>
      </c>
      <c r="N31" s="15">
        <v>202.98</v>
      </c>
      <c r="O31" s="15">
        <v>205.11</v>
      </c>
      <c r="P31" s="15">
        <v>209.65</v>
      </c>
      <c r="Q31" s="15">
        <v>154.73</v>
      </c>
      <c r="R31" s="15">
        <v>128.55</v>
      </c>
      <c r="S31" s="15">
        <v>123.59</v>
      </c>
      <c r="T31" s="15">
        <v>127.99</v>
      </c>
      <c r="U31" s="15">
        <v>132.74</v>
      </c>
      <c r="V31" s="15">
        <v>127.87</v>
      </c>
      <c r="W31" s="15">
        <v>143.12</v>
      </c>
    </row>
    <row r="32" ht="15.0" customHeight="1">
      <c r="A32" s="14" t="s">
        <v>83</v>
      </c>
      <c r="B32" s="18"/>
      <c r="C32" s="19">
        <v>2.0</v>
      </c>
      <c r="D32" s="19">
        <v>15.55</v>
      </c>
      <c r="E32" s="19">
        <v>2.35</v>
      </c>
      <c r="F32" s="19">
        <v>21.36</v>
      </c>
      <c r="G32" s="19">
        <v>42.61</v>
      </c>
      <c r="H32" s="19">
        <v>8.58</v>
      </c>
      <c r="I32" s="19">
        <v>83.82</v>
      </c>
      <c r="J32" s="19">
        <v>10.21</v>
      </c>
      <c r="K32" s="19">
        <v>10.37</v>
      </c>
      <c r="L32" s="19">
        <v>19.3</v>
      </c>
      <c r="M32" s="19">
        <v>13.74</v>
      </c>
      <c r="N32" s="19">
        <v>11.35</v>
      </c>
      <c r="O32" s="19">
        <v>10.95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84</v>
      </c>
      <c r="B33" s="18"/>
      <c r="C33" s="15">
        <v>126.65</v>
      </c>
      <c r="D33" s="15">
        <v>119.59</v>
      </c>
      <c r="E33" s="15">
        <v>113.15</v>
      </c>
      <c r="F33" s="15">
        <v>100.94</v>
      </c>
      <c r="G33" s="15">
        <v>109.5</v>
      </c>
      <c r="H33" s="15">
        <v>111.23</v>
      </c>
      <c r="I33" s="15">
        <v>129.34</v>
      </c>
      <c r="J33" s="15">
        <v>131.58</v>
      </c>
      <c r="K33" s="15">
        <v>142.05</v>
      </c>
      <c r="L33" s="15">
        <v>145.74</v>
      </c>
      <c r="M33" s="15">
        <v>171.98</v>
      </c>
      <c r="N33" s="15">
        <v>191.62</v>
      </c>
      <c r="O33" s="15">
        <v>194.16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85</v>
      </c>
      <c r="B34" s="18"/>
      <c r="C34" s="21">
        <v>-55.33</v>
      </c>
      <c r="D34" s="21">
        <v>-53.02</v>
      </c>
      <c r="E34" s="21">
        <v>-79.54</v>
      </c>
      <c r="F34" s="21">
        <v>-62.74</v>
      </c>
      <c r="G34" s="21">
        <v>-72.5</v>
      </c>
      <c r="H34" s="21">
        <v>-58.81</v>
      </c>
      <c r="I34" s="21">
        <v>-26.89</v>
      </c>
      <c r="J34" s="21">
        <v>-13.21</v>
      </c>
      <c r="K34" s="21">
        <v>-42.18</v>
      </c>
      <c r="L34" s="21">
        <v>-42.95</v>
      </c>
      <c r="M34" s="21">
        <v>-21.89</v>
      </c>
      <c r="N34" s="21">
        <v>-27.6</v>
      </c>
      <c r="O34" s="21">
        <v>-26.24</v>
      </c>
      <c r="P34" s="21">
        <v>-2.75</v>
      </c>
      <c r="Q34" s="21">
        <v>-2.29</v>
      </c>
      <c r="R34" s="21">
        <v>-1.79</v>
      </c>
      <c r="S34" s="21">
        <v>-13.09</v>
      </c>
      <c r="T34" s="21">
        <v>-12.85</v>
      </c>
      <c r="U34" s="21">
        <v>-2.4</v>
      </c>
      <c r="V34" s="21">
        <v>-25.33</v>
      </c>
      <c r="W34" s="21">
        <v>-79.14</v>
      </c>
    </row>
    <row r="35" ht="15.0" customHeight="1">
      <c r="A35" s="14" t="s">
        <v>86</v>
      </c>
      <c r="B35" s="18"/>
      <c r="C35" s="21">
        <v>-32.7</v>
      </c>
      <c r="D35" s="21">
        <v>-42.24</v>
      </c>
      <c r="E35" s="21">
        <v>-68.21</v>
      </c>
      <c r="F35" s="21">
        <v>-45.56</v>
      </c>
      <c r="G35" s="21">
        <v>-62.61</v>
      </c>
      <c r="H35" s="21">
        <v>-57.54</v>
      </c>
      <c r="I35" s="21">
        <v>-18.71</v>
      </c>
      <c r="J35" s="21">
        <v>-10.23</v>
      </c>
      <c r="K35" s="21">
        <v>-39.05</v>
      </c>
      <c r="L35" s="21">
        <v>-17.3</v>
      </c>
      <c r="M35" s="21">
        <v>-4.32</v>
      </c>
      <c r="N35" s="21">
        <v>-4.81</v>
      </c>
      <c r="O35" s="21">
        <v>-4.13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87</v>
      </c>
      <c r="B36" s="18"/>
      <c r="C36" s="21">
        <v>-22.32</v>
      </c>
      <c r="D36" s="21">
        <v>-10.78</v>
      </c>
      <c r="E36" s="21">
        <v>-11.32</v>
      </c>
      <c r="F36" s="21">
        <v>-10.78</v>
      </c>
      <c r="G36" s="21">
        <v>-9.89</v>
      </c>
      <c r="H36" s="21">
        <v>-1.27</v>
      </c>
      <c r="I36" s="21">
        <v>-8.18</v>
      </c>
      <c r="J36" s="21">
        <v>-2.99</v>
      </c>
      <c r="K36" s="21">
        <v>-3.13</v>
      </c>
      <c r="L36" s="21">
        <v>-25.65</v>
      </c>
      <c r="M36" s="21">
        <v>-17.57</v>
      </c>
      <c r="N36" s="21">
        <v>-22.78</v>
      </c>
      <c r="O36" s="21">
        <v>-22.1</v>
      </c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88</v>
      </c>
      <c r="B37" s="18"/>
      <c r="C37" s="21">
        <v>-0.31</v>
      </c>
      <c r="D37" s="18"/>
      <c r="E37" s="18"/>
      <c r="F37" s="21">
        <v>-6.4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89</v>
      </c>
      <c r="B38" s="18"/>
      <c r="C38" s="19">
        <v>38.83</v>
      </c>
      <c r="D38" s="19">
        <v>43.59</v>
      </c>
      <c r="E38" s="19">
        <v>96.9</v>
      </c>
      <c r="F38" s="19">
        <v>48.77</v>
      </c>
      <c r="G38" s="19">
        <v>80.59</v>
      </c>
      <c r="H38" s="19">
        <v>69.14</v>
      </c>
      <c r="I38" s="19">
        <v>21.46</v>
      </c>
      <c r="J38" s="19">
        <v>20.94</v>
      </c>
      <c r="K38" s="19">
        <v>59.29</v>
      </c>
      <c r="L38" s="19">
        <v>62.84</v>
      </c>
      <c r="M38" s="15">
        <v>145.96</v>
      </c>
      <c r="N38" s="19">
        <v>87.96</v>
      </c>
      <c r="O38" s="19">
        <v>50.03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90</v>
      </c>
      <c r="B39" s="18"/>
      <c r="C39" s="19">
        <v>0.3</v>
      </c>
      <c r="D39" s="19">
        <v>3.59</v>
      </c>
      <c r="E39" s="19">
        <v>1.51</v>
      </c>
      <c r="F39" s="19">
        <v>1.18</v>
      </c>
      <c r="G39" s="19">
        <v>15.63</v>
      </c>
      <c r="H39" s="19">
        <v>11.06</v>
      </c>
      <c r="I39" s="19">
        <v>5.67</v>
      </c>
      <c r="J39" s="19">
        <v>7.78</v>
      </c>
      <c r="K39" s="19">
        <v>17.91</v>
      </c>
      <c r="L39" s="19">
        <v>18.8</v>
      </c>
      <c r="M39" s="15">
        <v>132.17</v>
      </c>
      <c r="N39" s="19">
        <v>62.29</v>
      </c>
      <c r="O39" s="19">
        <v>43.92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91</v>
      </c>
      <c r="B40" s="18"/>
      <c r="C40" s="19">
        <v>29.4</v>
      </c>
      <c r="D40" s="19">
        <v>39.96</v>
      </c>
      <c r="E40" s="19">
        <v>71.23</v>
      </c>
      <c r="F40" s="19">
        <v>45.46</v>
      </c>
      <c r="G40" s="19">
        <v>64.96</v>
      </c>
      <c r="H40" s="19">
        <v>58.08</v>
      </c>
      <c r="I40" s="19">
        <v>15.73</v>
      </c>
      <c r="J40" s="19">
        <v>13.0</v>
      </c>
      <c r="K40" s="19">
        <v>39.6</v>
      </c>
      <c r="L40" s="19">
        <v>17.35</v>
      </c>
      <c r="M40" s="19">
        <v>7.35</v>
      </c>
      <c r="N40" s="19">
        <v>5.4</v>
      </c>
      <c r="O40" s="19">
        <v>3.93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92</v>
      </c>
      <c r="B41" s="18"/>
      <c r="C41" s="18">
        <v>0.0</v>
      </c>
      <c r="D41" s="19">
        <v>0.04</v>
      </c>
      <c r="E41" s="19">
        <v>24.16</v>
      </c>
      <c r="F41" s="19">
        <v>2.13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93</v>
      </c>
      <c r="B42" s="18"/>
      <c r="C42" s="19">
        <v>9.13</v>
      </c>
      <c r="D42" s="18"/>
      <c r="E42" s="18"/>
      <c r="F42" s="18"/>
      <c r="G42" s="18">
        <v>0.0</v>
      </c>
      <c r="H42" s="18">
        <v>0.0</v>
      </c>
      <c r="I42" s="19">
        <v>0.06</v>
      </c>
      <c r="J42" s="19">
        <v>0.16</v>
      </c>
      <c r="K42" s="19">
        <v>1.78</v>
      </c>
      <c r="L42" s="19">
        <v>26.7</v>
      </c>
      <c r="M42" s="19">
        <v>6.44</v>
      </c>
      <c r="N42" s="19">
        <v>6.67</v>
      </c>
      <c r="O42" s="19">
        <v>2.18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>
        <v>0.0</v>
      </c>
      <c r="N43" s="19">
        <v>13.61</v>
      </c>
      <c r="O43" s="18">
        <v>0.0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95</v>
      </c>
      <c r="B44" s="18"/>
      <c r="C44" s="18"/>
      <c r="D44" s="18"/>
      <c r="E44" s="18"/>
      <c r="F44" s="18"/>
      <c r="G44" s="18"/>
      <c r="H44" s="18"/>
      <c r="I44" s="18"/>
      <c r="J44" s="18"/>
      <c r="K44" s="18">
        <v>0.0</v>
      </c>
      <c r="L44" s="18">
        <v>0.0</v>
      </c>
      <c r="M44" s="19">
        <v>0.51</v>
      </c>
      <c r="N44" s="19">
        <v>0.32</v>
      </c>
      <c r="O44" s="19">
        <v>0.34</v>
      </c>
      <c r="P44" s="19">
        <v>0.71</v>
      </c>
      <c r="Q44" s="19">
        <v>1.8</v>
      </c>
      <c r="R44" s="21">
        <v>-0.12</v>
      </c>
      <c r="S44" s="18"/>
      <c r="T44" s="21">
        <v>-4.69</v>
      </c>
      <c r="U44" s="18"/>
      <c r="V44" s="18">
        <v>0.0</v>
      </c>
      <c r="W44" s="18"/>
    </row>
    <row r="45" ht="15.0" customHeight="1">
      <c r="A45" s="14" t="s">
        <v>96</v>
      </c>
      <c r="B45" s="21">
        <v>-2.97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>
        <v>2.24</v>
      </c>
      <c r="Q46" s="19">
        <v>4.15</v>
      </c>
      <c r="R46" s="19">
        <v>3.3</v>
      </c>
      <c r="S46" s="18">
        <v>0.0</v>
      </c>
      <c r="T46" s="19">
        <v>3.06</v>
      </c>
      <c r="U46" s="19">
        <v>6.88</v>
      </c>
      <c r="V46" s="19">
        <v>2.52</v>
      </c>
      <c r="W46" s="19">
        <v>6.56</v>
      </c>
    </row>
    <row r="47" ht="15.0" customHeight="1">
      <c r="A47" s="14" t="s">
        <v>98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>
        <v>12.87</v>
      </c>
      <c r="Q47" s="19">
        <v>9.28</v>
      </c>
      <c r="R47" s="18"/>
      <c r="S47" s="18"/>
      <c r="T47" s="18"/>
      <c r="U47" s="18"/>
      <c r="V47" s="18"/>
      <c r="W47" s="18"/>
    </row>
    <row r="48" ht="15.0" customHeight="1">
      <c r="A48" s="14" t="s">
        <v>99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21">
        <v>-11.85</v>
      </c>
      <c r="Q48" s="21">
        <v>-17.58</v>
      </c>
      <c r="R48" s="21">
        <v>-9.97</v>
      </c>
      <c r="S48" s="18"/>
      <c r="T48" s="21">
        <v>-11.01</v>
      </c>
      <c r="U48" s="21">
        <v>-31.09</v>
      </c>
      <c r="V48" s="18"/>
      <c r="W48" s="18"/>
    </row>
    <row r="49" ht="15.0" customHeight="1">
      <c r="A49" s="14" t="s">
        <v>100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>
        <v>19.16</v>
      </c>
      <c r="Q49" s="15">
        <v>111.84</v>
      </c>
      <c r="R49" s="19">
        <v>3.89</v>
      </c>
      <c r="S49" s="18"/>
      <c r="T49" s="18"/>
      <c r="U49" s="18"/>
      <c r="V49" s="18"/>
      <c r="W49" s="18"/>
    </row>
    <row r="50" ht="15.0" customHeight="1">
      <c r="A50" s="14" t="s">
        <v>101</v>
      </c>
      <c r="B50" s="19">
        <v>0.11</v>
      </c>
      <c r="C50" s="18"/>
      <c r="D50" s="18">
        <v>0.0</v>
      </c>
      <c r="E50" s="18"/>
      <c r="F50" s="22">
        <v>0.0</v>
      </c>
      <c r="G50" s="18"/>
      <c r="H50" s="22">
        <v>0.0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6" t="s">
        <v>102</v>
      </c>
      <c r="B51" s="17">
        <v>277.71</v>
      </c>
      <c r="C51" s="17">
        <v>272.01</v>
      </c>
      <c r="D51" s="17">
        <v>282.59</v>
      </c>
      <c r="E51" s="17">
        <v>272.21</v>
      </c>
      <c r="F51" s="17">
        <v>260.3</v>
      </c>
      <c r="G51" s="17">
        <v>341.71</v>
      </c>
      <c r="H51" s="17">
        <v>309.26</v>
      </c>
      <c r="I51" s="17">
        <v>392.0</v>
      </c>
      <c r="J51" s="17">
        <v>325.26</v>
      </c>
      <c r="K51" s="17">
        <v>357.47</v>
      </c>
      <c r="L51" s="17">
        <v>393.23</v>
      </c>
      <c r="M51" s="17">
        <v>541.36</v>
      </c>
      <c r="N51" s="17">
        <v>500.26</v>
      </c>
      <c r="O51" s="17">
        <v>456.79</v>
      </c>
      <c r="P51" s="17">
        <v>2731.5</v>
      </c>
      <c r="Q51" s="17">
        <v>2029.92</v>
      </c>
      <c r="R51" s="17">
        <v>1522.08</v>
      </c>
      <c r="S51" s="17">
        <v>1593.28</v>
      </c>
      <c r="T51" s="17">
        <v>1674.02</v>
      </c>
      <c r="U51" s="17">
        <v>1692.47</v>
      </c>
      <c r="V51" s="17">
        <v>1478.28</v>
      </c>
      <c r="W51" s="17">
        <v>1554.34</v>
      </c>
    </row>
    <row r="52" ht="15.0" customHeight="1">
      <c r="A52" s="16" t="s">
        <v>103</v>
      </c>
      <c r="B52" s="23">
        <v>16.84</v>
      </c>
      <c r="C52" s="23">
        <v>44.13</v>
      </c>
      <c r="D52" s="23">
        <v>43.36</v>
      </c>
      <c r="E52" s="23">
        <v>93.39</v>
      </c>
      <c r="F52" s="23">
        <v>46.03</v>
      </c>
      <c r="G52" s="24">
        <v>-19.4</v>
      </c>
      <c r="H52" s="23">
        <v>29.53</v>
      </c>
      <c r="I52" s="24">
        <v>-48.41</v>
      </c>
      <c r="J52" s="23">
        <v>43.76</v>
      </c>
      <c r="K52" s="23">
        <v>8.67</v>
      </c>
      <c r="L52" s="24">
        <v>-4.81</v>
      </c>
      <c r="M52" s="25">
        <v>-112.77</v>
      </c>
      <c r="N52" s="24">
        <v>-98.81</v>
      </c>
      <c r="O52" s="23">
        <v>12.75</v>
      </c>
      <c r="P52" s="23">
        <v>34.67</v>
      </c>
      <c r="Q52" s="24">
        <v>-76.41</v>
      </c>
      <c r="R52" s="23">
        <v>53.73</v>
      </c>
      <c r="S52" s="23">
        <v>63.55</v>
      </c>
      <c r="T52" s="23">
        <v>52.03</v>
      </c>
      <c r="U52" s="23">
        <v>34.39</v>
      </c>
      <c r="V52" s="23">
        <v>61.0</v>
      </c>
      <c r="W52" s="17">
        <v>104.19</v>
      </c>
    </row>
    <row r="53" ht="15.0" customHeight="1">
      <c r="A53" s="14" t="s">
        <v>104</v>
      </c>
      <c r="B53" s="18"/>
      <c r="C53" s="19">
        <v>3.03</v>
      </c>
      <c r="D53" s="19">
        <v>1.53</v>
      </c>
      <c r="E53" s="19">
        <v>0.86</v>
      </c>
      <c r="F53" s="19">
        <v>0.05</v>
      </c>
      <c r="G53" s="19">
        <v>0.39</v>
      </c>
      <c r="H53" s="19">
        <v>0.92</v>
      </c>
      <c r="I53" s="19">
        <v>1.23</v>
      </c>
      <c r="J53" s="19">
        <v>1.46</v>
      </c>
      <c r="K53" s="19">
        <v>2.89</v>
      </c>
      <c r="L53" s="19">
        <v>0.96</v>
      </c>
      <c r="M53" s="19">
        <v>1.88</v>
      </c>
      <c r="N53" s="19">
        <v>3.89</v>
      </c>
      <c r="O53" s="19">
        <v>4.16</v>
      </c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105</v>
      </c>
      <c r="B54" s="18"/>
      <c r="C54" s="19">
        <v>1.39</v>
      </c>
      <c r="D54" s="19">
        <v>0.33</v>
      </c>
      <c r="E54" s="19">
        <v>0.03</v>
      </c>
      <c r="F54" s="19">
        <v>0.04</v>
      </c>
      <c r="G54" s="19">
        <v>0.16</v>
      </c>
      <c r="H54" s="19">
        <v>0.08</v>
      </c>
      <c r="I54" s="19">
        <v>0.05</v>
      </c>
      <c r="J54" s="19">
        <v>0.18</v>
      </c>
      <c r="K54" s="19">
        <v>0.25</v>
      </c>
      <c r="L54" s="19">
        <v>0.85</v>
      </c>
      <c r="M54" s="19">
        <v>0.95</v>
      </c>
      <c r="N54" s="19">
        <v>1.17</v>
      </c>
      <c r="O54" s="19">
        <v>2.61</v>
      </c>
      <c r="P54" s="19">
        <v>1.33</v>
      </c>
      <c r="Q54" s="19">
        <v>2.52</v>
      </c>
      <c r="R54" s="19">
        <v>2.51</v>
      </c>
      <c r="S54" s="18"/>
      <c r="T54" s="19">
        <v>3.81</v>
      </c>
      <c r="U54" s="19">
        <v>2.2</v>
      </c>
      <c r="V54" s="19">
        <v>1.0</v>
      </c>
      <c r="W54" s="19">
        <v>1.55</v>
      </c>
    </row>
    <row r="55" ht="15.0" customHeight="1">
      <c r="A55" s="14" t="s">
        <v>106</v>
      </c>
      <c r="B55" s="18"/>
      <c r="C55" s="19">
        <v>1.21</v>
      </c>
      <c r="D55" s="19">
        <v>1.2</v>
      </c>
      <c r="E55" s="19">
        <v>0.84</v>
      </c>
      <c r="F55" s="19">
        <v>0.01</v>
      </c>
      <c r="G55" s="19">
        <v>0.23</v>
      </c>
      <c r="H55" s="19">
        <v>0.84</v>
      </c>
      <c r="I55" s="19">
        <v>1.18</v>
      </c>
      <c r="J55" s="19">
        <v>1.28</v>
      </c>
      <c r="K55" s="19">
        <v>2.63</v>
      </c>
      <c r="L55" s="19">
        <v>0.11</v>
      </c>
      <c r="M55" s="19">
        <v>0.93</v>
      </c>
      <c r="N55" s="19">
        <v>2.72</v>
      </c>
      <c r="O55" s="19">
        <v>1.56</v>
      </c>
      <c r="P55" s="19">
        <v>4.15</v>
      </c>
      <c r="Q55" s="19">
        <v>2.25</v>
      </c>
      <c r="R55" s="19">
        <v>8.69</v>
      </c>
      <c r="S55" s="18"/>
      <c r="T55" s="19">
        <v>3.7</v>
      </c>
      <c r="U55" s="19">
        <v>0.07</v>
      </c>
      <c r="V55" s="18">
        <v>0.0</v>
      </c>
      <c r="W55" s="21">
        <v>-0.37</v>
      </c>
    </row>
    <row r="56" ht="15.0" customHeight="1">
      <c r="A56" s="14" t="s">
        <v>107</v>
      </c>
      <c r="B56" s="18"/>
      <c r="C56" s="19">
        <v>0.43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108</v>
      </c>
      <c r="B57" s="18"/>
      <c r="C57" s="21">
        <v>-42.89</v>
      </c>
      <c r="D57" s="21">
        <v>-40.82</v>
      </c>
      <c r="E57" s="21">
        <v>-35.49</v>
      </c>
      <c r="F57" s="21">
        <v>-35.93</v>
      </c>
      <c r="G57" s="21">
        <v>-38.5</v>
      </c>
      <c r="H57" s="21">
        <v>-39.9</v>
      </c>
      <c r="I57" s="21">
        <v>-54.27</v>
      </c>
      <c r="J57" s="21">
        <v>-44.12</v>
      </c>
      <c r="K57" s="21">
        <v>-47.88</v>
      </c>
      <c r="L57" s="21">
        <v>-53.5</v>
      </c>
      <c r="M57" s="21">
        <v>-52.85</v>
      </c>
      <c r="N57" s="21">
        <v>-64.09</v>
      </c>
      <c r="O57" s="21">
        <v>-65.4</v>
      </c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109</v>
      </c>
      <c r="B58" s="18"/>
      <c r="C58" s="18"/>
      <c r="D58" s="18"/>
      <c r="E58" s="18">
        <v>0.0</v>
      </c>
      <c r="F58" s="18">
        <v>0.0</v>
      </c>
      <c r="G58" s="21">
        <v>-0.54</v>
      </c>
      <c r="H58" s="21">
        <v>-0.69</v>
      </c>
      <c r="I58" s="21">
        <v>-1.06</v>
      </c>
      <c r="J58" s="18">
        <v>0.0</v>
      </c>
      <c r="K58" s="21">
        <v>-2.35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110</v>
      </c>
      <c r="B59" s="18"/>
      <c r="C59" s="18"/>
      <c r="D59" s="18"/>
      <c r="E59" s="18"/>
      <c r="F59" s="18"/>
      <c r="G59" s="18">
        <v>0.0</v>
      </c>
      <c r="H59" s="21">
        <v>-4.53</v>
      </c>
      <c r="I59" s="21">
        <v>-4.66</v>
      </c>
      <c r="J59" s="21">
        <v>-2.7</v>
      </c>
      <c r="K59" s="21">
        <v>-2.74</v>
      </c>
      <c r="L59" s="21">
        <v>-5.2</v>
      </c>
      <c r="M59" s="21">
        <v>-6.49</v>
      </c>
      <c r="N59" s="21">
        <v>-3.16</v>
      </c>
      <c r="O59" s="21">
        <v>-3.81</v>
      </c>
      <c r="P59" s="21">
        <v>-6.63</v>
      </c>
      <c r="Q59" s="21">
        <v>-5.63</v>
      </c>
      <c r="R59" s="21">
        <v>-2.53</v>
      </c>
      <c r="S59" s="18"/>
      <c r="T59" s="21">
        <v>-6.15</v>
      </c>
      <c r="U59" s="21">
        <v>-4.99</v>
      </c>
      <c r="V59" s="21">
        <v>-6.45</v>
      </c>
      <c r="W59" s="21">
        <v>-7.42</v>
      </c>
    </row>
    <row r="60" ht="15.0" customHeight="1">
      <c r="A60" s="14" t="s">
        <v>111</v>
      </c>
      <c r="B60" s="18"/>
      <c r="C60" s="21">
        <v>-36.8</v>
      </c>
      <c r="D60" s="21">
        <v>-35.64</v>
      </c>
      <c r="E60" s="21">
        <v>-27.19</v>
      </c>
      <c r="F60" s="21">
        <v>-28.4</v>
      </c>
      <c r="G60" s="21">
        <v>-34.1</v>
      </c>
      <c r="H60" s="21">
        <v>-28.14</v>
      </c>
      <c r="I60" s="21">
        <v>-20.61</v>
      </c>
      <c r="J60" s="21">
        <v>-24.53</v>
      </c>
      <c r="K60" s="21">
        <v>-24.49</v>
      </c>
      <c r="L60" s="21">
        <v>-31.18</v>
      </c>
      <c r="M60" s="21">
        <v>-33.82</v>
      </c>
      <c r="N60" s="21">
        <v>-48.78</v>
      </c>
      <c r="O60" s="21">
        <v>-51.14</v>
      </c>
      <c r="P60" s="21">
        <v>-46.41</v>
      </c>
      <c r="Q60" s="21">
        <v>-29.72</v>
      </c>
      <c r="R60" s="21">
        <v>-24.49</v>
      </c>
      <c r="S60" s="18"/>
      <c r="T60" s="21">
        <v>-36.15</v>
      </c>
      <c r="U60" s="21">
        <v>-28.63</v>
      </c>
      <c r="V60" s="21">
        <v>-24.41</v>
      </c>
      <c r="W60" s="21">
        <v>-30.1</v>
      </c>
    </row>
    <row r="61" ht="15.0" customHeight="1">
      <c r="A61" s="14" t="s">
        <v>112</v>
      </c>
      <c r="B61" s="18"/>
      <c r="C61" s="21">
        <v>-9.54</v>
      </c>
      <c r="D61" s="21">
        <v>-8.64</v>
      </c>
      <c r="E61" s="21">
        <v>-5.58</v>
      </c>
      <c r="F61" s="21">
        <v>-4.98</v>
      </c>
      <c r="G61" s="21">
        <v>-5.96</v>
      </c>
      <c r="H61" s="21">
        <v>-7.24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113</v>
      </c>
      <c r="B62" s="18"/>
      <c r="C62" s="21">
        <v>-27.27</v>
      </c>
      <c r="D62" s="21">
        <v>-27.0</v>
      </c>
      <c r="E62" s="21">
        <v>-21.61</v>
      </c>
      <c r="F62" s="21">
        <v>-23.42</v>
      </c>
      <c r="G62" s="21">
        <v>-28.14</v>
      </c>
      <c r="H62" s="21">
        <v>-20.9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114</v>
      </c>
      <c r="B63" s="18"/>
      <c r="C63" s="21">
        <v>-0.69</v>
      </c>
      <c r="D63" s="21">
        <v>-0.31</v>
      </c>
      <c r="E63" s="21">
        <v>-3.03</v>
      </c>
      <c r="F63" s="21">
        <v>-1.25</v>
      </c>
      <c r="G63" s="19">
        <v>0.78</v>
      </c>
      <c r="H63" s="21">
        <v>-0.96</v>
      </c>
      <c r="I63" s="21">
        <v>-3.13</v>
      </c>
      <c r="J63" s="21">
        <v>-1.47</v>
      </c>
      <c r="K63" s="21">
        <v>-2.49</v>
      </c>
      <c r="L63" s="21">
        <v>-1.69</v>
      </c>
      <c r="M63" s="21">
        <v>-0.71</v>
      </c>
      <c r="N63" s="21">
        <v>-1.0</v>
      </c>
      <c r="O63" s="21">
        <v>-1.17</v>
      </c>
      <c r="P63" s="21">
        <v>-2.78</v>
      </c>
      <c r="Q63" s="21">
        <v>-1.58</v>
      </c>
      <c r="R63" s="21">
        <v>-11.0</v>
      </c>
      <c r="S63" s="18"/>
      <c r="T63" s="21">
        <v>-5.85</v>
      </c>
      <c r="U63" s="21">
        <v>-0.38</v>
      </c>
      <c r="V63" s="21">
        <v>-0.51</v>
      </c>
      <c r="W63" s="21">
        <v>-0.06</v>
      </c>
    </row>
    <row r="64" ht="15.0" customHeight="1">
      <c r="A64" s="14" t="s">
        <v>115</v>
      </c>
      <c r="B64" s="18"/>
      <c r="C64" s="21">
        <v>-5.4</v>
      </c>
      <c r="D64" s="21">
        <v>-4.87</v>
      </c>
      <c r="E64" s="21">
        <v>-5.26</v>
      </c>
      <c r="F64" s="21">
        <v>-6.28</v>
      </c>
      <c r="G64" s="21">
        <v>-4.65</v>
      </c>
      <c r="H64" s="21">
        <v>-5.58</v>
      </c>
      <c r="I64" s="21">
        <v>-24.82</v>
      </c>
      <c r="J64" s="21">
        <v>-15.42</v>
      </c>
      <c r="K64" s="21">
        <v>-15.8</v>
      </c>
      <c r="L64" s="21">
        <v>-15.43</v>
      </c>
      <c r="M64" s="21">
        <v>-11.84</v>
      </c>
      <c r="N64" s="21">
        <v>-11.14</v>
      </c>
      <c r="O64" s="21">
        <v>-9.29</v>
      </c>
      <c r="P64" s="21">
        <v>-3.82</v>
      </c>
      <c r="Q64" s="21">
        <v>-2.25</v>
      </c>
      <c r="R64" s="21">
        <v>-1.83</v>
      </c>
      <c r="S64" s="18"/>
      <c r="T64" s="21">
        <v>-0.77</v>
      </c>
      <c r="U64" s="21">
        <v>-1.39</v>
      </c>
      <c r="V64" s="21">
        <v>-1.51</v>
      </c>
      <c r="W64" s="21">
        <v>-2.31</v>
      </c>
    </row>
    <row r="65" ht="15.0" customHeight="1">
      <c r="A65" s="14" t="s">
        <v>116</v>
      </c>
      <c r="B65" s="21">
        <v>-40.46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21">
        <v>-46.36</v>
      </c>
      <c r="T65" s="18"/>
      <c r="U65" s="18"/>
      <c r="V65" s="18"/>
      <c r="W65" s="18"/>
    </row>
    <row r="66" ht="15.0" customHeight="1">
      <c r="A66" s="14" t="s">
        <v>117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9">
        <v>0.38</v>
      </c>
      <c r="V66" s="18">
        <v>0.0</v>
      </c>
      <c r="W66" s="18"/>
    </row>
    <row r="67" ht="15.0" customHeight="1">
      <c r="A67" s="14" t="s">
        <v>118</v>
      </c>
      <c r="B67" s="18"/>
      <c r="C67" s="18"/>
      <c r="D67" s="18"/>
      <c r="E67" s="18"/>
      <c r="F67" s="18"/>
      <c r="G67" s="18"/>
      <c r="H67" s="18"/>
      <c r="I67" s="18"/>
      <c r="J67" s="18">
        <v>0.0</v>
      </c>
      <c r="K67" s="15">
        <v>422.14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119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>
        <v>29.72</v>
      </c>
      <c r="R68" s="19">
        <v>24.49</v>
      </c>
      <c r="S68" s="18"/>
      <c r="T68" s="19">
        <v>36.15</v>
      </c>
      <c r="U68" s="19">
        <v>28.63</v>
      </c>
      <c r="V68" s="19">
        <v>30.86</v>
      </c>
      <c r="W68" s="19">
        <v>37.52</v>
      </c>
    </row>
    <row r="69" ht="15.0" customHeight="1">
      <c r="A69" s="14" t="s">
        <v>120</v>
      </c>
      <c r="B69" s="18"/>
      <c r="C69" s="18">
        <v>0.0</v>
      </c>
      <c r="D69" s="18">
        <v>0.0</v>
      </c>
      <c r="E69" s="18"/>
      <c r="F69" s="18">
        <v>0.0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120</v>
      </c>
      <c r="B70" s="18"/>
      <c r="C70" s="22">
        <v>0.0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6" t="s">
        <v>121</v>
      </c>
      <c r="B71" s="24">
        <v>-40.46</v>
      </c>
      <c r="C71" s="24">
        <v>-39.86</v>
      </c>
      <c r="D71" s="24">
        <v>-39.29</v>
      </c>
      <c r="E71" s="24">
        <v>-34.62</v>
      </c>
      <c r="F71" s="24">
        <v>-35.89</v>
      </c>
      <c r="G71" s="24">
        <v>-38.11</v>
      </c>
      <c r="H71" s="24">
        <v>-38.98</v>
      </c>
      <c r="I71" s="24">
        <v>-53.04</v>
      </c>
      <c r="J71" s="24">
        <v>-42.66</v>
      </c>
      <c r="K71" s="17">
        <v>377.15</v>
      </c>
      <c r="L71" s="24">
        <v>-52.54</v>
      </c>
      <c r="M71" s="24">
        <v>-50.97</v>
      </c>
      <c r="N71" s="24">
        <v>-60.19</v>
      </c>
      <c r="O71" s="24">
        <v>-61.24</v>
      </c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6" t="s">
        <v>122</v>
      </c>
      <c r="B72" s="24">
        <v>-23.62</v>
      </c>
      <c r="C72" s="23">
        <v>4.28</v>
      </c>
      <c r="D72" s="23">
        <v>4.07</v>
      </c>
      <c r="E72" s="23">
        <v>58.77</v>
      </c>
      <c r="F72" s="23">
        <v>10.14</v>
      </c>
      <c r="G72" s="24">
        <v>-57.51</v>
      </c>
      <c r="H72" s="24">
        <v>-9.45</v>
      </c>
      <c r="I72" s="25">
        <v>-101.46</v>
      </c>
      <c r="J72" s="23">
        <v>1.1</v>
      </c>
      <c r="K72" s="17">
        <v>385.81</v>
      </c>
      <c r="L72" s="24">
        <v>-57.35</v>
      </c>
      <c r="M72" s="25">
        <v>-163.75</v>
      </c>
      <c r="N72" s="25">
        <v>-159.01</v>
      </c>
      <c r="O72" s="24">
        <v>-48.49</v>
      </c>
      <c r="P72" s="24">
        <v>-19.5</v>
      </c>
      <c r="Q72" s="25">
        <v>-110.81</v>
      </c>
      <c r="R72" s="23">
        <v>25.07</v>
      </c>
      <c r="S72" s="23">
        <v>17.19</v>
      </c>
      <c r="T72" s="23">
        <v>10.62</v>
      </c>
      <c r="U72" s="23">
        <v>1.63</v>
      </c>
      <c r="V72" s="23">
        <v>29.12</v>
      </c>
      <c r="W72" s="23">
        <v>65.49</v>
      </c>
    </row>
    <row r="73" ht="15.0" customHeight="1">
      <c r="A73" s="14" t="s">
        <v>123</v>
      </c>
      <c r="B73" s="19">
        <v>7.1</v>
      </c>
      <c r="C73" s="19">
        <v>17.13</v>
      </c>
      <c r="D73" s="19">
        <v>10.72</v>
      </c>
      <c r="E73" s="19">
        <v>18.15</v>
      </c>
      <c r="F73" s="19">
        <v>7.32</v>
      </c>
      <c r="G73" s="19">
        <v>9.63</v>
      </c>
      <c r="H73" s="19">
        <v>12.91</v>
      </c>
      <c r="I73" s="19">
        <v>36.77</v>
      </c>
      <c r="J73" s="19">
        <v>9.62</v>
      </c>
      <c r="K73" s="19">
        <v>94.05</v>
      </c>
      <c r="L73" s="19">
        <v>4.13</v>
      </c>
      <c r="M73" s="21">
        <v>-26.06</v>
      </c>
      <c r="N73" s="21">
        <v>-32.07</v>
      </c>
      <c r="O73" s="21">
        <v>-0.96</v>
      </c>
      <c r="P73" s="21">
        <v>-5.46</v>
      </c>
      <c r="Q73" s="21">
        <v>-29.11</v>
      </c>
      <c r="R73" s="19">
        <v>5.11</v>
      </c>
      <c r="S73" s="19">
        <v>8.21</v>
      </c>
      <c r="T73" s="21">
        <v>-3.16</v>
      </c>
      <c r="U73" s="19">
        <v>2.19</v>
      </c>
      <c r="V73" s="19">
        <v>9.04</v>
      </c>
      <c r="W73" s="19">
        <v>17.4</v>
      </c>
    </row>
    <row r="74" ht="15.0" customHeight="1">
      <c r="A74" s="14" t="s">
        <v>124</v>
      </c>
      <c r="B74" s="18"/>
      <c r="C74" s="18"/>
      <c r="D74" s="18"/>
      <c r="E74" s="19">
        <v>11.52</v>
      </c>
      <c r="F74" s="19">
        <v>7.22</v>
      </c>
      <c r="G74" s="19">
        <v>4.61</v>
      </c>
      <c r="H74" s="19">
        <v>6.75</v>
      </c>
      <c r="I74" s="19">
        <v>7.99</v>
      </c>
      <c r="J74" s="19">
        <v>9.49</v>
      </c>
      <c r="K74" s="19">
        <v>7.82</v>
      </c>
      <c r="L74" s="19">
        <v>5.75</v>
      </c>
      <c r="M74" s="21">
        <v>-1.14</v>
      </c>
      <c r="N74" s="19">
        <v>1.42</v>
      </c>
      <c r="O74" s="19">
        <v>10.71</v>
      </c>
      <c r="P74" s="19">
        <v>23.84</v>
      </c>
      <c r="Q74" s="19">
        <v>11.34</v>
      </c>
      <c r="R74" s="19">
        <v>10.1</v>
      </c>
      <c r="S74" s="18"/>
      <c r="T74" s="19">
        <v>10.44</v>
      </c>
      <c r="U74" s="19">
        <v>5.52</v>
      </c>
      <c r="V74" s="19">
        <v>5.85</v>
      </c>
      <c r="W74" s="19">
        <v>7.4</v>
      </c>
    </row>
    <row r="75" ht="15.0" customHeight="1">
      <c r="A75" s="14" t="s">
        <v>125</v>
      </c>
      <c r="B75" s="18"/>
      <c r="C75" s="18"/>
      <c r="D75" s="18"/>
      <c r="E75" s="19">
        <v>6.63</v>
      </c>
      <c r="F75" s="19">
        <v>0.1</v>
      </c>
      <c r="G75" s="19">
        <v>5.02</v>
      </c>
      <c r="H75" s="19">
        <v>6.16</v>
      </c>
      <c r="I75" s="19">
        <v>28.78</v>
      </c>
      <c r="J75" s="19">
        <v>0.13</v>
      </c>
      <c r="K75" s="19">
        <v>86.23</v>
      </c>
      <c r="L75" s="21">
        <v>-1.61</v>
      </c>
      <c r="M75" s="21">
        <v>-24.93</v>
      </c>
      <c r="N75" s="21">
        <v>-33.49</v>
      </c>
      <c r="O75" s="21">
        <v>-11.67</v>
      </c>
      <c r="P75" s="21">
        <v>-29.3</v>
      </c>
      <c r="Q75" s="21">
        <v>-40.45</v>
      </c>
      <c r="R75" s="21">
        <v>-4.99</v>
      </c>
      <c r="S75" s="18"/>
      <c r="T75" s="21">
        <v>-15.28</v>
      </c>
      <c r="U75" s="21">
        <v>-3.33</v>
      </c>
      <c r="V75" s="19">
        <v>3.19</v>
      </c>
      <c r="W75" s="19">
        <v>10.0</v>
      </c>
    </row>
    <row r="76" ht="15.0" customHeight="1">
      <c r="A76" s="14" t="s">
        <v>126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9">
        <v>1.68</v>
      </c>
      <c r="U76" s="18"/>
      <c r="V76" s="18"/>
      <c r="W76" s="18"/>
    </row>
    <row r="77" ht="15.0" customHeight="1">
      <c r="A77" s="16" t="s">
        <v>123</v>
      </c>
      <c r="B77" s="23">
        <v>7.1</v>
      </c>
      <c r="C77" s="23">
        <v>17.13</v>
      </c>
      <c r="D77" s="23">
        <v>10.72</v>
      </c>
      <c r="E77" s="23">
        <v>18.15</v>
      </c>
      <c r="F77" s="23">
        <v>7.32</v>
      </c>
      <c r="G77" s="23">
        <v>9.63</v>
      </c>
      <c r="H77" s="23">
        <v>12.91</v>
      </c>
      <c r="I77" s="23">
        <v>36.77</v>
      </c>
      <c r="J77" s="23">
        <v>9.62</v>
      </c>
      <c r="K77" s="23">
        <v>94.05</v>
      </c>
      <c r="L77" s="23">
        <v>4.13</v>
      </c>
      <c r="M77" s="24">
        <v>-26.06</v>
      </c>
      <c r="N77" s="24">
        <v>-32.07</v>
      </c>
      <c r="O77" s="24">
        <v>-0.96</v>
      </c>
      <c r="P77" s="24">
        <v>-5.46</v>
      </c>
      <c r="Q77" s="24">
        <v>-29.11</v>
      </c>
      <c r="R77" s="23">
        <v>5.11</v>
      </c>
      <c r="S77" s="23">
        <v>8.21</v>
      </c>
      <c r="T77" s="24">
        <v>-3.16</v>
      </c>
      <c r="U77" s="23">
        <v>2.19</v>
      </c>
      <c r="V77" s="23">
        <v>9.04</v>
      </c>
      <c r="W77" s="23">
        <v>17.4</v>
      </c>
    </row>
    <row r="78" ht="15.0" customHeight="1">
      <c r="A78" s="16" t="s">
        <v>127</v>
      </c>
      <c r="B78" s="24">
        <v>-30.72</v>
      </c>
      <c r="C78" s="24">
        <v>-12.86</v>
      </c>
      <c r="D78" s="24">
        <v>-6.65</v>
      </c>
      <c r="E78" s="23">
        <v>40.61</v>
      </c>
      <c r="F78" s="23">
        <v>2.82</v>
      </c>
      <c r="G78" s="24">
        <v>-67.14</v>
      </c>
      <c r="H78" s="24">
        <v>-22.36</v>
      </c>
      <c r="I78" s="25">
        <v>-138.23</v>
      </c>
      <c r="J78" s="24">
        <v>-8.52</v>
      </c>
      <c r="K78" s="17">
        <v>291.76</v>
      </c>
      <c r="L78" s="24">
        <v>-61.48</v>
      </c>
      <c r="M78" s="25">
        <v>-137.68</v>
      </c>
      <c r="N78" s="25">
        <v>-126.93</v>
      </c>
      <c r="O78" s="24">
        <v>-47.52</v>
      </c>
      <c r="P78" s="24">
        <v>-14.04</v>
      </c>
      <c r="Q78" s="24">
        <v>-81.71</v>
      </c>
      <c r="R78" s="23">
        <v>19.96</v>
      </c>
      <c r="S78" s="23">
        <v>8.98</v>
      </c>
      <c r="T78" s="23">
        <v>13.78</v>
      </c>
      <c r="U78" s="24">
        <v>-0.56</v>
      </c>
      <c r="V78" s="23">
        <v>20.09</v>
      </c>
      <c r="W78" s="23">
        <v>48.09</v>
      </c>
    </row>
    <row r="79" ht="15.0" customHeight="1">
      <c r="A79" s="16" t="s">
        <v>128</v>
      </c>
      <c r="B79" s="24">
        <v>-30.72</v>
      </c>
      <c r="C79" s="24">
        <v>-12.86</v>
      </c>
      <c r="D79" s="24">
        <v>-6.65</v>
      </c>
      <c r="E79" s="23">
        <v>40.61</v>
      </c>
      <c r="F79" s="23">
        <v>2.82</v>
      </c>
      <c r="G79" s="24">
        <v>-67.14</v>
      </c>
      <c r="H79" s="24">
        <v>-22.36</v>
      </c>
      <c r="I79" s="25">
        <v>-138.23</v>
      </c>
      <c r="J79" s="24">
        <v>-8.52</v>
      </c>
      <c r="K79" s="17">
        <v>291.76</v>
      </c>
      <c r="L79" s="24">
        <v>-61.48</v>
      </c>
      <c r="M79" s="25">
        <v>-137.68</v>
      </c>
      <c r="N79" s="25">
        <v>-126.93</v>
      </c>
      <c r="O79" s="24">
        <v>-47.52</v>
      </c>
      <c r="P79" s="24">
        <v>-14.04</v>
      </c>
      <c r="Q79" s="24">
        <v>-81.71</v>
      </c>
      <c r="R79" s="23">
        <v>19.96</v>
      </c>
      <c r="S79" s="23">
        <v>8.98</v>
      </c>
      <c r="T79" s="23">
        <v>13.78</v>
      </c>
      <c r="U79" s="24">
        <v>-0.56</v>
      </c>
      <c r="V79" s="23">
        <v>20.09</v>
      </c>
      <c r="W79" s="23">
        <v>48.09</v>
      </c>
    </row>
    <row r="80" ht="15.0" customHeight="1">
      <c r="A80" s="14" t="s">
        <v>129</v>
      </c>
      <c r="B80" s="19">
        <v>0.21</v>
      </c>
      <c r="C80" s="21">
        <v>-0.59</v>
      </c>
      <c r="D80" s="21">
        <v>-1.95</v>
      </c>
      <c r="E80" s="21">
        <v>-1.31</v>
      </c>
      <c r="F80" s="21">
        <v>-1.63</v>
      </c>
      <c r="G80" s="21">
        <v>-0.49</v>
      </c>
      <c r="H80" s="21">
        <v>-0.43</v>
      </c>
      <c r="I80" s="19">
        <v>1.36</v>
      </c>
      <c r="J80" s="19">
        <v>3.51</v>
      </c>
      <c r="K80" s="19">
        <v>1.86</v>
      </c>
      <c r="L80" s="18">
        <v>0.0</v>
      </c>
      <c r="M80" s="18"/>
      <c r="N80" s="18">
        <v>0.0</v>
      </c>
      <c r="O80" s="19">
        <v>0.6</v>
      </c>
      <c r="P80" s="19">
        <v>1.65</v>
      </c>
      <c r="Q80" s="19">
        <v>1.47</v>
      </c>
      <c r="R80" s="19">
        <v>2.17</v>
      </c>
      <c r="S80" s="18">
        <v>0.0</v>
      </c>
      <c r="T80" s="19">
        <v>0.31</v>
      </c>
      <c r="U80" s="21">
        <v>-0.14</v>
      </c>
      <c r="V80" s="18">
        <v>0.0</v>
      </c>
      <c r="W80" s="18"/>
    </row>
    <row r="81" ht="15.0" customHeight="1">
      <c r="A81" s="16" t="s">
        <v>130</v>
      </c>
      <c r="B81" s="24">
        <v>-30.93</v>
      </c>
      <c r="C81" s="24">
        <v>-12.27</v>
      </c>
      <c r="D81" s="24">
        <v>-4.7</v>
      </c>
      <c r="E81" s="23">
        <v>41.92</v>
      </c>
      <c r="F81" s="23">
        <v>4.45</v>
      </c>
      <c r="G81" s="24">
        <v>-66.66</v>
      </c>
      <c r="H81" s="24">
        <v>-21.93</v>
      </c>
      <c r="I81" s="25">
        <v>-139.59</v>
      </c>
      <c r="J81" s="24">
        <v>-12.03</v>
      </c>
      <c r="K81" s="17">
        <v>289.9</v>
      </c>
      <c r="L81" s="24">
        <v>-61.48</v>
      </c>
      <c r="M81" s="25">
        <v>-137.68</v>
      </c>
      <c r="N81" s="25">
        <v>-126.93</v>
      </c>
      <c r="O81" s="24">
        <v>-48.12</v>
      </c>
      <c r="P81" s="24">
        <v>-15.69</v>
      </c>
      <c r="Q81" s="24">
        <v>-83.18</v>
      </c>
      <c r="R81" s="23">
        <v>17.79</v>
      </c>
      <c r="S81" s="23">
        <v>8.98</v>
      </c>
      <c r="T81" s="23">
        <v>13.47</v>
      </c>
      <c r="U81" s="24">
        <v>-0.42</v>
      </c>
      <c r="V81" s="23">
        <v>20.09</v>
      </c>
      <c r="W81" s="23">
        <v>48.09</v>
      </c>
    </row>
    <row r="82" ht="15.0" customHeight="1">
      <c r="A82" s="16" t="s">
        <v>131</v>
      </c>
      <c r="B82" s="23">
        <v>0.21</v>
      </c>
      <c r="C82" s="24">
        <v>-0.59</v>
      </c>
      <c r="D82" s="24">
        <v>-1.95</v>
      </c>
      <c r="E82" s="24">
        <v>-1.31</v>
      </c>
      <c r="F82" s="24">
        <v>-1.63</v>
      </c>
      <c r="G82" s="24">
        <v>-0.49</v>
      </c>
      <c r="H82" s="24">
        <v>-0.43</v>
      </c>
      <c r="I82" s="23">
        <v>1.36</v>
      </c>
      <c r="J82" s="23">
        <v>3.51</v>
      </c>
      <c r="K82" s="23">
        <v>1.86</v>
      </c>
      <c r="L82" s="20">
        <v>0.0</v>
      </c>
      <c r="M82" s="20"/>
      <c r="N82" s="20">
        <v>0.0</v>
      </c>
      <c r="O82" s="23">
        <v>0.6</v>
      </c>
      <c r="P82" s="23">
        <v>1.65</v>
      </c>
      <c r="Q82" s="23">
        <v>1.47</v>
      </c>
      <c r="R82" s="23">
        <v>2.17</v>
      </c>
      <c r="S82" s="20">
        <v>0.0</v>
      </c>
      <c r="T82" s="23">
        <v>0.31</v>
      </c>
      <c r="U82" s="24">
        <v>-0.14</v>
      </c>
      <c r="V82" s="20">
        <v>0.0</v>
      </c>
      <c r="W82" s="20"/>
    </row>
    <row r="83" ht="15.0" customHeight="1">
      <c r="A83" s="14" t="s">
        <v>132</v>
      </c>
      <c r="B83" s="18"/>
      <c r="C83" s="18"/>
      <c r="D83" s="18"/>
      <c r="E83" s="18"/>
      <c r="F83" s="18"/>
      <c r="G83" s="18"/>
      <c r="H83" s="18">
        <v>0.0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6" t="s">
        <v>133</v>
      </c>
      <c r="B84" s="24">
        <v>-30.93</v>
      </c>
      <c r="C84" s="24">
        <v>-12.27</v>
      </c>
      <c r="D84" s="24">
        <v>-4.7</v>
      </c>
      <c r="E84" s="23">
        <v>41.92</v>
      </c>
      <c r="F84" s="23">
        <v>4.45</v>
      </c>
      <c r="G84" s="24">
        <v>-66.66</v>
      </c>
      <c r="H84" s="24">
        <v>-21.93</v>
      </c>
      <c r="I84" s="25">
        <v>-139.59</v>
      </c>
      <c r="J84" s="24">
        <v>-12.03</v>
      </c>
      <c r="K84" s="17">
        <v>289.9</v>
      </c>
      <c r="L84" s="24">
        <v>-61.48</v>
      </c>
      <c r="M84" s="25">
        <v>-137.68</v>
      </c>
      <c r="N84" s="25">
        <v>-126.93</v>
      </c>
      <c r="O84" s="24">
        <v>-48.12</v>
      </c>
      <c r="P84" s="24">
        <v>-15.69</v>
      </c>
      <c r="Q84" s="24">
        <v>-83.18</v>
      </c>
      <c r="R84" s="23">
        <v>17.79</v>
      </c>
      <c r="S84" s="23">
        <v>8.98</v>
      </c>
      <c r="T84" s="23">
        <v>13.47</v>
      </c>
      <c r="U84" s="24">
        <v>-0.42</v>
      </c>
      <c r="V84" s="23">
        <v>20.09</v>
      </c>
      <c r="W84" s="23">
        <v>48.09</v>
      </c>
    </row>
    <row r="85" ht="15.0" customHeight="1">
      <c r="A85" s="16" t="s">
        <v>134</v>
      </c>
      <c r="B85" s="24">
        <v>-30.93</v>
      </c>
      <c r="C85" s="24">
        <v>-12.27</v>
      </c>
      <c r="D85" s="24">
        <v>-4.7</v>
      </c>
      <c r="E85" s="23">
        <v>41.92</v>
      </c>
      <c r="F85" s="23">
        <v>4.45</v>
      </c>
      <c r="G85" s="24">
        <v>-66.66</v>
      </c>
      <c r="H85" s="24">
        <v>-21.93</v>
      </c>
      <c r="I85" s="25">
        <v>-139.59</v>
      </c>
      <c r="J85" s="24">
        <v>-12.03</v>
      </c>
      <c r="K85" s="17">
        <v>289.9</v>
      </c>
      <c r="L85" s="24">
        <v>-61.48</v>
      </c>
      <c r="M85" s="25">
        <v>-137.68</v>
      </c>
      <c r="N85" s="25">
        <v>-126.93</v>
      </c>
      <c r="O85" s="24">
        <v>-48.12</v>
      </c>
      <c r="P85" s="24">
        <v>-15.69</v>
      </c>
      <c r="Q85" s="24">
        <v>-83.18</v>
      </c>
      <c r="R85" s="23">
        <v>17.79</v>
      </c>
      <c r="S85" s="23">
        <v>8.98</v>
      </c>
      <c r="T85" s="23">
        <v>13.47</v>
      </c>
      <c r="U85" s="24">
        <v>-0.42</v>
      </c>
      <c r="V85" s="23">
        <v>20.09</v>
      </c>
      <c r="W85" s="23">
        <v>48.09</v>
      </c>
    </row>
    <row r="86" ht="15.0" customHeight="1">
      <c r="A86" s="14" t="s">
        <v>134</v>
      </c>
      <c r="B86" s="18"/>
      <c r="C86" s="21">
        <v>-12.86</v>
      </c>
      <c r="D86" s="21">
        <v>-6.65</v>
      </c>
      <c r="E86" s="19">
        <v>40.61</v>
      </c>
      <c r="F86" s="19">
        <v>2.82</v>
      </c>
      <c r="G86" s="21">
        <v>-67.14</v>
      </c>
      <c r="H86" s="21">
        <v>-22.36</v>
      </c>
      <c r="I86" s="26">
        <v>-138.23</v>
      </c>
      <c r="J86" s="21">
        <v>-8.52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135</v>
      </c>
      <c r="B87" s="18"/>
      <c r="C87" s="19">
        <v>9.16</v>
      </c>
      <c r="D87" s="21">
        <v>-14.02</v>
      </c>
      <c r="E87" s="19">
        <v>48.47</v>
      </c>
      <c r="F87" s="19">
        <v>17.51</v>
      </c>
      <c r="G87" s="21">
        <v>-10.79</v>
      </c>
      <c r="H87" s="21">
        <v>-22.91</v>
      </c>
      <c r="I87" s="21">
        <v>-5.87</v>
      </c>
      <c r="J87" s="18">
        <v>0.0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136</v>
      </c>
      <c r="B88" s="18"/>
      <c r="C88" s="18"/>
      <c r="D88" s="18">
        <v>0.0</v>
      </c>
      <c r="E88" s="21">
        <v>-0.06</v>
      </c>
      <c r="F88" s="19">
        <v>0.29</v>
      </c>
      <c r="G88" s="21">
        <v>-0.23</v>
      </c>
      <c r="H88" s="19">
        <v>0.07</v>
      </c>
      <c r="I88" s="21">
        <v>-0.11</v>
      </c>
      <c r="J88" s="19">
        <v>0.18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137</v>
      </c>
      <c r="B89" s="18"/>
      <c r="C89" s="18"/>
      <c r="D89" s="18"/>
      <c r="E89" s="18"/>
      <c r="F89" s="18"/>
      <c r="G89" s="19">
        <v>10.12</v>
      </c>
      <c r="H89" s="21">
        <v>-4.23</v>
      </c>
      <c r="I89" s="21">
        <v>-11.72</v>
      </c>
      <c r="J89" s="21">
        <v>-8.17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138</v>
      </c>
      <c r="B90" s="18"/>
      <c r="C90" s="19">
        <v>22.64</v>
      </c>
      <c r="D90" s="19">
        <v>3.33</v>
      </c>
      <c r="E90" s="19">
        <v>44.37</v>
      </c>
      <c r="F90" s="19">
        <v>9.68</v>
      </c>
      <c r="G90" s="21">
        <v>-50.48</v>
      </c>
      <c r="H90" s="19">
        <v>19.86</v>
      </c>
      <c r="I90" s="19">
        <v>36.47</v>
      </c>
      <c r="J90" s="19">
        <v>19.45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139</v>
      </c>
      <c r="B91" s="18"/>
      <c r="C91" s="18"/>
      <c r="D91" s="18"/>
      <c r="E91" s="21">
        <v>-8.1</v>
      </c>
      <c r="F91" s="21">
        <v>-2.87</v>
      </c>
      <c r="G91" s="21">
        <v>-0.56</v>
      </c>
      <c r="H91" s="19">
        <v>6.6</v>
      </c>
      <c r="I91" s="19">
        <v>3.42</v>
      </c>
      <c r="J91" s="19">
        <v>1.42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6" t="s">
        <v>140</v>
      </c>
      <c r="B92" s="20"/>
      <c r="C92" s="23">
        <v>31.79</v>
      </c>
      <c r="D92" s="24">
        <v>-10.69</v>
      </c>
      <c r="E92" s="23">
        <v>84.68</v>
      </c>
      <c r="F92" s="23">
        <v>24.61</v>
      </c>
      <c r="G92" s="24">
        <v>-51.94</v>
      </c>
      <c r="H92" s="24">
        <v>-0.62</v>
      </c>
      <c r="I92" s="23">
        <v>22.2</v>
      </c>
      <c r="J92" s="23">
        <v>12.88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4" t="s">
        <v>141</v>
      </c>
      <c r="B93" s="18"/>
      <c r="C93" s="19">
        <v>19.47</v>
      </c>
      <c r="D93" s="21">
        <v>-15.39</v>
      </c>
      <c r="E93" s="15">
        <v>126.6</v>
      </c>
      <c r="F93" s="19">
        <v>29.06</v>
      </c>
      <c r="G93" s="26">
        <v>-118.6</v>
      </c>
      <c r="H93" s="21">
        <v>-22.55</v>
      </c>
      <c r="I93" s="26">
        <v>-117.4</v>
      </c>
      <c r="J93" s="19">
        <v>0.85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129</v>
      </c>
      <c r="B94" s="18"/>
      <c r="C94" s="21">
        <v>-0.54</v>
      </c>
      <c r="D94" s="21">
        <v>-1.95</v>
      </c>
      <c r="E94" s="21">
        <v>-1.31</v>
      </c>
      <c r="F94" s="21">
        <v>-1.63</v>
      </c>
      <c r="G94" s="21">
        <v>-0.49</v>
      </c>
      <c r="H94" s="21">
        <v>-0.43</v>
      </c>
      <c r="I94" s="19">
        <v>1.36</v>
      </c>
      <c r="J94" s="19">
        <v>3.51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6" t="s">
        <v>142</v>
      </c>
      <c r="B95" s="20"/>
      <c r="C95" s="23">
        <v>18.94</v>
      </c>
      <c r="D95" s="24">
        <v>-17.34</v>
      </c>
      <c r="E95" s="17">
        <v>125.29</v>
      </c>
      <c r="F95" s="23">
        <v>27.43</v>
      </c>
      <c r="G95" s="25">
        <v>-119.09</v>
      </c>
      <c r="H95" s="24">
        <v>-22.98</v>
      </c>
      <c r="I95" s="25">
        <v>-116.03</v>
      </c>
      <c r="J95" s="23">
        <v>4.36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4" t="s">
        <v>143</v>
      </c>
      <c r="B96" s="15">
        <v>211.21</v>
      </c>
      <c r="C96" s="15">
        <v>211.21</v>
      </c>
      <c r="D96" s="15">
        <v>211.21</v>
      </c>
      <c r="E96" s="15">
        <v>211.21</v>
      </c>
      <c r="F96" s="15">
        <v>211.21</v>
      </c>
      <c r="G96" s="15">
        <v>211.21</v>
      </c>
      <c r="H96" s="15">
        <v>211.21</v>
      </c>
      <c r="I96" s="15">
        <v>211.21</v>
      </c>
      <c r="J96" s="15">
        <v>211.21</v>
      </c>
      <c r="K96" s="15">
        <v>207.42</v>
      </c>
      <c r="L96" s="15">
        <v>156.66</v>
      </c>
      <c r="M96" s="15">
        <v>156.66</v>
      </c>
      <c r="N96" s="19">
        <v>63.87</v>
      </c>
      <c r="O96" s="19">
        <v>17.48</v>
      </c>
      <c r="P96" s="19">
        <v>29.72</v>
      </c>
      <c r="Q96" s="19">
        <v>24.17</v>
      </c>
      <c r="R96" s="19">
        <v>22.32</v>
      </c>
      <c r="S96" s="19">
        <v>22.32</v>
      </c>
      <c r="T96" s="19">
        <v>22.24</v>
      </c>
      <c r="U96" s="19">
        <v>22.11</v>
      </c>
      <c r="V96" s="19">
        <v>22.11</v>
      </c>
      <c r="W96" s="19">
        <v>22.11</v>
      </c>
    </row>
    <row r="97" ht="15.0" customHeight="1">
      <c r="A97" s="14" t="s">
        <v>144</v>
      </c>
      <c r="B97" s="15">
        <v>211.21</v>
      </c>
      <c r="C97" s="15">
        <v>211.21</v>
      </c>
      <c r="D97" s="15">
        <v>211.21</v>
      </c>
      <c r="E97" s="15">
        <v>211.21</v>
      </c>
      <c r="F97" s="15">
        <v>211.21</v>
      </c>
      <c r="G97" s="15">
        <v>211.21</v>
      </c>
      <c r="H97" s="15">
        <v>211.21</v>
      </c>
      <c r="I97" s="15">
        <v>211.21</v>
      </c>
      <c r="J97" s="15">
        <v>211.21</v>
      </c>
      <c r="K97" s="15">
        <v>207.42</v>
      </c>
      <c r="L97" s="15">
        <v>156.66</v>
      </c>
      <c r="M97" s="15">
        <v>156.66</v>
      </c>
      <c r="N97" s="19">
        <v>63.87</v>
      </c>
      <c r="O97" s="19">
        <v>17.48</v>
      </c>
      <c r="P97" s="19">
        <v>29.72</v>
      </c>
      <c r="Q97" s="19">
        <v>24.17</v>
      </c>
      <c r="R97" s="19">
        <v>22.32</v>
      </c>
      <c r="S97" s="19">
        <v>22.67</v>
      </c>
      <c r="T97" s="19">
        <v>22.75</v>
      </c>
      <c r="U97" s="19">
        <v>22.11</v>
      </c>
      <c r="V97" s="19">
        <v>22.97</v>
      </c>
      <c r="W97" s="19">
        <v>22.7</v>
      </c>
    </row>
    <row r="98" ht="15.0" customHeight="1">
      <c r="A98" s="14" t="s">
        <v>145</v>
      </c>
      <c r="B98" s="21">
        <v>-0.15</v>
      </c>
      <c r="C98" s="21">
        <v>-0.06</v>
      </c>
      <c r="D98" s="21">
        <v>-0.02</v>
      </c>
      <c r="E98" s="19">
        <v>0.2</v>
      </c>
      <c r="F98" s="19">
        <v>0.02</v>
      </c>
      <c r="G98" s="21">
        <v>-0.32</v>
      </c>
      <c r="H98" s="21">
        <v>-0.1</v>
      </c>
      <c r="I98" s="21">
        <v>-0.66</v>
      </c>
      <c r="J98" s="21">
        <v>-0.06</v>
      </c>
      <c r="K98" s="19">
        <v>1.39</v>
      </c>
      <c r="L98" s="21">
        <v>-0.39</v>
      </c>
      <c r="M98" s="21">
        <v>-0.88</v>
      </c>
      <c r="N98" s="21">
        <v>-1.99</v>
      </c>
      <c r="O98" s="21">
        <v>-2.75</v>
      </c>
      <c r="P98" s="21">
        <v>-0.53</v>
      </c>
      <c r="Q98" s="21">
        <v>-5.85</v>
      </c>
      <c r="R98" s="19">
        <v>1.36</v>
      </c>
      <c r="S98" s="19">
        <v>0.68</v>
      </c>
      <c r="T98" s="19">
        <v>1.03</v>
      </c>
      <c r="U98" s="21">
        <v>-0.03</v>
      </c>
      <c r="V98" s="19">
        <v>1.54</v>
      </c>
      <c r="W98" s="19">
        <v>3.7</v>
      </c>
    </row>
    <row r="99" ht="15.0" customHeight="1">
      <c r="A99" s="14" t="s">
        <v>128</v>
      </c>
      <c r="B99" s="21">
        <v>-0.15</v>
      </c>
      <c r="C99" s="21">
        <v>-0.06</v>
      </c>
      <c r="D99" s="21">
        <v>-0.02</v>
      </c>
      <c r="E99" s="19">
        <v>0.2</v>
      </c>
      <c r="F99" s="19">
        <v>0.02</v>
      </c>
      <c r="G99" s="21">
        <v>-0.32</v>
      </c>
      <c r="H99" s="21">
        <v>-0.1</v>
      </c>
      <c r="I99" s="21">
        <v>-0.66</v>
      </c>
      <c r="J99" s="21">
        <v>-0.06</v>
      </c>
      <c r="K99" s="19">
        <v>1.39</v>
      </c>
      <c r="L99" s="21">
        <v>-0.39</v>
      </c>
      <c r="M99" s="21">
        <v>-0.88</v>
      </c>
      <c r="N99" s="21">
        <v>-1.99</v>
      </c>
      <c r="O99" s="21">
        <v>-2.75</v>
      </c>
      <c r="P99" s="21">
        <v>-0.53</v>
      </c>
      <c r="Q99" s="21">
        <v>-5.85</v>
      </c>
      <c r="R99" s="19">
        <v>1.36</v>
      </c>
      <c r="S99" s="19">
        <v>0.68</v>
      </c>
      <c r="T99" s="19">
        <v>1.03</v>
      </c>
      <c r="U99" s="21">
        <v>-0.03</v>
      </c>
      <c r="V99" s="19">
        <v>1.54</v>
      </c>
      <c r="W99" s="19">
        <v>3.7</v>
      </c>
    </row>
    <row r="100" ht="15.0" customHeight="1">
      <c r="A100" s="14" t="s">
        <v>146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>
        <v>0.0</v>
      </c>
      <c r="Q100" s="18">
        <v>0.0</v>
      </c>
      <c r="R100" s="18"/>
      <c r="S100" s="18">
        <v>0.0</v>
      </c>
      <c r="T100" s="19">
        <v>0.1</v>
      </c>
      <c r="U100" s="18">
        <v>0.0</v>
      </c>
      <c r="V100" s="18"/>
      <c r="W100" s="18"/>
    </row>
    <row r="101" ht="15.0" customHeight="1">
      <c r="A101" s="14" t="s">
        <v>147</v>
      </c>
      <c r="B101" s="21">
        <v>-30.93</v>
      </c>
      <c r="C101" s="21">
        <v>-12.27</v>
      </c>
      <c r="D101" s="21">
        <v>-4.7</v>
      </c>
      <c r="E101" s="19">
        <v>41.92</v>
      </c>
      <c r="F101" s="19">
        <v>4.45</v>
      </c>
      <c r="G101" s="21">
        <v>-66.66</v>
      </c>
      <c r="H101" s="21">
        <v>-21.93</v>
      </c>
      <c r="I101" s="26">
        <v>-139.59</v>
      </c>
      <c r="J101" s="21">
        <v>-12.03</v>
      </c>
      <c r="K101" s="15">
        <v>289.9</v>
      </c>
      <c r="L101" s="21">
        <v>-61.48</v>
      </c>
      <c r="M101" s="26">
        <v>-137.68</v>
      </c>
      <c r="N101" s="26">
        <v>-126.93</v>
      </c>
      <c r="O101" s="21">
        <v>-48.12</v>
      </c>
      <c r="P101" s="21">
        <v>-15.69</v>
      </c>
      <c r="Q101" s="21">
        <v>-83.18</v>
      </c>
      <c r="R101" s="19">
        <v>17.79</v>
      </c>
      <c r="S101" s="19">
        <v>8.98</v>
      </c>
      <c r="T101" s="19">
        <v>13.57</v>
      </c>
      <c r="U101" s="21">
        <v>-0.42</v>
      </c>
      <c r="V101" s="19">
        <v>20.09</v>
      </c>
      <c r="W101" s="19">
        <v>48.09</v>
      </c>
    </row>
    <row r="102" ht="15.0" customHeight="1">
      <c r="A102" s="14" t="s">
        <v>148</v>
      </c>
      <c r="B102" s="21">
        <v>-0.15</v>
      </c>
      <c r="C102" s="21">
        <v>-0.06</v>
      </c>
      <c r="D102" s="21">
        <v>-0.02</v>
      </c>
      <c r="E102" s="19">
        <v>0.2</v>
      </c>
      <c r="F102" s="19">
        <v>0.02</v>
      </c>
      <c r="G102" s="21">
        <v>-0.32</v>
      </c>
      <c r="H102" s="21">
        <v>-0.1</v>
      </c>
      <c r="I102" s="21">
        <v>-0.66</v>
      </c>
      <c r="J102" s="21">
        <v>-0.06</v>
      </c>
      <c r="K102" s="19">
        <v>1.39</v>
      </c>
      <c r="L102" s="21">
        <v>-0.39</v>
      </c>
      <c r="M102" s="21">
        <v>-0.88</v>
      </c>
      <c r="N102" s="21">
        <v>-1.99</v>
      </c>
      <c r="O102" s="21">
        <v>-2.75</v>
      </c>
      <c r="P102" s="21">
        <v>-0.53</v>
      </c>
      <c r="Q102" s="21">
        <v>-5.85</v>
      </c>
      <c r="R102" s="19">
        <v>1.36</v>
      </c>
      <c r="S102" s="19">
        <v>0.66</v>
      </c>
      <c r="T102" s="19">
        <v>1.01</v>
      </c>
      <c r="U102" s="21">
        <v>-0.03</v>
      </c>
      <c r="V102" s="19">
        <v>0.87</v>
      </c>
      <c r="W102" s="19">
        <v>3.6</v>
      </c>
    </row>
    <row r="103" ht="15.0" customHeight="1">
      <c r="A103" s="14" t="s">
        <v>149</v>
      </c>
      <c r="B103" s="21">
        <v>-0.15</v>
      </c>
      <c r="C103" s="21">
        <v>-0.06</v>
      </c>
      <c r="D103" s="21">
        <v>-0.02</v>
      </c>
      <c r="E103" s="19">
        <v>0.2</v>
      </c>
      <c r="F103" s="19">
        <v>0.02</v>
      </c>
      <c r="G103" s="21">
        <v>-0.32</v>
      </c>
      <c r="H103" s="21">
        <v>-0.1</v>
      </c>
      <c r="I103" s="21">
        <v>-0.66</v>
      </c>
      <c r="J103" s="21">
        <v>-0.06</v>
      </c>
      <c r="K103" s="19">
        <v>1.39</v>
      </c>
      <c r="L103" s="21">
        <v>-0.39</v>
      </c>
      <c r="M103" s="21">
        <v>-0.88</v>
      </c>
      <c r="N103" s="21">
        <v>-1.99</v>
      </c>
      <c r="O103" s="21">
        <v>-2.75</v>
      </c>
      <c r="P103" s="21">
        <v>-0.53</v>
      </c>
      <c r="Q103" s="21">
        <v>-5.85</v>
      </c>
      <c r="R103" s="19">
        <v>1.36</v>
      </c>
      <c r="S103" s="19">
        <v>0.67</v>
      </c>
      <c r="T103" s="19">
        <v>1.01</v>
      </c>
      <c r="U103" s="21">
        <v>-0.03</v>
      </c>
      <c r="V103" s="19">
        <v>0.87</v>
      </c>
      <c r="W103" s="19">
        <v>3.6</v>
      </c>
    </row>
    <row r="104" ht="15.0" customHeight="1">
      <c r="A104" s="14" t="s">
        <v>150</v>
      </c>
      <c r="B104" s="21">
        <v>-30.93</v>
      </c>
      <c r="C104" s="21">
        <v>-12.27</v>
      </c>
      <c r="D104" s="21">
        <v>-4.7</v>
      </c>
      <c r="E104" s="19">
        <v>41.92</v>
      </c>
      <c r="F104" s="19">
        <v>4.45</v>
      </c>
      <c r="G104" s="21">
        <v>-66.66</v>
      </c>
      <c r="H104" s="21">
        <v>-21.93</v>
      </c>
      <c r="I104" s="26">
        <v>-139.59</v>
      </c>
      <c r="J104" s="21">
        <v>-12.03</v>
      </c>
      <c r="K104" s="15">
        <v>289.9</v>
      </c>
      <c r="L104" s="21">
        <v>-61.48</v>
      </c>
      <c r="M104" s="26">
        <v>-137.68</v>
      </c>
      <c r="N104" s="26">
        <v>-126.93</v>
      </c>
      <c r="O104" s="21">
        <v>-48.12</v>
      </c>
      <c r="P104" s="21">
        <v>-15.69</v>
      </c>
      <c r="Q104" s="21">
        <v>-83.18</v>
      </c>
      <c r="R104" s="19">
        <v>17.79</v>
      </c>
      <c r="S104" s="19">
        <v>8.98</v>
      </c>
      <c r="T104" s="19">
        <v>13.57</v>
      </c>
      <c r="U104" s="21">
        <v>-0.42</v>
      </c>
      <c r="V104" s="19">
        <v>20.09</v>
      </c>
      <c r="W104" s="19">
        <v>48.09</v>
      </c>
    </row>
    <row r="105" ht="15.0" customHeight="1">
      <c r="A105" s="14" t="s">
        <v>151</v>
      </c>
      <c r="B105" s="18"/>
      <c r="C105" s="18"/>
      <c r="D105" s="18"/>
      <c r="E105" s="18"/>
      <c r="F105" s="18"/>
      <c r="G105" s="18"/>
      <c r="H105" s="18"/>
      <c r="I105" s="19">
        <v>58.02</v>
      </c>
      <c r="J105" s="19">
        <v>51.99</v>
      </c>
      <c r="K105" s="19">
        <v>59.63</v>
      </c>
      <c r="L105" s="19">
        <v>57.41</v>
      </c>
      <c r="M105" s="19">
        <v>64.78</v>
      </c>
      <c r="N105" s="19">
        <v>50.94</v>
      </c>
      <c r="O105" s="19">
        <v>48.67</v>
      </c>
      <c r="P105" s="19">
        <v>46.34</v>
      </c>
      <c r="Q105" s="19">
        <v>32.3</v>
      </c>
      <c r="R105" s="19">
        <v>35.1</v>
      </c>
      <c r="S105" s="18"/>
      <c r="T105" s="19">
        <v>40.79</v>
      </c>
      <c r="U105" s="19">
        <v>40.25</v>
      </c>
      <c r="V105" s="19">
        <v>34.35</v>
      </c>
      <c r="W105" s="19">
        <v>36.75</v>
      </c>
    </row>
    <row r="106" ht="15.0" customHeight="1">
      <c r="A106" s="14" t="s">
        <v>152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9">
        <v>82.73</v>
      </c>
      <c r="O106" s="19">
        <v>87.78</v>
      </c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153</v>
      </c>
      <c r="B107" s="18"/>
      <c r="C107" s="18"/>
      <c r="D107" s="19">
        <v>1.48</v>
      </c>
      <c r="E107" s="19">
        <v>1.68</v>
      </c>
      <c r="F107" s="19">
        <v>2.68</v>
      </c>
      <c r="G107" s="19">
        <v>5.8</v>
      </c>
      <c r="H107" s="19">
        <v>8.44</v>
      </c>
      <c r="I107" s="19">
        <v>14.9</v>
      </c>
      <c r="J107" s="19">
        <v>10.94</v>
      </c>
      <c r="K107" s="19">
        <v>11.38</v>
      </c>
      <c r="L107" s="19">
        <v>10.51</v>
      </c>
      <c r="M107" s="19">
        <v>11.92</v>
      </c>
      <c r="N107" s="19">
        <v>8.36</v>
      </c>
      <c r="O107" s="19">
        <v>7.74</v>
      </c>
      <c r="P107" s="19">
        <v>5.25</v>
      </c>
      <c r="Q107" s="19">
        <v>1.59</v>
      </c>
      <c r="R107" s="19">
        <v>0.92</v>
      </c>
      <c r="S107" s="18"/>
      <c r="T107" s="19">
        <v>0.67</v>
      </c>
      <c r="U107" s="19">
        <v>1.12</v>
      </c>
      <c r="V107" s="19">
        <v>1.02</v>
      </c>
      <c r="W107" s="19">
        <v>1.61</v>
      </c>
    </row>
    <row r="108" ht="15.0" customHeight="1">
      <c r="A108" s="14" t="s">
        <v>154</v>
      </c>
      <c r="B108" s="18"/>
      <c r="C108" s="19">
        <v>27.49</v>
      </c>
      <c r="D108" s="19">
        <v>26.7</v>
      </c>
      <c r="E108" s="19">
        <v>21.75</v>
      </c>
      <c r="F108" s="19">
        <v>24.43</v>
      </c>
      <c r="G108" s="19">
        <v>30.27</v>
      </c>
      <c r="H108" s="19">
        <v>28.78</v>
      </c>
      <c r="I108" s="19">
        <v>29.54</v>
      </c>
      <c r="J108" s="19">
        <v>33.76</v>
      </c>
      <c r="K108" s="19">
        <v>39.5</v>
      </c>
      <c r="L108" s="19">
        <v>61.6</v>
      </c>
      <c r="M108" s="19">
        <v>80.54</v>
      </c>
      <c r="N108" s="18"/>
      <c r="O108" s="18"/>
      <c r="P108" s="19">
        <v>90.55</v>
      </c>
      <c r="Q108" s="19">
        <v>93.92</v>
      </c>
      <c r="R108" s="19">
        <v>73.23</v>
      </c>
      <c r="S108" s="19">
        <v>81.0</v>
      </c>
      <c r="T108" s="19">
        <v>79.39</v>
      </c>
      <c r="U108" s="19">
        <v>88.02</v>
      </c>
      <c r="V108" s="19">
        <v>86.0</v>
      </c>
      <c r="W108" s="19">
        <v>90.21</v>
      </c>
    </row>
    <row r="109" ht="15.0" customHeight="1">
      <c r="A109" s="14" t="s">
        <v>155</v>
      </c>
      <c r="B109" s="18"/>
      <c r="C109" s="19">
        <v>51.39</v>
      </c>
      <c r="D109" s="19">
        <v>49.63</v>
      </c>
      <c r="E109" s="19">
        <v>39.6</v>
      </c>
      <c r="F109" s="19">
        <v>36.71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156</v>
      </c>
      <c r="B110" s="18"/>
      <c r="C110" s="18"/>
      <c r="D110" s="19">
        <v>4.43</v>
      </c>
      <c r="E110" s="19">
        <v>4.47</v>
      </c>
      <c r="F110" s="19">
        <v>4.73</v>
      </c>
      <c r="G110" s="19">
        <v>5.49</v>
      </c>
      <c r="H110" s="19">
        <v>4.56</v>
      </c>
      <c r="I110" s="19">
        <v>5.14</v>
      </c>
      <c r="J110" s="19">
        <v>4.66</v>
      </c>
      <c r="K110" s="18"/>
      <c r="L110" s="18"/>
      <c r="M110" s="19">
        <v>5.61</v>
      </c>
      <c r="N110" s="19">
        <v>4.51</v>
      </c>
      <c r="O110" s="19">
        <v>4.43</v>
      </c>
      <c r="P110" s="19">
        <v>5.92</v>
      </c>
      <c r="Q110" s="19">
        <v>9.37</v>
      </c>
      <c r="R110" s="19">
        <v>3.0</v>
      </c>
      <c r="S110" s="18"/>
      <c r="T110" s="19">
        <v>4.85</v>
      </c>
      <c r="U110" s="19">
        <v>4.67</v>
      </c>
      <c r="V110" s="18"/>
      <c r="W110" s="18"/>
    </row>
    <row r="111" ht="15.0" customHeight="1">
      <c r="A111" s="14" t="s">
        <v>157</v>
      </c>
      <c r="B111" s="18"/>
      <c r="C111" s="18"/>
      <c r="D111" s="18">
        <v>0.0</v>
      </c>
      <c r="E111" s="18">
        <v>0.0</v>
      </c>
      <c r="F111" s="18">
        <v>0.0</v>
      </c>
      <c r="G111" s="18">
        <v>0.0</v>
      </c>
      <c r="H111" s="19">
        <v>0.04</v>
      </c>
      <c r="I111" s="19">
        <v>0.03</v>
      </c>
      <c r="J111" s="19">
        <v>0.1</v>
      </c>
      <c r="K111" s="18"/>
      <c r="L111" s="18"/>
      <c r="M111" s="19">
        <v>0.28</v>
      </c>
      <c r="N111" s="19">
        <v>0.06</v>
      </c>
      <c r="O111" s="19">
        <v>0.03</v>
      </c>
      <c r="P111" s="19">
        <v>0.64</v>
      </c>
      <c r="Q111" s="19">
        <v>0.14</v>
      </c>
      <c r="R111" s="18"/>
      <c r="S111" s="18"/>
      <c r="T111" s="18"/>
      <c r="U111" s="18"/>
      <c r="V111" s="18"/>
      <c r="W111" s="18"/>
    </row>
    <row r="112" ht="15.0" customHeight="1">
      <c r="A112" s="14" t="s">
        <v>158</v>
      </c>
      <c r="B112" s="18"/>
      <c r="C112" s="18"/>
      <c r="D112" s="19">
        <v>3.56</v>
      </c>
      <c r="E112" s="19">
        <v>3.42</v>
      </c>
      <c r="F112" s="19">
        <v>3.78</v>
      </c>
      <c r="G112" s="19">
        <v>4.32</v>
      </c>
      <c r="H112" s="19">
        <v>3.37</v>
      </c>
      <c r="I112" s="19">
        <v>3.9</v>
      </c>
      <c r="J112" s="19">
        <v>3.59</v>
      </c>
      <c r="K112" s="18"/>
      <c r="L112" s="18"/>
      <c r="M112" s="19">
        <v>4.38</v>
      </c>
      <c r="N112" s="19">
        <v>3.71</v>
      </c>
      <c r="O112" s="19">
        <v>3.72</v>
      </c>
      <c r="P112" s="19">
        <v>3.88</v>
      </c>
      <c r="Q112" s="19">
        <v>3.68</v>
      </c>
      <c r="R112" s="19">
        <v>2.16</v>
      </c>
      <c r="S112" s="18"/>
      <c r="T112" s="19">
        <v>2.28</v>
      </c>
      <c r="U112" s="19">
        <v>2.5</v>
      </c>
      <c r="V112" s="18"/>
      <c r="W112" s="18"/>
    </row>
    <row r="113" ht="15.0" customHeight="1">
      <c r="A113" s="14" t="s">
        <v>159</v>
      </c>
      <c r="B113" s="18"/>
      <c r="C113" s="18"/>
      <c r="D113" s="19">
        <v>0.23</v>
      </c>
      <c r="E113" s="19">
        <v>0.27</v>
      </c>
      <c r="F113" s="19">
        <v>0.24</v>
      </c>
      <c r="G113" s="19">
        <v>0.5</v>
      </c>
      <c r="H113" s="19">
        <v>0.14</v>
      </c>
      <c r="I113" s="19">
        <v>0.09</v>
      </c>
      <c r="J113" s="19">
        <v>0.35</v>
      </c>
      <c r="K113" s="18"/>
      <c r="L113" s="18"/>
      <c r="M113" s="19">
        <v>0.3</v>
      </c>
      <c r="N113" s="19">
        <v>0.64</v>
      </c>
      <c r="O113" s="19">
        <v>0.54</v>
      </c>
      <c r="P113" s="19">
        <v>0.45</v>
      </c>
      <c r="Q113" s="19">
        <v>2.44</v>
      </c>
      <c r="R113" s="18"/>
      <c r="S113" s="18"/>
      <c r="T113" s="18"/>
      <c r="U113" s="18"/>
      <c r="V113" s="18"/>
      <c r="W113" s="18"/>
    </row>
    <row r="114" ht="15.0" customHeight="1">
      <c r="A114" s="14" t="s">
        <v>160</v>
      </c>
      <c r="B114" s="18"/>
      <c r="C114" s="18"/>
      <c r="D114" s="19">
        <v>0.64</v>
      </c>
      <c r="E114" s="19">
        <v>0.77</v>
      </c>
      <c r="F114" s="19">
        <v>0.71</v>
      </c>
      <c r="G114" s="19">
        <v>0.67</v>
      </c>
      <c r="H114" s="19">
        <v>1.01</v>
      </c>
      <c r="I114" s="19">
        <v>1.12</v>
      </c>
      <c r="J114" s="19">
        <v>0.61</v>
      </c>
      <c r="K114" s="18"/>
      <c r="L114" s="18"/>
      <c r="M114" s="19">
        <v>0.65</v>
      </c>
      <c r="N114" s="19">
        <v>0.1</v>
      </c>
      <c r="O114" s="19">
        <v>0.14</v>
      </c>
      <c r="P114" s="19">
        <v>0.95</v>
      </c>
      <c r="Q114" s="19">
        <v>3.12</v>
      </c>
      <c r="R114" s="19">
        <v>0.84</v>
      </c>
      <c r="S114" s="18"/>
      <c r="T114" s="19">
        <v>2.57</v>
      </c>
      <c r="U114" s="19">
        <v>2.18</v>
      </c>
      <c r="V114" s="18"/>
      <c r="W114" s="18"/>
    </row>
    <row r="115" ht="15.0" customHeight="1">
      <c r="A115" s="14" t="s">
        <v>161</v>
      </c>
      <c r="B115" s="18"/>
      <c r="C115" s="15">
        <v>576.84</v>
      </c>
      <c r="D115" s="15">
        <v>552.08</v>
      </c>
      <c r="E115" s="15">
        <v>491.16</v>
      </c>
      <c r="F115" s="15">
        <v>483.41</v>
      </c>
      <c r="G115" s="15">
        <v>513.3</v>
      </c>
      <c r="H115" s="18"/>
      <c r="I115" s="18"/>
      <c r="J115" s="18"/>
      <c r="K115" s="18"/>
      <c r="L115" s="18"/>
      <c r="M115" s="18"/>
      <c r="N115" s="18"/>
      <c r="O115" s="18"/>
      <c r="P115" s="15">
        <v>771.35</v>
      </c>
      <c r="Q115" s="15">
        <v>529.88</v>
      </c>
      <c r="R115" s="18"/>
      <c r="S115" s="18"/>
      <c r="T115" s="15">
        <v>460.37</v>
      </c>
      <c r="U115" s="15">
        <v>485.68</v>
      </c>
      <c r="V115" s="15">
        <v>470.48</v>
      </c>
      <c r="W115" s="18"/>
    </row>
    <row r="116" ht="15.0" customHeight="1">
      <c r="A116" s="14" t="s">
        <v>162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5">
        <v>331.67</v>
      </c>
      <c r="R116" s="18"/>
      <c r="S116" s="18"/>
      <c r="T116" s="18"/>
      <c r="U116" s="18"/>
      <c r="V116" s="18"/>
      <c r="W116" s="18"/>
    </row>
    <row r="117" ht="15.0" customHeight="1">
      <c r="A117" s="14" t="s">
        <v>163</v>
      </c>
      <c r="B117" s="18"/>
      <c r="C117" s="19">
        <v>78.88</v>
      </c>
      <c r="D117" s="19">
        <v>76.32</v>
      </c>
      <c r="E117" s="19">
        <v>61.35</v>
      </c>
      <c r="F117" s="19">
        <v>61.14</v>
      </c>
      <c r="G117" s="19">
        <v>76.65</v>
      </c>
      <c r="H117" s="19">
        <v>74.24</v>
      </c>
      <c r="I117" s="19">
        <v>29.54</v>
      </c>
      <c r="J117" s="19">
        <v>33.76</v>
      </c>
      <c r="K117" s="19">
        <v>39.5</v>
      </c>
      <c r="L117" s="19">
        <v>61.6</v>
      </c>
      <c r="M117" s="19">
        <v>80.54</v>
      </c>
      <c r="N117" s="18"/>
      <c r="O117" s="18"/>
      <c r="P117" s="19">
        <v>90.55</v>
      </c>
      <c r="Q117" s="19">
        <v>93.92</v>
      </c>
      <c r="R117" s="19">
        <v>73.23</v>
      </c>
      <c r="S117" s="19">
        <v>81.0</v>
      </c>
      <c r="T117" s="19">
        <v>79.39</v>
      </c>
      <c r="U117" s="19">
        <v>88.02</v>
      </c>
      <c r="V117" s="19">
        <v>86.0</v>
      </c>
      <c r="W117" s="19">
        <v>90.21</v>
      </c>
    </row>
    <row r="118" ht="15.0" customHeight="1">
      <c r="A118" s="14" t="s">
        <v>164</v>
      </c>
      <c r="B118" s="19">
        <v>76.26</v>
      </c>
      <c r="C118" s="19">
        <v>80.73</v>
      </c>
      <c r="D118" s="19">
        <v>77.8</v>
      </c>
      <c r="E118" s="19">
        <v>63.03</v>
      </c>
      <c r="F118" s="19">
        <v>63.81</v>
      </c>
      <c r="G118" s="19">
        <v>82.45</v>
      </c>
      <c r="H118" s="19">
        <v>82.68</v>
      </c>
      <c r="I118" s="19">
        <v>44.44</v>
      </c>
      <c r="J118" s="19">
        <v>44.69</v>
      </c>
      <c r="K118" s="19">
        <v>50.88</v>
      </c>
      <c r="L118" s="19">
        <v>72.12</v>
      </c>
      <c r="M118" s="19">
        <v>92.45</v>
      </c>
      <c r="N118" s="19">
        <v>96.33</v>
      </c>
      <c r="O118" s="19">
        <v>87.78</v>
      </c>
      <c r="P118" s="19">
        <v>95.8</v>
      </c>
      <c r="Q118" s="19">
        <v>95.51</v>
      </c>
      <c r="R118" s="19">
        <v>74.15</v>
      </c>
      <c r="S118" s="19">
        <v>80.96</v>
      </c>
      <c r="T118" s="19">
        <v>80.06</v>
      </c>
      <c r="U118" s="19">
        <v>89.13</v>
      </c>
      <c r="V118" s="19">
        <v>87.02</v>
      </c>
      <c r="W118" s="19">
        <v>91.82</v>
      </c>
    </row>
    <row r="119" ht="15.0" customHeight="1">
      <c r="A119" s="14" t="s">
        <v>165</v>
      </c>
      <c r="B119" s="18"/>
      <c r="C119" s="18"/>
      <c r="D119" s="19">
        <v>1.48</v>
      </c>
      <c r="E119" s="19">
        <v>1.68</v>
      </c>
      <c r="F119" s="19">
        <v>2.68</v>
      </c>
      <c r="G119" s="18"/>
      <c r="H119" s="18"/>
      <c r="I119" s="18"/>
      <c r="J119" s="19">
        <v>10.94</v>
      </c>
      <c r="K119" s="19">
        <v>11.38</v>
      </c>
      <c r="L119" s="19">
        <v>10.51</v>
      </c>
      <c r="M119" s="19">
        <v>11.92</v>
      </c>
      <c r="N119" s="19">
        <v>8.36</v>
      </c>
      <c r="O119" s="19">
        <v>7.74</v>
      </c>
      <c r="P119" s="19">
        <v>5.25</v>
      </c>
      <c r="Q119" s="19">
        <v>1.59</v>
      </c>
      <c r="R119" s="19">
        <v>0.92</v>
      </c>
      <c r="S119" s="18"/>
      <c r="T119" s="19">
        <v>0.67</v>
      </c>
      <c r="U119" s="19">
        <v>1.12</v>
      </c>
      <c r="V119" s="19">
        <v>1.02</v>
      </c>
      <c r="W119" s="19">
        <v>1.61</v>
      </c>
    </row>
    <row r="120" ht="15.0" customHeight="1">
      <c r="A120" s="14" t="s">
        <v>166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9">
        <v>83.51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167</v>
      </c>
      <c r="B121" s="18"/>
      <c r="C121" s="19">
        <v>9.54</v>
      </c>
      <c r="D121" s="19">
        <v>8.64</v>
      </c>
      <c r="E121" s="19">
        <v>5.58</v>
      </c>
      <c r="F121" s="19">
        <v>4.98</v>
      </c>
      <c r="G121" s="19">
        <v>5.96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168</v>
      </c>
      <c r="B122" s="18"/>
      <c r="C122" s="18"/>
      <c r="D122" s="19">
        <v>0.42</v>
      </c>
      <c r="E122" s="19">
        <v>0.23</v>
      </c>
      <c r="F122" s="19">
        <v>0.33</v>
      </c>
      <c r="G122" s="19">
        <v>0.37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169</v>
      </c>
      <c r="B123" s="18"/>
      <c r="C123" s="18"/>
      <c r="D123" s="19">
        <v>3.06</v>
      </c>
      <c r="E123" s="19">
        <v>1.59</v>
      </c>
      <c r="F123" s="19">
        <v>1.84</v>
      </c>
      <c r="G123" s="19">
        <v>1.54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170</v>
      </c>
      <c r="B124" s="18"/>
      <c r="C124" s="18"/>
      <c r="D124" s="18"/>
      <c r="E124" s="18"/>
      <c r="F124" s="21">
        <v>-17.96</v>
      </c>
      <c r="G124" s="21">
        <v>-35.89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171</v>
      </c>
      <c r="B125" s="21">
        <v>-0.32</v>
      </c>
      <c r="C125" s="18"/>
      <c r="D125" s="18"/>
      <c r="E125" s="18"/>
      <c r="F125" s="18"/>
      <c r="G125" s="18"/>
      <c r="H125" s="18"/>
      <c r="I125" s="21">
        <v>-4.68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170</v>
      </c>
      <c r="B126" s="18"/>
      <c r="C126" s="18">
        <v>0.0</v>
      </c>
      <c r="D126" s="21">
        <v>-13.14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172</v>
      </c>
      <c r="B127" s="18"/>
      <c r="C127" s="18"/>
      <c r="D127" s="18"/>
      <c r="E127" s="18"/>
      <c r="F127" s="19">
        <v>1.0</v>
      </c>
      <c r="G127" s="19">
        <v>16.38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173</v>
      </c>
      <c r="B128" s="18"/>
      <c r="C128" s="18"/>
      <c r="D128" s="18"/>
      <c r="E128" s="18"/>
      <c r="F128" s="19">
        <v>10.02</v>
      </c>
      <c r="G128" s="19">
        <v>10.23</v>
      </c>
      <c r="H128" s="19">
        <v>1.86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174</v>
      </c>
      <c r="B129" s="18"/>
      <c r="C129" s="18"/>
      <c r="D129" s="18"/>
      <c r="E129" s="18"/>
      <c r="F129" s="18"/>
      <c r="G129" s="18"/>
      <c r="H129" s="18"/>
      <c r="I129" s="21">
        <v>-71.17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175</v>
      </c>
      <c r="B130" s="19">
        <v>16.95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176</v>
      </c>
      <c r="B131" s="19">
        <v>93.21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177</v>
      </c>
      <c r="B132" s="21">
        <v>-0.15</v>
      </c>
      <c r="C132" s="21">
        <v>-0.06</v>
      </c>
      <c r="D132" s="21">
        <v>-0.02</v>
      </c>
      <c r="E132" s="19">
        <v>0.2</v>
      </c>
      <c r="F132" s="19">
        <v>0.02</v>
      </c>
      <c r="G132" s="21">
        <v>-0.32</v>
      </c>
      <c r="H132" s="21">
        <v>-0.1</v>
      </c>
      <c r="I132" s="21">
        <v>-0.66</v>
      </c>
      <c r="J132" s="21">
        <v>-0.06</v>
      </c>
      <c r="K132" s="19">
        <v>1.39</v>
      </c>
      <c r="L132" s="21">
        <v>-0.39</v>
      </c>
      <c r="M132" s="21">
        <v>-0.88</v>
      </c>
      <c r="N132" s="21">
        <v>-1.99</v>
      </c>
      <c r="O132" s="21">
        <v>-2.75</v>
      </c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178</v>
      </c>
      <c r="B133" s="21">
        <v>-0.15</v>
      </c>
      <c r="C133" s="21">
        <v>-0.06</v>
      </c>
      <c r="D133" s="21">
        <v>-0.02</v>
      </c>
      <c r="E133" s="19">
        <v>0.2</v>
      </c>
      <c r="F133" s="19">
        <v>0.02</v>
      </c>
      <c r="G133" s="21">
        <v>-0.32</v>
      </c>
      <c r="H133" s="21">
        <v>-0.1</v>
      </c>
      <c r="I133" s="21">
        <v>-0.66</v>
      </c>
      <c r="J133" s="21">
        <v>-0.06</v>
      </c>
      <c r="K133" s="19">
        <v>1.39</v>
      </c>
      <c r="L133" s="21">
        <v>-0.39</v>
      </c>
      <c r="M133" s="21">
        <v>-0.88</v>
      </c>
      <c r="N133" s="21">
        <v>-1.99</v>
      </c>
      <c r="O133" s="21">
        <v>-2.75</v>
      </c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179</v>
      </c>
      <c r="B134" s="21">
        <v>-0.15</v>
      </c>
      <c r="C134" s="21">
        <v>-0.06</v>
      </c>
      <c r="D134" s="21">
        <v>-0.02</v>
      </c>
      <c r="E134" s="19">
        <v>0.2</v>
      </c>
      <c r="F134" s="19">
        <v>0.02</v>
      </c>
      <c r="G134" s="21">
        <v>-0.32</v>
      </c>
      <c r="H134" s="21">
        <v>-0.1</v>
      </c>
      <c r="I134" s="21">
        <v>-0.66</v>
      </c>
      <c r="J134" s="21">
        <v>-0.06</v>
      </c>
      <c r="K134" s="19">
        <v>1.39</v>
      </c>
      <c r="L134" s="21">
        <v>-0.39</v>
      </c>
      <c r="M134" s="21">
        <v>-0.88</v>
      </c>
      <c r="N134" s="21">
        <v>-1.99</v>
      </c>
      <c r="O134" s="21">
        <v>-2.75</v>
      </c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180</v>
      </c>
      <c r="B135" s="21">
        <v>-0.15</v>
      </c>
      <c r="C135" s="21">
        <v>-0.06</v>
      </c>
      <c r="D135" s="21">
        <v>-0.02</v>
      </c>
      <c r="E135" s="19">
        <v>0.2</v>
      </c>
      <c r="F135" s="19">
        <v>0.02</v>
      </c>
      <c r="G135" s="21">
        <v>-0.32</v>
      </c>
      <c r="H135" s="21">
        <v>-0.1</v>
      </c>
      <c r="I135" s="21">
        <v>-0.66</v>
      </c>
      <c r="J135" s="21">
        <v>-0.06</v>
      </c>
      <c r="K135" s="19">
        <v>1.39</v>
      </c>
      <c r="L135" s="21">
        <v>-0.39</v>
      </c>
      <c r="M135" s="21">
        <v>-0.88</v>
      </c>
      <c r="N135" s="21">
        <v>-1.99</v>
      </c>
      <c r="O135" s="21">
        <v>-2.75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181</v>
      </c>
      <c r="B136" s="15">
        <v>211.21</v>
      </c>
      <c r="C136" s="15">
        <v>211.21</v>
      </c>
      <c r="D136" s="15">
        <v>211.21</v>
      </c>
      <c r="E136" s="15">
        <v>211.21</v>
      </c>
      <c r="F136" s="15">
        <v>211.21</v>
      </c>
      <c r="G136" s="15">
        <v>211.21</v>
      </c>
      <c r="H136" s="15">
        <v>211.21</v>
      </c>
      <c r="I136" s="15">
        <v>211.21</v>
      </c>
      <c r="J136" s="15">
        <v>211.21</v>
      </c>
      <c r="K136" s="15">
        <v>207.42</v>
      </c>
      <c r="L136" s="15">
        <v>156.66</v>
      </c>
      <c r="M136" s="15">
        <v>156.66</v>
      </c>
      <c r="N136" s="19">
        <v>63.87</v>
      </c>
      <c r="O136" s="19">
        <v>17.48</v>
      </c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182</v>
      </c>
      <c r="B137" s="15">
        <v>211.21</v>
      </c>
      <c r="C137" s="15">
        <v>211.21</v>
      </c>
      <c r="D137" s="15">
        <v>211.21</v>
      </c>
      <c r="E137" s="15">
        <v>211.21</v>
      </c>
      <c r="F137" s="15">
        <v>211.21</v>
      </c>
      <c r="G137" s="15">
        <v>211.21</v>
      </c>
      <c r="H137" s="15">
        <v>211.21</v>
      </c>
      <c r="I137" s="15">
        <v>211.21</v>
      </c>
      <c r="J137" s="15">
        <v>211.21</v>
      </c>
      <c r="K137" s="15">
        <v>207.42</v>
      </c>
      <c r="L137" s="15">
        <v>156.66</v>
      </c>
      <c r="M137" s="15">
        <v>156.66</v>
      </c>
      <c r="N137" s="19">
        <v>63.87</v>
      </c>
      <c r="O137" s="19">
        <v>17.48</v>
      </c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183</v>
      </c>
      <c r="B138" s="21">
        <v>-30.93</v>
      </c>
      <c r="C138" s="21">
        <v>-12.27</v>
      </c>
      <c r="D138" s="21">
        <v>-4.7</v>
      </c>
      <c r="E138" s="19">
        <v>41.92</v>
      </c>
      <c r="F138" s="19">
        <v>4.45</v>
      </c>
      <c r="G138" s="21">
        <v>-66.66</v>
      </c>
      <c r="H138" s="21">
        <v>-21.93</v>
      </c>
      <c r="I138" s="26">
        <v>-139.59</v>
      </c>
      <c r="J138" s="21">
        <v>-12.03</v>
      </c>
      <c r="K138" s="15">
        <v>289.9</v>
      </c>
      <c r="L138" s="21">
        <v>-61.48</v>
      </c>
      <c r="M138" s="26">
        <v>-137.68</v>
      </c>
      <c r="N138" s="26">
        <v>-126.93</v>
      </c>
      <c r="O138" s="21">
        <v>-48.12</v>
      </c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4" t="s">
        <v>184</v>
      </c>
      <c r="B139" s="19">
        <v>1.0</v>
      </c>
      <c r="C139" s="19">
        <v>1.0</v>
      </c>
      <c r="D139" s="19">
        <v>1.0</v>
      </c>
      <c r="E139" s="19">
        <v>1.0</v>
      </c>
      <c r="F139" s="19">
        <v>1.0</v>
      </c>
      <c r="G139" s="19">
        <v>1.0</v>
      </c>
      <c r="H139" s="19">
        <v>1.0</v>
      </c>
      <c r="I139" s="19">
        <v>1.0</v>
      </c>
      <c r="J139" s="19">
        <v>1.0</v>
      </c>
      <c r="K139" s="19">
        <v>1.0</v>
      </c>
      <c r="L139" s="19">
        <v>1.0</v>
      </c>
      <c r="M139" s="19">
        <v>1.0</v>
      </c>
      <c r="N139" s="19">
        <v>1.0</v>
      </c>
      <c r="O139" s="19">
        <v>1.0</v>
      </c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4" t="s">
        <v>185</v>
      </c>
      <c r="B140" s="19">
        <v>1.0</v>
      </c>
      <c r="C140" s="19">
        <v>1.0</v>
      </c>
      <c r="D140" s="19">
        <v>1.0</v>
      </c>
      <c r="E140" s="19">
        <v>1.0</v>
      </c>
      <c r="F140" s="19">
        <v>1.0</v>
      </c>
      <c r="G140" s="19">
        <v>1.0</v>
      </c>
      <c r="H140" s="19">
        <v>1.0</v>
      </c>
      <c r="I140" s="19">
        <v>1.0</v>
      </c>
      <c r="J140" s="19">
        <v>1.0</v>
      </c>
      <c r="K140" s="19">
        <v>1.0</v>
      </c>
      <c r="L140" s="19">
        <v>1.0</v>
      </c>
      <c r="M140" s="19">
        <v>1.0</v>
      </c>
      <c r="N140" s="19">
        <v>1.0</v>
      </c>
      <c r="O140" s="19">
        <v>1.0</v>
      </c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186</v>
      </c>
      <c r="B141" s="21">
        <v>-30.93</v>
      </c>
      <c r="C141" s="21">
        <v>-12.27</v>
      </c>
      <c r="D141" s="21">
        <v>-4.7</v>
      </c>
      <c r="E141" s="19">
        <v>41.92</v>
      </c>
      <c r="F141" s="19">
        <v>4.45</v>
      </c>
      <c r="G141" s="21">
        <v>-66.66</v>
      </c>
      <c r="H141" s="21">
        <v>-21.93</v>
      </c>
      <c r="I141" s="26">
        <v>-139.59</v>
      </c>
      <c r="J141" s="21">
        <v>-12.03</v>
      </c>
      <c r="K141" s="15">
        <v>289.9</v>
      </c>
      <c r="L141" s="21">
        <v>-61.48</v>
      </c>
      <c r="M141" s="26">
        <v>-137.68</v>
      </c>
      <c r="N141" s="26">
        <v>-126.93</v>
      </c>
      <c r="O141" s="21">
        <v>-48.12</v>
      </c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187</v>
      </c>
      <c r="B142" s="21">
        <v>-30.93</v>
      </c>
      <c r="C142" s="21">
        <v>-12.27</v>
      </c>
      <c r="D142" s="21">
        <v>-4.7</v>
      </c>
      <c r="E142" s="19">
        <v>41.92</v>
      </c>
      <c r="F142" s="19">
        <v>4.45</v>
      </c>
      <c r="G142" s="21">
        <v>-66.66</v>
      </c>
      <c r="H142" s="21">
        <v>-21.93</v>
      </c>
      <c r="I142" s="26">
        <v>-139.59</v>
      </c>
      <c r="J142" s="21">
        <v>-12.03</v>
      </c>
      <c r="K142" s="15">
        <v>289.9</v>
      </c>
      <c r="L142" s="21">
        <v>-61.48</v>
      </c>
      <c r="M142" s="26">
        <v>-137.68</v>
      </c>
      <c r="N142" s="26">
        <v>-126.93</v>
      </c>
      <c r="O142" s="21">
        <v>-48.12</v>
      </c>
      <c r="P142" s="18"/>
      <c r="Q142" s="18"/>
      <c r="R142" s="18"/>
      <c r="S142" s="18"/>
      <c r="T142" s="18"/>
      <c r="U142" s="18"/>
      <c r="V142" s="18"/>
      <c r="W142" s="18"/>
    </row>
    <row r="143" ht="15.0" customHeight="1">
      <c r="A143" s="14" t="s">
        <v>188</v>
      </c>
      <c r="B143" s="21">
        <v>-30.93</v>
      </c>
      <c r="C143" s="21">
        <v>-12.27</v>
      </c>
      <c r="D143" s="21">
        <v>-4.7</v>
      </c>
      <c r="E143" s="19">
        <v>41.92</v>
      </c>
      <c r="F143" s="19">
        <v>4.45</v>
      </c>
      <c r="G143" s="21">
        <v>-66.66</v>
      </c>
      <c r="H143" s="21">
        <v>-21.93</v>
      </c>
      <c r="I143" s="26">
        <v>-139.59</v>
      </c>
      <c r="J143" s="21">
        <v>-12.03</v>
      </c>
      <c r="K143" s="15">
        <v>289.9</v>
      </c>
      <c r="L143" s="21">
        <v>-61.48</v>
      </c>
      <c r="M143" s="26">
        <v>-137.68</v>
      </c>
      <c r="N143" s="26">
        <v>-126.93</v>
      </c>
      <c r="O143" s="21">
        <v>-48.12</v>
      </c>
      <c r="P143" s="18"/>
      <c r="Q143" s="18"/>
      <c r="R143" s="18"/>
      <c r="S143" s="18"/>
      <c r="T143" s="18"/>
      <c r="U143" s="18"/>
      <c r="V143" s="18"/>
      <c r="W143" s="18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46092.4136330903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190</v>
      </c>
      <c r="C15" s="10" t="s">
        <v>190</v>
      </c>
      <c r="D15" s="10" t="s">
        <v>190</v>
      </c>
      <c r="E15" s="10" t="s">
        <v>190</v>
      </c>
      <c r="F15" s="10" t="s">
        <v>190</v>
      </c>
      <c r="G15" s="10" t="s">
        <v>190</v>
      </c>
      <c r="H15" s="10" t="s">
        <v>190</v>
      </c>
      <c r="I15" s="10" t="s">
        <v>190</v>
      </c>
      <c r="J15" s="10" t="s">
        <v>190</v>
      </c>
      <c r="K15" s="10" t="s">
        <v>190</v>
      </c>
      <c r="L15" s="10" t="s">
        <v>190</v>
      </c>
      <c r="M15" s="10" t="s">
        <v>190</v>
      </c>
      <c r="N15" s="10" t="s">
        <v>190</v>
      </c>
      <c r="O15" s="10" t="s">
        <v>190</v>
      </c>
      <c r="P15" s="10" t="s">
        <v>190</v>
      </c>
      <c r="Q15" s="10" t="s">
        <v>190</v>
      </c>
      <c r="R15" s="10" t="s">
        <v>190</v>
      </c>
      <c r="S15" s="10" t="s">
        <v>190</v>
      </c>
      <c r="T15" s="10" t="s">
        <v>190</v>
      </c>
      <c r="U15" s="10" t="s">
        <v>190</v>
      </c>
      <c r="V15" s="10" t="s">
        <v>190</v>
      </c>
      <c r="W15" s="10" t="s">
        <v>190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192</v>
      </c>
      <c r="B20" s="15">
        <v>211.8</v>
      </c>
      <c r="C20" s="15">
        <v>232.7</v>
      </c>
      <c r="D20" s="15">
        <v>226.19</v>
      </c>
      <c r="E20" s="15">
        <v>267.99</v>
      </c>
      <c r="F20" s="15">
        <v>205.43</v>
      </c>
      <c r="G20" s="15">
        <v>189.62</v>
      </c>
      <c r="H20" s="15">
        <v>187.91</v>
      </c>
      <c r="I20" s="15">
        <v>190.69</v>
      </c>
      <c r="J20" s="15">
        <v>189.41</v>
      </c>
      <c r="K20" s="15">
        <v>176.91</v>
      </c>
      <c r="L20" s="15">
        <v>221.69</v>
      </c>
      <c r="M20" s="15">
        <v>243.29</v>
      </c>
      <c r="N20" s="15">
        <v>248.72</v>
      </c>
      <c r="O20" s="15">
        <v>267.05</v>
      </c>
      <c r="P20" s="15">
        <v>285.88</v>
      </c>
      <c r="Q20" s="18"/>
      <c r="R20" s="15">
        <v>168.12</v>
      </c>
      <c r="S20" s="15">
        <v>230.18</v>
      </c>
      <c r="T20" s="15">
        <v>235.4</v>
      </c>
      <c r="U20" s="18"/>
      <c r="V20" s="15">
        <v>192.73</v>
      </c>
      <c r="W20" s="18"/>
    </row>
    <row r="21" ht="15.0" customHeight="1">
      <c r="A21" s="14" t="s">
        <v>193</v>
      </c>
      <c r="B21" s="18"/>
      <c r="C21" s="15">
        <v>116.59</v>
      </c>
      <c r="D21" s="15">
        <v>114.5</v>
      </c>
      <c r="E21" s="15">
        <v>140.78</v>
      </c>
      <c r="F21" s="15">
        <v>111.87</v>
      </c>
      <c r="G21" s="19">
        <v>93.17</v>
      </c>
      <c r="H21" s="19">
        <v>88.54</v>
      </c>
      <c r="I21" s="19">
        <v>88.18</v>
      </c>
      <c r="J21" s="19">
        <v>88.56</v>
      </c>
      <c r="K21" s="19">
        <v>77.15</v>
      </c>
      <c r="L21" s="19">
        <v>94.12</v>
      </c>
      <c r="M21" s="19">
        <v>95.27</v>
      </c>
      <c r="N21" s="19">
        <v>88.16</v>
      </c>
      <c r="O21" s="19">
        <v>94.02</v>
      </c>
      <c r="P21" s="15">
        <v>101.12</v>
      </c>
      <c r="Q21" s="15">
        <v>117.18</v>
      </c>
      <c r="R21" s="19">
        <v>41.56</v>
      </c>
      <c r="S21" s="19">
        <v>59.27</v>
      </c>
      <c r="T21" s="19">
        <v>66.63</v>
      </c>
      <c r="U21" s="19">
        <v>82.58</v>
      </c>
      <c r="V21" s="19">
        <v>52.43</v>
      </c>
      <c r="W21" s="19">
        <v>58.16</v>
      </c>
    </row>
    <row r="22" ht="15.0" customHeight="1">
      <c r="A22" s="14" t="s">
        <v>194</v>
      </c>
      <c r="B22" s="18"/>
      <c r="C22" s="19">
        <v>4.28</v>
      </c>
      <c r="D22" s="19">
        <v>3.18</v>
      </c>
      <c r="E22" s="19">
        <v>4.3</v>
      </c>
      <c r="F22" s="19">
        <v>3.56</v>
      </c>
      <c r="G22" s="19">
        <v>0.88</v>
      </c>
      <c r="H22" s="19">
        <v>1.2</v>
      </c>
      <c r="I22" s="19">
        <v>3.94</v>
      </c>
      <c r="J22" s="19">
        <v>3.87</v>
      </c>
      <c r="K22" s="19">
        <v>4.9</v>
      </c>
      <c r="L22" s="19">
        <v>6.34</v>
      </c>
      <c r="M22" s="19">
        <v>6.49</v>
      </c>
      <c r="N22" s="19">
        <v>6.41</v>
      </c>
      <c r="O22" s="19">
        <v>9.57</v>
      </c>
      <c r="P22" s="19">
        <v>7.21</v>
      </c>
      <c r="Q22" s="19">
        <v>8.23</v>
      </c>
      <c r="R22" s="19">
        <v>4.87</v>
      </c>
      <c r="S22" s="19">
        <v>5.69</v>
      </c>
      <c r="T22" s="19">
        <v>5.08</v>
      </c>
      <c r="U22" s="19">
        <v>5.41</v>
      </c>
      <c r="V22" s="19">
        <v>4.73</v>
      </c>
      <c r="W22" s="19">
        <v>4.55</v>
      </c>
    </row>
    <row r="23" ht="15.0" customHeight="1">
      <c r="A23" s="14" t="s">
        <v>195</v>
      </c>
      <c r="B23" s="18"/>
      <c r="C23" s="15">
        <v>111.84</v>
      </c>
      <c r="D23" s="15">
        <v>108.51</v>
      </c>
      <c r="E23" s="15">
        <v>122.91</v>
      </c>
      <c r="F23" s="19">
        <v>89.99</v>
      </c>
      <c r="G23" s="19">
        <v>95.57</v>
      </c>
      <c r="H23" s="19">
        <v>98.17</v>
      </c>
      <c r="I23" s="19">
        <v>98.57</v>
      </c>
      <c r="J23" s="19">
        <v>96.98</v>
      </c>
      <c r="K23" s="19">
        <v>94.86</v>
      </c>
      <c r="L23" s="15">
        <v>121.23</v>
      </c>
      <c r="M23" s="15">
        <v>141.53</v>
      </c>
      <c r="N23" s="15">
        <v>154.15</v>
      </c>
      <c r="O23" s="15">
        <v>163.46</v>
      </c>
      <c r="P23" s="15">
        <v>177.54</v>
      </c>
      <c r="Q23" s="15">
        <v>191.28</v>
      </c>
      <c r="R23" s="15">
        <v>121.69</v>
      </c>
      <c r="S23" s="15">
        <v>165.21</v>
      </c>
      <c r="T23" s="15">
        <v>163.69</v>
      </c>
      <c r="U23" s="15">
        <v>171.02</v>
      </c>
      <c r="V23" s="15">
        <v>135.57</v>
      </c>
      <c r="W23" s="15">
        <v>158.71</v>
      </c>
    </row>
    <row r="24" ht="15.0" customHeight="1">
      <c r="A24" s="14" t="s">
        <v>196</v>
      </c>
      <c r="B24" s="15">
        <v>253.14</v>
      </c>
      <c r="C24" s="15">
        <v>261.0</v>
      </c>
      <c r="D24" s="15">
        <v>305.54</v>
      </c>
      <c r="E24" s="15">
        <v>287.58</v>
      </c>
      <c r="F24" s="15">
        <v>285.34</v>
      </c>
      <c r="G24" s="15">
        <v>298.08</v>
      </c>
      <c r="H24" s="15">
        <v>297.87</v>
      </c>
      <c r="I24" s="15">
        <v>378.68</v>
      </c>
      <c r="J24" s="15">
        <v>354.81</v>
      </c>
      <c r="K24" s="15">
        <v>337.76</v>
      </c>
      <c r="L24" s="15">
        <v>411.92</v>
      </c>
      <c r="M24" s="15">
        <v>371.48</v>
      </c>
      <c r="N24" s="15">
        <v>441.57</v>
      </c>
      <c r="O24" s="15">
        <v>420.63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197</v>
      </c>
      <c r="B25" s="15">
        <v>153.09</v>
      </c>
      <c r="C25" s="15">
        <v>163.33</v>
      </c>
      <c r="D25" s="15">
        <v>179.57</v>
      </c>
      <c r="E25" s="15">
        <v>180.92</v>
      </c>
      <c r="F25" s="15">
        <v>203.0</v>
      </c>
      <c r="G25" s="15">
        <v>208.75</v>
      </c>
      <c r="H25" s="15">
        <v>204.0</v>
      </c>
      <c r="I25" s="15">
        <v>275.09</v>
      </c>
      <c r="J25" s="15">
        <v>277.1</v>
      </c>
      <c r="K25" s="15">
        <v>270.3</v>
      </c>
      <c r="L25" s="15">
        <v>309.31</v>
      </c>
      <c r="M25" s="15">
        <v>314.61</v>
      </c>
      <c r="N25" s="15">
        <v>375.24</v>
      </c>
      <c r="O25" s="15">
        <v>357.07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198</v>
      </c>
      <c r="B26" s="18"/>
      <c r="C26" s="18"/>
      <c r="D26" s="18"/>
      <c r="E26" s="15">
        <v>189.49</v>
      </c>
      <c r="F26" s="15">
        <v>208.7</v>
      </c>
      <c r="G26" s="15">
        <v>216.53</v>
      </c>
      <c r="H26" s="15">
        <v>209.27</v>
      </c>
      <c r="I26" s="15">
        <v>281.67</v>
      </c>
      <c r="J26" s="15">
        <v>282.3</v>
      </c>
      <c r="K26" s="15">
        <v>277.97</v>
      </c>
      <c r="L26" s="15">
        <v>317.26</v>
      </c>
      <c r="M26" s="15">
        <v>327.94</v>
      </c>
      <c r="N26" s="15">
        <v>387.59</v>
      </c>
      <c r="O26" s="15">
        <v>365.88</v>
      </c>
      <c r="P26" s="15">
        <v>463.07</v>
      </c>
      <c r="Q26" s="15">
        <v>518.25</v>
      </c>
      <c r="R26" s="15">
        <v>201.23</v>
      </c>
      <c r="S26" s="15">
        <v>247.14</v>
      </c>
      <c r="T26" s="15">
        <v>263.14</v>
      </c>
      <c r="U26" s="15">
        <v>280.29</v>
      </c>
      <c r="V26" s="15">
        <v>235.91</v>
      </c>
      <c r="W26" s="15">
        <v>257.92</v>
      </c>
    </row>
    <row r="27" ht="15.0" customHeight="1">
      <c r="A27" s="14" t="s">
        <v>199</v>
      </c>
      <c r="B27" s="18"/>
      <c r="C27" s="18"/>
      <c r="D27" s="18"/>
      <c r="E27" s="21">
        <v>-8.57</v>
      </c>
      <c r="F27" s="21">
        <v>-5.7</v>
      </c>
      <c r="G27" s="21">
        <v>-7.78</v>
      </c>
      <c r="H27" s="21">
        <v>-5.27</v>
      </c>
      <c r="I27" s="21">
        <v>-6.57</v>
      </c>
      <c r="J27" s="21">
        <v>-5.2</v>
      </c>
      <c r="K27" s="21">
        <v>-7.67</v>
      </c>
      <c r="L27" s="21">
        <v>-7.96</v>
      </c>
      <c r="M27" s="21">
        <v>-13.33</v>
      </c>
      <c r="N27" s="21">
        <v>-12.35</v>
      </c>
      <c r="O27" s="21">
        <v>-8.81</v>
      </c>
      <c r="P27" s="21">
        <v>-10.19</v>
      </c>
      <c r="Q27" s="21">
        <v>-13.98</v>
      </c>
      <c r="R27" s="21">
        <v>-4.29</v>
      </c>
      <c r="S27" s="21">
        <v>-7.11</v>
      </c>
      <c r="T27" s="21">
        <v>-10.73</v>
      </c>
      <c r="U27" s="21">
        <v>-11.57</v>
      </c>
      <c r="V27" s="21">
        <v>-18.65</v>
      </c>
      <c r="W27" s="21">
        <v>-17.97</v>
      </c>
    </row>
    <row r="28" ht="15.0" customHeight="1">
      <c r="A28" s="14" t="s">
        <v>200</v>
      </c>
      <c r="B28" s="15">
        <v>100.05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201</v>
      </c>
      <c r="B29" s="18"/>
      <c r="C29" s="19">
        <v>5.46</v>
      </c>
      <c r="D29" s="19">
        <v>0.74</v>
      </c>
      <c r="E29" s="19">
        <v>2.64</v>
      </c>
      <c r="F29" s="19">
        <v>4.44</v>
      </c>
      <c r="G29" s="19">
        <v>8.68</v>
      </c>
      <c r="H29" s="19">
        <v>14.5</v>
      </c>
      <c r="I29" s="19">
        <v>18.22</v>
      </c>
      <c r="J29" s="19">
        <v>22.74</v>
      </c>
      <c r="K29" s="19">
        <v>19.79</v>
      </c>
      <c r="L29" s="19">
        <v>18.27</v>
      </c>
      <c r="M29" s="19">
        <v>12.61</v>
      </c>
      <c r="N29" s="19">
        <v>17.24</v>
      </c>
      <c r="O29" s="19">
        <v>13.16</v>
      </c>
      <c r="P29" s="19">
        <v>9.45</v>
      </c>
      <c r="Q29" s="19">
        <v>4.59</v>
      </c>
      <c r="R29" s="19">
        <v>2.88</v>
      </c>
      <c r="S29" s="19">
        <v>2.93</v>
      </c>
      <c r="T29" s="19">
        <v>3.68</v>
      </c>
      <c r="U29" s="19">
        <v>2.8</v>
      </c>
      <c r="V29" s="19">
        <v>2.91</v>
      </c>
      <c r="W29" s="19">
        <v>4.04</v>
      </c>
    </row>
    <row r="30" ht="15.0" customHeight="1">
      <c r="A30" s="14" t="s">
        <v>202</v>
      </c>
      <c r="B30" s="18"/>
      <c r="C30" s="19">
        <v>31.6</v>
      </c>
      <c r="D30" s="19">
        <v>27.99</v>
      </c>
      <c r="E30" s="19">
        <v>37.69</v>
      </c>
      <c r="F30" s="19">
        <v>35.03</v>
      </c>
      <c r="G30" s="19">
        <v>35.8</v>
      </c>
      <c r="H30" s="19">
        <v>40.55</v>
      </c>
      <c r="I30" s="19">
        <v>23.94</v>
      </c>
      <c r="J30" s="19">
        <v>6.55</v>
      </c>
      <c r="K30" s="19">
        <v>7.32</v>
      </c>
      <c r="L30" s="19">
        <v>12.13</v>
      </c>
      <c r="M30" s="19">
        <v>6.61</v>
      </c>
      <c r="N30" s="19">
        <v>10.97</v>
      </c>
      <c r="O30" s="19">
        <v>14.48</v>
      </c>
      <c r="P30" s="19">
        <v>13.4</v>
      </c>
      <c r="Q30" s="19">
        <v>13.92</v>
      </c>
      <c r="R30" s="19">
        <v>24.2</v>
      </c>
      <c r="S30" s="19">
        <v>22.81</v>
      </c>
      <c r="T30" s="19">
        <v>15.14</v>
      </c>
      <c r="U30" s="19">
        <v>11.42</v>
      </c>
      <c r="V30" s="19">
        <v>8.58</v>
      </c>
      <c r="W30" s="19">
        <v>4.69</v>
      </c>
    </row>
    <row r="31" ht="15.0" customHeight="1">
      <c r="A31" s="14" t="s">
        <v>203</v>
      </c>
      <c r="B31" s="18"/>
      <c r="C31" s="19">
        <v>60.61</v>
      </c>
      <c r="D31" s="19">
        <v>97.23</v>
      </c>
      <c r="E31" s="19">
        <v>66.34</v>
      </c>
      <c r="F31" s="19">
        <v>42.87</v>
      </c>
      <c r="G31" s="19">
        <v>44.85</v>
      </c>
      <c r="H31" s="19">
        <v>38.84</v>
      </c>
      <c r="I31" s="19">
        <v>61.43</v>
      </c>
      <c r="J31" s="19">
        <v>48.42</v>
      </c>
      <c r="K31" s="19">
        <v>40.36</v>
      </c>
      <c r="L31" s="19">
        <v>72.2</v>
      </c>
      <c r="M31" s="19">
        <v>37.65</v>
      </c>
      <c r="N31" s="19">
        <v>38.13</v>
      </c>
      <c r="O31" s="19">
        <v>35.92</v>
      </c>
      <c r="P31" s="19">
        <v>38.35</v>
      </c>
      <c r="Q31" s="19">
        <v>37.24</v>
      </c>
      <c r="R31" s="19">
        <v>29.96</v>
      </c>
      <c r="S31" s="19">
        <v>40.97</v>
      </c>
      <c r="T31" s="19">
        <v>33.64</v>
      </c>
      <c r="U31" s="19">
        <v>39.84</v>
      </c>
      <c r="V31" s="19">
        <v>32.89</v>
      </c>
      <c r="W31" s="19">
        <v>31.34</v>
      </c>
    </row>
    <row r="32" ht="15.0" customHeight="1">
      <c r="A32" s="14" t="s">
        <v>204</v>
      </c>
      <c r="B32" s="15">
        <v>122.14</v>
      </c>
      <c r="C32" s="15">
        <v>106.48</v>
      </c>
      <c r="D32" s="15">
        <v>130.24</v>
      </c>
      <c r="E32" s="15">
        <v>136.22</v>
      </c>
      <c r="F32" s="15">
        <v>131.8</v>
      </c>
      <c r="G32" s="15">
        <v>114.99</v>
      </c>
      <c r="H32" s="19">
        <v>93.5</v>
      </c>
      <c r="I32" s="19">
        <v>70.64</v>
      </c>
      <c r="J32" s="15">
        <v>124.16</v>
      </c>
      <c r="K32" s="19">
        <v>85.21</v>
      </c>
      <c r="L32" s="15">
        <v>255.68</v>
      </c>
      <c r="M32" s="19">
        <v>92.73</v>
      </c>
      <c r="N32" s="19">
        <v>76.95</v>
      </c>
      <c r="O32" s="19">
        <v>96.09</v>
      </c>
      <c r="P32" s="15">
        <v>131.38</v>
      </c>
      <c r="Q32" s="15">
        <v>129.67</v>
      </c>
      <c r="R32" s="19">
        <v>60.11</v>
      </c>
      <c r="S32" s="19">
        <v>88.11</v>
      </c>
      <c r="T32" s="19">
        <v>20.37</v>
      </c>
      <c r="U32" s="19">
        <v>34.96</v>
      </c>
      <c r="V32" s="19">
        <v>58.8</v>
      </c>
      <c r="W32" s="19">
        <v>35.23</v>
      </c>
    </row>
    <row r="33" ht="15.0" customHeight="1">
      <c r="A33" s="14" t="s">
        <v>205</v>
      </c>
      <c r="B33" s="15">
        <v>121.92</v>
      </c>
      <c r="C33" s="15">
        <v>105.53</v>
      </c>
      <c r="D33" s="15">
        <v>129.29</v>
      </c>
      <c r="E33" s="15">
        <v>136.14</v>
      </c>
      <c r="F33" s="15">
        <v>131.72</v>
      </c>
      <c r="G33" s="15">
        <v>114.9</v>
      </c>
      <c r="H33" s="19">
        <v>93.37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206</v>
      </c>
      <c r="B34" s="19">
        <v>0.22</v>
      </c>
      <c r="C34" s="19">
        <v>0.95</v>
      </c>
      <c r="D34" s="19">
        <v>0.94</v>
      </c>
      <c r="E34" s="19">
        <v>0.08</v>
      </c>
      <c r="F34" s="19">
        <v>0.08</v>
      </c>
      <c r="G34" s="19">
        <v>0.08</v>
      </c>
      <c r="H34" s="19">
        <v>0.13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207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>
        <v>0.0</v>
      </c>
      <c r="V35" s="19">
        <v>0.24</v>
      </c>
      <c r="W35" s="19">
        <v>0.18</v>
      </c>
    </row>
    <row r="36" ht="15.0" customHeight="1">
      <c r="A36" s="16" t="s">
        <v>208</v>
      </c>
      <c r="B36" s="17">
        <v>587.08</v>
      </c>
      <c r="C36" s="17">
        <v>600.18</v>
      </c>
      <c r="D36" s="17">
        <v>661.96</v>
      </c>
      <c r="E36" s="17">
        <v>691.79</v>
      </c>
      <c r="F36" s="17">
        <v>622.57</v>
      </c>
      <c r="G36" s="17">
        <v>602.68</v>
      </c>
      <c r="H36" s="17">
        <v>579.29</v>
      </c>
      <c r="I36" s="17">
        <v>640.02</v>
      </c>
      <c r="J36" s="17">
        <v>668.38</v>
      </c>
      <c r="K36" s="17">
        <v>599.89</v>
      </c>
      <c r="L36" s="17">
        <v>889.29</v>
      </c>
      <c r="M36" s="17">
        <v>707.5</v>
      </c>
      <c r="N36" s="17">
        <v>767.25</v>
      </c>
      <c r="O36" s="17">
        <v>783.77</v>
      </c>
      <c r="P36" s="17">
        <v>931.34</v>
      </c>
      <c r="Q36" s="17">
        <v>1006.36</v>
      </c>
      <c r="R36" s="17">
        <v>482.2</v>
      </c>
      <c r="S36" s="17">
        <v>625.04</v>
      </c>
      <c r="T36" s="17">
        <v>560.65</v>
      </c>
      <c r="U36" s="17">
        <v>616.75</v>
      </c>
      <c r="V36" s="17">
        <v>513.41</v>
      </c>
      <c r="W36" s="17">
        <v>536.86</v>
      </c>
    </row>
    <row r="37" ht="15.0" customHeight="1">
      <c r="A37" s="14" t="s">
        <v>209</v>
      </c>
      <c r="B37" s="15">
        <v>514.37</v>
      </c>
      <c r="C37" s="15">
        <v>507.12</v>
      </c>
      <c r="D37" s="15">
        <v>481.43</v>
      </c>
      <c r="E37" s="15">
        <v>460.91</v>
      </c>
      <c r="F37" s="15">
        <v>444.15</v>
      </c>
      <c r="G37" s="15">
        <v>488.78</v>
      </c>
      <c r="H37" s="15">
        <v>504.89</v>
      </c>
      <c r="I37" s="15">
        <v>522.59</v>
      </c>
      <c r="J37" s="15">
        <v>603.73</v>
      </c>
      <c r="K37" s="15">
        <v>569.67</v>
      </c>
      <c r="L37" s="15">
        <v>632.41</v>
      </c>
      <c r="M37" s="15">
        <v>579.12</v>
      </c>
      <c r="N37" s="15">
        <v>543.25</v>
      </c>
      <c r="O37" s="15">
        <v>493.16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210</v>
      </c>
      <c r="B38" s="15">
        <v>512.62</v>
      </c>
      <c r="C38" s="15">
        <v>506.7</v>
      </c>
      <c r="D38" s="15">
        <v>478.73</v>
      </c>
      <c r="E38" s="15">
        <v>459.32</v>
      </c>
      <c r="F38" s="15">
        <v>442.79</v>
      </c>
      <c r="G38" s="15">
        <v>483.65</v>
      </c>
      <c r="H38" s="15">
        <v>496.87</v>
      </c>
      <c r="I38" s="15">
        <v>505.92</v>
      </c>
      <c r="J38" s="15">
        <v>575.01</v>
      </c>
      <c r="K38" s="15">
        <v>534.15</v>
      </c>
      <c r="L38" s="15">
        <v>583.09</v>
      </c>
      <c r="M38" s="15">
        <v>543.5</v>
      </c>
      <c r="N38" s="15">
        <v>502.53</v>
      </c>
      <c r="O38" s="15">
        <v>462.04</v>
      </c>
      <c r="P38" s="15">
        <v>477.78</v>
      </c>
      <c r="Q38" s="15">
        <v>461.98</v>
      </c>
      <c r="R38" s="15">
        <v>330.04</v>
      </c>
      <c r="S38" s="15">
        <v>378.82</v>
      </c>
      <c r="T38" s="15">
        <v>296.99</v>
      </c>
      <c r="U38" s="15">
        <v>312.18</v>
      </c>
      <c r="V38" s="15">
        <v>277.1</v>
      </c>
      <c r="W38" s="15">
        <v>285.98</v>
      </c>
    </row>
    <row r="39" ht="15.0" customHeight="1">
      <c r="A39" s="14" t="s">
        <v>211</v>
      </c>
      <c r="B39" s="19">
        <v>1.75</v>
      </c>
      <c r="C39" s="19">
        <v>0.43</v>
      </c>
      <c r="D39" s="19">
        <v>2.71</v>
      </c>
      <c r="E39" s="19">
        <v>1.59</v>
      </c>
      <c r="F39" s="19">
        <v>1.37</v>
      </c>
      <c r="G39" s="19">
        <v>5.13</v>
      </c>
      <c r="H39" s="19">
        <v>8.02</v>
      </c>
      <c r="I39" s="19">
        <v>16.67</v>
      </c>
      <c r="J39" s="19">
        <v>28.71</v>
      </c>
      <c r="K39" s="19">
        <v>35.52</v>
      </c>
      <c r="L39" s="19">
        <v>49.32</v>
      </c>
      <c r="M39" s="19">
        <v>35.63</v>
      </c>
      <c r="N39" s="19">
        <v>40.72</v>
      </c>
      <c r="O39" s="19">
        <v>31.12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212</v>
      </c>
      <c r="B40" s="18"/>
      <c r="C40" s="18"/>
      <c r="D40" s="19">
        <v>49.36</v>
      </c>
      <c r="E40" s="19">
        <v>87.64</v>
      </c>
      <c r="F40" s="19">
        <v>85.73</v>
      </c>
      <c r="G40" s="19">
        <v>90.39</v>
      </c>
      <c r="H40" s="19">
        <v>84.8</v>
      </c>
      <c r="I40" s="19">
        <v>91.31</v>
      </c>
      <c r="J40" s="19">
        <v>88.09</v>
      </c>
      <c r="K40" s="19">
        <v>84.73</v>
      </c>
      <c r="L40" s="19">
        <v>95.6</v>
      </c>
      <c r="M40" s="19">
        <v>78.68</v>
      </c>
      <c r="N40" s="19">
        <v>69.93</v>
      </c>
      <c r="O40" s="19">
        <v>31.12</v>
      </c>
      <c r="P40" s="19">
        <v>43.94</v>
      </c>
      <c r="Q40" s="19">
        <v>42.86</v>
      </c>
      <c r="R40" s="19">
        <v>20.51</v>
      </c>
      <c r="S40" s="19">
        <v>17.41</v>
      </c>
      <c r="T40" s="19">
        <v>14.77</v>
      </c>
      <c r="U40" s="19">
        <v>18.87</v>
      </c>
      <c r="V40" s="19">
        <v>14.11</v>
      </c>
      <c r="W40" s="19">
        <v>13.73</v>
      </c>
    </row>
    <row r="41" ht="15.0" customHeight="1">
      <c r="A41" s="14" t="s">
        <v>213</v>
      </c>
      <c r="B41" s="18"/>
      <c r="C41" s="18"/>
      <c r="D41" s="21">
        <v>-92.04</v>
      </c>
      <c r="E41" s="21">
        <v>-86.05</v>
      </c>
      <c r="F41" s="21">
        <v>-84.36</v>
      </c>
      <c r="G41" s="21">
        <v>-85.26</v>
      </c>
      <c r="H41" s="21">
        <v>-76.78</v>
      </c>
      <c r="I41" s="21">
        <v>-74.64</v>
      </c>
      <c r="J41" s="21">
        <v>-59.37</v>
      </c>
      <c r="K41" s="21">
        <v>-49.21</v>
      </c>
      <c r="L41" s="21">
        <v>-46.28</v>
      </c>
      <c r="M41" s="21">
        <v>-43.05</v>
      </c>
      <c r="N41" s="21">
        <v>-29.21</v>
      </c>
      <c r="O41" s="21">
        <v>-17.44</v>
      </c>
      <c r="P41" s="21">
        <v>-12.99</v>
      </c>
      <c r="Q41" s="21">
        <v>-12.22</v>
      </c>
      <c r="R41" s="21">
        <v>-13.77</v>
      </c>
      <c r="S41" s="21">
        <v>-15.02</v>
      </c>
      <c r="T41" s="21">
        <v>-12.03</v>
      </c>
      <c r="U41" s="21">
        <v>-15.45</v>
      </c>
      <c r="V41" s="21">
        <v>-10.21</v>
      </c>
      <c r="W41" s="21">
        <v>-10.05</v>
      </c>
    </row>
    <row r="42" ht="15.0" customHeight="1">
      <c r="A42" s="14" t="s">
        <v>214</v>
      </c>
      <c r="B42" s="18"/>
      <c r="C42" s="18"/>
      <c r="D42" s="19">
        <v>45.39</v>
      </c>
      <c r="E42" s="18"/>
      <c r="F42" s="22">
        <v>0.0</v>
      </c>
      <c r="G42" s="18"/>
      <c r="H42" s="18"/>
      <c r="I42" s="18"/>
      <c r="J42" s="18"/>
      <c r="K42" s="18"/>
      <c r="L42" s="18"/>
      <c r="M42" s="18"/>
      <c r="N42" s="18"/>
      <c r="O42" s="19">
        <v>17.44</v>
      </c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215</v>
      </c>
      <c r="B43" s="15">
        <v>380.31</v>
      </c>
      <c r="C43" s="15">
        <f> 402.8 -C54</f>
        <v>189.07</v>
      </c>
      <c r="D43" s="15">
        <f> 343.38 - D54</f>
        <v>168.61</v>
      </c>
      <c r="E43" s="15">
        <f> 348.35 - E54</f>
        <v>168.77</v>
      </c>
      <c r="F43" s="15">
        <f> 241.73 - F54</f>
        <v>142.04</v>
      </c>
      <c r="G43" s="15">
        <f> 254.64 - G54</f>
        <v>159.17</v>
      </c>
      <c r="H43" s="15">
        <f> 295.2 - H54</f>
        <v>163.89</v>
      </c>
      <c r="I43" s="15">
        <v>174.92</v>
      </c>
      <c r="J43" s="15">
        <v>208.97</v>
      </c>
      <c r="K43" s="15">
        <v>216.95</v>
      </c>
      <c r="L43" s="15">
        <v>245.82</v>
      </c>
      <c r="M43" s="15">
        <v>369.55</v>
      </c>
      <c r="N43" s="15">
        <v>419.8</v>
      </c>
      <c r="O43" s="15">
        <v>437.77</v>
      </c>
      <c r="P43" s="18">
        <f t="shared" ref="P43:W43" si="1">SUM(P45,P48,P51,P64)</f>
        <v>489.17</v>
      </c>
      <c r="Q43" s="18">
        <f t="shared" si="1"/>
        <v>600.51</v>
      </c>
      <c r="R43" s="18">
        <f t="shared" si="1"/>
        <v>438.61</v>
      </c>
      <c r="S43" s="18">
        <f t="shared" si="1"/>
        <v>540.63</v>
      </c>
      <c r="T43" s="18">
        <f t="shared" si="1"/>
        <v>519.58</v>
      </c>
      <c r="U43" s="18">
        <f t="shared" si="1"/>
        <v>579.23</v>
      </c>
      <c r="V43" s="18">
        <f t="shared" si="1"/>
        <v>544.93</v>
      </c>
      <c r="W43" s="18">
        <f t="shared" si="1"/>
        <v>641.81</v>
      </c>
    </row>
    <row r="44" ht="15.0" customHeight="1">
      <c r="A44" s="14" t="s">
        <v>216</v>
      </c>
      <c r="B44" s="18"/>
      <c r="C44" s="19">
        <v>50.76</v>
      </c>
      <c r="D44" s="19">
        <v>50.46</v>
      </c>
      <c r="E44" s="19">
        <v>50.73</v>
      </c>
      <c r="F44" s="19">
        <v>50.66</v>
      </c>
      <c r="G44" s="19">
        <v>55.6</v>
      </c>
      <c r="H44" s="19">
        <v>51.42</v>
      </c>
      <c r="I44" s="19">
        <v>50.38</v>
      </c>
      <c r="J44" s="19">
        <v>69.53</v>
      </c>
      <c r="K44" s="19">
        <v>69.55</v>
      </c>
      <c r="L44" s="19">
        <v>75.23</v>
      </c>
      <c r="M44" s="15">
        <v>163.43</v>
      </c>
      <c r="N44" s="15">
        <v>178.97</v>
      </c>
      <c r="O44" s="15">
        <v>169.97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217</v>
      </c>
      <c r="B45" s="18"/>
      <c r="C45" s="18"/>
      <c r="D45" s="18"/>
      <c r="E45" s="15">
        <v>165.08</v>
      </c>
      <c r="F45" s="15">
        <v>158.18</v>
      </c>
      <c r="G45" s="15">
        <v>164.92</v>
      </c>
      <c r="H45" s="15">
        <v>150.83</v>
      </c>
      <c r="I45" s="15">
        <v>150.62</v>
      </c>
      <c r="J45" s="15">
        <v>173.96</v>
      </c>
      <c r="K45" s="15">
        <v>161.35</v>
      </c>
      <c r="L45" s="15">
        <v>167.65</v>
      </c>
      <c r="M45" s="15">
        <v>220.89</v>
      </c>
      <c r="N45" s="15">
        <v>205.38</v>
      </c>
      <c r="O45" s="15">
        <v>182.4</v>
      </c>
      <c r="P45" s="15">
        <v>215.52</v>
      </c>
      <c r="Q45" s="15">
        <v>336.9</v>
      </c>
      <c r="R45" s="15">
        <v>248.18</v>
      </c>
      <c r="S45" s="15">
        <v>300.81</v>
      </c>
      <c r="T45" s="15">
        <v>247.85</v>
      </c>
      <c r="U45" s="15">
        <v>233.88</v>
      </c>
      <c r="V45" s="15">
        <v>213.05</v>
      </c>
      <c r="W45" s="15">
        <v>263.11</v>
      </c>
    </row>
    <row r="46" ht="15.0" customHeight="1">
      <c r="A46" s="14" t="s">
        <v>218</v>
      </c>
      <c r="B46" s="18"/>
      <c r="C46" s="18"/>
      <c r="D46" s="18"/>
      <c r="E46" s="26">
        <v>-114.35</v>
      </c>
      <c r="F46" s="26">
        <v>-107.52</v>
      </c>
      <c r="G46" s="26">
        <v>-109.32</v>
      </c>
      <c r="H46" s="21">
        <v>-99.4</v>
      </c>
      <c r="I46" s="26">
        <v>-100.24</v>
      </c>
      <c r="J46" s="26">
        <v>-104.43</v>
      </c>
      <c r="K46" s="21">
        <v>-91.8</v>
      </c>
      <c r="L46" s="21">
        <v>-92.43</v>
      </c>
      <c r="M46" s="21">
        <v>-57.46</v>
      </c>
      <c r="N46" s="21">
        <v>-26.4</v>
      </c>
      <c r="O46" s="21">
        <v>-12.43</v>
      </c>
      <c r="P46" s="18"/>
      <c r="Q46" s="18"/>
      <c r="R46" s="18"/>
      <c r="S46" s="18"/>
      <c r="T46" s="18"/>
      <c r="U46" s="18"/>
      <c r="V46" s="19">
        <v>8.38</v>
      </c>
      <c r="W46" s="18"/>
    </row>
    <row r="47" ht="15.0" customHeight="1">
      <c r="A47" s="14" t="s">
        <v>219</v>
      </c>
      <c r="B47" s="18"/>
      <c r="C47" s="15">
        <v>113.03</v>
      </c>
      <c r="D47" s="19">
        <v>78.57</v>
      </c>
      <c r="E47" s="19">
        <v>75.74</v>
      </c>
      <c r="F47" s="19">
        <v>72.67</v>
      </c>
      <c r="G47" s="19">
        <v>82.81</v>
      </c>
      <c r="H47" s="19">
        <v>90.1</v>
      </c>
      <c r="I47" s="19">
        <v>95.8</v>
      </c>
      <c r="J47" s="15">
        <v>105.82</v>
      </c>
      <c r="K47" s="15">
        <v>107.07</v>
      </c>
      <c r="L47" s="15">
        <v>131.06</v>
      </c>
      <c r="M47" s="15">
        <v>148.41</v>
      </c>
      <c r="N47" s="15">
        <v>183.29</v>
      </c>
      <c r="O47" s="15">
        <v>213.06</v>
      </c>
      <c r="P47" s="18"/>
      <c r="Q47" s="18"/>
      <c r="R47" s="15">
        <v>227.99</v>
      </c>
      <c r="S47" s="15">
        <v>307.02</v>
      </c>
      <c r="T47" s="15">
        <v>314.11</v>
      </c>
      <c r="U47" s="18"/>
      <c r="V47" s="15">
        <v>292.17</v>
      </c>
      <c r="W47" s="18"/>
    </row>
    <row r="48" ht="15.0" customHeight="1">
      <c r="A48" s="14" t="s">
        <v>220</v>
      </c>
      <c r="B48" s="18"/>
      <c r="C48" s="18"/>
      <c r="D48" s="18"/>
      <c r="E48" s="15">
        <v>701.9</v>
      </c>
      <c r="F48" s="15">
        <v>654.38</v>
      </c>
      <c r="G48" s="15">
        <v>676.56</v>
      </c>
      <c r="H48" s="15">
        <v>663.13</v>
      </c>
      <c r="I48" s="15">
        <v>662.78</v>
      </c>
      <c r="J48" s="15">
        <v>651.26</v>
      </c>
      <c r="K48" s="15">
        <v>624.52</v>
      </c>
      <c r="L48" s="15">
        <v>700.98</v>
      </c>
      <c r="M48" s="15">
        <v>1105.27</v>
      </c>
      <c r="N48" s="15">
        <v>1063.83</v>
      </c>
      <c r="O48" s="15">
        <v>978.46</v>
      </c>
      <c r="P48" s="15">
        <v>1061.86</v>
      </c>
      <c r="Q48" s="15">
        <v>1046.45</v>
      </c>
      <c r="R48" s="15">
        <v>998.67</v>
      </c>
      <c r="S48" s="15">
        <v>1129.78</v>
      </c>
      <c r="T48" s="15">
        <v>1015.88</v>
      </c>
      <c r="U48" s="15">
        <v>1096.55</v>
      </c>
      <c r="V48" s="15">
        <v>1042.08</v>
      </c>
      <c r="W48" s="15">
        <v>1112.31</v>
      </c>
    </row>
    <row r="49" ht="15.0" customHeight="1">
      <c r="A49" s="14" t="s">
        <v>221</v>
      </c>
      <c r="B49" s="18"/>
      <c r="C49" s="18"/>
      <c r="D49" s="18"/>
      <c r="E49" s="26">
        <v>-626.15</v>
      </c>
      <c r="F49" s="26">
        <v>-581.7</v>
      </c>
      <c r="G49" s="26">
        <v>-593.75</v>
      </c>
      <c r="H49" s="26">
        <v>-573.02</v>
      </c>
      <c r="I49" s="26">
        <v>-566.98</v>
      </c>
      <c r="J49" s="26">
        <v>-545.44</v>
      </c>
      <c r="K49" s="26">
        <v>-517.44</v>
      </c>
      <c r="L49" s="26">
        <v>-569.92</v>
      </c>
      <c r="M49" s="26">
        <v>-956.86</v>
      </c>
      <c r="N49" s="26">
        <v>-880.55</v>
      </c>
      <c r="O49" s="26">
        <v>-765.4</v>
      </c>
      <c r="P49" s="18"/>
      <c r="Q49" s="18"/>
      <c r="R49" s="26">
        <v>-770.68</v>
      </c>
      <c r="S49" s="26">
        <v>-822.76</v>
      </c>
      <c r="T49" s="26">
        <v>-701.77</v>
      </c>
      <c r="U49" s="18"/>
      <c r="V49" s="26">
        <v>-658.64</v>
      </c>
      <c r="W49" s="18"/>
    </row>
    <row r="50" ht="15.0" customHeight="1">
      <c r="A50" s="14" t="s">
        <v>222</v>
      </c>
      <c r="B50" s="18"/>
      <c r="C50" s="19">
        <v>24.15</v>
      </c>
      <c r="D50" s="19">
        <v>21.09</v>
      </c>
      <c r="E50" s="19">
        <v>23.93</v>
      </c>
      <c r="F50" s="19">
        <v>14.98</v>
      </c>
      <c r="G50" s="19">
        <v>18.3</v>
      </c>
      <c r="H50" s="19">
        <v>19.4</v>
      </c>
      <c r="I50" s="19">
        <v>23.41</v>
      </c>
      <c r="J50" s="19">
        <v>26.43</v>
      </c>
      <c r="K50" s="19">
        <v>27.75</v>
      </c>
      <c r="L50" s="19">
        <v>34.4</v>
      </c>
      <c r="M50" s="19">
        <v>37.4</v>
      </c>
      <c r="N50" s="19">
        <v>37.32</v>
      </c>
      <c r="O50" s="19">
        <v>30.35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223</v>
      </c>
      <c r="B51" s="18"/>
      <c r="C51" s="18"/>
      <c r="D51" s="18"/>
      <c r="E51" s="15">
        <v>182.98</v>
      </c>
      <c r="F51" s="15">
        <v>169.73</v>
      </c>
      <c r="G51" s="15">
        <v>175.91</v>
      </c>
      <c r="H51" s="15">
        <v>167.14</v>
      </c>
      <c r="I51" s="15">
        <v>167.39</v>
      </c>
      <c r="J51" s="15">
        <v>169.12</v>
      </c>
      <c r="K51" s="15">
        <v>169.87</v>
      </c>
      <c r="L51" s="15">
        <v>182.3</v>
      </c>
      <c r="M51" s="15">
        <v>231.45</v>
      </c>
      <c r="N51" s="15">
        <v>212.41</v>
      </c>
      <c r="O51" s="15">
        <v>186.71</v>
      </c>
      <c r="P51" s="15">
        <v>196.22</v>
      </c>
      <c r="Q51" s="15">
        <v>219.99</v>
      </c>
      <c r="R51" s="15">
        <v>206.03</v>
      </c>
      <c r="S51" s="15">
        <v>213.55</v>
      </c>
      <c r="T51" s="15">
        <v>193.84</v>
      </c>
      <c r="U51" s="15">
        <v>205.6</v>
      </c>
      <c r="V51" s="15">
        <v>179.92</v>
      </c>
      <c r="W51" s="15">
        <v>195.89</v>
      </c>
    </row>
    <row r="52" ht="15.0" customHeight="1">
      <c r="A52" s="14" t="s">
        <v>224</v>
      </c>
      <c r="B52" s="18"/>
      <c r="C52" s="18"/>
      <c r="D52" s="18"/>
      <c r="E52" s="26">
        <v>-159.05</v>
      </c>
      <c r="F52" s="26">
        <v>-154.75</v>
      </c>
      <c r="G52" s="26">
        <v>-157.61</v>
      </c>
      <c r="H52" s="26">
        <v>-147.74</v>
      </c>
      <c r="I52" s="26">
        <v>-143.98</v>
      </c>
      <c r="J52" s="26">
        <v>-142.69</v>
      </c>
      <c r="K52" s="26">
        <v>-142.12</v>
      </c>
      <c r="L52" s="26">
        <v>-147.9</v>
      </c>
      <c r="M52" s="26">
        <v>-194.05</v>
      </c>
      <c r="N52" s="26">
        <v>-175.09</v>
      </c>
      <c r="O52" s="26">
        <v>-156.36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225</v>
      </c>
      <c r="B53" s="18"/>
      <c r="C53" s="19">
        <v>1.13</v>
      </c>
      <c r="D53" s="19">
        <v>18.49</v>
      </c>
      <c r="E53" s="19">
        <v>18.36</v>
      </c>
      <c r="F53" s="19">
        <v>3.73</v>
      </c>
      <c r="G53" s="19">
        <v>2.46</v>
      </c>
      <c r="H53" s="19">
        <v>2.96</v>
      </c>
      <c r="I53" s="19">
        <v>5.32</v>
      </c>
      <c r="J53" s="19">
        <v>7.19</v>
      </c>
      <c r="K53" s="19">
        <v>12.57</v>
      </c>
      <c r="L53" s="19">
        <v>5.13</v>
      </c>
      <c r="M53" s="19">
        <v>20.32</v>
      </c>
      <c r="N53" s="19">
        <v>20.22</v>
      </c>
      <c r="O53" s="19">
        <v>24.39</v>
      </c>
      <c r="P53" s="18"/>
      <c r="Q53" s="18"/>
      <c r="R53" s="19">
        <v>6.72</v>
      </c>
      <c r="S53" s="19">
        <v>30.95</v>
      </c>
      <c r="T53" s="19">
        <v>2.83</v>
      </c>
      <c r="U53" s="18"/>
      <c r="V53" s="19">
        <v>0.86</v>
      </c>
      <c r="W53" s="18"/>
    </row>
    <row r="54" ht="15.0" customHeight="1">
      <c r="A54" s="14" t="s">
        <v>226</v>
      </c>
      <c r="B54" s="18"/>
      <c r="C54" s="15">
        <v>213.73</v>
      </c>
      <c r="D54" s="15">
        <v>174.77</v>
      </c>
      <c r="E54" s="15">
        <v>179.58</v>
      </c>
      <c r="F54" s="19">
        <v>99.69</v>
      </c>
      <c r="G54" s="19">
        <v>95.47</v>
      </c>
      <c r="H54" s="15">
        <v>131.31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227</v>
      </c>
      <c r="B55" s="18"/>
      <c r="C55" s="18"/>
      <c r="D55" s="18"/>
      <c r="E55" s="26">
        <v>-108.26</v>
      </c>
      <c r="F55" s="21">
        <v>-93.29</v>
      </c>
      <c r="G55" s="21">
        <v>-90.34</v>
      </c>
      <c r="H55" s="21">
        <v>-45.62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228</v>
      </c>
      <c r="B56" s="18"/>
      <c r="C56" s="18"/>
      <c r="D56" s="18"/>
      <c r="E56" s="15">
        <v>287.84</v>
      </c>
      <c r="F56" s="15">
        <v>192.98</v>
      </c>
      <c r="G56" s="15">
        <v>185.81</v>
      </c>
      <c r="H56" s="15">
        <v>176.93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229</v>
      </c>
      <c r="B57" s="18"/>
      <c r="C57" s="18"/>
      <c r="D57" s="18"/>
      <c r="E57" s="22">
        <v>0.0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230</v>
      </c>
      <c r="B58" s="18"/>
      <c r="C58" s="18"/>
      <c r="D58" s="18"/>
      <c r="E58" s="18"/>
      <c r="F58" s="18"/>
      <c r="G58" s="18"/>
      <c r="H58" s="18"/>
      <c r="I58" s="18"/>
      <c r="J58" s="18">
        <v>0.0</v>
      </c>
      <c r="K58" s="19">
        <v>0.98</v>
      </c>
      <c r="L58" s="19">
        <v>3.66</v>
      </c>
      <c r="M58" s="19">
        <v>3.26</v>
      </c>
      <c r="N58" s="19">
        <v>3.03</v>
      </c>
      <c r="O58" s="19">
        <v>0.86</v>
      </c>
      <c r="P58" s="19">
        <v>0.87</v>
      </c>
      <c r="Q58" s="19">
        <v>0.87</v>
      </c>
      <c r="R58" s="19">
        <v>1.12</v>
      </c>
      <c r="S58" s="19">
        <v>1.25</v>
      </c>
      <c r="T58" s="19">
        <v>1.91</v>
      </c>
      <c r="U58" s="19">
        <v>1.71</v>
      </c>
      <c r="V58" s="19">
        <v>1.65</v>
      </c>
      <c r="W58" s="18"/>
    </row>
    <row r="59" ht="15.0" customHeight="1">
      <c r="A59" s="14" t="s">
        <v>231</v>
      </c>
      <c r="B59" s="19">
        <v>99.94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232</v>
      </c>
      <c r="B60" s="19">
        <v>89.12</v>
      </c>
      <c r="C60" s="19">
        <v>91.59</v>
      </c>
      <c r="D60" s="19">
        <v>94.36</v>
      </c>
      <c r="E60" s="19">
        <v>84.98</v>
      </c>
      <c r="F60" s="19">
        <v>98.17</v>
      </c>
      <c r="G60" s="15">
        <v>107.94</v>
      </c>
      <c r="H60" s="15">
        <v>106.32</v>
      </c>
      <c r="I60" s="15">
        <v>107.4</v>
      </c>
      <c r="J60" s="15">
        <v>144.03</v>
      </c>
      <c r="K60" s="15">
        <v>136.7</v>
      </c>
      <c r="L60" s="15">
        <v>245.4</v>
      </c>
      <c r="M60" s="15">
        <v>219.86</v>
      </c>
      <c r="N60" s="15">
        <v>175.02</v>
      </c>
      <c r="O60" s="15">
        <v>120.11</v>
      </c>
      <c r="P60" s="15">
        <v>102.43</v>
      </c>
      <c r="Q60" s="19">
        <v>85.79</v>
      </c>
      <c r="R60" s="19">
        <v>52.89</v>
      </c>
      <c r="S60" s="19">
        <v>63.16</v>
      </c>
      <c r="T60" s="19">
        <v>49.02</v>
      </c>
      <c r="U60" s="19">
        <v>38.31</v>
      </c>
      <c r="V60" s="19">
        <v>46.24</v>
      </c>
      <c r="W60" s="19">
        <v>54.26</v>
      </c>
    </row>
    <row r="61" ht="15.0" customHeight="1">
      <c r="A61" s="14" t="s">
        <v>233</v>
      </c>
      <c r="B61" s="19">
        <v>10.83</v>
      </c>
      <c r="C61" s="19">
        <v>10.52</v>
      </c>
      <c r="D61" s="19">
        <v>0.78</v>
      </c>
      <c r="E61" s="19">
        <v>0.78</v>
      </c>
      <c r="F61" s="19">
        <v>0.79</v>
      </c>
      <c r="G61" s="19">
        <v>1.06</v>
      </c>
      <c r="H61" s="19">
        <v>1.04</v>
      </c>
      <c r="I61" s="19">
        <v>1.07</v>
      </c>
      <c r="J61" s="19">
        <v>2.16</v>
      </c>
      <c r="K61" s="19">
        <v>1.82</v>
      </c>
      <c r="L61" s="19">
        <v>2.63</v>
      </c>
      <c r="M61" s="19">
        <v>3.3</v>
      </c>
      <c r="N61" s="19">
        <v>4.0</v>
      </c>
      <c r="O61" s="19">
        <v>4.7</v>
      </c>
      <c r="P61" s="19">
        <v>2.43</v>
      </c>
      <c r="Q61" s="19">
        <v>2.69</v>
      </c>
      <c r="R61" s="19">
        <v>13.26</v>
      </c>
      <c r="S61" s="19">
        <v>18.01</v>
      </c>
      <c r="T61" s="19">
        <v>12.41</v>
      </c>
      <c r="U61" s="19">
        <v>9.45</v>
      </c>
      <c r="V61" s="19">
        <v>0.68</v>
      </c>
      <c r="W61" s="19">
        <v>1.46</v>
      </c>
    </row>
    <row r="62" ht="15.0" customHeight="1">
      <c r="A62" s="14" t="s">
        <v>234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9">
        <v>13.4</v>
      </c>
      <c r="Q62" s="19">
        <v>13.24</v>
      </c>
      <c r="R62" s="19">
        <v>6.72</v>
      </c>
      <c r="S62" s="19">
        <v>30.95</v>
      </c>
      <c r="T62" s="19">
        <v>2.83</v>
      </c>
      <c r="U62" s="19">
        <v>8.67</v>
      </c>
      <c r="V62" s="19">
        <v>0.86</v>
      </c>
      <c r="W62" s="19">
        <v>1.26</v>
      </c>
    </row>
    <row r="63" ht="15.0" customHeight="1">
      <c r="A63" s="14" t="s">
        <v>235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9">
        <v>0.33</v>
      </c>
      <c r="O63" s="19">
        <v>0.61</v>
      </c>
      <c r="P63" s="19">
        <v>5.44</v>
      </c>
      <c r="Q63" s="19">
        <v>7.53</v>
      </c>
      <c r="R63" s="19">
        <v>10.09</v>
      </c>
      <c r="S63" s="19">
        <v>5.59</v>
      </c>
      <c r="T63" s="19">
        <v>30.56</v>
      </c>
      <c r="U63" s="19">
        <v>7.03</v>
      </c>
      <c r="V63" s="18">
        <v>0.0</v>
      </c>
      <c r="W63" s="19">
        <v>1.73</v>
      </c>
    </row>
    <row r="64" ht="15.0" customHeight="1">
      <c r="A64" s="14" t="s">
        <v>154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26">
        <v>-984.43</v>
      </c>
      <c r="Q64" s="26">
        <v>-1002.83</v>
      </c>
      <c r="R64" s="26">
        <v>-1014.27</v>
      </c>
      <c r="S64" s="26">
        <v>-1103.51</v>
      </c>
      <c r="T64" s="26">
        <v>-937.99</v>
      </c>
      <c r="U64" s="26">
        <v>-956.8</v>
      </c>
      <c r="V64" s="26">
        <v>-890.12</v>
      </c>
      <c r="W64" s="26">
        <v>-929.5</v>
      </c>
    </row>
    <row r="65" ht="15.0" customHeight="1">
      <c r="A65" s="14" t="s">
        <v>236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21">
        <v>-13.77</v>
      </c>
      <c r="S65" s="18"/>
      <c r="T65" s="18"/>
      <c r="U65" s="18"/>
      <c r="V65" s="18"/>
      <c r="W65" s="18"/>
    </row>
    <row r="66" ht="15.0" customHeight="1">
      <c r="A66" s="14" t="s">
        <v>237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9">
        <v>15.84</v>
      </c>
      <c r="S66" s="18"/>
      <c r="T66" s="18"/>
      <c r="U66" s="18"/>
      <c r="V66" s="18"/>
      <c r="W66" s="18"/>
    </row>
    <row r="67" ht="15.0" customHeight="1">
      <c r="A67" s="14" t="s">
        <v>238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21">
        <v>-13.67</v>
      </c>
      <c r="S67" s="18"/>
      <c r="T67" s="18"/>
      <c r="U67" s="18"/>
      <c r="V67" s="18"/>
      <c r="W67" s="18"/>
    </row>
    <row r="68" ht="15.0" customHeight="1">
      <c r="A68" s="14" t="s">
        <v>239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9">
        <v>2.17</v>
      </c>
      <c r="S68" s="19">
        <v>2.39</v>
      </c>
      <c r="T68" s="19">
        <v>2.73</v>
      </c>
      <c r="U68" s="18"/>
      <c r="V68" s="19">
        <v>3.9</v>
      </c>
      <c r="W68" s="18"/>
    </row>
    <row r="69" ht="15.0" customHeight="1">
      <c r="A69" s="14" t="s">
        <v>240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21">
        <v>-55.14</v>
      </c>
      <c r="W69" s="18"/>
    </row>
    <row r="70" ht="15.0" customHeight="1">
      <c r="A70" s="14" t="s">
        <v>241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5">
        <v>157.54</v>
      </c>
      <c r="W70" s="18"/>
    </row>
    <row r="71" ht="15.0" customHeight="1">
      <c r="A71" s="14" t="s">
        <v>242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9">
        <v>2.9</v>
      </c>
      <c r="S71" s="18"/>
      <c r="T71" s="18"/>
      <c r="U71" s="18"/>
      <c r="V71" s="18"/>
      <c r="W71" s="18"/>
    </row>
    <row r="72" ht="15.0" customHeight="1">
      <c r="A72" s="14" t="s">
        <v>243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1">
        <v>-0.22</v>
      </c>
      <c r="S72" s="18"/>
      <c r="T72" s="18"/>
      <c r="U72" s="18"/>
      <c r="V72" s="18"/>
      <c r="W72" s="18"/>
    </row>
    <row r="73" ht="15.0" customHeight="1">
      <c r="A73" s="14" t="s">
        <v>244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9">
        <v>2.68</v>
      </c>
      <c r="S73" s="18"/>
      <c r="T73" s="18"/>
      <c r="U73" s="18"/>
      <c r="V73" s="18"/>
      <c r="W73" s="18"/>
    </row>
    <row r="74" ht="15.0" customHeight="1">
      <c r="A74" s="14" t="s">
        <v>245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5">
        <v>184.48</v>
      </c>
      <c r="S74" s="15">
        <v>205.76</v>
      </c>
      <c r="T74" s="15">
        <v>177.31</v>
      </c>
      <c r="U74" s="18"/>
      <c r="V74" s="18"/>
      <c r="W74" s="18"/>
    </row>
    <row r="75" ht="15.0" customHeight="1">
      <c r="A75" s="14" t="s">
        <v>246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21">
        <v>-63.69</v>
      </c>
      <c r="S75" s="21">
        <v>-95.05</v>
      </c>
      <c r="T75" s="21">
        <v>-70.54</v>
      </c>
      <c r="U75" s="18"/>
      <c r="V75" s="18"/>
      <c r="W75" s="18"/>
    </row>
    <row r="76" ht="15.0" customHeight="1">
      <c r="A76" s="14" t="s">
        <v>247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9">
        <v>55.06</v>
      </c>
      <c r="W76" s="18"/>
    </row>
    <row r="77" ht="15.0" customHeight="1">
      <c r="A77" s="14" t="s">
        <v>248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21">
        <v>-36.21</v>
      </c>
      <c r="W77" s="18"/>
    </row>
    <row r="78" ht="15.0" customHeight="1">
      <c r="A78" s="14" t="s">
        <v>249</v>
      </c>
      <c r="B78" s="18"/>
      <c r="C78" s="18"/>
      <c r="D78" s="18"/>
      <c r="E78" s="18"/>
      <c r="F78" s="18"/>
      <c r="G78" s="18"/>
      <c r="H78" s="18">
        <v>0.0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6" t="s">
        <v>250</v>
      </c>
      <c r="B79" s="17">
        <v>994.62</v>
      </c>
      <c r="C79" s="17">
        <v>1012.04</v>
      </c>
      <c r="D79" s="17">
        <v>919.95</v>
      </c>
      <c r="E79" s="17">
        <v>895.02</v>
      </c>
      <c r="F79" s="17">
        <v>784.84</v>
      </c>
      <c r="G79" s="17">
        <v>852.42</v>
      </c>
      <c r="H79" s="17">
        <v>907.45</v>
      </c>
      <c r="I79" s="17">
        <v>805.98</v>
      </c>
      <c r="J79" s="17">
        <v>958.89</v>
      </c>
      <c r="K79" s="17">
        <v>926.11</v>
      </c>
      <c r="L79" s="17">
        <v>1129.93</v>
      </c>
      <c r="M79" s="17">
        <v>1175.1</v>
      </c>
      <c r="N79" s="17">
        <v>1145.44</v>
      </c>
      <c r="O79" s="17">
        <v>1057.21</v>
      </c>
      <c r="P79" s="17">
        <v>1122.48</v>
      </c>
      <c r="Q79" s="17">
        <v>1203.24</v>
      </c>
      <c r="R79" s="17">
        <v>859.46</v>
      </c>
      <c r="S79" s="17">
        <v>1040.8</v>
      </c>
      <c r="T79" s="17">
        <v>916.03</v>
      </c>
      <c r="U79" s="17">
        <v>960.01</v>
      </c>
      <c r="V79" s="17">
        <v>875.34</v>
      </c>
      <c r="W79" s="17">
        <v>990.19</v>
      </c>
    </row>
    <row r="80" ht="15.0" customHeight="1">
      <c r="A80" s="16" t="s">
        <v>251</v>
      </c>
      <c r="B80" s="17">
        <v>1581.7</v>
      </c>
      <c r="C80" s="17">
        <v>1612.22</v>
      </c>
      <c r="D80" s="17">
        <v>1581.91</v>
      </c>
      <c r="E80" s="17">
        <v>1586.8</v>
      </c>
      <c r="F80" s="17">
        <v>1407.41</v>
      </c>
      <c r="G80" s="17">
        <v>1455.11</v>
      </c>
      <c r="H80" s="17">
        <v>1486.74</v>
      </c>
      <c r="I80" s="17">
        <v>1446.0</v>
      </c>
      <c r="J80" s="17">
        <v>1627.27</v>
      </c>
      <c r="K80" s="17">
        <v>1526.0</v>
      </c>
      <c r="L80" s="17">
        <v>2019.22</v>
      </c>
      <c r="M80" s="17">
        <v>1882.6</v>
      </c>
      <c r="N80" s="17">
        <v>1912.69</v>
      </c>
      <c r="O80" s="17">
        <v>1840.99</v>
      </c>
      <c r="P80" s="17">
        <v>2053.81</v>
      </c>
      <c r="Q80" s="17">
        <v>2209.61</v>
      </c>
      <c r="R80" s="17">
        <v>1341.66</v>
      </c>
      <c r="S80" s="17">
        <v>1665.84</v>
      </c>
      <c r="T80" s="17">
        <v>1476.68</v>
      </c>
      <c r="U80" s="17">
        <v>1576.76</v>
      </c>
      <c r="V80" s="17">
        <v>1388.76</v>
      </c>
      <c r="W80" s="17">
        <v>1527.05</v>
      </c>
    </row>
    <row r="81" ht="15.0" customHeight="1">
      <c r="A81" s="14" t="s">
        <v>252</v>
      </c>
      <c r="B81" s="18"/>
      <c r="C81" s="19">
        <v>48.81</v>
      </c>
      <c r="D81" s="15">
        <v>159.16</v>
      </c>
      <c r="E81" s="18"/>
      <c r="F81" s="18"/>
      <c r="G81" s="18"/>
      <c r="H81" s="18">
        <v>0.0</v>
      </c>
      <c r="I81" s="19">
        <v>0.11</v>
      </c>
      <c r="J81" s="18">
        <v>0.0</v>
      </c>
      <c r="K81" s="19">
        <v>2.79</v>
      </c>
      <c r="L81" s="15">
        <v>230.26</v>
      </c>
      <c r="M81" s="15">
        <v>164.26</v>
      </c>
      <c r="N81" s="15">
        <v>174.23</v>
      </c>
      <c r="O81" s="15">
        <v>145.49</v>
      </c>
      <c r="P81" s="15">
        <v>102.35</v>
      </c>
      <c r="Q81" s="19">
        <v>70.4</v>
      </c>
      <c r="R81" s="19">
        <v>22.31</v>
      </c>
      <c r="S81" s="19">
        <v>59.57</v>
      </c>
      <c r="T81" s="15">
        <v>108.89</v>
      </c>
      <c r="U81" s="15">
        <v>234.77</v>
      </c>
      <c r="V81" s="15">
        <v>182.25</v>
      </c>
      <c r="W81" s="15">
        <v>177.94</v>
      </c>
    </row>
    <row r="82" ht="15.0" customHeight="1">
      <c r="A82" s="14" t="s">
        <v>253</v>
      </c>
      <c r="B82" s="18"/>
      <c r="C82" s="18">
        <v>0.0</v>
      </c>
      <c r="D82" s="15">
        <v>110.6</v>
      </c>
      <c r="E82" s="18"/>
      <c r="F82" s="18"/>
      <c r="G82" s="18"/>
      <c r="H82" s="18">
        <v>0.0</v>
      </c>
      <c r="I82" s="19">
        <v>0.11</v>
      </c>
      <c r="J82" s="18">
        <v>0.0</v>
      </c>
      <c r="K82" s="19">
        <v>2.79</v>
      </c>
      <c r="L82" s="15">
        <v>113.04</v>
      </c>
      <c r="M82" s="18"/>
      <c r="N82" s="18"/>
      <c r="O82" s="18"/>
      <c r="P82" s="18">
        <v>0.0</v>
      </c>
      <c r="Q82" s="19">
        <v>22.85</v>
      </c>
      <c r="R82" s="18"/>
      <c r="S82" s="18"/>
      <c r="T82" s="18"/>
      <c r="U82" s="18"/>
      <c r="V82" s="18"/>
      <c r="W82" s="18"/>
    </row>
    <row r="83" ht="15.0" customHeight="1">
      <c r="A83" s="14" t="s">
        <v>254</v>
      </c>
      <c r="B83" s="18"/>
      <c r="C83" s="18"/>
      <c r="D83" s="18"/>
      <c r="E83" s="18"/>
      <c r="F83" s="18"/>
      <c r="G83" s="18"/>
      <c r="H83" s="18"/>
      <c r="I83" s="18"/>
      <c r="J83" s="18"/>
      <c r="K83" s="18">
        <v>0.0</v>
      </c>
      <c r="L83" s="15">
        <v>117.22</v>
      </c>
      <c r="M83" s="18"/>
      <c r="N83" s="18"/>
      <c r="O83" s="18"/>
      <c r="P83" s="18">
        <v>0.0</v>
      </c>
      <c r="Q83" s="19">
        <v>39.94</v>
      </c>
      <c r="R83" s="19">
        <v>41.14</v>
      </c>
      <c r="S83" s="19">
        <v>45.66</v>
      </c>
      <c r="T83" s="19">
        <v>52.32</v>
      </c>
      <c r="U83" s="15">
        <v>171.41</v>
      </c>
      <c r="V83" s="19">
        <v>54.85</v>
      </c>
      <c r="W83" s="19">
        <v>63.18</v>
      </c>
    </row>
    <row r="84" ht="15.0" customHeight="1">
      <c r="A84" s="14" t="s">
        <v>255</v>
      </c>
      <c r="B84" s="18"/>
      <c r="C84" s="19">
        <v>3.38</v>
      </c>
      <c r="D84" s="19">
        <v>6.61</v>
      </c>
      <c r="E84" s="19">
        <v>8.27</v>
      </c>
      <c r="F84" s="19">
        <v>4.98</v>
      </c>
      <c r="G84" s="19">
        <v>5.74</v>
      </c>
      <c r="H84" s="19">
        <v>8.96</v>
      </c>
      <c r="I84" s="19">
        <v>1.39</v>
      </c>
      <c r="J84" s="19">
        <v>8.72</v>
      </c>
      <c r="K84" s="19">
        <v>15.14</v>
      </c>
      <c r="L84" s="19">
        <v>10.68</v>
      </c>
      <c r="M84" s="19">
        <v>5.64</v>
      </c>
      <c r="N84" s="19">
        <v>3.08</v>
      </c>
      <c r="O84" s="19">
        <v>5.3</v>
      </c>
      <c r="P84" s="19">
        <v>8.21</v>
      </c>
      <c r="Q84" s="19">
        <v>8.59</v>
      </c>
      <c r="R84" s="19">
        <v>18.69</v>
      </c>
      <c r="S84" s="19">
        <v>3.52</v>
      </c>
      <c r="T84" s="19">
        <v>8.71</v>
      </c>
      <c r="U84" s="19">
        <v>5.34</v>
      </c>
      <c r="V84" s="19">
        <v>5.66</v>
      </c>
      <c r="W84" s="19">
        <v>5.0</v>
      </c>
    </row>
    <row r="85" ht="15.0" customHeight="1">
      <c r="A85" s="14" t="s">
        <v>256</v>
      </c>
      <c r="B85" s="18"/>
      <c r="C85" s="19">
        <v>87.24</v>
      </c>
      <c r="D85" s="19">
        <v>93.29</v>
      </c>
      <c r="E85" s="19">
        <v>86.88</v>
      </c>
      <c r="F85" s="19">
        <v>71.49</v>
      </c>
      <c r="G85" s="19">
        <v>74.99</v>
      </c>
      <c r="H85" s="19">
        <v>77.11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257</v>
      </c>
      <c r="B86" s="18"/>
      <c r="C86" s="18"/>
      <c r="D86" s="18"/>
      <c r="E86" s="18"/>
      <c r="F86" s="18"/>
      <c r="G86" s="18"/>
      <c r="H86" s="19">
        <v>50.73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258</v>
      </c>
      <c r="B87" s="18"/>
      <c r="C87" s="19">
        <v>18.46</v>
      </c>
      <c r="D87" s="19">
        <v>25.34</v>
      </c>
      <c r="E87" s="19">
        <v>24.59</v>
      </c>
      <c r="F87" s="19">
        <v>1.01</v>
      </c>
      <c r="G87" s="19">
        <v>1.91</v>
      </c>
      <c r="H87" s="19">
        <v>11.14</v>
      </c>
      <c r="I87" s="19">
        <v>8.94</v>
      </c>
      <c r="J87" s="19">
        <v>11.29</v>
      </c>
      <c r="K87" s="19">
        <v>24.93</v>
      </c>
      <c r="L87" s="19">
        <v>34.36</v>
      </c>
      <c r="M87" s="19">
        <v>92.94</v>
      </c>
      <c r="N87" s="19">
        <v>26.65</v>
      </c>
      <c r="O87" s="19">
        <v>27.3</v>
      </c>
      <c r="P87" s="18">
        <v>0.0</v>
      </c>
      <c r="Q87" s="19">
        <v>60.6</v>
      </c>
      <c r="R87" s="18">
        <v>0.0</v>
      </c>
      <c r="S87" s="19">
        <v>1.16</v>
      </c>
      <c r="T87" s="19">
        <v>1.59</v>
      </c>
      <c r="U87" s="19">
        <v>1.65</v>
      </c>
      <c r="V87" s="18">
        <v>0.0</v>
      </c>
      <c r="W87" s="19">
        <v>3.63</v>
      </c>
    </row>
    <row r="88" ht="15.0" customHeight="1">
      <c r="A88" s="14" t="s">
        <v>259</v>
      </c>
      <c r="B88" s="18"/>
      <c r="C88" s="15">
        <v>191.29</v>
      </c>
      <c r="D88" s="15">
        <v>182.17</v>
      </c>
      <c r="E88" s="15">
        <v>181.52</v>
      </c>
      <c r="F88" s="15">
        <v>161.73</v>
      </c>
      <c r="G88" s="15">
        <v>173.95</v>
      </c>
      <c r="H88" s="15">
        <v>156.14</v>
      </c>
      <c r="I88" s="15">
        <v>164.37</v>
      </c>
      <c r="J88" s="15">
        <v>167.0</v>
      </c>
      <c r="K88" s="15">
        <v>167.89</v>
      </c>
      <c r="L88" s="15">
        <v>187.55</v>
      </c>
      <c r="M88" s="15">
        <v>207.59</v>
      </c>
      <c r="N88" s="15">
        <v>183.01</v>
      </c>
      <c r="O88" s="15">
        <v>161.88</v>
      </c>
      <c r="P88" s="15">
        <v>215.1</v>
      </c>
      <c r="Q88" s="15">
        <v>178.73</v>
      </c>
      <c r="R88" s="15">
        <v>107.11</v>
      </c>
      <c r="S88" s="15">
        <v>129.71</v>
      </c>
      <c r="T88" s="15">
        <v>100.9</v>
      </c>
      <c r="U88" s="15">
        <v>123.23</v>
      </c>
      <c r="V88" s="19">
        <v>95.25</v>
      </c>
      <c r="W88" s="15">
        <v>120.0</v>
      </c>
    </row>
    <row r="89" ht="15.0" customHeight="1">
      <c r="A89" s="14" t="s">
        <v>260</v>
      </c>
      <c r="B89" s="18"/>
      <c r="C89" s="19">
        <v>64.24</v>
      </c>
      <c r="D89" s="19">
        <v>66.95</v>
      </c>
      <c r="E89" s="19">
        <v>59.39</v>
      </c>
      <c r="F89" s="19">
        <v>55.52</v>
      </c>
      <c r="G89" s="19">
        <v>70.67</v>
      </c>
      <c r="H89" s="19">
        <v>60.38</v>
      </c>
      <c r="I89" s="19">
        <v>70.27</v>
      </c>
      <c r="J89" s="19">
        <v>71.76</v>
      </c>
      <c r="K89" s="19">
        <v>69.28</v>
      </c>
      <c r="L89" s="19">
        <v>79.9</v>
      </c>
      <c r="M89" s="19">
        <v>84.73</v>
      </c>
      <c r="N89" s="19">
        <v>85.26</v>
      </c>
      <c r="O89" s="19">
        <v>94.08</v>
      </c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261</v>
      </c>
      <c r="B90" s="18"/>
      <c r="C90" s="19">
        <v>1.57</v>
      </c>
      <c r="D90" s="19">
        <v>3.33</v>
      </c>
      <c r="E90" s="19">
        <v>2.69</v>
      </c>
      <c r="F90" s="19">
        <v>2.37</v>
      </c>
      <c r="G90" s="19">
        <v>4.11</v>
      </c>
      <c r="H90" s="19">
        <v>3.91</v>
      </c>
      <c r="I90" s="19">
        <v>4.2</v>
      </c>
      <c r="J90" s="19">
        <v>10.19</v>
      </c>
      <c r="K90" s="19">
        <v>0.35</v>
      </c>
      <c r="L90" s="19">
        <v>4.13</v>
      </c>
      <c r="M90" s="19">
        <v>6.59</v>
      </c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262</v>
      </c>
      <c r="B91" s="18"/>
      <c r="C91" s="19">
        <v>34.3</v>
      </c>
      <c r="D91" s="19">
        <v>47.7</v>
      </c>
      <c r="E91" s="19">
        <v>51.71</v>
      </c>
      <c r="F91" s="19">
        <v>49.09</v>
      </c>
      <c r="G91" s="19">
        <v>45.46</v>
      </c>
      <c r="H91" s="19">
        <v>42.43</v>
      </c>
      <c r="I91" s="19">
        <v>45.08</v>
      </c>
      <c r="J91" s="19">
        <v>49.28</v>
      </c>
      <c r="K91" s="19">
        <v>67.42</v>
      </c>
      <c r="L91" s="19">
        <v>60.84</v>
      </c>
      <c r="M91" s="19">
        <v>54.29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263</v>
      </c>
      <c r="B92" s="18"/>
      <c r="C92" s="19">
        <v>91.19</v>
      </c>
      <c r="D92" s="19">
        <v>64.18</v>
      </c>
      <c r="E92" s="19">
        <v>67.73</v>
      </c>
      <c r="F92" s="19">
        <v>54.74</v>
      </c>
      <c r="G92" s="19">
        <v>53.71</v>
      </c>
      <c r="H92" s="19">
        <v>49.42</v>
      </c>
      <c r="I92" s="19">
        <v>44.82</v>
      </c>
      <c r="J92" s="19">
        <v>35.59</v>
      </c>
      <c r="K92" s="19">
        <v>30.83</v>
      </c>
      <c r="L92" s="19">
        <v>42.67</v>
      </c>
      <c r="M92" s="19">
        <v>61.97</v>
      </c>
      <c r="N92" s="19">
        <v>97.75</v>
      </c>
      <c r="O92" s="19">
        <v>67.8</v>
      </c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264</v>
      </c>
      <c r="B93" s="18"/>
      <c r="C93" s="18"/>
      <c r="D93" s="18"/>
      <c r="E93" s="18"/>
      <c r="F93" s="18"/>
      <c r="G93" s="18"/>
      <c r="H93" s="18"/>
      <c r="I93" s="18"/>
      <c r="J93" s="19">
        <v>0.18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265</v>
      </c>
      <c r="B94" s="15">
        <v>551.33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253</v>
      </c>
      <c r="B95" s="19">
        <v>41.66</v>
      </c>
      <c r="C95" s="19">
        <v>48.81</v>
      </c>
      <c r="D95" s="19">
        <v>48.56</v>
      </c>
      <c r="E95" s="19">
        <v>29.5</v>
      </c>
      <c r="F95" s="19">
        <v>28.76</v>
      </c>
      <c r="G95" s="15">
        <v>194.81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266</v>
      </c>
      <c r="B96" s="15">
        <v>199.67</v>
      </c>
      <c r="C96" s="15">
        <v>162.19</v>
      </c>
      <c r="D96" s="15">
        <v>194.91</v>
      </c>
      <c r="E96" s="15">
        <v>213.22</v>
      </c>
      <c r="F96" s="15">
        <v>201.43</v>
      </c>
      <c r="G96" s="15">
        <v>183.29</v>
      </c>
      <c r="H96" s="15">
        <v>197.47</v>
      </c>
      <c r="I96" s="15">
        <v>216.03</v>
      </c>
      <c r="J96" s="15">
        <v>240.6</v>
      </c>
      <c r="K96" s="15">
        <v>193.57</v>
      </c>
      <c r="L96" s="15">
        <v>220.1</v>
      </c>
      <c r="M96" s="15">
        <v>276.45</v>
      </c>
      <c r="N96" s="15">
        <v>286.0</v>
      </c>
      <c r="O96" s="15">
        <v>292.59</v>
      </c>
      <c r="P96" s="15">
        <v>344.8</v>
      </c>
      <c r="Q96" s="15">
        <v>343.72</v>
      </c>
      <c r="R96" s="15">
        <v>160.56</v>
      </c>
      <c r="S96" s="15">
        <v>143.02</v>
      </c>
      <c r="T96" s="15">
        <v>118.98</v>
      </c>
      <c r="U96" s="15">
        <v>124.85</v>
      </c>
      <c r="V96" s="19">
        <v>82.94</v>
      </c>
      <c r="W96" s="15">
        <v>103.39</v>
      </c>
    </row>
    <row r="97" ht="15.0" customHeight="1">
      <c r="A97" s="14" t="s">
        <v>267</v>
      </c>
      <c r="B97" s="19">
        <v>51.83</v>
      </c>
      <c r="C97" s="19">
        <v>48.77</v>
      </c>
      <c r="D97" s="19">
        <v>51.3</v>
      </c>
      <c r="E97" s="19">
        <v>44.26</v>
      </c>
      <c r="F97" s="19">
        <v>40.46</v>
      </c>
      <c r="G97" s="19">
        <v>38.22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256</v>
      </c>
      <c r="B98" s="15">
        <v>258.17</v>
      </c>
      <c r="C98" s="19">
        <v>38.47</v>
      </c>
      <c r="D98" s="19">
        <v>41.99</v>
      </c>
      <c r="E98" s="19">
        <v>42.61</v>
      </c>
      <c r="F98" s="19">
        <v>31.03</v>
      </c>
      <c r="G98" s="19">
        <v>36.77</v>
      </c>
      <c r="H98" s="19">
        <v>26.38</v>
      </c>
      <c r="I98" s="19">
        <v>59.25</v>
      </c>
      <c r="J98" s="19">
        <v>65.41</v>
      </c>
      <c r="K98" s="19">
        <v>52.56</v>
      </c>
      <c r="L98" s="19">
        <v>54.58</v>
      </c>
      <c r="M98" s="19">
        <v>58.34</v>
      </c>
      <c r="N98" s="19">
        <v>53.44</v>
      </c>
      <c r="O98" s="19">
        <v>56.19</v>
      </c>
      <c r="P98" s="19">
        <v>60.19</v>
      </c>
      <c r="Q98" s="19">
        <v>70.99</v>
      </c>
      <c r="R98" s="19">
        <v>18.27</v>
      </c>
      <c r="S98" s="19">
        <v>58.81</v>
      </c>
      <c r="T98" s="19">
        <v>22.45</v>
      </c>
      <c r="U98" s="19">
        <v>32.26</v>
      </c>
      <c r="V98" s="19">
        <v>44.32</v>
      </c>
      <c r="W98" s="19">
        <v>49.02</v>
      </c>
    </row>
    <row r="99" ht="15.0" customHeight="1">
      <c r="A99" s="14" t="s">
        <v>256</v>
      </c>
      <c r="B99" s="18"/>
      <c r="C99" s="18"/>
      <c r="D99" s="18"/>
      <c r="E99" s="18"/>
      <c r="F99" s="18"/>
      <c r="G99" s="18"/>
      <c r="H99" s="18"/>
      <c r="I99" s="19">
        <v>59.25</v>
      </c>
      <c r="J99" s="19">
        <v>65.41</v>
      </c>
      <c r="K99" s="19">
        <v>52.56</v>
      </c>
      <c r="L99" s="19">
        <v>54.11</v>
      </c>
      <c r="M99" s="19">
        <v>56.55</v>
      </c>
      <c r="N99" s="19">
        <v>49.77</v>
      </c>
      <c r="O99" s="19">
        <v>51.06</v>
      </c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4" t="s">
        <v>268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>
        <v>0.0</v>
      </c>
      <c r="L100" s="19">
        <v>0.46</v>
      </c>
      <c r="M100" s="19">
        <v>1.79</v>
      </c>
      <c r="N100" s="19">
        <v>3.67</v>
      </c>
      <c r="O100" s="19">
        <v>5.13</v>
      </c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269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>
        <v>0.0</v>
      </c>
      <c r="U101" s="19">
        <v>18.38</v>
      </c>
      <c r="V101" s="18">
        <v>0.0</v>
      </c>
      <c r="W101" s="18"/>
    </row>
    <row r="102" ht="15.0" customHeight="1">
      <c r="A102" s="14" t="s">
        <v>270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0.0</v>
      </c>
      <c r="U102" s="19">
        <v>14.13</v>
      </c>
      <c r="V102" s="19">
        <v>28.16</v>
      </c>
      <c r="W102" s="19">
        <v>3.56</v>
      </c>
    </row>
    <row r="103" ht="15.0" customHeight="1">
      <c r="A103" s="16" t="s">
        <v>271</v>
      </c>
      <c r="B103" s="17">
        <v>551.33</v>
      </c>
      <c r="C103" s="17">
        <v>511.36</v>
      </c>
      <c r="D103" s="17">
        <v>661.49</v>
      </c>
      <c r="E103" s="17">
        <v>543.97</v>
      </c>
      <c r="F103" s="17">
        <v>469.41</v>
      </c>
      <c r="G103" s="17">
        <v>634.68</v>
      </c>
      <c r="H103" s="17">
        <v>450.82</v>
      </c>
      <c r="I103" s="17">
        <v>450.09</v>
      </c>
      <c r="J103" s="17">
        <v>493.02</v>
      </c>
      <c r="K103" s="17">
        <v>456.86</v>
      </c>
      <c r="L103" s="17">
        <v>737.53</v>
      </c>
      <c r="M103" s="17">
        <v>805.21</v>
      </c>
      <c r="N103" s="17">
        <v>726.42</v>
      </c>
      <c r="O103" s="17">
        <v>688.76</v>
      </c>
      <c r="P103" s="17">
        <v>730.64</v>
      </c>
      <c r="Q103" s="17">
        <v>795.82</v>
      </c>
      <c r="R103" s="17">
        <v>368.08</v>
      </c>
      <c r="S103" s="17">
        <v>441.46</v>
      </c>
      <c r="T103" s="17">
        <v>413.84</v>
      </c>
      <c r="U103" s="17">
        <v>726.01</v>
      </c>
      <c r="V103" s="17">
        <v>493.44</v>
      </c>
      <c r="W103" s="17">
        <v>525.71</v>
      </c>
    </row>
    <row r="104" ht="15.0" customHeight="1">
      <c r="A104" s="14" t="s">
        <v>272</v>
      </c>
      <c r="B104" s="18"/>
      <c r="C104" s="19">
        <v>9.04</v>
      </c>
      <c r="D104" s="19">
        <v>6.92</v>
      </c>
      <c r="E104" s="19">
        <v>8.52</v>
      </c>
      <c r="F104" s="19">
        <v>8.99</v>
      </c>
      <c r="G104" s="19">
        <v>6.74</v>
      </c>
      <c r="H104" s="19">
        <v>11.87</v>
      </c>
      <c r="I104" s="19">
        <v>13.76</v>
      </c>
      <c r="J104" s="19">
        <v>17.62</v>
      </c>
      <c r="K104" s="19">
        <v>13.82</v>
      </c>
      <c r="L104" s="19">
        <v>11.86</v>
      </c>
      <c r="M104" s="19">
        <v>6.31</v>
      </c>
      <c r="N104" s="19">
        <v>5.82</v>
      </c>
      <c r="O104" s="18">
        <v>0.0</v>
      </c>
      <c r="P104" s="19">
        <v>20.27</v>
      </c>
      <c r="Q104" s="19">
        <v>26.03</v>
      </c>
      <c r="R104" s="18">
        <v>0.0</v>
      </c>
      <c r="S104" s="19">
        <v>5.16</v>
      </c>
      <c r="T104" s="19">
        <v>8.1</v>
      </c>
      <c r="U104" s="19">
        <v>8.24</v>
      </c>
      <c r="V104" s="18">
        <v>0.0</v>
      </c>
      <c r="W104" s="18"/>
    </row>
    <row r="105" ht="15.0" customHeight="1">
      <c r="A105" s="14" t="s">
        <v>273</v>
      </c>
      <c r="B105" s="15">
        <v>470.3</v>
      </c>
      <c r="C105" s="18"/>
      <c r="D105" s="18"/>
      <c r="E105" s="18"/>
      <c r="F105" s="18"/>
      <c r="G105" s="18"/>
      <c r="H105" s="18"/>
      <c r="I105" s="19">
        <v>2.28</v>
      </c>
      <c r="J105" s="19">
        <v>2.06</v>
      </c>
      <c r="K105" s="19">
        <v>3.16</v>
      </c>
      <c r="L105" s="19">
        <v>5.2</v>
      </c>
      <c r="M105" s="19">
        <v>5.6</v>
      </c>
      <c r="N105" s="19">
        <v>4.63</v>
      </c>
      <c r="O105" s="19">
        <v>2.91</v>
      </c>
      <c r="P105" s="19">
        <v>4.28</v>
      </c>
      <c r="Q105" s="19">
        <v>2.38</v>
      </c>
      <c r="R105" s="19">
        <v>1.0</v>
      </c>
      <c r="S105" s="19">
        <v>1.73</v>
      </c>
      <c r="T105" s="19">
        <v>1.17</v>
      </c>
      <c r="U105" s="19">
        <v>1.28</v>
      </c>
      <c r="V105" s="19">
        <v>3.12</v>
      </c>
      <c r="W105" s="19">
        <v>4.13</v>
      </c>
    </row>
    <row r="106" ht="15.0" customHeight="1">
      <c r="A106" s="27" t="s">
        <v>274</v>
      </c>
      <c r="B106" s="15">
        <v>109.35</v>
      </c>
      <c r="C106" s="15">
        <v>154.04</v>
      </c>
      <c r="D106" s="19">
        <v>42.02</v>
      </c>
      <c r="E106" s="15">
        <v>186.65</v>
      </c>
      <c r="F106" s="15">
        <v>210.85</v>
      </c>
      <c r="G106" s="19">
        <v>55.45</v>
      </c>
      <c r="H106" s="15">
        <v>194.79</v>
      </c>
      <c r="I106" s="15">
        <v>198.52</v>
      </c>
      <c r="J106" s="15">
        <v>183.69</v>
      </c>
      <c r="K106" s="15">
        <v>159.25</v>
      </c>
      <c r="L106" s="15">
        <v>687.27</v>
      </c>
      <c r="M106" s="15">
        <v>463.16</v>
      </c>
      <c r="N106" s="15">
        <v>481.13</v>
      </c>
      <c r="O106" s="15">
        <v>631.78</v>
      </c>
      <c r="P106" s="15">
        <v>709.79</v>
      </c>
      <c r="Q106" s="15">
        <v>757.69</v>
      </c>
      <c r="R106" s="15">
        <v>370.93</v>
      </c>
      <c r="S106" s="15">
        <v>525.5</v>
      </c>
      <c r="T106" s="15">
        <v>449.86</v>
      </c>
      <c r="U106" s="15">
        <v>212.34</v>
      </c>
      <c r="V106" s="15">
        <v>256.43</v>
      </c>
      <c r="W106" s="19">
        <v>18.46</v>
      </c>
    </row>
    <row r="107" ht="15.0" customHeight="1">
      <c r="A107" s="14" t="s">
        <v>275</v>
      </c>
      <c r="B107" s="15">
        <v>163.91</v>
      </c>
      <c r="C107" s="15">
        <v>167.9</v>
      </c>
      <c r="D107" s="15">
        <v>130.17</v>
      </c>
      <c r="E107" s="15">
        <v>145.47</v>
      </c>
      <c r="F107" s="19">
        <v>71.67</v>
      </c>
      <c r="G107" s="19">
        <v>72.74</v>
      </c>
      <c r="H107" s="19">
        <v>99.57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276</v>
      </c>
      <c r="B108" s="19">
        <v>19.14</v>
      </c>
      <c r="C108" s="15">
        <v>167.9</v>
      </c>
      <c r="D108" s="15">
        <v>130.17</v>
      </c>
      <c r="E108" s="15">
        <v>145.47</v>
      </c>
      <c r="F108" s="19">
        <v>71.67</v>
      </c>
      <c r="G108" s="19">
        <v>72.74</v>
      </c>
      <c r="H108" s="19">
        <v>99.57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277</v>
      </c>
      <c r="B109" s="19">
        <v>13.12</v>
      </c>
      <c r="C109" s="19">
        <v>13.24</v>
      </c>
      <c r="D109" s="19">
        <v>4.4</v>
      </c>
      <c r="E109" s="19">
        <v>10.35</v>
      </c>
      <c r="F109" s="19">
        <v>8.34</v>
      </c>
      <c r="G109" s="19">
        <v>8.71</v>
      </c>
      <c r="H109" s="19">
        <v>9.51</v>
      </c>
      <c r="I109" s="19">
        <v>13.63</v>
      </c>
      <c r="J109" s="19">
        <v>21.95</v>
      </c>
      <c r="K109" s="19">
        <v>23.27</v>
      </c>
      <c r="L109" s="19">
        <v>34.83</v>
      </c>
      <c r="M109" s="19">
        <v>22.31</v>
      </c>
      <c r="N109" s="19">
        <v>28.38</v>
      </c>
      <c r="O109" s="19">
        <v>20.08</v>
      </c>
      <c r="P109" s="19">
        <v>18.28</v>
      </c>
      <c r="Q109" s="19">
        <v>29.79</v>
      </c>
      <c r="R109" s="19">
        <v>15.68</v>
      </c>
      <c r="S109" s="19">
        <v>13.11</v>
      </c>
      <c r="T109" s="19">
        <v>16.41</v>
      </c>
      <c r="U109" s="19">
        <v>18.74</v>
      </c>
      <c r="V109" s="19">
        <v>21.49</v>
      </c>
      <c r="W109" s="19">
        <v>27.75</v>
      </c>
    </row>
    <row r="110" ht="15.0" customHeight="1">
      <c r="A110" s="14" t="s">
        <v>278</v>
      </c>
      <c r="B110" s="15">
        <v>164.79</v>
      </c>
      <c r="C110" s="15">
        <v>167.13</v>
      </c>
      <c r="D110" s="15">
        <v>178.39</v>
      </c>
      <c r="E110" s="15">
        <v>153.61</v>
      </c>
      <c r="F110" s="15">
        <v>209.5</v>
      </c>
      <c r="G110" s="15">
        <v>246.71</v>
      </c>
      <c r="H110" s="15">
        <v>224.46</v>
      </c>
      <c r="I110" s="15">
        <v>211.88</v>
      </c>
      <c r="J110" s="15">
        <v>212.24</v>
      </c>
      <c r="K110" s="15">
        <v>208.39</v>
      </c>
      <c r="L110" s="15">
        <v>210.67</v>
      </c>
      <c r="M110" s="15">
        <v>218.39</v>
      </c>
      <c r="N110" s="15">
        <v>175.2</v>
      </c>
      <c r="O110" s="15">
        <v>179.45</v>
      </c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279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21">
        <v>-0.68</v>
      </c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280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>
        <v>0.0</v>
      </c>
      <c r="U112" s="19">
        <v>7.43</v>
      </c>
      <c r="V112" s="19">
        <v>9.56</v>
      </c>
      <c r="W112" s="19">
        <v>55.47</v>
      </c>
    </row>
    <row r="113" ht="15.0" customHeight="1">
      <c r="A113" s="14" t="s">
        <v>281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5">
        <v>140.23</v>
      </c>
      <c r="Q113" s="15">
        <v>136.97</v>
      </c>
      <c r="R113" s="15">
        <v>102.01</v>
      </c>
      <c r="S113" s="15">
        <v>119.58</v>
      </c>
      <c r="T113" s="15">
        <v>106.61</v>
      </c>
      <c r="U113" s="15">
        <v>113.05</v>
      </c>
      <c r="V113" s="15">
        <v>110.52</v>
      </c>
      <c r="W113" s="15">
        <v>125.8</v>
      </c>
    </row>
    <row r="114" ht="15.0" customHeight="1">
      <c r="A114" s="14" t="s">
        <v>282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>
        <v>0.0</v>
      </c>
      <c r="U114" s="18">
        <v>0.0</v>
      </c>
      <c r="V114" s="19">
        <v>17.46</v>
      </c>
      <c r="W114" s="15">
        <v>303.76</v>
      </c>
    </row>
    <row r="115" ht="15.0" customHeight="1">
      <c r="A115" s="14" t="s">
        <v>283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9">
        <v>1.0</v>
      </c>
      <c r="S115" s="19">
        <v>1.73</v>
      </c>
      <c r="T115" s="19">
        <v>1.17</v>
      </c>
      <c r="U115" s="18"/>
      <c r="V115" s="19">
        <v>3.12</v>
      </c>
      <c r="W115" s="18"/>
    </row>
    <row r="116" ht="15.0" customHeight="1">
      <c r="A116" s="16" t="s">
        <v>273</v>
      </c>
      <c r="B116" s="17">
        <v>470.3</v>
      </c>
      <c r="C116" s="17">
        <v>511.36</v>
      </c>
      <c r="D116" s="17">
        <v>361.9</v>
      </c>
      <c r="E116" s="17">
        <v>504.59</v>
      </c>
      <c r="F116" s="17">
        <v>509.34</v>
      </c>
      <c r="G116" s="17">
        <v>390.35</v>
      </c>
      <c r="H116" s="17">
        <v>540.21</v>
      </c>
      <c r="I116" s="17">
        <v>440.06</v>
      </c>
      <c r="J116" s="17">
        <v>437.56</v>
      </c>
      <c r="K116" s="17">
        <v>407.88</v>
      </c>
      <c r="L116" s="17">
        <v>949.84</v>
      </c>
      <c r="M116" s="17">
        <v>715.78</v>
      </c>
      <c r="N116" s="17">
        <v>694.5</v>
      </c>
      <c r="O116" s="17">
        <v>834.21</v>
      </c>
      <c r="P116" s="17">
        <v>892.86</v>
      </c>
      <c r="Q116" s="17">
        <v>952.85</v>
      </c>
      <c r="R116" s="17">
        <v>489.63</v>
      </c>
      <c r="S116" s="17">
        <v>665.09</v>
      </c>
      <c r="T116" s="17">
        <v>582.15</v>
      </c>
      <c r="U116" s="17">
        <v>361.07</v>
      </c>
      <c r="V116" s="17">
        <v>418.58</v>
      </c>
      <c r="W116" s="17">
        <v>535.37</v>
      </c>
    </row>
    <row r="117" ht="15.0" customHeight="1">
      <c r="A117" s="16" t="s">
        <v>284</v>
      </c>
      <c r="B117" s="17">
        <v>1021.63</v>
      </c>
      <c r="C117" s="17">
        <v>1022.73</v>
      </c>
      <c r="D117" s="17">
        <v>1023.39</v>
      </c>
      <c r="E117" s="17">
        <v>1048.56</v>
      </c>
      <c r="F117" s="17">
        <v>978.75</v>
      </c>
      <c r="G117" s="17">
        <v>1025.03</v>
      </c>
      <c r="H117" s="17">
        <v>991.03</v>
      </c>
      <c r="I117" s="17">
        <v>890.16</v>
      </c>
      <c r="J117" s="17">
        <v>930.58</v>
      </c>
      <c r="K117" s="17">
        <v>864.74</v>
      </c>
      <c r="L117" s="17">
        <v>1687.37</v>
      </c>
      <c r="M117" s="17">
        <v>1520.99</v>
      </c>
      <c r="N117" s="17">
        <v>1420.91</v>
      </c>
      <c r="O117" s="17">
        <v>1522.97</v>
      </c>
      <c r="P117" s="17">
        <v>1623.5</v>
      </c>
      <c r="Q117" s="17">
        <v>1748.67</v>
      </c>
      <c r="R117" s="17">
        <v>857.71</v>
      </c>
      <c r="S117" s="17">
        <v>1106.55</v>
      </c>
      <c r="T117" s="17">
        <v>995.99</v>
      </c>
      <c r="U117" s="17">
        <v>1087.09</v>
      </c>
      <c r="V117" s="17">
        <v>912.02</v>
      </c>
      <c r="W117" s="17">
        <v>1061.09</v>
      </c>
    </row>
    <row r="118" ht="15.0" customHeight="1">
      <c r="A118" s="14" t="s">
        <v>285</v>
      </c>
      <c r="B118" s="18"/>
      <c r="C118" s="15">
        <v>243.19</v>
      </c>
      <c r="D118" s="15">
        <v>238.15</v>
      </c>
      <c r="E118" s="15">
        <v>222.66</v>
      </c>
      <c r="F118" s="15">
        <v>230.46</v>
      </c>
      <c r="G118" s="15">
        <v>247.0</v>
      </c>
      <c r="H118" s="15">
        <v>221.8</v>
      </c>
      <c r="I118" s="15">
        <v>230.84</v>
      </c>
      <c r="J118" s="15">
        <v>236.7</v>
      </c>
      <c r="K118" s="15">
        <v>224.32</v>
      </c>
      <c r="L118" s="15">
        <v>245.93</v>
      </c>
      <c r="M118" s="15">
        <v>225.24</v>
      </c>
      <c r="N118" s="15">
        <v>221.47</v>
      </c>
      <c r="O118" s="15">
        <v>149.64</v>
      </c>
      <c r="P118" s="15">
        <v>151.68</v>
      </c>
      <c r="Q118" s="15">
        <v>151.67</v>
      </c>
      <c r="R118" s="15">
        <v>106.22</v>
      </c>
      <c r="S118" s="15">
        <v>116.74</v>
      </c>
      <c r="T118" s="15">
        <v>110.41</v>
      </c>
      <c r="U118" s="15">
        <v>118.53</v>
      </c>
      <c r="V118" s="15">
        <v>110.43</v>
      </c>
      <c r="W118" s="15">
        <v>118.79</v>
      </c>
    </row>
    <row r="119" ht="15.0" customHeight="1">
      <c r="A119" s="14" t="s">
        <v>286</v>
      </c>
      <c r="B119" s="18"/>
      <c r="C119" s="15">
        <v>819.23</v>
      </c>
      <c r="D119" s="15">
        <v>802.24</v>
      </c>
      <c r="E119" s="15">
        <v>750.04</v>
      </c>
      <c r="F119" s="15">
        <v>776.35</v>
      </c>
      <c r="G119" s="15">
        <v>832.07</v>
      </c>
      <c r="H119" s="15">
        <v>747.17</v>
      </c>
      <c r="I119" s="15">
        <v>777.61</v>
      </c>
      <c r="J119" s="15">
        <v>800.61</v>
      </c>
      <c r="K119" s="15">
        <v>761.9</v>
      </c>
      <c r="L119" s="15">
        <v>731.88</v>
      </c>
      <c r="M119" s="15">
        <v>672.72</v>
      </c>
      <c r="N119" s="15">
        <v>664.47</v>
      </c>
      <c r="O119" s="15">
        <v>407.43</v>
      </c>
      <c r="P119" s="15">
        <v>412.99</v>
      </c>
      <c r="Q119" s="15">
        <v>412.96</v>
      </c>
      <c r="R119" s="15">
        <v>316.63</v>
      </c>
      <c r="S119" s="15">
        <v>347.98</v>
      </c>
      <c r="T119" s="15">
        <v>329.11</v>
      </c>
      <c r="U119" s="15">
        <v>351.07</v>
      </c>
      <c r="V119" s="15">
        <v>326.88</v>
      </c>
      <c r="W119" s="15">
        <v>350.1</v>
      </c>
    </row>
    <row r="120" ht="15.0" customHeight="1">
      <c r="A120" s="14" t="s">
        <v>287</v>
      </c>
      <c r="B120" s="18"/>
      <c r="C120" s="19">
        <v>97.19</v>
      </c>
      <c r="D120" s="19">
        <v>72.81</v>
      </c>
      <c r="E120" s="19">
        <v>52.68</v>
      </c>
      <c r="F120" s="19">
        <v>17.89</v>
      </c>
      <c r="G120" s="19">
        <v>11.01</v>
      </c>
      <c r="H120" s="19">
        <v>49.35</v>
      </c>
      <c r="I120" s="19">
        <v>34.02</v>
      </c>
      <c r="J120" s="21">
        <v>-6.06</v>
      </c>
      <c r="K120" s="21">
        <v>-18.8</v>
      </c>
      <c r="L120" s="21">
        <v>-27.02</v>
      </c>
      <c r="M120" s="21">
        <v>-17.34</v>
      </c>
      <c r="N120" s="21">
        <v>-51.86</v>
      </c>
      <c r="O120" s="21">
        <v>-53.3</v>
      </c>
      <c r="P120" s="21">
        <v>-36.34</v>
      </c>
      <c r="Q120" s="21">
        <v>-37.34</v>
      </c>
      <c r="R120" s="19">
        <v>31.85</v>
      </c>
      <c r="S120" s="19">
        <v>70.87</v>
      </c>
      <c r="T120" s="19">
        <v>17.25</v>
      </c>
      <c r="U120" s="21">
        <v>-3.21</v>
      </c>
      <c r="V120" s="19">
        <v>17.56</v>
      </c>
      <c r="W120" s="21">
        <v>-5.19</v>
      </c>
    </row>
    <row r="121" ht="15.0" customHeight="1">
      <c r="A121" s="14" t="s">
        <v>288</v>
      </c>
      <c r="B121" s="18"/>
      <c r="C121" s="26">
        <v>-569.37</v>
      </c>
      <c r="D121" s="26">
        <v>-554.48</v>
      </c>
      <c r="E121" s="26">
        <v>-484.39</v>
      </c>
      <c r="F121" s="26">
        <v>-594.07</v>
      </c>
      <c r="G121" s="26">
        <v>-659.58</v>
      </c>
      <c r="H121" s="26">
        <v>-522.69</v>
      </c>
      <c r="I121" s="26">
        <v>-487.11</v>
      </c>
      <c r="J121" s="26">
        <v>-345.59</v>
      </c>
      <c r="K121" s="26">
        <v>-310.06</v>
      </c>
      <c r="L121" s="26">
        <v>-622.82</v>
      </c>
      <c r="M121" s="26">
        <v>-519.0</v>
      </c>
      <c r="N121" s="26">
        <v>-329.32</v>
      </c>
      <c r="O121" s="26">
        <v>-175.45</v>
      </c>
      <c r="P121" s="21">
        <v>-99.13</v>
      </c>
      <c r="Q121" s="21">
        <v>-68.19</v>
      </c>
      <c r="R121" s="19">
        <v>27.17</v>
      </c>
      <c r="S121" s="19">
        <v>22.31</v>
      </c>
      <c r="T121" s="19">
        <v>23.36</v>
      </c>
      <c r="U121" s="19">
        <v>23.0</v>
      </c>
      <c r="V121" s="19">
        <v>21.86</v>
      </c>
      <c r="W121" s="19">
        <v>2.27</v>
      </c>
    </row>
    <row r="122" ht="15.0" customHeight="1">
      <c r="A122" s="16" t="s">
        <v>289</v>
      </c>
      <c r="B122" s="17">
        <v>559.85</v>
      </c>
      <c r="C122" s="17">
        <v>590.25</v>
      </c>
      <c r="D122" s="17">
        <v>558.72</v>
      </c>
      <c r="E122" s="17">
        <v>540.99</v>
      </c>
      <c r="F122" s="17">
        <v>430.64</v>
      </c>
      <c r="G122" s="17">
        <v>430.5</v>
      </c>
      <c r="H122" s="17">
        <v>495.64</v>
      </c>
      <c r="I122" s="17">
        <v>555.35</v>
      </c>
      <c r="J122" s="17">
        <v>685.66</v>
      </c>
      <c r="K122" s="17">
        <v>657.37</v>
      </c>
      <c r="L122" s="17">
        <v>327.97</v>
      </c>
      <c r="M122" s="17">
        <v>361.61</v>
      </c>
      <c r="N122" s="17">
        <v>504.75</v>
      </c>
      <c r="O122" s="17">
        <v>328.32</v>
      </c>
      <c r="P122" s="17">
        <v>429.2</v>
      </c>
      <c r="Q122" s="17">
        <v>459.11</v>
      </c>
      <c r="R122" s="17">
        <v>481.88</v>
      </c>
      <c r="S122" s="17">
        <v>557.9</v>
      </c>
      <c r="T122" s="17">
        <v>480.12</v>
      </c>
      <c r="U122" s="17">
        <v>489.39</v>
      </c>
      <c r="V122" s="17">
        <v>476.73</v>
      </c>
      <c r="W122" s="17">
        <v>465.97</v>
      </c>
    </row>
    <row r="123" ht="15.0" customHeight="1">
      <c r="A123" s="14" t="s">
        <v>129</v>
      </c>
      <c r="B123" s="19">
        <v>0.22</v>
      </c>
      <c r="C123" s="21">
        <v>-0.75</v>
      </c>
      <c r="D123" s="21">
        <v>-0.2</v>
      </c>
      <c r="E123" s="21">
        <v>-2.74</v>
      </c>
      <c r="F123" s="21">
        <v>-1.98</v>
      </c>
      <c r="G123" s="21">
        <v>-0.42</v>
      </c>
      <c r="H123" s="19">
        <v>0.07</v>
      </c>
      <c r="I123" s="19">
        <v>0.48</v>
      </c>
      <c r="J123" s="19">
        <v>11.03</v>
      </c>
      <c r="K123" s="19">
        <v>3.89</v>
      </c>
      <c r="L123" s="19">
        <v>3.88</v>
      </c>
      <c r="M123" s="18">
        <v>0.0</v>
      </c>
      <c r="N123" s="21">
        <v>-12.98</v>
      </c>
      <c r="O123" s="21">
        <v>-10.31</v>
      </c>
      <c r="P123" s="19">
        <v>1.11</v>
      </c>
      <c r="Q123" s="19">
        <v>1.83</v>
      </c>
      <c r="R123" s="19">
        <v>2.08</v>
      </c>
      <c r="S123" s="19">
        <v>1.39</v>
      </c>
      <c r="T123" s="19">
        <v>0.58</v>
      </c>
      <c r="U123" s="19">
        <v>0.29</v>
      </c>
      <c r="V123" s="18">
        <v>0.0</v>
      </c>
      <c r="W123" s="18"/>
    </row>
    <row r="124" ht="15.0" customHeight="1">
      <c r="A124" s="16" t="s">
        <v>290</v>
      </c>
      <c r="B124" s="23">
        <v>0.22</v>
      </c>
      <c r="C124" s="24">
        <v>-0.75</v>
      </c>
      <c r="D124" s="24">
        <v>-0.2</v>
      </c>
      <c r="E124" s="24">
        <v>-2.74</v>
      </c>
      <c r="F124" s="24">
        <v>-1.98</v>
      </c>
      <c r="G124" s="24">
        <v>-0.42</v>
      </c>
      <c r="H124" s="23">
        <v>0.07</v>
      </c>
      <c r="I124" s="23">
        <v>0.48</v>
      </c>
      <c r="J124" s="23">
        <v>11.03</v>
      </c>
      <c r="K124" s="23">
        <v>3.89</v>
      </c>
      <c r="L124" s="23">
        <v>3.88</v>
      </c>
      <c r="M124" s="20">
        <v>0.0</v>
      </c>
      <c r="N124" s="24">
        <v>-12.98</v>
      </c>
      <c r="O124" s="24">
        <v>-10.31</v>
      </c>
      <c r="P124" s="23">
        <v>1.11</v>
      </c>
      <c r="Q124" s="23">
        <v>1.83</v>
      </c>
      <c r="R124" s="23">
        <v>2.08</v>
      </c>
      <c r="S124" s="23">
        <v>1.39</v>
      </c>
      <c r="T124" s="23">
        <v>0.58</v>
      </c>
      <c r="U124" s="23">
        <v>0.29</v>
      </c>
      <c r="V124" s="20">
        <v>0.0</v>
      </c>
      <c r="W124" s="20"/>
    </row>
    <row r="125" ht="15.0" customHeight="1">
      <c r="A125" s="16" t="s">
        <v>291</v>
      </c>
      <c r="B125" s="17">
        <v>560.07</v>
      </c>
      <c r="C125" s="17">
        <v>589.49</v>
      </c>
      <c r="D125" s="17">
        <v>558.52</v>
      </c>
      <c r="E125" s="17">
        <v>538.25</v>
      </c>
      <c r="F125" s="17">
        <v>428.66</v>
      </c>
      <c r="G125" s="17">
        <v>430.07</v>
      </c>
      <c r="H125" s="17">
        <v>495.72</v>
      </c>
      <c r="I125" s="17">
        <v>555.84</v>
      </c>
      <c r="J125" s="17">
        <v>696.69</v>
      </c>
      <c r="K125" s="17">
        <v>661.26</v>
      </c>
      <c r="L125" s="17">
        <v>331.85</v>
      </c>
      <c r="M125" s="17">
        <v>361.61</v>
      </c>
      <c r="N125" s="17">
        <v>491.77</v>
      </c>
      <c r="O125" s="17">
        <v>318.02</v>
      </c>
      <c r="P125" s="17">
        <v>430.31</v>
      </c>
      <c r="Q125" s="17">
        <v>460.93</v>
      </c>
      <c r="R125" s="17">
        <v>483.96</v>
      </c>
      <c r="S125" s="17">
        <v>559.29</v>
      </c>
      <c r="T125" s="17">
        <v>480.7</v>
      </c>
      <c r="U125" s="17">
        <v>489.68</v>
      </c>
      <c r="V125" s="17">
        <v>476.73</v>
      </c>
      <c r="W125" s="17">
        <v>465.97</v>
      </c>
    </row>
    <row r="126" ht="15.0" customHeight="1">
      <c r="A126" s="14" t="s">
        <v>292</v>
      </c>
      <c r="B126" s="18"/>
      <c r="C126" s="18">
        <v>0.0</v>
      </c>
      <c r="D126" s="18">
        <v>0.0</v>
      </c>
      <c r="E126" s="22">
        <v>0.0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6" t="s">
        <v>293</v>
      </c>
      <c r="B127" s="17">
        <v>1581.7</v>
      </c>
      <c r="C127" s="17">
        <v>1612.22</v>
      </c>
      <c r="D127" s="17">
        <v>1581.91</v>
      </c>
      <c r="E127" s="17">
        <v>1586.8</v>
      </c>
      <c r="F127" s="17">
        <v>1407.41</v>
      </c>
      <c r="G127" s="17">
        <v>1455.11</v>
      </c>
      <c r="H127" s="17">
        <v>1486.74</v>
      </c>
      <c r="I127" s="17">
        <v>1446.0</v>
      </c>
      <c r="J127" s="17">
        <v>1627.27</v>
      </c>
      <c r="K127" s="17">
        <v>1526.0</v>
      </c>
      <c r="L127" s="17">
        <v>2019.22</v>
      </c>
      <c r="M127" s="17">
        <v>1882.6</v>
      </c>
      <c r="N127" s="17">
        <v>1912.69</v>
      </c>
      <c r="O127" s="17">
        <v>1840.99</v>
      </c>
      <c r="P127" s="17">
        <v>2053.81</v>
      </c>
      <c r="Q127" s="17">
        <v>2209.61</v>
      </c>
      <c r="R127" s="17">
        <v>1341.66</v>
      </c>
      <c r="S127" s="17">
        <v>1665.84</v>
      </c>
      <c r="T127" s="17">
        <v>1476.68</v>
      </c>
      <c r="U127" s="17">
        <v>1576.76</v>
      </c>
      <c r="V127" s="17">
        <v>1388.76</v>
      </c>
      <c r="W127" s="17">
        <v>1527.05</v>
      </c>
    </row>
    <row r="128" ht="15.0" customHeight="1">
      <c r="A128" s="14" t="s">
        <v>294</v>
      </c>
      <c r="B128" s="15">
        <v>211.21</v>
      </c>
      <c r="C128" s="15">
        <v>211.21</v>
      </c>
      <c r="D128" s="15">
        <v>211.21</v>
      </c>
      <c r="E128" s="15">
        <v>211.21</v>
      </c>
      <c r="F128" s="15">
        <v>211.21</v>
      </c>
      <c r="G128" s="15">
        <v>211.21</v>
      </c>
      <c r="H128" s="15">
        <v>211.21</v>
      </c>
      <c r="I128" s="15">
        <v>211.21</v>
      </c>
      <c r="J128" s="15">
        <v>211.21</v>
      </c>
      <c r="K128" s="15">
        <v>211.21</v>
      </c>
      <c r="L128" s="15">
        <v>156.66</v>
      </c>
      <c r="M128" s="15">
        <v>156.66</v>
      </c>
      <c r="N128" s="15">
        <v>156.66</v>
      </c>
      <c r="O128" s="19">
        <v>29.72</v>
      </c>
      <c r="P128" s="19">
        <v>29.72</v>
      </c>
      <c r="Q128" s="19">
        <v>29.72</v>
      </c>
      <c r="R128" s="19">
        <v>22.32</v>
      </c>
      <c r="S128" s="19">
        <v>22.32</v>
      </c>
      <c r="T128" s="19">
        <v>22.32</v>
      </c>
      <c r="U128" s="19">
        <v>22.13</v>
      </c>
      <c r="V128" s="19">
        <v>22.11</v>
      </c>
      <c r="W128" s="19">
        <v>22.11</v>
      </c>
    </row>
    <row r="129" ht="15.0" customHeight="1">
      <c r="A129" s="14" t="s">
        <v>295</v>
      </c>
      <c r="B129" s="15">
        <v>211.21</v>
      </c>
      <c r="C129" s="15">
        <v>211.21</v>
      </c>
      <c r="D129" s="15">
        <v>211.21</v>
      </c>
      <c r="E129" s="15">
        <v>211.21</v>
      </c>
      <c r="F129" s="15">
        <v>211.21</v>
      </c>
      <c r="G129" s="15">
        <v>211.21</v>
      </c>
      <c r="H129" s="15">
        <v>211.21</v>
      </c>
      <c r="I129" s="15">
        <v>211.21</v>
      </c>
      <c r="J129" s="15">
        <v>211.21</v>
      </c>
      <c r="K129" s="15">
        <v>211.21</v>
      </c>
      <c r="L129" s="15">
        <v>156.66</v>
      </c>
      <c r="M129" s="15">
        <v>156.66</v>
      </c>
      <c r="N129" s="15">
        <v>156.66</v>
      </c>
      <c r="O129" s="19">
        <v>29.72</v>
      </c>
      <c r="P129" s="19">
        <v>29.72</v>
      </c>
      <c r="Q129" s="19">
        <v>29.72</v>
      </c>
      <c r="R129" s="19">
        <v>22.32</v>
      </c>
      <c r="S129" s="19">
        <v>22.32</v>
      </c>
      <c r="T129" s="19">
        <v>22.32</v>
      </c>
      <c r="U129" s="19">
        <v>22.13</v>
      </c>
      <c r="V129" s="19">
        <v>22.11</v>
      </c>
      <c r="W129" s="19">
        <v>22.11</v>
      </c>
    </row>
    <row r="130" ht="15.0" customHeight="1">
      <c r="A130" s="14" t="s">
        <v>296</v>
      </c>
      <c r="B130" s="18"/>
      <c r="C130" s="18"/>
      <c r="D130" s="18"/>
      <c r="E130" s="15">
        <v>332.11</v>
      </c>
      <c r="F130" s="15">
        <v>282.52</v>
      </c>
      <c r="G130" s="15">
        <v>128.2</v>
      </c>
      <c r="H130" s="15">
        <v>294.36</v>
      </c>
      <c r="I130" s="15">
        <v>198.52</v>
      </c>
      <c r="J130" s="15">
        <v>183.69</v>
      </c>
      <c r="K130" s="15">
        <v>159.25</v>
      </c>
      <c r="L130" s="15">
        <v>687.27</v>
      </c>
      <c r="M130" s="15">
        <v>463.16</v>
      </c>
      <c r="N130" s="15">
        <v>481.13</v>
      </c>
      <c r="O130" s="15">
        <v>631.78</v>
      </c>
      <c r="P130" s="15">
        <v>709.79</v>
      </c>
      <c r="Q130" s="15">
        <v>757.69</v>
      </c>
      <c r="R130" s="15">
        <v>370.93</v>
      </c>
      <c r="S130" s="15">
        <v>525.5</v>
      </c>
      <c r="T130" s="15">
        <v>449.86</v>
      </c>
      <c r="U130" s="15">
        <v>219.77</v>
      </c>
      <c r="V130" s="15">
        <v>283.45</v>
      </c>
      <c r="W130" s="15">
        <v>377.69</v>
      </c>
    </row>
    <row r="131" ht="15.0" customHeight="1">
      <c r="A131" s="14" t="s">
        <v>297</v>
      </c>
      <c r="B131" s="18"/>
      <c r="C131" s="18"/>
      <c r="D131" s="18"/>
      <c r="E131" s="19">
        <v>43.6</v>
      </c>
      <c r="F131" s="19">
        <v>4.35</v>
      </c>
      <c r="G131" s="19">
        <v>50.45</v>
      </c>
      <c r="H131" s="19">
        <v>11.01</v>
      </c>
      <c r="I131" s="18">
        <v>0.0</v>
      </c>
      <c r="J131" s="18">
        <v>0.0</v>
      </c>
      <c r="K131" s="18">
        <v>0.0</v>
      </c>
      <c r="L131" s="15">
        <v>171.85</v>
      </c>
      <c r="M131" s="15">
        <v>244.64</v>
      </c>
      <c r="N131" s="15">
        <v>286.07</v>
      </c>
      <c r="O131" s="15">
        <v>290.11</v>
      </c>
      <c r="P131" s="15">
        <v>356.76</v>
      </c>
      <c r="Q131" s="15">
        <v>388.21</v>
      </c>
      <c r="R131" s="15">
        <v>257.28</v>
      </c>
      <c r="S131" s="15">
        <v>433.04</v>
      </c>
      <c r="T131" s="15">
        <v>317.48</v>
      </c>
      <c r="U131" s="19">
        <v>7.42</v>
      </c>
      <c r="V131" s="19">
        <v>42.64</v>
      </c>
      <c r="W131" s="19">
        <v>57.57</v>
      </c>
    </row>
    <row r="132" ht="15.0" customHeight="1">
      <c r="A132" s="14" t="s">
        <v>298</v>
      </c>
      <c r="B132" s="18"/>
      <c r="C132" s="18"/>
      <c r="D132" s="18"/>
      <c r="E132" s="15">
        <v>219.67</v>
      </c>
      <c r="F132" s="15">
        <v>216.84</v>
      </c>
      <c r="G132" s="19">
        <v>50.94</v>
      </c>
      <c r="H132" s="15">
        <v>249.94</v>
      </c>
      <c r="I132" s="15">
        <v>198.52</v>
      </c>
      <c r="J132" s="18">
        <v>0.0</v>
      </c>
      <c r="K132" s="18">
        <v>0.0</v>
      </c>
      <c r="L132" s="15">
        <v>462.48</v>
      </c>
      <c r="M132" s="15">
        <v>167.74</v>
      </c>
      <c r="N132" s="15">
        <v>146.04</v>
      </c>
      <c r="O132" s="15">
        <v>222.12</v>
      </c>
      <c r="P132" s="15">
        <v>287.95</v>
      </c>
      <c r="Q132" s="15">
        <v>295.73</v>
      </c>
      <c r="R132" s="19">
        <v>48.55</v>
      </c>
      <c r="S132" s="19">
        <v>2.43</v>
      </c>
      <c r="T132" s="19">
        <v>45.37</v>
      </c>
      <c r="U132" s="15">
        <v>153.06</v>
      </c>
      <c r="V132" s="15">
        <v>113.94</v>
      </c>
      <c r="W132" s="15">
        <v>161.61</v>
      </c>
    </row>
    <row r="133" ht="15.0" customHeight="1">
      <c r="A133" s="14" t="s">
        <v>299</v>
      </c>
      <c r="B133" s="18"/>
      <c r="C133" s="18"/>
      <c r="D133" s="18"/>
      <c r="E133" s="19">
        <v>68.84</v>
      </c>
      <c r="F133" s="19">
        <v>61.33</v>
      </c>
      <c r="G133" s="19">
        <v>26.81</v>
      </c>
      <c r="H133" s="19">
        <v>33.42</v>
      </c>
      <c r="I133" s="18">
        <v>0.0</v>
      </c>
      <c r="J133" s="15">
        <v>183.69</v>
      </c>
      <c r="K133" s="15">
        <v>159.25</v>
      </c>
      <c r="L133" s="19">
        <v>52.94</v>
      </c>
      <c r="M133" s="19">
        <v>50.79</v>
      </c>
      <c r="N133" s="19">
        <v>49.03</v>
      </c>
      <c r="O133" s="15">
        <v>119.54</v>
      </c>
      <c r="P133" s="19">
        <v>65.08</v>
      </c>
      <c r="Q133" s="19">
        <v>73.75</v>
      </c>
      <c r="R133" s="19">
        <v>65.1</v>
      </c>
      <c r="S133" s="19">
        <v>90.04</v>
      </c>
      <c r="T133" s="19">
        <v>87.02</v>
      </c>
      <c r="U133" s="19">
        <v>59.3</v>
      </c>
      <c r="V133" s="15">
        <v>126.87</v>
      </c>
      <c r="W133" s="15">
        <v>158.51</v>
      </c>
    </row>
    <row r="134" ht="15.0" customHeight="1">
      <c r="A134" s="14" t="s">
        <v>300</v>
      </c>
      <c r="B134" s="18"/>
      <c r="C134" s="18"/>
      <c r="D134" s="18"/>
      <c r="E134" s="18"/>
      <c r="F134" s="18"/>
      <c r="G134" s="18"/>
      <c r="H134" s="18"/>
      <c r="I134" s="19">
        <v>1.84</v>
      </c>
      <c r="J134" s="19">
        <v>1.0</v>
      </c>
      <c r="K134" s="19">
        <v>2.19</v>
      </c>
      <c r="L134" s="19">
        <v>4.17</v>
      </c>
      <c r="M134" s="19">
        <v>4.21</v>
      </c>
      <c r="N134" s="19">
        <v>3.38</v>
      </c>
      <c r="O134" s="19">
        <v>2.85</v>
      </c>
      <c r="P134" s="19">
        <v>1.8</v>
      </c>
      <c r="Q134" s="19">
        <v>4.16</v>
      </c>
      <c r="R134" s="19">
        <v>2.55</v>
      </c>
      <c r="S134" s="18">
        <v>0.0</v>
      </c>
      <c r="T134" s="19">
        <v>11.28</v>
      </c>
      <c r="U134" s="19">
        <v>20.53</v>
      </c>
      <c r="V134" s="19">
        <v>15.66</v>
      </c>
      <c r="W134" s="19">
        <v>39.68</v>
      </c>
    </row>
    <row r="135" ht="15.0" customHeight="1">
      <c r="A135" s="14" t="s">
        <v>301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>
        <v>0.0</v>
      </c>
      <c r="O135" s="18">
        <v>0.0</v>
      </c>
      <c r="P135" s="18">
        <v>0.0</v>
      </c>
      <c r="Q135" s="18">
        <v>0.0</v>
      </c>
      <c r="R135" s="18">
        <v>0.0</v>
      </c>
      <c r="S135" s="18">
        <v>0.0</v>
      </c>
      <c r="T135" s="18">
        <v>0.0</v>
      </c>
      <c r="U135" s="18">
        <v>0.0</v>
      </c>
      <c r="V135" s="18">
        <v>0.0</v>
      </c>
      <c r="W135" s="19">
        <v>0.58</v>
      </c>
    </row>
    <row r="136" ht="15.0" customHeight="1">
      <c r="A136" s="14" t="s">
        <v>302</v>
      </c>
      <c r="B136" s="18"/>
      <c r="C136" s="18"/>
      <c r="D136" s="18"/>
      <c r="E136" s="18"/>
      <c r="F136" s="18"/>
      <c r="G136" s="18"/>
      <c r="H136" s="18"/>
      <c r="I136" s="19">
        <v>0.69</v>
      </c>
      <c r="J136" s="19">
        <v>0.42</v>
      </c>
      <c r="K136" s="19">
        <v>1.28</v>
      </c>
      <c r="L136" s="19">
        <v>2.14</v>
      </c>
      <c r="M136" s="19">
        <v>1.95</v>
      </c>
      <c r="N136" s="19">
        <v>1.29</v>
      </c>
      <c r="O136" s="19">
        <v>1.13</v>
      </c>
      <c r="P136" s="19">
        <v>1.07</v>
      </c>
      <c r="Q136" s="19">
        <v>3.4</v>
      </c>
      <c r="R136" s="19">
        <v>1.31</v>
      </c>
      <c r="S136" s="18">
        <v>0.0</v>
      </c>
      <c r="T136" s="19">
        <v>10.2</v>
      </c>
      <c r="U136" s="19">
        <v>13.73</v>
      </c>
      <c r="V136" s="19">
        <v>9.48</v>
      </c>
      <c r="W136" s="19">
        <v>20.76</v>
      </c>
    </row>
    <row r="137" ht="15.0" customHeight="1">
      <c r="A137" s="14" t="s">
        <v>303</v>
      </c>
      <c r="B137" s="18"/>
      <c r="C137" s="18"/>
      <c r="D137" s="18"/>
      <c r="E137" s="18"/>
      <c r="F137" s="18"/>
      <c r="G137" s="18"/>
      <c r="H137" s="18"/>
      <c r="I137" s="19">
        <v>1.15</v>
      </c>
      <c r="J137" s="19">
        <v>0.58</v>
      </c>
      <c r="K137" s="19">
        <v>0.91</v>
      </c>
      <c r="L137" s="19">
        <v>2.03</v>
      </c>
      <c r="M137" s="19">
        <v>2.26</v>
      </c>
      <c r="N137" s="19">
        <v>2.09</v>
      </c>
      <c r="O137" s="19">
        <v>1.72</v>
      </c>
      <c r="P137" s="19">
        <v>0.73</v>
      </c>
      <c r="Q137" s="19">
        <v>0.76</v>
      </c>
      <c r="R137" s="19">
        <v>1.24</v>
      </c>
      <c r="S137" s="18">
        <v>0.0</v>
      </c>
      <c r="T137" s="19">
        <v>1.08</v>
      </c>
      <c r="U137" s="19">
        <v>6.8</v>
      </c>
      <c r="V137" s="19">
        <v>6.18</v>
      </c>
      <c r="W137" s="19">
        <v>18.34</v>
      </c>
    </row>
    <row r="138" ht="15.0" customHeight="1">
      <c r="A138" s="14" t="s">
        <v>304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9">
        <v>17.46</v>
      </c>
      <c r="W138" s="18"/>
    </row>
    <row r="139" ht="15.0" customHeight="1">
      <c r="A139" s="14" t="s">
        <v>305</v>
      </c>
      <c r="B139" s="15">
        <v>211.21</v>
      </c>
      <c r="C139" s="15">
        <v>211.21</v>
      </c>
      <c r="D139" s="15">
        <v>211.21</v>
      </c>
      <c r="E139" s="15">
        <v>211.21</v>
      </c>
      <c r="F139" s="15">
        <v>211.21</v>
      </c>
      <c r="G139" s="15">
        <v>211.21</v>
      </c>
      <c r="H139" s="15">
        <v>211.21</v>
      </c>
      <c r="I139" s="15">
        <v>211.21</v>
      </c>
      <c r="J139" s="15">
        <v>211.21</v>
      </c>
      <c r="K139" s="15">
        <v>211.21</v>
      </c>
      <c r="L139" s="15">
        <v>156.66</v>
      </c>
      <c r="M139" s="15">
        <v>156.66</v>
      </c>
      <c r="N139" s="15">
        <v>156.66</v>
      </c>
      <c r="O139" s="19">
        <v>29.72</v>
      </c>
      <c r="P139" s="19">
        <v>29.72</v>
      </c>
      <c r="Q139" s="19">
        <v>29.72</v>
      </c>
      <c r="R139" s="19">
        <v>22.32</v>
      </c>
      <c r="S139" s="19">
        <v>22.32</v>
      </c>
      <c r="T139" s="19">
        <v>22.32</v>
      </c>
      <c r="U139" s="19">
        <v>22.13</v>
      </c>
      <c r="V139" s="19">
        <v>22.11</v>
      </c>
      <c r="W139" s="19">
        <v>22.11</v>
      </c>
    </row>
    <row r="140" ht="15.0" customHeight="1">
      <c r="A140" s="14" t="s">
        <v>306</v>
      </c>
      <c r="B140" s="19">
        <v>1.0</v>
      </c>
      <c r="C140" s="19">
        <v>1.0</v>
      </c>
      <c r="D140" s="19">
        <v>1.0</v>
      </c>
      <c r="E140" s="19">
        <v>1.0</v>
      </c>
      <c r="F140" s="19">
        <v>1.0</v>
      </c>
      <c r="G140" s="19">
        <v>1.0</v>
      </c>
      <c r="H140" s="19">
        <v>1.0</v>
      </c>
      <c r="I140" s="19">
        <v>1.0</v>
      </c>
      <c r="J140" s="19">
        <v>1.0</v>
      </c>
      <c r="K140" s="19">
        <v>1.0</v>
      </c>
      <c r="L140" s="19">
        <v>1.0</v>
      </c>
      <c r="M140" s="19">
        <v>1.0</v>
      </c>
      <c r="N140" s="19">
        <v>1.0</v>
      </c>
      <c r="O140" s="19">
        <v>1.0</v>
      </c>
      <c r="P140" s="19">
        <v>1.0</v>
      </c>
      <c r="Q140" s="19">
        <v>1.0</v>
      </c>
      <c r="R140" s="19">
        <v>1.0</v>
      </c>
      <c r="S140" s="19">
        <v>1.0</v>
      </c>
      <c r="T140" s="19">
        <v>1.0</v>
      </c>
      <c r="U140" s="19">
        <v>1.0</v>
      </c>
      <c r="V140" s="19">
        <v>1.0</v>
      </c>
      <c r="W140" s="19">
        <v>1.0</v>
      </c>
    </row>
    <row r="141" ht="15.0" customHeight="1">
      <c r="A141" s="14" t="s">
        <v>307</v>
      </c>
      <c r="B141" s="15">
        <v>211.21</v>
      </c>
      <c r="C141" s="15">
        <v>211.21</v>
      </c>
      <c r="D141" s="15">
        <v>211.21</v>
      </c>
      <c r="E141" s="15">
        <v>211.21</v>
      </c>
      <c r="F141" s="15">
        <v>211.21</v>
      </c>
      <c r="G141" s="15">
        <v>211.21</v>
      </c>
      <c r="H141" s="15">
        <v>211.21</v>
      </c>
      <c r="I141" s="15">
        <v>211.21</v>
      </c>
      <c r="J141" s="15">
        <v>211.21</v>
      </c>
      <c r="K141" s="15">
        <v>211.21</v>
      </c>
      <c r="L141" s="15">
        <v>156.66</v>
      </c>
      <c r="M141" s="15">
        <v>156.66</v>
      </c>
      <c r="N141" s="15">
        <v>156.66</v>
      </c>
      <c r="O141" s="19">
        <v>29.72</v>
      </c>
      <c r="P141" s="19">
        <v>29.72</v>
      </c>
      <c r="Q141" s="19">
        <v>29.72</v>
      </c>
      <c r="R141" s="19">
        <v>22.32</v>
      </c>
      <c r="S141" s="19">
        <v>22.32</v>
      </c>
      <c r="T141" s="19">
        <v>22.32</v>
      </c>
      <c r="U141" s="19">
        <v>22.13</v>
      </c>
      <c r="V141" s="19">
        <v>22.11</v>
      </c>
      <c r="W141" s="19">
        <v>22.11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46092.41363375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309</v>
      </c>
      <c r="C15" s="10" t="s">
        <v>309</v>
      </c>
      <c r="D15" s="10" t="s">
        <v>309</v>
      </c>
      <c r="E15" s="10" t="s">
        <v>309</v>
      </c>
      <c r="F15" s="10" t="s">
        <v>309</v>
      </c>
      <c r="G15" s="10" t="s">
        <v>309</v>
      </c>
      <c r="H15" s="10" t="s">
        <v>309</v>
      </c>
      <c r="I15" s="10" t="s">
        <v>309</v>
      </c>
      <c r="J15" s="10" t="s">
        <v>309</v>
      </c>
      <c r="K15" s="10" t="s">
        <v>309</v>
      </c>
      <c r="L15" s="10" t="s">
        <v>309</v>
      </c>
      <c r="M15" s="10" t="s">
        <v>309</v>
      </c>
      <c r="N15" s="10" t="s">
        <v>309</v>
      </c>
      <c r="O15" s="10" t="s">
        <v>309</v>
      </c>
      <c r="P15" s="10" t="s">
        <v>309</v>
      </c>
      <c r="Q15" s="10" t="s">
        <v>309</v>
      </c>
      <c r="R15" s="10" t="s">
        <v>309</v>
      </c>
      <c r="S15" s="10" t="s">
        <v>309</v>
      </c>
      <c r="T15" s="10" t="s">
        <v>309</v>
      </c>
      <c r="U15" s="10" t="s">
        <v>309</v>
      </c>
      <c r="V15" s="10" t="s">
        <v>309</v>
      </c>
      <c r="W15" s="10" t="s">
        <v>309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311</v>
      </c>
      <c r="B20" s="19">
        <v>76.26</v>
      </c>
      <c r="C20" s="19">
        <v>77.02</v>
      </c>
      <c r="D20" s="18"/>
      <c r="E20" s="19">
        <v>63.03</v>
      </c>
      <c r="F20" s="18"/>
      <c r="G20" s="18"/>
      <c r="H20" s="19">
        <v>82.68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312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1">
        <v>-11.85</v>
      </c>
      <c r="Q21" s="21">
        <v>-13.06</v>
      </c>
      <c r="R21" s="21">
        <v>-4.93</v>
      </c>
      <c r="S21" s="21">
        <v>-3.68</v>
      </c>
      <c r="T21" s="21">
        <v>-9.09</v>
      </c>
      <c r="U21" s="21">
        <v>-29.06</v>
      </c>
      <c r="V21" s="21">
        <v>-19.35</v>
      </c>
      <c r="W21" s="21">
        <v>-10.33</v>
      </c>
    </row>
    <row r="22" ht="15.0" customHeight="1">
      <c r="A22" s="14" t="s">
        <v>313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1">
        <v>-43.47</v>
      </c>
      <c r="Q22" s="19">
        <v>79.93</v>
      </c>
      <c r="R22" s="21">
        <v>-10.0</v>
      </c>
      <c r="S22" s="21">
        <v>-4.62</v>
      </c>
      <c r="T22" s="19">
        <v>2.84</v>
      </c>
      <c r="U22" s="19">
        <v>2.11</v>
      </c>
      <c r="V22" s="19">
        <v>0.77</v>
      </c>
      <c r="W22" s="21">
        <v>-4.63</v>
      </c>
    </row>
    <row r="23" ht="15.0" customHeight="1">
      <c r="A23" s="14" t="s">
        <v>314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>
        <v>14.56</v>
      </c>
      <c r="Q23" s="21">
        <v>-14.96</v>
      </c>
      <c r="R23" s="21">
        <v>-12.32</v>
      </c>
      <c r="S23" s="19">
        <v>1.26</v>
      </c>
      <c r="T23" s="21">
        <v>-6.97</v>
      </c>
      <c r="U23" s="19">
        <v>1.3</v>
      </c>
      <c r="V23" s="19">
        <v>0.82</v>
      </c>
      <c r="W23" s="19">
        <v>0.22</v>
      </c>
    </row>
    <row r="24" ht="15.0" customHeight="1">
      <c r="A24" s="14" t="s">
        <v>315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1">
        <v>-20.45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316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1">
        <v>-61.28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317</v>
      </c>
      <c r="B26" s="19">
        <v>41.41</v>
      </c>
      <c r="C26" s="19">
        <v>58.11</v>
      </c>
      <c r="D26" s="19">
        <v>77.17</v>
      </c>
      <c r="E26" s="15">
        <v>105.15</v>
      </c>
      <c r="F26" s="19">
        <v>79.07</v>
      </c>
      <c r="G26" s="19">
        <v>27.49</v>
      </c>
      <c r="H26" s="19">
        <v>80.48</v>
      </c>
      <c r="I26" s="21">
        <v>-9.24</v>
      </c>
      <c r="J26" s="19">
        <v>36.15</v>
      </c>
      <c r="K26" s="19">
        <v>11.72</v>
      </c>
      <c r="L26" s="21">
        <v>-67.02</v>
      </c>
      <c r="M26" s="21">
        <v>-21.94</v>
      </c>
      <c r="N26" s="18"/>
      <c r="O26" s="21">
        <v>-0.52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318</v>
      </c>
      <c r="B27" s="19">
        <v>16.84</v>
      </c>
      <c r="C27" s="19">
        <v>44.13</v>
      </c>
      <c r="D27" s="19">
        <v>43.36</v>
      </c>
      <c r="E27" s="19">
        <v>93.39</v>
      </c>
      <c r="F27" s="19">
        <v>46.03</v>
      </c>
      <c r="G27" s="21">
        <v>-19.4</v>
      </c>
      <c r="H27" s="19">
        <v>29.53</v>
      </c>
      <c r="I27" s="21">
        <v>-48.41</v>
      </c>
      <c r="J27" s="19">
        <v>43.76</v>
      </c>
      <c r="K27" s="19">
        <v>8.67</v>
      </c>
      <c r="L27" s="21">
        <v>-4.81</v>
      </c>
      <c r="M27" s="26">
        <v>-112.77</v>
      </c>
      <c r="N27" s="21">
        <v>-98.81</v>
      </c>
      <c r="O27" s="19">
        <v>12.72</v>
      </c>
      <c r="P27" s="19">
        <v>34.67</v>
      </c>
      <c r="Q27" s="21">
        <v>-76.41</v>
      </c>
      <c r="R27" s="19">
        <v>53.73</v>
      </c>
      <c r="S27" s="19">
        <v>63.56</v>
      </c>
      <c r="T27" s="19">
        <v>52.03</v>
      </c>
      <c r="U27" s="19">
        <v>34.39</v>
      </c>
      <c r="V27" s="19">
        <v>61.0</v>
      </c>
      <c r="W27" s="15">
        <v>104.19</v>
      </c>
    </row>
    <row r="28" ht="15.0" customHeight="1">
      <c r="A28" s="14" t="s">
        <v>319</v>
      </c>
      <c r="B28" s="18"/>
      <c r="C28" s="18"/>
      <c r="D28" s="19">
        <v>90.94</v>
      </c>
      <c r="E28" s="18"/>
      <c r="F28" s="19">
        <v>81.78</v>
      </c>
      <c r="G28" s="15">
        <v>118.34</v>
      </c>
      <c r="H28" s="18"/>
      <c r="I28" s="15">
        <v>115.32</v>
      </c>
      <c r="J28" s="19">
        <v>44.69</v>
      </c>
      <c r="K28" s="19">
        <v>50.88</v>
      </c>
      <c r="L28" s="19">
        <v>72.12</v>
      </c>
      <c r="M28" s="19">
        <v>92.45</v>
      </c>
      <c r="N28" s="19">
        <v>96.33</v>
      </c>
      <c r="O28" s="19">
        <v>87.75</v>
      </c>
      <c r="P28" s="19">
        <v>95.8</v>
      </c>
      <c r="Q28" s="19">
        <v>95.51</v>
      </c>
      <c r="R28" s="19">
        <v>74.15</v>
      </c>
      <c r="S28" s="19">
        <v>80.96</v>
      </c>
      <c r="T28" s="19">
        <v>80.06</v>
      </c>
      <c r="U28" s="19">
        <v>89.13</v>
      </c>
      <c r="V28" s="19">
        <v>87.02</v>
      </c>
      <c r="W28" s="19">
        <v>91.82</v>
      </c>
    </row>
    <row r="29" ht="15.0" customHeight="1">
      <c r="A29" s="14" t="s">
        <v>320</v>
      </c>
      <c r="B29" s="19">
        <v>0.32</v>
      </c>
      <c r="C29" s="19">
        <v>1.73</v>
      </c>
      <c r="D29" s="19">
        <v>0.33</v>
      </c>
      <c r="E29" s="19">
        <v>0.03</v>
      </c>
      <c r="F29" s="19">
        <v>0.04</v>
      </c>
      <c r="G29" s="19">
        <v>0.16</v>
      </c>
      <c r="H29" s="19">
        <v>0.08</v>
      </c>
      <c r="I29" s="19">
        <v>0.05</v>
      </c>
      <c r="J29" s="19">
        <v>0.18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321</v>
      </c>
      <c r="B30" s="21">
        <v>-32.2</v>
      </c>
      <c r="C30" s="21">
        <v>-34.95</v>
      </c>
      <c r="D30" s="21">
        <v>-31.53</v>
      </c>
      <c r="E30" s="21">
        <v>-23.3</v>
      </c>
      <c r="F30" s="21">
        <v>-27.49</v>
      </c>
      <c r="G30" s="21">
        <v>-29.32</v>
      </c>
      <c r="H30" s="21">
        <v>-27.85</v>
      </c>
      <c r="I30" s="21">
        <v>-16.39</v>
      </c>
      <c r="J30" s="21">
        <v>-12.5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108</v>
      </c>
      <c r="B31" s="21">
        <v>-5.3</v>
      </c>
      <c r="C31" s="21">
        <v>-4.85</v>
      </c>
      <c r="D31" s="21">
        <v>-4.16</v>
      </c>
      <c r="E31" s="21">
        <v>-7.29</v>
      </c>
      <c r="F31" s="21">
        <v>-5.83</v>
      </c>
      <c r="G31" s="21">
        <v>-1.23</v>
      </c>
      <c r="H31" s="21">
        <v>-4.05</v>
      </c>
      <c r="I31" s="18">
        <v>0.0</v>
      </c>
      <c r="J31" s="19">
        <v>1.28</v>
      </c>
      <c r="K31" s="21">
        <v>-47.88</v>
      </c>
      <c r="L31" s="21">
        <v>-53.5</v>
      </c>
      <c r="M31" s="21">
        <v>-51.92</v>
      </c>
      <c r="N31" s="21">
        <v>-64.09</v>
      </c>
      <c r="O31" s="18"/>
      <c r="P31" s="21">
        <v>-56.87</v>
      </c>
      <c r="Q31" s="21">
        <v>-36.92</v>
      </c>
      <c r="R31" s="21">
        <v>-31.17</v>
      </c>
      <c r="S31" s="21">
        <v>-51.67</v>
      </c>
      <c r="T31" s="21">
        <v>-43.07</v>
      </c>
      <c r="U31" s="21">
        <v>-35.33</v>
      </c>
      <c r="V31" s="21">
        <v>-32.88</v>
      </c>
      <c r="W31" s="21">
        <v>-40.26</v>
      </c>
    </row>
    <row r="32" ht="15.0" customHeight="1">
      <c r="A32" s="14" t="s">
        <v>322</v>
      </c>
      <c r="B32" s="18"/>
      <c r="C32" s="18"/>
      <c r="D32" s="18"/>
      <c r="E32" s="18"/>
      <c r="F32" s="18"/>
      <c r="G32" s="18"/>
      <c r="H32" s="18"/>
      <c r="I32" s="21">
        <v>-10.19</v>
      </c>
      <c r="J32" s="21">
        <v>-4.69</v>
      </c>
      <c r="K32" s="15">
        <v>425.02</v>
      </c>
      <c r="L32" s="19">
        <v>0.96</v>
      </c>
      <c r="M32" s="19">
        <v>0.95</v>
      </c>
      <c r="N32" s="19">
        <v>3.89</v>
      </c>
      <c r="O32" s="18"/>
      <c r="P32" s="19">
        <v>2.73</v>
      </c>
      <c r="Q32" s="19">
        <v>2.52</v>
      </c>
      <c r="R32" s="19">
        <v>2.51</v>
      </c>
      <c r="S32" s="19">
        <v>5.34</v>
      </c>
      <c r="T32" s="19">
        <v>3.81</v>
      </c>
      <c r="U32" s="19">
        <v>2.57</v>
      </c>
      <c r="V32" s="19">
        <v>1.0</v>
      </c>
      <c r="W32" s="19">
        <v>1.55</v>
      </c>
    </row>
    <row r="33" ht="15.0" customHeight="1">
      <c r="A33" s="14" t="s">
        <v>323</v>
      </c>
      <c r="B33" s="21">
        <v>-6.25</v>
      </c>
      <c r="C33" s="21">
        <v>-16.54</v>
      </c>
      <c r="D33" s="21">
        <v>-10.68</v>
      </c>
      <c r="E33" s="21">
        <v>-6.71</v>
      </c>
      <c r="F33" s="21">
        <v>-3.83</v>
      </c>
      <c r="G33" s="21">
        <v>-1.4</v>
      </c>
      <c r="H33" s="19">
        <v>4.23</v>
      </c>
      <c r="I33" s="21">
        <v>-10.5</v>
      </c>
      <c r="J33" s="21">
        <v>-18.03</v>
      </c>
      <c r="K33" s="21">
        <v>-5.3</v>
      </c>
      <c r="L33" s="21">
        <v>-5.83</v>
      </c>
      <c r="M33" s="19">
        <v>0.83</v>
      </c>
      <c r="N33" s="21">
        <v>-6.39</v>
      </c>
      <c r="O33" s="21">
        <v>-19.25</v>
      </c>
      <c r="P33" s="21">
        <v>-29.13</v>
      </c>
      <c r="Q33" s="21">
        <v>-16.08</v>
      </c>
      <c r="R33" s="21">
        <v>-1.7</v>
      </c>
      <c r="S33" s="21">
        <v>-12.19</v>
      </c>
      <c r="T33" s="21">
        <v>-9.72</v>
      </c>
      <c r="U33" s="21">
        <v>-4.93</v>
      </c>
      <c r="V33" s="21">
        <v>-5.62</v>
      </c>
      <c r="W33" s="21">
        <v>-10.85</v>
      </c>
    </row>
    <row r="34" ht="15.0" customHeight="1">
      <c r="A34" s="14" t="s">
        <v>324</v>
      </c>
      <c r="B34" s="21">
        <v>-8.26</v>
      </c>
      <c r="C34" s="21">
        <v>-8.43</v>
      </c>
      <c r="D34" s="21">
        <v>-11.08</v>
      </c>
      <c r="E34" s="21">
        <v>-14.01</v>
      </c>
      <c r="F34" s="21">
        <v>-11.63</v>
      </c>
      <c r="G34" s="21">
        <v>-39.67</v>
      </c>
      <c r="H34" s="21">
        <v>-4.14</v>
      </c>
      <c r="I34" s="21">
        <v>-39.11</v>
      </c>
      <c r="J34" s="21">
        <v>-18.54</v>
      </c>
      <c r="K34" s="26">
        <v>-419.67</v>
      </c>
      <c r="L34" s="21">
        <v>-75.95</v>
      </c>
      <c r="M34" s="19">
        <v>48.52</v>
      </c>
      <c r="N34" s="21">
        <v>-1.34</v>
      </c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192</v>
      </c>
      <c r="B35" s="19">
        <v>21.5</v>
      </c>
      <c r="C35" s="19">
        <v>7.19</v>
      </c>
      <c r="D35" s="19">
        <v>63.14</v>
      </c>
      <c r="E35" s="21">
        <v>-54.92</v>
      </c>
      <c r="F35" s="21">
        <v>-22.9</v>
      </c>
      <c r="G35" s="19">
        <v>9.23</v>
      </c>
      <c r="H35" s="21">
        <v>-0.14</v>
      </c>
      <c r="I35" s="21">
        <v>-7.52</v>
      </c>
      <c r="J35" s="19">
        <v>0.54</v>
      </c>
      <c r="K35" s="19">
        <v>27.99</v>
      </c>
      <c r="L35" s="19">
        <v>35.64</v>
      </c>
      <c r="M35" s="19">
        <v>22.69</v>
      </c>
      <c r="N35" s="19">
        <v>45.43</v>
      </c>
      <c r="O35" s="18"/>
      <c r="P35" s="19">
        <v>29.58</v>
      </c>
      <c r="Q35" s="19">
        <v>5.86</v>
      </c>
      <c r="R35" s="19">
        <v>37.12</v>
      </c>
      <c r="S35" s="19">
        <v>34.68</v>
      </c>
      <c r="T35" s="19">
        <v>3.95</v>
      </c>
      <c r="U35" s="21">
        <v>-21.8</v>
      </c>
      <c r="V35" s="19">
        <v>22.43</v>
      </c>
      <c r="W35" s="19">
        <v>15.39</v>
      </c>
    </row>
    <row r="36" ht="15.0" customHeight="1">
      <c r="A36" s="14" t="s">
        <v>325</v>
      </c>
      <c r="B36" s="19">
        <v>1.06</v>
      </c>
      <c r="C36" s="19">
        <v>64.64</v>
      </c>
      <c r="D36" s="19">
        <v>5.76</v>
      </c>
      <c r="E36" s="19">
        <v>1.08</v>
      </c>
      <c r="F36" s="21">
        <v>-7.01</v>
      </c>
      <c r="G36" s="19">
        <v>8.96</v>
      </c>
      <c r="H36" s="19">
        <v>73.24</v>
      </c>
      <c r="I36" s="19">
        <v>1.04</v>
      </c>
      <c r="J36" s="19">
        <v>2.01</v>
      </c>
      <c r="K36" s="19">
        <v>16.15</v>
      </c>
      <c r="L36" s="19">
        <v>2.04</v>
      </c>
      <c r="M36" s="15">
        <v>102.07</v>
      </c>
      <c r="N36" s="19">
        <v>28.3</v>
      </c>
      <c r="O36" s="18"/>
      <c r="P36" s="19">
        <v>61.46</v>
      </c>
      <c r="Q36" s="21">
        <v>-21.31</v>
      </c>
      <c r="R36" s="19">
        <v>25.32</v>
      </c>
      <c r="S36" s="19">
        <v>21.26</v>
      </c>
      <c r="T36" s="19">
        <v>5.11</v>
      </c>
      <c r="U36" s="21">
        <v>-6.86</v>
      </c>
      <c r="V36" s="19">
        <v>10.5</v>
      </c>
      <c r="W36" s="19">
        <v>17.62</v>
      </c>
    </row>
    <row r="37" ht="15.0" customHeight="1">
      <c r="A37" s="14" t="s">
        <v>326</v>
      </c>
      <c r="B37" s="19">
        <v>47.13</v>
      </c>
      <c r="C37" s="21">
        <v>-58.18</v>
      </c>
      <c r="D37" s="21">
        <v>-63.59</v>
      </c>
      <c r="E37" s="19">
        <v>54.43</v>
      </c>
      <c r="F37" s="19">
        <v>17.7</v>
      </c>
      <c r="G37" s="21">
        <v>-10.68</v>
      </c>
      <c r="H37" s="21">
        <v>-60.08</v>
      </c>
      <c r="I37" s="21">
        <v>-39.02</v>
      </c>
      <c r="J37" s="19">
        <v>9.57</v>
      </c>
      <c r="K37" s="21">
        <v>-2.66</v>
      </c>
      <c r="L37" s="26">
        <v>-113.32</v>
      </c>
      <c r="M37" s="21">
        <v>-13.85</v>
      </c>
      <c r="N37" s="21">
        <v>-60.23</v>
      </c>
      <c r="O37" s="18"/>
      <c r="P37" s="19">
        <v>31.32</v>
      </c>
      <c r="Q37" s="19">
        <v>39.17</v>
      </c>
      <c r="R37" s="19">
        <v>18.3</v>
      </c>
      <c r="S37" s="19">
        <v>36.63</v>
      </c>
      <c r="T37" s="21">
        <v>-20.28</v>
      </c>
      <c r="U37" s="21">
        <v>-2.37</v>
      </c>
      <c r="V37" s="21">
        <v>-44.59</v>
      </c>
      <c r="W37" s="21">
        <v>-19.05</v>
      </c>
    </row>
    <row r="38" ht="15.0" customHeight="1">
      <c r="A38" s="14" t="s">
        <v>327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1">
        <v>-0.95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328</v>
      </c>
      <c r="B39" s="18"/>
      <c r="C39" s="22">
        <v>0.0</v>
      </c>
      <c r="D39" s="18">
        <v>0.0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6" t="s">
        <v>329</v>
      </c>
      <c r="B40" s="17">
        <v>111.11</v>
      </c>
      <c r="C40" s="23">
        <v>71.77</v>
      </c>
      <c r="D40" s="23">
        <v>82.49</v>
      </c>
      <c r="E40" s="17">
        <v>105.73</v>
      </c>
      <c r="F40" s="23">
        <v>66.85</v>
      </c>
      <c r="G40" s="23">
        <v>35.01</v>
      </c>
      <c r="H40" s="23">
        <v>93.5</v>
      </c>
      <c r="I40" s="24">
        <v>-54.73</v>
      </c>
      <c r="J40" s="23">
        <v>48.27</v>
      </c>
      <c r="K40" s="23">
        <v>53.2</v>
      </c>
      <c r="L40" s="25">
        <v>-142.67</v>
      </c>
      <c r="M40" s="23">
        <v>88.97</v>
      </c>
      <c r="N40" s="24">
        <v>-56.9</v>
      </c>
      <c r="O40" s="24">
        <v>-1.46</v>
      </c>
      <c r="P40" s="17">
        <v>128.81</v>
      </c>
      <c r="Q40" s="23">
        <v>44.24</v>
      </c>
      <c r="R40" s="17">
        <v>151.01</v>
      </c>
      <c r="S40" s="17">
        <v>171.51</v>
      </c>
      <c r="T40" s="23">
        <v>58.65</v>
      </c>
      <c r="U40" s="23">
        <v>29.16</v>
      </c>
      <c r="V40" s="23">
        <v>81.1</v>
      </c>
      <c r="W40" s="17">
        <v>145.68</v>
      </c>
    </row>
    <row r="41" ht="15.0" customHeight="1">
      <c r="A41" s="14" t="s">
        <v>330</v>
      </c>
      <c r="B41" s="21">
        <v>-37.81</v>
      </c>
      <c r="C41" s="21">
        <v>-46.87</v>
      </c>
      <c r="D41" s="21">
        <v>-29.18</v>
      </c>
      <c r="E41" s="21">
        <v>-49.02</v>
      </c>
      <c r="F41" s="21">
        <v>-21.6</v>
      </c>
      <c r="G41" s="21">
        <v>-23.55</v>
      </c>
      <c r="H41" s="21">
        <v>-23.16</v>
      </c>
      <c r="I41" s="21">
        <v>-18.46</v>
      </c>
      <c r="J41" s="21">
        <v>-14.78</v>
      </c>
      <c r="K41" s="21">
        <v>-27.2</v>
      </c>
      <c r="L41" s="21">
        <v>-27.15</v>
      </c>
      <c r="M41" s="21">
        <v>-33.03</v>
      </c>
      <c r="N41" s="21">
        <v>-48.08</v>
      </c>
      <c r="O41" s="18"/>
      <c r="P41" s="21">
        <v>-65.94</v>
      </c>
      <c r="Q41" s="21">
        <v>-57.07</v>
      </c>
      <c r="R41" s="21">
        <v>-30.17</v>
      </c>
      <c r="S41" s="21">
        <v>-47.48</v>
      </c>
      <c r="T41" s="21">
        <v>-47.82</v>
      </c>
      <c r="U41" s="21">
        <v>-45.71</v>
      </c>
      <c r="V41" s="21">
        <v>-28.09</v>
      </c>
      <c r="W41" s="21">
        <v>-13.84</v>
      </c>
    </row>
    <row r="42" ht="15.0" customHeight="1">
      <c r="A42" s="14" t="s">
        <v>331</v>
      </c>
      <c r="B42" s="19">
        <v>22.67</v>
      </c>
      <c r="C42" s="19">
        <v>14.01</v>
      </c>
      <c r="D42" s="19">
        <v>9.61</v>
      </c>
      <c r="E42" s="19">
        <v>12.09</v>
      </c>
      <c r="F42" s="19">
        <v>14.58</v>
      </c>
      <c r="G42" s="19">
        <v>20.18</v>
      </c>
      <c r="H42" s="19">
        <v>2.07</v>
      </c>
      <c r="I42" s="19">
        <v>12.64</v>
      </c>
      <c r="J42" s="19">
        <v>5.1</v>
      </c>
      <c r="K42" s="19">
        <v>3.37</v>
      </c>
      <c r="L42" s="19">
        <v>97.79</v>
      </c>
      <c r="M42" s="19">
        <v>31.16</v>
      </c>
      <c r="N42" s="19">
        <v>17.23</v>
      </c>
      <c r="O42" s="18"/>
      <c r="P42" s="19">
        <v>91.37</v>
      </c>
      <c r="Q42" s="19">
        <v>34.19</v>
      </c>
      <c r="R42" s="19">
        <v>22.45</v>
      </c>
      <c r="S42" s="19">
        <v>7.09</v>
      </c>
      <c r="T42" s="19">
        <v>11.72</v>
      </c>
      <c r="U42" s="19">
        <v>49.27</v>
      </c>
      <c r="V42" s="19">
        <v>40.0</v>
      </c>
      <c r="W42" s="18"/>
    </row>
    <row r="43" ht="15.0" customHeight="1">
      <c r="A43" s="14" t="s">
        <v>332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>
        <v>0.0</v>
      </c>
      <c r="M43" s="21">
        <v>-0.59</v>
      </c>
      <c r="N43" s="19">
        <v>5.72</v>
      </c>
      <c r="O43" s="18"/>
      <c r="P43" s="21">
        <v>-35.78</v>
      </c>
      <c r="Q43" s="26">
        <v>-254.07</v>
      </c>
      <c r="R43" s="21">
        <v>-4.27</v>
      </c>
      <c r="S43" s="21">
        <v>-7.73</v>
      </c>
      <c r="T43" s="21">
        <v>-21.71</v>
      </c>
      <c r="U43" s="21">
        <v>-36.71</v>
      </c>
      <c r="V43" s="18">
        <v>0.0</v>
      </c>
      <c r="W43" s="21">
        <v>-62.83</v>
      </c>
    </row>
    <row r="44" ht="15.0" customHeight="1">
      <c r="A44" s="14" t="s">
        <v>333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1">
        <v>-30.77</v>
      </c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334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>
        <v>0.0</v>
      </c>
      <c r="U45" s="21">
        <v>-1.73</v>
      </c>
      <c r="V45" s="18">
        <v>0.0</v>
      </c>
      <c r="W45" s="19">
        <v>1.28</v>
      </c>
    </row>
    <row r="46" ht="15.0" customHeight="1">
      <c r="A46" s="14" t="s">
        <v>335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>
        <v>0.0</v>
      </c>
      <c r="U46" s="21">
        <v>-0.17</v>
      </c>
      <c r="V46" s="21">
        <v>-2.63</v>
      </c>
      <c r="W46" s="18">
        <v>0.0</v>
      </c>
    </row>
    <row r="47" ht="15.0" customHeight="1">
      <c r="A47" s="14" t="s">
        <v>336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>
        <v>0.0</v>
      </c>
      <c r="V47" s="19">
        <v>0.75</v>
      </c>
      <c r="W47" s="18"/>
    </row>
    <row r="48" ht="15.0" customHeight="1">
      <c r="A48" s="16" t="s">
        <v>337</v>
      </c>
      <c r="B48" s="24">
        <v>-15.15</v>
      </c>
      <c r="C48" s="24">
        <v>-32.86</v>
      </c>
      <c r="D48" s="24">
        <v>-19.57</v>
      </c>
      <c r="E48" s="24">
        <v>-36.93</v>
      </c>
      <c r="F48" s="24">
        <v>-7.02</v>
      </c>
      <c r="G48" s="24">
        <v>-3.37</v>
      </c>
      <c r="H48" s="24">
        <v>-21.09</v>
      </c>
      <c r="I48" s="24">
        <v>-5.82</v>
      </c>
      <c r="J48" s="24">
        <v>-9.68</v>
      </c>
      <c r="K48" s="24">
        <v>-23.84</v>
      </c>
      <c r="L48" s="23">
        <v>70.64</v>
      </c>
      <c r="M48" s="24">
        <v>-2.46</v>
      </c>
      <c r="N48" s="24">
        <v>-25.14</v>
      </c>
      <c r="O48" s="24">
        <v>-30.77</v>
      </c>
      <c r="P48" s="24">
        <v>-10.36</v>
      </c>
      <c r="Q48" s="25">
        <v>-276.96</v>
      </c>
      <c r="R48" s="24">
        <v>-11.99</v>
      </c>
      <c r="S48" s="24">
        <v>-48.12</v>
      </c>
      <c r="T48" s="24">
        <v>-57.81</v>
      </c>
      <c r="U48" s="24">
        <v>-35.05</v>
      </c>
      <c r="V48" s="23">
        <v>10.03</v>
      </c>
      <c r="W48" s="24">
        <v>-75.39</v>
      </c>
    </row>
    <row r="49" ht="15.0" customHeight="1">
      <c r="A49" s="14" t="s">
        <v>338</v>
      </c>
      <c r="B49" s="18"/>
      <c r="C49" s="18"/>
      <c r="D49" s="18"/>
      <c r="E49" s="18"/>
      <c r="F49" s="18"/>
      <c r="G49" s="18"/>
      <c r="H49" s="18"/>
      <c r="I49" s="18"/>
      <c r="J49" s="18">
        <v>0.0</v>
      </c>
      <c r="K49" s="26">
        <v>-191.48</v>
      </c>
      <c r="L49" s="18">
        <v>0.0</v>
      </c>
      <c r="M49" s="21">
        <v>-75.29</v>
      </c>
      <c r="N49" s="26">
        <v>-203.29</v>
      </c>
      <c r="O49" s="18"/>
      <c r="P49" s="26">
        <v>-114.48</v>
      </c>
      <c r="Q49" s="21">
        <v>-60.41</v>
      </c>
      <c r="R49" s="26">
        <v>-193.97</v>
      </c>
      <c r="S49" s="26">
        <v>-137.08</v>
      </c>
      <c r="T49" s="21">
        <v>-42.93</v>
      </c>
      <c r="U49" s="21">
        <v>-35.78</v>
      </c>
      <c r="V49" s="21">
        <v>-68.09</v>
      </c>
      <c r="W49" s="26">
        <v>-136.6</v>
      </c>
    </row>
    <row r="50" ht="15.0" customHeight="1">
      <c r="A50" s="14" t="s">
        <v>339</v>
      </c>
      <c r="B50" s="18"/>
      <c r="C50" s="19">
        <v>78.04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340</v>
      </c>
      <c r="B51" s="18"/>
      <c r="C51" s="18"/>
      <c r="D51" s="18"/>
      <c r="E51" s="18"/>
      <c r="F51" s="18"/>
      <c r="G51" s="18"/>
      <c r="H51" s="21">
        <v>-0.39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341</v>
      </c>
      <c r="B52" s="18"/>
      <c r="C52" s="18"/>
      <c r="D52" s="18"/>
      <c r="E52" s="18"/>
      <c r="F52" s="18"/>
      <c r="G52" s="18">
        <v>0.0</v>
      </c>
      <c r="H52" s="21">
        <v>-0.11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341</v>
      </c>
      <c r="B53" s="18"/>
      <c r="C53" s="18"/>
      <c r="D53" s="18"/>
      <c r="E53" s="18"/>
      <c r="F53" s="18"/>
      <c r="G53" s="18"/>
      <c r="H53" s="18"/>
      <c r="I53" s="19">
        <v>0.11</v>
      </c>
      <c r="J53" s="18"/>
      <c r="K53" s="19">
        <v>10.11</v>
      </c>
      <c r="L53" s="15">
        <v>214.56</v>
      </c>
      <c r="M53" s="18"/>
      <c r="N53" s="19">
        <v>76.15</v>
      </c>
      <c r="O53" s="18"/>
      <c r="P53" s="19">
        <v>15.66</v>
      </c>
      <c r="Q53" s="15">
        <v>375.17</v>
      </c>
      <c r="R53" s="19">
        <v>49.38</v>
      </c>
      <c r="S53" s="19">
        <v>86.5</v>
      </c>
      <c r="T53" s="19">
        <v>39.94</v>
      </c>
      <c r="U53" s="19">
        <v>15.96</v>
      </c>
      <c r="V53" s="18">
        <v>0.0</v>
      </c>
      <c r="W53" s="19">
        <v>22.81</v>
      </c>
    </row>
    <row r="54" ht="15.0" customHeight="1">
      <c r="A54" s="14" t="s">
        <v>341</v>
      </c>
      <c r="B54" s="18"/>
      <c r="C54" s="18"/>
      <c r="D54" s="18"/>
      <c r="E54" s="18"/>
      <c r="F54" s="18"/>
      <c r="G54" s="18"/>
      <c r="H54" s="18"/>
      <c r="I54" s="18"/>
      <c r="J54" s="21">
        <v>-2.87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340</v>
      </c>
      <c r="B55" s="21">
        <v>-31.99</v>
      </c>
      <c r="C55" s="21">
        <v>-93.3</v>
      </c>
      <c r="D55" s="21">
        <v>-31.54</v>
      </c>
      <c r="E55" s="21">
        <v>-25.02</v>
      </c>
      <c r="F55" s="19">
        <v>2.34</v>
      </c>
      <c r="G55" s="19">
        <v>34.33</v>
      </c>
      <c r="H55" s="18"/>
      <c r="I55" s="19">
        <v>9.4</v>
      </c>
      <c r="J55" s="21">
        <v>-1.33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342</v>
      </c>
      <c r="B56" s="18"/>
      <c r="C56" s="18"/>
      <c r="D56" s="18"/>
      <c r="E56" s="18"/>
      <c r="F56" s="18"/>
      <c r="G56" s="18"/>
      <c r="H56" s="18"/>
      <c r="I56" s="18">
        <v>0.0</v>
      </c>
      <c r="J56" s="21">
        <v>-2.84</v>
      </c>
      <c r="K56" s="21">
        <v>-1.47</v>
      </c>
      <c r="L56" s="18"/>
      <c r="M56" s="18"/>
      <c r="N56" s="18">
        <v>0.0</v>
      </c>
      <c r="O56" s="18"/>
      <c r="P56" s="21">
        <v>-17.46</v>
      </c>
      <c r="Q56" s="21">
        <v>-11.12</v>
      </c>
      <c r="R56" s="21">
        <v>-13.68</v>
      </c>
      <c r="S56" s="21">
        <v>-11.23</v>
      </c>
      <c r="T56" s="21">
        <v>-11.29</v>
      </c>
      <c r="U56" s="18">
        <v>0.0</v>
      </c>
      <c r="V56" s="18"/>
      <c r="W56" s="18"/>
    </row>
    <row r="57" ht="15.0" customHeight="1">
      <c r="A57" s="14" t="s">
        <v>343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v>0.0</v>
      </c>
      <c r="P57" s="18"/>
      <c r="Q57" s="18"/>
      <c r="R57" s="18"/>
      <c r="S57" s="18"/>
      <c r="T57" s="18"/>
      <c r="U57" s="19">
        <v>0.65</v>
      </c>
      <c r="V57" s="18">
        <v>0.0</v>
      </c>
      <c r="W57" s="18"/>
    </row>
    <row r="58" ht="15.0" customHeight="1">
      <c r="A58" s="14" t="s">
        <v>344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>
        <v>0.0</v>
      </c>
      <c r="N58" s="15">
        <v>181.19</v>
      </c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345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>
        <v>0.0</v>
      </c>
      <c r="T59" s="19">
        <v>0.09</v>
      </c>
      <c r="U59" s="18">
        <v>0.0</v>
      </c>
      <c r="V59" s="19">
        <v>1.42</v>
      </c>
      <c r="W59" s="18">
        <v>0.0</v>
      </c>
    </row>
    <row r="60" ht="15.0" customHeight="1">
      <c r="A60" s="14" t="s">
        <v>346</v>
      </c>
      <c r="B60" s="21">
        <v>-47.34</v>
      </c>
      <c r="C60" s="21">
        <v>-53.44</v>
      </c>
      <c r="D60" s="21">
        <v>-48.57</v>
      </c>
      <c r="E60" s="21">
        <v>-44.23</v>
      </c>
      <c r="F60" s="21">
        <v>-39.83</v>
      </c>
      <c r="G60" s="21">
        <v>-49.97</v>
      </c>
      <c r="H60" s="21">
        <v>-47.69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6" t="s">
        <v>347</v>
      </c>
      <c r="B61" s="24">
        <v>-79.33</v>
      </c>
      <c r="C61" s="24">
        <v>-68.69</v>
      </c>
      <c r="D61" s="24">
        <v>-80.11</v>
      </c>
      <c r="E61" s="24">
        <v>-69.25</v>
      </c>
      <c r="F61" s="24">
        <v>-37.49</v>
      </c>
      <c r="G61" s="24">
        <v>-15.63</v>
      </c>
      <c r="H61" s="24">
        <v>-48.19</v>
      </c>
      <c r="I61" s="23">
        <v>9.51</v>
      </c>
      <c r="J61" s="24">
        <v>-7.04</v>
      </c>
      <c r="K61" s="25">
        <v>-182.85</v>
      </c>
      <c r="L61" s="17">
        <v>214.56</v>
      </c>
      <c r="M61" s="24">
        <v>-75.29</v>
      </c>
      <c r="N61" s="23">
        <v>54.04</v>
      </c>
      <c r="O61" s="20">
        <v>0.0</v>
      </c>
      <c r="P61" s="25">
        <v>-116.28</v>
      </c>
      <c r="Q61" s="17">
        <v>303.64</v>
      </c>
      <c r="R61" s="25">
        <v>-158.28</v>
      </c>
      <c r="S61" s="24">
        <v>-61.81</v>
      </c>
      <c r="T61" s="24">
        <v>-14.18</v>
      </c>
      <c r="U61" s="24">
        <v>-19.16</v>
      </c>
      <c r="V61" s="24">
        <v>-66.67</v>
      </c>
      <c r="W61" s="25">
        <v>-113.79</v>
      </c>
    </row>
    <row r="62" ht="15.0" customHeight="1">
      <c r="A62" s="14" t="s">
        <v>348</v>
      </c>
      <c r="B62" s="19">
        <v>16.63</v>
      </c>
      <c r="C62" s="21">
        <v>-29.78</v>
      </c>
      <c r="D62" s="21">
        <v>-17.19</v>
      </c>
      <c r="E62" s="21">
        <v>-0.44</v>
      </c>
      <c r="F62" s="19">
        <v>22.34</v>
      </c>
      <c r="G62" s="19">
        <v>16.01</v>
      </c>
      <c r="H62" s="19">
        <v>24.22</v>
      </c>
      <c r="I62" s="21">
        <v>-51.05</v>
      </c>
      <c r="J62" s="19">
        <v>31.55</v>
      </c>
      <c r="K62" s="26">
        <v>-153.48</v>
      </c>
      <c r="L62" s="15">
        <v>142.53</v>
      </c>
      <c r="M62" s="19">
        <v>11.22</v>
      </c>
      <c r="N62" s="21">
        <v>-28.0</v>
      </c>
      <c r="O62" s="21">
        <v>-32.23</v>
      </c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349</v>
      </c>
      <c r="B63" s="15">
        <v>113.28</v>
      </c>
      <c r="C63" s="15">
        <v>133.0</v>
      </c>
      <c r="D63" s="15">
        <v>145.7</v>
      </c>
      <c r="E63" s="15">
        <v>127.33</v>
      </c>
      <c r="F63" s="15">
        <v>107.29</v>
      </c>
      <c r="G63" s="15">
        <v>104.12</v>
      </c>
      <c r="H63" s="19">
        <v>67.88</v>
      </c>
      <c r="I63" s="15">
        <v>121.09</v>
      </c>
      <c r="J63" s="19">
        <v>89.92</v>
      </c>
      <c r="K63" s="15">
        <v>231.68</v>
      </c>
      <c r="L63" s="15">
        <v>101.25</v>
      </c>
      <c r="M63" s="19">
        <v>78.26</v>
      </c>
      <c r="N63" s="15">
        <v>105.79</v>
      </c>
      <c r="O63" s="15">
        <v>129.6</v>
      </c>
      <c r="P63" s="15">
        <v>129.67</v>
      </c>
      <c r="Q63" s="19">
        <v>64.46</v>
      </c>
      <c r="R63" s="19">
        <v>80.17</v>
      </c>
      <c r="S63" s="19">
        <v>21.54</v>
      </c>
      <c r="T63" s="19">
        <v>32.29</v>
      </c>
      <c r="U63" s="19">
        <v>63.05</v>
      </c>
      <c r="V63" s="19">
        <v>32.75</v>
      </c>
      <c r="W63" s="19">
        <v>78.25</v>
      </c>
    </row>
    <row r="64" ht="15.0" customHeight="1">
      <c r="A64" s="14" t="s">
        <v>350</v>
      </c>
      <c r="B64" s="21">
        <v>-8.05</v>
      </c>
      <c r="C64" s="19">
        <v>3.55</v>
      </c>
      <c r="D64" s="19">
        <v>1.9</v>
      </c>
      <c r="E64" s="19">
        <v>9.41</v>
      </c>
      <c r="F64" s="19">
        <v>2.88</v>
      </c>
      <c r="G64" s="21">
        <v>-5.36</v>
      </c>
      <c r="H64" s="19">
        <v>1.22</v>
      </c>
      <c r="I64" s="19">
        <v>2.64</v>
      </c>
      <c r="J64" s="19">
        <v>1.59</v>
      </c>
      <c r="K64" s="19">
        <v>1.82</v>
      </c>
      <c r="L64" s="21">
        <v>-1.44</v>
      </c>
      <c r="M64" s="19">
        <v>2.65</v>
      </c>
      <c r="N64" s="19">
        <v>0.38</v>
      </c>
      <c r="O64" s="21">
        <v>-1.38</v>
      </c>
      <c r="P64" s="21">
        <v>-0.43</v>
      </c>
      <c r="Q64" s="21">
        <v>-7.81</v>
      </c>
      <c r="R64" s="21">
        <v>-1.16</v>
      </c>
      <c r="S64" s="19">
        <v>2.45</v>
      </c>
      <c r="T64" s="19">
        <v>1.05</v>
      </c>
      <c r="U64" s="21">
        <v>-1.79</v>
      </c>
      <c r="V64" s="19">
        <v>2.04</v>
      </c>
      <c r="W64" s="19">
        <v>0.27</v>
      </c>
    </row>
    <row r="65" ht="15.0" customHeight="1">
      <c r="A65" s="14" t="s">
        <v>351</v>
      </c>
      <c r="B65" s="15">
        <v>122.14</v>
      </c>
      <c r="C65" s="15">
        <v>106.48</v>
      </c>
      <c r="D65" s="15">
        <v>130.24</v>
      </c>
      <c r="E65" s="15">
        <v>136.22</v>
      </c>
      <c r="F65" s="15">
        <v>131.8</v>
      </c>
      <c r="G65" s="15">
        <v>114.99</v>
      </c>
      <c r="H65" s="19">
        <v>93.5</v>
      </c>
      <c r="I65" s="19">
        <v>70.64</v>
      </c>
      <c r="J65" s="15">
        <v>124.16</v>
      </c>
      <c r="K65" s="19">
        <v>85.21</v>
      </c>
      <c r="L65" s="15">
        <v>255.68</v>
      </c>
      <c r="M65" s="19">
        <v>92.73</v>
      </c>
      <c r="N65" s="18"/>
      <c r="O65" s="19">
        <v>96.13</v>
      </c>
      <c r="P65" s="15">
        <v>131.42</v>
      </c>
      <c r="Q65" s="15">
        <v>129.67</v>
      </c>
      <c r="R65" s="19">
        <v>60.11</v>
      </c>
      <c r="S65" s="19">
        <v>88.11</v>
      </c>
      <c r="T65" s="19">
        <v>20.38</v>
      </c>
      <c r="U65" s="19">
        <v>34.96</v>
      </c>
      <c r="V65" s="19">
        <v>58.8</v>
      </c>
      <c r="W65" s="19">
        <v>35.23</v>
      </c>
    </row>
    <row r="66" ht="15.0" customHeight="1">
      <c r="A66" s="16" t="s">
        <v>352</v>
      </c>
      <c r="B66" s="23">
        <v>8.58</v>
      </c>
      <c r="C66" s="24">
        <v>-26.23</v>
      </c>
      <c r="D66" s="24">
        <v>-15.29</v>
      </c>
      <c r="E66" s="23">
        <v>8.97</v>
      </c>
      <c r="F66" s="23">
        <v>25.22</v>
      </c>
      <c r="G66" s="23">
        <v>10.65</v>
      </c>
      <c r="H66" s="23">
        <v>25.43</v>
      </c>
      <c r="I66" s="24">
        <v>-48.41</v>
      </c>
      <c r="J66" s="23">
        <v>33.14</v>
      </c>
      <c r="K66" s="25">
        <v>-151.66</v>
      </c>
      <c r="L66" s="17">
        <v>141.09</v>
      </c>
      <c r="M66" s="23">
        <v>13.87</v>
      </c>
      <c r="N66" s="24">
        <v>-27.62</v>
      </c>
      <c r="O66" s="24">
        <v>-33.6</v>
      </c>
      <c r="P66" s="23">
        <v>1.74</v>
      </c>
      <c r="Q66" s="23">
        <v>63.12</v>
      </c>
      <c r="R66" s="24">
        <v>-20.41</v>
      </c>
      <c r="S66" s="23">
        <v>64.03</v>
      </c>
      <c r="T66" s="24">
        <v>-12.28</v>
      </c>
      <c r="U66" s="24">
        <v>-26.84</v>
      </c>
      <c r="V66" s="23">
        <v>26.5</v>
      </c>
      <c r="W66" s="24">
        <v>-43.22</v>
      </c>
    </row>
    <row r="67" ht="15.0" customHeight="1">
      <c r="A67" s="14" t="s">
        <v>353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21">
        <v>-16.08</v>
      </c>
      <c r="R67" s="21">
        <v>-1.7</v>
      </c>
      <c r="S67" s="21">
        <v>-12.19</v>
      </c>
      <c r="T67" s="21">
        <v>-9.72</v>
      </c>
      <c r="U67" s="21">
        <v>-4.93</v>
      </c>
      <c r="V67" s="21">
        <v>-5.62</v>
      </c>
      <c r="W67" s="21">
        <v>-10.85</v>
      </c>
    </row>
    <row r="68" ht="15.0" customHeight="1">
      <c r="A68" s="14" t="s">
        <v>354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21">
        <v>-51.67</v>
      </c>
      <c r="T68" s="21">
        <v>-43.07</v>
      </c>
      <c r="U68" s="21">
        <v>-35.33</v>
      </c>
      <c r="V68" s="21">
        <v>-32.88</v>
      </c>
      <c r="W68" s="21">
        <v>-40.26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46092.4136339815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356</v>
      </c>
      <c r="X11" s="7" t="s">
        <v>357</v>
      </c>
      <c r="Y11" s="7" t="s">
        <v>358</v>
      </c>
      <c r="Z11" s="7" t="s">
        <v>359</v>
      </c>
      <c r="AA11" s="7" t="s">
        <v>360</v>
      </c>
      <c r="AB11" s="7" t="s">
        <v>361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40543.0</v>
      </c>
      <c r="R13" s="9">
        <v>40086.0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37802.0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363</v>
      </c>
      <c r="X19" s="13" t="s">
        <v>364</v>
      </c>
      <c r="Y19" s="13" t="s">
        <v>365</v>
      </c>
      <c r="Z19" s="13" t="s">
        <v>366</v>
      </c>
      <c r="AA19" s="13" t="s">
        <v>367</v>
      </c>
      <c r="AB19" s="13" t="s">
        <v>368</v>
      </c>
    </row>
    <row r="20" ht="15.0" customHeight="1">
      <c r="A20" s="28" t="s">
        <v>369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369</v>
      </c>
      <c r="B21" s="31">
        <v>484.34</v>
      </c>
      <c r="C21" s="31">
        <v>450.91</v>
      </c>
      <c r="D21" s="31">
        <v>489.65</v>
      </c>
      <c r="E21" s="31">
        <v>392.13</v>
      </c>
      <c r="F21" s="31">
        <v>375.58</v>
      </c>
      <c r="G21" s="31">
        <v>297.19</v>
      </c>
      <c r="H21" s="31">
        <v>326.12</v>
      </c>
      <c r="I21" s="31">
        <v>272.33</v>
      </c>
      <c r="J21" s="31">
        <v>255.15</v>
      </c>
      <c r="K21" s="31">
        <v>866.64</v>
      </c>
      <c r="L21" s="31">
        <v>670.6</v>
      </c>
      <c r="M21" s="31">
        <v>790.47</v>
      </c>
      <c r="N21" s="31">
        <v>805.02</v>
      </c>
      <c r="O21" s="31">
        <v>954.11</v>
      </c>
      <c r="P21" s="31">
        <v>1237.02</v>
      </c>
      <c r="Q21" s="31">
        <v>600.66</v>
      </c>
      <c r="R21" s="31">
        <v>687.02</v>
      </c>
      <c r="S21" s="31">
        <v>1059.39</v>
      </c>
      <c r="T21" s="31">
        <v>1436.21</v>
      </c>
      <c r="U21" s="31">
        <v>1220.09</v>
      </c>
      <c r="V21" s="31">
        <v>1021.62</v>
      </c>
      <c r="W21" s="31">
        <v>937.38</v>
      </c>
      <c r="X21" s="31">
        <v>908.72</v>
      </c>
      <c r="Y21" s="31">
        <v>1568.16</v>
      </c>
      <c r="Z21" s="31">
        <v>2073.09</v>
      </c>
      <c r="AA21" s="31">
        <v>853.6</v>
      </c>
      <c r="AB21" s="31">
        <v>606.35</v>
      </c>
    </row>
    <row r="22" ht="15.0" customHeight="1">
      <c r="A22" s="30" t="s">
        <v>370</v>
      </c>
      <c r="B22" s="31">
        <v>452.64</v>
      </c>
      <c r="C22" s="31">
        <v>412.21</v>
      </c>
      <c r="D22" s="31">
        <v>363.99</v>
      </c>
      <c r="E22" s="31">
        <v>328.42</v>
      </c>
      <c r="F22" s="31">
        <v>324.12</v>
      </c>
      <c r="G22" s="31">
        <v>378.89</v>
      </c>
      <c r="H22" s="31">
        <v>469.02</v>
      </c>
      <c r="I22" s="31">
        <v>581.91</v>
      </c>
      <c r="J22" s="31">
        <v>678.22</v>
      </c>
      <c r="K22" s="31">
        <v>922.32</v>
      </c>
      <c r="L22" s="31">
        <v>959.28</v>
      </c>
      <c r="M22" s="31">
        <v>951.27</v>
      </c>
      <c r="N22" s="31">
        <v>852.72</v>
      </c>
      <c r="O22" s="31">
        <v>919.76</v>
      </c>
      <c r="P22" s="31">
        <v>1002.61</v>
      </c>
      <c r="Q22" s="31">
        <v>936.76</v>
      </c>
      <c r="R22" s="31">
        <v>1096.41</v>
      </c>
      <c r="S22" s="31">
        <v>1077.06</v>
      </c>
      <c r="T22" s="31">
        <v>1144.06</v>
      </c>
      <c r="U22" s="31">
        <v>1110.12</v>
      </c>
      <c r="V22" s="31">
        <v>1338.12</v>
      </c>
      <c r="W22" s="31">
        <v>1318.78</v>
      </c>
      <c r="X22" s="31">
        <v>1076.81</v>
      </c>
      <c r="Y22" s="32"/>
      <c r="Z22" s="32"/>
      <c r="AA22" s="32"/>
      <c r="AB22" s="32"/>
    </row>
    <row r="23" ht="15.0" customHeight="1">
      <c r="A23" s="28" t="s">
        <v>371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371</v>
      </c>
      <c r="B24" s="31">
        <v>171.11</v>
      </c>
      <c r="C24" s="31">
        <v>197.75</v>
      </c>
      <c r="D24" s="31">
        <v>222.66</v>
      </c>
      <c r="E24" s="31">
        <v>174.08</v>
      </c>
      <c r="F24" s="31">
        <v>129.68</v>
      </c>
      <c r="G24" s="31">
        <v>144.96</v>
      </c>
      <c r="H24" s="31">
        <v>195.8</v>
      </c>
      <c r="I24" s="31">
        <v>200.77</v>
      </c>
      <c r="J24" s="31">
        <v>172.25</v>
      </c>
      <c r="K24" s="31">
        <v>196.75</v>
      </c>
      <c r="L24" s="31">
        <v>133.64</v>
      </c>
      <c r="M24" s="31">
        <v>222.94</v>
      </c>
      <c r="N24" s="31">
        <v>132.43</v>
      </c>
      <c r="O24" s="31">
        <v>271.51</v>
      </c>
      <c r="P24" s="31">
        <v>473.23</v>
      </c>
      <c r="Q24" s="31">
        <v>223.07</v>
      </c>
      <c r="R24" s="31">
        <v>143.01</v>
      </c>
      <c r="S24" s="31">
        <v>467.03</v>
      </c>
      <c r="T24" s="31">
        <v>805.62</v>
      </c>
      <c r="U24" s="31">
        <v>706.77</v>
      </c>
      <c r="V24" s="31">
        <v>415.75</v>
      </c>
      <c r="W24" s="31">
        <v>289.36</v>
      </c>
      <c r="X24" s="31">
        <v>332.13</v>
      </c>
      <c r="Y24" s="31">
        <v>630.97</v>
      </c>
      <c r="Z24" s="31">
        <v>1165.06</v>
      </c>
      <c r="AA24" s="31">
        <v>619.05</v>
      </c>
      <c r="AB24" s="31">
        <v>374.66</v>
      </c>
    </row>
    <row r="25" ht="15.0" customHeight="1">
      <c r="A25" s="30" t="s">
        <v>372</v>
      </c>
      <c r="B25" s="31">
        <v>185.52</v>
      </c>
      <c r="C25" s="31">
        <v>179.29</v>
      </c>
      <c r="D25" s="31">
        <v>168.42</v>
      </c>
      <c r="E25" s="31">
        <v>167.33</v>
      </c>
      <c r="F25" s="31">
        <v>179.96</v>
      </c>
      <c r="G25" s="31">
        <v>173.57</v>
      </c>
      <c r="H25" s="31">
        <v>177.67</v>
      </c>
      <c r="I25" s="31">
        <v>189.37</v>
      </c>
      <c r="J25" s="31">
        <v>170.76</v>
      </c>
      <c r="K25" s="31">
        <v>215.93</v>
      </c>
      <c r="L25" s="31">
        <v>266.27</v>
      </c>
      <c r="M25" s="31">
        <v>287.5</v>
      </c>
      <c r="N25" s="31">
        <v>248.17</v>
      </c>
      <c r="O25" s="31">
        <v>321.08</v>
      </c>
      <c r="P25" s="31">
        <v>420.3</v>
      </c>
      <c r="Q25" s="31">
        <v>438.37</v>
      </c>
      <c r="R25" s="31">
        <v>513.69</v>
      </c>
      <c r="S25" s="31">
        <v>511.28</v>
      </c>
      <c r="T25" s="31">
        <v>528.21</v>
      </c>
      <c r="U25" s="31">
        <v>467.5</v>
      </c>
      <c r="V25" s="31">
        <v>579.27</v>
      </c>
      <c r="W25" s="31">
        <v>625.39</v>
      </c>
      <c r="X25" s="31">
        <v>552.14</v>
      </c>
      <c r="Y25" s="32"/>
      <c r="Z25" s="32"/>
      <c r="AA25" s="32"/>
      <c r="AB25" s="32"/>
    </row>
    <row r="26" ht="15.0" customHeight="1">
      <c r="A26" s="28" t="s">
        <v>373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374</v>
      </c>
      <c r="B27" s="33">
        <v>0.81</v>
      </c>
      <c r="C27" s="33">
        <v>0.94</v>
      </c>
      <c r="D27" s="33">
        <v>1.05</v>
      </c>
      <c r="E27" s="33">
        <v>0.82</v>
      </c>
      <c r="F27" s="33">
        <v>0.61</v>
      </c>
      <c r="G27" s="33">
        <v>0.69</v>
      </c>
      <c r="H27" s="33">
        <v>0.93</v>
      </c>
      <c r="I27" s="33">
        <v>0.95</v>
      </c>
      <c r="J27" s="33">
        <v>0.82</v>
      </c>
      <c r="K27" s="33">
        <v>1.26</v>
      </c>
      <c r="L27" s="33">
        <v>0.85</v>
      </c>
      <c r="M27" s="33">
        <v>1.42</v>
      </c>
      <c r="N27" s="33">
        <v>4.46</v>
      </c>
      <c r="O27" s="33">
        <v>9.13</v>
      </c>
      <c r="P27" s="33">
        <v>15.92</v>
      </c>
      <c r="Q27" s="33">
        <v>9.99</v>
      </c>
      <c r="R27" s="33">
        <v>6.41</v>
      </c>
      <c r="S27" s="33">
        <v>20.92</v>
      </c>
      <c r="T27" s="33">
        <v>36.42</v>
      </c>
      <c r="U27" s="33">
        <v>31.96</v>
      </c>
      <c r="V27" s="33">
        <v>18.8</v>
      </c>
      <c r="W27" s="33">
        <v>13.09</v>
      </c>
      <c r="X27" s="33">
        <v>15.02</v>
      </c>
      <c r="Y27" s="33">
        <v>36.22</v>
      </c>
      <c r="Z27" s="33">
        <v>67.23</v>
      </c>
      <c r="AA27" s="33">
        <v>44.07</v>
      </c>
      <c r="AB27" s="33">
        <v>26.67</v>
      </c>
    </row>
    <row r="28" ht="15.0" customHeight="1">
      <c r="A28" s="30" t="s">
        <v>375</v>
      </c>
      <c r="B28" s="33">
        <v>0.88</v>
      </c>
      <c r="C28" s="33">
        <v>0.85</v>
      </c>
      <c r="D28" s="33">
        <v>0.8</v>
      </c>
      <c r="E28" s="33">
        <v>0.79</v>
      </c>
      <c r="F28" s="33">
        <v>0.85</v>
      </c>
      <c r="G28" s="33">
        <v>0.88</v>
      </c>
      <c r="H28" s="33">
        <v>0.95</v>
      </c>
      <c r="I28" s="33">
        <v>1.08</v>
      </c>
      <c r="J28" s="33">
        <v>1.83</v>
      </c>
      <c r="K28" s="33">
        <v>4.05</v>
      </c>
      <c r="L28" s="33">
        <v>6.99</v>
      </c>
      <c r="M28" s="33">
        <v>9.04</v>
      </c>
      <c r="N28" s="33">
        <v>9.18</v>
      </c>
      <c r="O28" s="33">
        <v>12.72</v>
      </c>
      <c r="P28" s="33">
        <v>17.84</v>
      </c>
      <c r="Q28" s="33">
        <v>19.75</v>
      </c>
      <c r="R28" s="33">
        <v>23.17</v>
      </c>
      <c r="S28" s="33">
        <v>23.08</v>
      </c>
      <c r="T28" s="33">
        <v>23.88</v>
      </c>
      <c r="U28" s="33">
        <v>22.67</v>
      </c>
      <c r="V28" s="33">
        <v>30.69</v>
      </c>
      <c r="W28" s="33">
        <v>36.0</v>
      </c>
      <c r="X28" s="33">
        <v>33.27</v>
      </c>
      <c r="Y28" s="32"/>
      <c r="Z28" s="32"/>
      <c r="AA28" s="32"/>
      <c r="AB28" s="32"/>
    </row>
    <row r="29" ht="15.0" customHeight="1">
      <c r="A29" s="28" t="s">
        <v>376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377</v>
      </c>
      <c r="B30" s="34">
        <v>14.71</v>
      </c>
      <c r="C30" s="34">
        <v>27.27</v>
      </c>
      <c r="D30" s="34">
        <v>25.23</v>
      </c>
      <c r="E30" s="34">
        <v>25.27</v>
      </c>
      <c r="F30" s="34">
        <v>9.01</v>
      </c>
      <c r="G30" s="34">
        <v>48.89</v>
      </c>
      <c r="H30" s="35">
        <v>-38.95</v>
      </c>
      <c r="I30" s="34">
        <v>17.24</v>
      </c>
      <c r="J30" s="34">
        <v>14.84</v>
      </c>
      <c r="K30" s="35">
        <v>-94.48</v>
      </c>
      <c r="L30" s="34">
        <v>43.67</v>
      </c>
      <c r="M30" s="35">
        <v>-120.61</v>
      </c>
      <c r="N30" s="35">
        <v>-1.87</v>
      </c>
      <c r="O30" s="34">
        <v>23.26</v>
      </c>
      <c r="P30" s="35">
        <v>-3.44</v>
      </c>
      <c r="Q30" s="34">
        <v>53.26</v>
      </c>
      <c r="R30" s="34">
        <v>88.79</v>
      </c>
      <c r="S30" s="34">
        <v>2.21</v>
      </c>
      <c r="T30" s="35">
        <v>-2.17</v>
      </c>
      <c r="U30" s="34">
        <v>6.75</v>
      </c>
      <c r="V30" s="34">
        <v>30.75</v>
      </c>
      <c r="W30" s="34">
        <v>10.81</v>
      </c>
      <c r="X30" s="34">
        <v>36.08</v>
      </c>
      <c r="Y30" s="35">
        <v>-5.79</v>
      </c>
      <c r="Z30" s="34">
        <v>14.19</v>
      </c>
      <c r="AA30" s="34">
        <v>6.22</v>
      </c>
      <c r="AB30" s="34">
        <v>3.53</v>
      </c>
    </row>
    <row r="31" ht="15.0" customHeight="1">
      <c r="A31" s="30" t="s">
        <v>378</v>
      </c>
      <c r="B31" s="34">
        <v>21.51</v>
      </c>
      <c r="C31" s="34">
        <v>27.53</v>
      </c>
      <c r="D31" s="34">
        <v>12.68</v>
      </c>
      <c r="E31" s="34">
        <v>10.29</v>
      </c>
      <c r="F31" s="34">
        <v>8.14</v>
      </c>
      <c r="G31" s="35">
        <v>-18.21</v>
      </c>
      <c r="H31" s="35">
        <v>-16.98</v>
      </c>
      <c r="I31" s="35">
        <v>-42.05</v>
      </c>
      <c r="J31" s="35">
        <v>-26.24</v>
      </c>
      <c r="K31" s="35">
        <v>-1.11</v>
      </c>
      <c r="L31" s="34">
        <v>0.79</v>
      </c>
      <c r="M31" s="34">
        <v>13.51</v>
      </c>
      <c r="N31" s="34">
        <v>27.4</v>
      </c>
      <c r="O31" s="34">
        <v>20.93</v>
      </c>
      <c r="P31" s="34">
        <v>11.7</v>
      </c>
      <c r="Q31" s="34">
        <v>12.45</v>
      </c>
      <c r="R31" s="34">
        <v>11.47</v>
      </c>
      <c r="S31" s="34">
        <v>7.34</v>
      </c>
      <c r="T31" s="34">
        <v>12.44</v>
      </c>
      <c r="U31" s="34">
        <v>11.04</v>
      </c>
      <c r="V31" s="34">
        <v>13.36</v>
      </c>
      <c r="W31" s="34">
        <v>9.79</v>
      </c>
      <c r="X31" s="34">
        <v>8.87</v>
      </c>
      <c r="Y31" s="34"/>
      <c r="Z31" s="34"/>
      <c r="AA31" s="34"/>
      <c r="AB31" s="34"/>
    </row>
    <row r="32" ht="15.0" customHeight="1">
      <c r="A32" s="28" t="s">
        <v>379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380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3.91</v>
      </c>
      <c r="P33" s="34">
        <v>2.24</v>
      </c>
      <c r="Q33" s="34">
        <v>3.33</v>
      </c>
      <c r="R33" s="34">
        <v>5.71</v>
      </c>
      <c r="S33" s="34">
        <v>1.65</v>
      </c>
      <c r="T33" s="34">
        <v>0.0</v>
      </c>
      <c r="U33" s="34">
        <v>0.0</v>
      </c>
      <c r="V33" s="34">
        <v>0.0</v>
      </c>
      <c r="W33" s="34">
        <v>0.0</v>
      </c>
      <c r="X33" s="34">
        <v>0.0</v>
      </c>
      <c r="Y33" s="34">
        <v>3.53</v>
      </c>
      <c r="Z33" s="34">
        <v>1.79</v>
      </c>
      <c r="AA33" s="34">
        <v>2.23</v>
      </c>
      <c r="AB33" s="34">
        <v>2.11</v>
      </c>
    </row>
    <row r="34" ht="15.0" customHeight="1">
      <c r="A34" s="30" t="s">
        <v>381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2.13</v>
      </c>
      <c r="L34" s="34">
        <v>2.26</v>
      </c>
      <c r="M34" s="34">
        <v>2.58</v>
      </c>
      <c r="N34" s="34">
        <v>3.07</v>
      </c>
      <c r="O34" s="34">
        <v>2.81</v>
      </c>
      <c r="P34" s="34">
        <v>1.6</v>
      </c>
      <c r="Q34" s="34">
        <v>1.01</v>
      </c>
      <c r="R34" s="34">
        <v>0.63</v>
      </c>
      <c r="S34" s="34">
        <v>0.3</v>
      </c>
      <c r="T34" s="34">
        <v>0.0</v>
      </c>
      <c r="U34" s="34">
        <v>1.12</v>
      </c>
      <c r="V34" s="34">
        <v>1.66</v>
      </c>
      <c r="W34" s="34">
        <v>1.97</v>
      </c>
      <c r="X34" s="34">
        <v>2.13</v>
      </c>
      <c r="Y34" s="34"/>
      <c r="Z34" s="34"/>
      <c r="AA34" s="34"/>
      <c r="AB34" s="34"/>
    </row>
    <row r="35" ht="15.0" customHeight="1">
      <c r="A35" s="30" t="s">
        <v>382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5.59</v>
      </c>
      <c r="P35" s="34">
        <v>3.21</v>
      </c>
      <c r="Q35" s="34">
        <v>4.76</v>
      </c>
      <c r="R35" s="34">
        <v>8.16</v>
      </c>
      <c r="S35" s="34">
        <v>2.36</v>
      </c>
      <c r="T35" s="34">
        <v>0.0</v>
      </c>
      <c r="U35" s="34">
        <v>0.0</v>
      </c>
      <c r="V35" s="34">
        <v>0.0</v>
      </c>
      <c r="W35" s="34">
        <v>0.0</v>
      </c>
      <c r="X35" s="34">
        <v>0.0</v>
      </c>
      <c r="Y35" s="34">
        <v>3.53</v>
      </c>
      <c r="Z35" s="34">
        <v>1.79</v>
      </c>
      <c r="AA35" s="34">
        <v>2.23</v>
      </c>
      <c r="AB35" s="34">
        <v>2.11</v>
      </c>
    </row>
    <row r="36" ht="15.0" customHeight="1">
      <c r="A36" s="30" t="s">
        <v>383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>
        <v>0.0</v>
      </c>
      <c r="I36" s="34">
        <v>0.0</v>
      </c>
      <c r="J36" s="34">
        <v>0.0</v>
      </c>
      <c r="K36" s="34">
        <v>3.04</v>
      </c>
      <c r="L36" s="34">
        <v>3.22</v>
      </c>
      <c r="M36" s="34">
        <v>3.68</v>
      </c>
      <c r="N36" s="34">
        <v>4.39</v>
      </c>
      <c r="O36" s="34">
        <v>4.01</v>
      </c>
      <c r="P36" s="34">
        <v>2.29</v>
      </c>
      <c r="Q36" s="34">
        <v>1.45</v>
      </c>
      <c r="R36" s="34">
        <v>0.9</v>
      </c>
      <c r="S36" s="34">
        <v>0.43</v>
      </c>
      <c r="T36" s="34">
        <v>0.0</v>
      </c>
      <c r="U36" s="34">
        <v>1.12</v>
      </c>
      <c r="V36" s="34">
        <v>1.66</v>
      </c>
      <c r="W36" s="34">
        <v>1.97</v>
      </c>
      <c r="X36" s="34">
        <v>2.13</v>
      </c>
      <c r="Y36" s="34"/>
      <c r="Z36" s="34"/>
      <c r="AA36" s="34"/>
      <c r="AB36" s="34"/>
    </row>
    <row r="37" ht="15.0" customHeight="1">
      <c r="A37" s="28" t="s">
        <v>384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385</v>
      </c>
      <c r="B38" s="33">
        <v>0.29</v>
      </c>
      <c r="C38" s="33">
        <v>0.35</v>
      </c>
      <c r="D38" s="33">
        <v>0.41</v>
      </c>
      <c r="E38" s="33">
        <v>0.4</v>
      </c>
      <c r="F38" s="33">
        <v>0.3</v>
      </c>
      <c r="G38" s="33">
        <v>0.29</v>
      </c>
      <c r="H38" s="33">
        <v>0.35</v>
      </c>
      <c r="I38" s="33">
        <v>0.29</v>
      </c>
      <c r="J38" s="33">
        <v>0.26</v>
      </c>
      <c r="K38" s="33">
        <v>0.6</v>
      </c>
      <c r="L38" s="33">
        <v>0.37</v>
      </c>
      <c r="M38" s="33">
        <v>0.44</v>
      </c>
      <c r="N38" s="33">
        <v>0.4</v>
      </c>
      <c r="O38" s="33">
        <v>0.63</v>
      </c>
      <c r="P38" s="33">
        <v>1.03</v>
      </c>
      <c r="Q38" s="33">
        <v>0.46</v>
      </c>
      <c r="R38" s="33">
        <v>0.26</v>
      </c>
      <c r="S38" s="33">
        <v>0.97</v>
      </c>
      <c r="T38" s="33">
        <v>1.65</v>
      </c>
      <c r="U38" s="33">
        <v>1.48</v>
      </c>
      <c r="V38" s="33">
        <v>0.89</v>
      </c>
      <c r="W38" s="33">
        <v>0.67</v>
      </c>
      <c r="X38" s="33">
        <v>0.66</v>
      </c>
      <c r="Y38" s="33">
        <v>0.95</v>
      </c>
      <c r="Z38" s="33">
        <v>1.57</v>
      </c>
      <c r="AA38" s="33">
        <v>1.28</v>
      </c>
      <c r="AB38" s="33">
        <v>0.83</v>
      </c>
    </row>
    <row r="39" ht="15.0" customHeight="1">
      <c r="A39" s="30" t="s">
        <v>386</v>
      </c>
      <c r="B39" s="33">
        <v>0.35</v>
      </c>
      <c r="C39" s="33">
        <v>0.35</v>
      </c>
      <c r="D39" s="33">
        <v>0.35</v>
      </c>
      <c r="E39" s="33">
        <v>0.33</v>
      </c>
      <c r="F39" s="33">
        <v>0.3</v>
      </c>
      <c r="G39" s="33">
        <v>0.34</v>
      </c>
      <c r="H39" s="33">
        <v>0.36</v>
      </c>
      <c r="I39" s="33">
        <v>0.38</v>
      </c>
      <c r="J39" s="33">
        <v>0.4</v>
      </c>
      <c r="K39" s="33">
        <v>0.52</v>
      </c>
      <c r="L39" s="33">
        <v>0.69</v>
      </c>
      <c r="M39" s="33">
        <v>0.62</v>
      </c>
      <c r="N39" s="33">
        <v>0.53</v>
      </c>
      <c r="O39" s="33">
        <v>0.64</v>
      </c>
      <c r="P39" s="33">
        <v>0.84</v>
      </c>
      <c r="Q39" s="33">
        <v>0.94</v>
      </c>
      <c r="R39" s="33">
        <v>1.03</v>
      </c>
      <c r="S39" s="33">
        <v>1.15</v>
      </c>
      <c r="T39" s="33">
        <v>1.07</v>
      </c>
      <c r="U39" s="33">
        <v>0.93</v>
      </c>
      <c r="V39" s="33">
        <v>1.03</v>
      </c>
      <c r="W39" s="33">
        <v>1.1</v>
      </c>
      <c r="X39" s="33">
        <v>1.1</v>
      </c>
      <c r="Y39" s="32"/>
      <c r="Z39" s="32"/>
      <c r="AA39" s="32"/>
      <c r="AB39" s="32"/>
    </row>
    <row r="40" ht="15.0" customHeight="1">
      <c r="A40" s="28" t="s">
        <v>387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388</v>
      </c>
      <c r="B41" s="33">
        <v>2.06</v>
      </c>
      <c r="C41" s="33">
        <v>2.56</v>
      </c>
      <c r="D41" s="33">
        <v>2.78</v>
      </c>
      <c r="E41" s="32"/>
      <c r="F41" s="32"/>
      <c r="G41" s="32"/>
      <c r="H41" s="33">
        <v>5.98</v>
      </c>
      <c r="I41" s="33">
        <v>2.45</v>
      </c>
      <c r="J41" s="33">
        <v>1.96</v>
      </c>
      <c r="K41" s="32"/>
      <c r="L41" s="32"/>
      <c r="M41" s="32"/>
      <c r="N41" s="32"/>
      <c r="O41" s="32"/>
      <c r="P41" s="32"/>
      <c r="Q41" s="33">
        <v>1.54</v>
      </c>
      <c r="R41" s="33">
        <v>0.81</v>
      </c>
      <c r="S41" s="33">
        <v>2.59</v>
      </c>
      <c r="T41" s="33">
        <v>4.64</v>
      </c>
      <c r="U41" s="33">
        <v>3.61</v>
      </c>
      <c r="V41" s="33">
        <v>2.36</v>
      </c>
      <c r="W41" s="33">
        <v>1.7</v>
      </c>
      <c r="X41" s="33">
        <v>1.3</v>
      </c>
      <c r="Y41" s="33">
        <v>3.19</v>
      </c>
      <c r="Z41" s="33">
        <v>4.75</v>
      </c>
      <c r="AA41" s="33">
        <v>1.82</v>
      </c>
      <c r="AB41" s="33">
        <v>1.22</v>
      </c>
    </row>
    <row r="42" ht="15.0" customHeight="1">
      <c r="A42" s="30" t="s">
        <v>389</v>
      </c>
      <c r="B42" s="33">
        <v>5.21</v>
      </c>
      <c r="C42" s="33">
        <v>10.82</v>
      </c>
      <c r="D42" s="33">
        <v>22.88</v>
      </c>
      <c r="E42" s="33">
        <v>23.91</v>
      </c>
      <c r="F42" s="33">
        <v>6.06</v>
      </c>
      <c r="G42" s="32"/>
      <c r="H42" s="32"/>
      <c r="I42" s="32"/>
      <c r="J42" s="32"/>
      <c r="K42" s="32"/>
      <c r="L42" s="32"/>
      <c r="M42" s="32"/>
      <c r="N42" s="33">
        <v>8.83</v>
      </c>
      <c r="O42" s="33">
        <v>3.31</v>
      </c>
      <c r="P42" s="33">
        <v>3.03</v>
      </c>
      <c r="Q42" s="33">
        <v>2.68</v>
      </c>
      <c r="R42" s="33">
        <v>2.81</v>
      </c>
      <c r="S42" s="33">
        <v>3.0</v>
      </c>
      <c r="T42" s="33">
        <v>2.59</v>
      </c>
      <c r="U42" s="33">
        <v>2.42</v>
      </c>
      <c r="V42" s="33">
        <v>2.8</v>
      </c>
      <c r="W42" s="33">
        <v>2.52</v>
      </c>
      <c r="X42" s="33">
        <v>2.27</v>
      </c>
      <c r="Y42" s="32"/>
      <c r="Z42" s="32"/>
      <c r="AA42" s="32"/>
      <c r="AB42" s="32"/>
    </row>
    <row r="43" ht="15.0" customHeight="1">
      <c r="A43" s="28" t="s">
        <v>390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391</v>
      </c>
      <c r="B44" s="33">
        <v>0.09</v>
      </c>
      <c r="C44" s="33">
        <v>0.09</v>
      </c>
      <c r="D44" s="33">
        <v>0.11</v>
      </c>
      <c r="E44" s="33">
        <v>0.1</v>
      </c>
      <c r="F44" s="33">
        <v>0.07</v>
      </c>
      <c r="G44" s="33">
        <v>0.07</v>
      </c>
      <c r="H44" s="33">
        <v>0.09</v>
      </c>
      <c r="I44" s="33">
        <v>0.1</v>
      </c>
      <c r="J44" s="33">
        <v>0.08</v>
      </c>
      <c r="K44" s="33">
        <v>0.08</v>
      </c>
      <c r="L44" s="33">
        <v>0.06</v>
      </c>
      <c r="M44" s="33">
        <v>0.04</v>
      </c>
      <c r="N44" s="33">
        <v>0.03</v>
      </c>
      <c r="O44" s="33">
        <v>0.1</v>
      </c>
      <c r="P44" s="33">
        <v>0.19</v>
      </c>
      <c r="Q44" s="33">
        <v>0.14</v>
      </c>
      <c r="R44" s="33">
        <v>0.08</v>
      </c>
      <c r="S44" s="33">
        <v>0.28</v>
      </c>
      <c r="T44" s="33">
        <v>0.45</v>
      </c>
      <c r="U44" s="33">
        <v>0.49</v>
      </c>
      <c r="V44" s="33">
        <v>0.26</v>
      </c>
      <c r="W44" s="33">
        <v>0.16</v>
      </c>
      <c r="X44" s="33">
        <v>0.17</v>
      </c>
      <c r="Y44" s="33">
        <v>0.26</v>
      </c>
      <c r="Z44" s="33">
        <v>0.46</v>
      </c>
      <c r="AA44" s="33">
        <v>0.46</v>
      </c>
      <c r="AB44" s="33">
        <v>0.31</v>
      </c>
    </row>
    <row r="45" ht="15.0" customHeight="1">
      <c r="A45" s="30" t="s">
        <v>392</v>
      </c>
      <c r="B45" s="33">
        <v>0.09</v>
      </c>
      <c r="C45" s="33">
        <v>0.09</v>
      </c>
      <c r="D45" s="33">
        <v>0.09</v>
      </c>
      <c r="E45" s="33">
        <v>0.08</v>
      </c>
      <c r="F45" s="33">
        <v>0.08</v>
      </c>
      <c r="G45" s="33">
        <v>0.08</v>
      </c>
      <c r="H45" s="33">
        <v>0.08</v>
      </c>
      <c r="I45" s="33">
        <v>0.06</v>
      </c>
      <c r="J45" s="33">
        <v>0.04</v>
      </c>
      <c r="K45" s="33">
        <v>0.06</v>
      </c>
      <c r="L45" s="33">
        <v>0.09</v>
      </c>
      <c r="M45" s="33">
        <v>0.1</v>
      </c>
      <c r="N45" s="33">
        <v>0.1</v>
      </c>
      <c r="O45" s="33">
        <v>0.16</v>
      </c>
      <c r="P45" s="33">
        <v>0.23</v>
      </c>
      <c r="Q45" s="33">
        <v>0.29</v>
      </c>
      <c r="R45" s="33">
        <v>0.31</v>
      </c>
      <c r="S45" s="33">
        <v>0.33</v>
      </c>
      <c r="T45" s="33">
        <v>0.29</v>
      </c>
      <c r="U45" s="33">
        <v>0.26</v>
      </c>
      <c r="V45" s="33">
        <v>0.28</v>
      </c>
      <c r="W45" s="33">
        <v>0.31</v>
      </c>
      <c r="X45" s="33">
        <v>0.33</v>
      </c>
      <c r="Y45" s="32"/>
      <c r="Z45" s="32"/>
      <c r="AA45" s="32"/>
      <c r="AB45" s="32"/>
    </row>
    <row r="46" ht="15.0" customHeight="1">
      <c r="A46" s="28" t="s">
        <v>393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394</v>
      </c>
      <c r="B47" s="33">
        <v>6.8</v>
      </c>
      <c r="C47" s="33">
        <v>3.67</v>
      </c>
      <c r="D47" s="33">
        <v>3.96</v>
      </c>
      <c r="E47" s="33">
        <v>3.96</v>
      </c>
      <c r="F47" s="33">
        <v>11.09</v>
      </c>
      <c r="G47" s="33">
        <v>2.05</v>
      </c>
      <c r="H47" s="32"/>
      <c r="I47" s="33">
        <v>5.8</v>
      </c>
      <c r="J47" s="33">
        <v>6.74</v>
      </c>
      <c r="K47" s="32"/>
      <c r="L47" s="33">
        <v>2.29</v>
      </c>
      <c r="M47" s="32"/>
      <c r="N47" s="32"/>
      <c r="O47" s="33">
        <v>4.3</v>
      </c>
      <c r="P47" s="32"/>
      <c r="Q47" s="33">
        <v>1.88</v>
      </c>
      <c r="R47" s="33">
        <v>1.13</v>
      </c>
      <c r="S47" s="33">
        <v>45.28</v>
      </c>
      <c r="T47" s="32"/>
      <c r="U47" s="33">
        <v>14.83</v>
      </c>
      <c r="V47" s="33">
        <v>3.25</v>
      </c>
      <c r="W47" s="33">
        <v>9.25</v>
      </c>
      <c r="X47" s="33">
        <v>2.77</v>
      </c>
      <c r="Y47" s="32"/>
      <c r="Z47" s="33">
        <v>7.05</v>
      </c>
      <c r="AA47" s="33">
        <v>16.08</v>
      </c>
      <c r="AB47" s="33">
        <v>28.36</v>
      </c>
    </row>
    <row r="48" ht="15.0" customHeight="1">
      <c r="A48" s="30" t="s">
        <v>395</v>
      </c>
      <c r="B48" s="33">
        <v>4.65</v>
      </c>
      <c r="C48" s="33">
        <v>3.63</v>
      </c>
      <c r="D48" s="33">
        <v>7.89</v>
      </c>
      <c r="E48" s="33">
        <v>9.72</v>
      </c>
      <c r="F48" s="33">
        <v>12.28</v>
      </c>
      <c r="G48" s="32"/>
      <c r="H48" s="32"/>
      <c r="I48" s="32"/>
      <c r="J48" s="32"/>
      <c r="K48" s="32"/>
      <c r="L48" s="31">
        <v>127.12</v>
      </c>
      <c r="M48" s="33">
        <v>7.4</v>
      </c>
      <c r="N48" s="33">
        <v>3.65</v>
      </c>
      <c r="O48" s="33">
        <v>4.78</v>
      </c>
      <c r="P48" s="33">
        <v>8.55</v>
      </c>
      <c r="Q48" s="33">
        <v>8.03</v>
      </c>
      <c r="R48" s="33">
        <v>8.72</v>
      </c>
      <c r="S48" s="33">
        <v>13.62</v>
      </c>
      <c r="T48" s="33">
        <v>8.04</v>
      </c>
      <c r="U48" s="33">
        <v>9.06</v>
      </c>
      <c r="V48" s="33">
        <v>7.49</v>
      </c>
      <c r="W48" s="33">
        <v>10.21</v>
      </c>
      <c r="X48" s="33">
        <v>11.27</v>
      </c>
      <c r="Y48" s="32"/>
      <c r="Z48" s="32"/>
      <c r="AA48" s="32"/>
      <c r="AB48" s="32"/>
    </row>
    <row r="49" ht="15.0" customHeight="1">
      <c r="A49" s="28" t="s">
        <v>396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397</v>
      </c>
      <c r="B50" s="33">
        <v>2.49</v>
      </c>
      <c r="C50" s="33">
        <v>2.75</v>
      </c>
      <c r="D50" s="33">
        <v>2.17</v>
      </c>
      <c r="E50" s="33">
        <v>2.69</v>
      </c>
      <c r="F50" s="33">
        <v>8.3</v>
      </c>
      <c r="G50" s="33">
        <v>2.39</v>
      </c>
      <c r="H50" s="32"/>
      <c r="I50" s="33">
        <v>5.37</v>
      </c>
      <c r="J50" s="33">
        <v>0.51</v>
      </c>
      <c r="K50" s="33">
        <v>16.91</v>
      </c>
      <c r="L50" s="32"/>
      <c r="M50" s="32"/>
      <c r="N50" s="33">
        <v>1.94</v>
      </c>
      <c r="O50" s="33">
        <v>3.31</v>
      </c>
      <c r="P50" s="33">
        <v>26.99</v>
      </c>
      <c r="Q50" s="33">
        <v>2.41</v>
      </c>
      <c r="R50" s="33">
        <v>1.55</v>
      </c>
      <c r="S50" s="33">
        <v>5.23</v>
      </c>
      <c r="T50" s="33">
        <v>8.69</v>
      </c>
      <c r="U50" s="33">
        <v>6.97</v>
      </c>
      <c r="V50" s="33">
        <v>3.06</v>
      </c>
      <c r="W50" s="32"/>
      <c r="X50" s="33">
        <v>3.71</v>
      </c>
      <c r="Y50" s="33">
        <v>5.36</v>
      </c>
      <c r="Z50" s="33">
        <v>4.52</v>
      </c>
      <c r="AA50" s="33">
        <v>4.66</v>
      </c>
      <c r="AB50" s="33">
        <v>3.4</v>
      </c>
    </row>
    <row r="51" ht="15.0" customHeight="1">
      <c r="A51" s="30" t="s">
        <v>398</v>
      </c>
      <c r="B51" s="33">
        <v>2.74</v>
      </c>
      <c r="C51" s="33">
        <v>2.72</v>
      </c>
      <c r="D51" s="33">
        <v>5.77</v>
      </c>
      <c r="E51" s="33">
        <v>10.29</v>
      </c>
      <c r="F51" s="33">
        <v>2.31</v>
      </c>
      <c r="G51" s="33">
        <v>2.66</v>
      </c>
      <c r="H51" s="33">
        <v>4.25</v>
      </c>
      <c r="I51" s="33">
        <v>6.37</v>
      </c>
      <c r="J51" s="33">
        <v>2.88</v>
      </c>
      <c r="K51" s="33">
        <v>3.98</v>
      </c>
      <c r="L51" s="33">
        <v>6.68</v>
      </c>
      <c r="M51" s="33">
        <v>4.4</v>
      </c>
      <c r="N51" s="33">
        <v>3.29</v>
      </c>
      <c r="O51" s="33">
        <v>3.99</v>
      </c>
      <c r="P51" s="33">
        <v>5.19</v>
      </c>
      <c r="Q51" s="33">
        <v>4.98</v>
      </c>
      <c r="R51" s="33">
        <v>4.99</v>
      </c>
      <c r="S51" s="33">
        <v>6.45</v>
      </c>
      <c r="T51" s="33">
        <v>6.07</v>
      </c>
      <c r="U51" s="33">
        <v>5.36</v>
      </c>
      <c r="V51" s="33">
        <v>4.73</v>
      </c>
      <c r="W51" s="33">
        <v>5.0</v>
      </c>
      <c r="X51" s="33">
        <v>4.4</v>
      </c>
      <c r="Y51" s="32"/>
      <c r="Z51" s="32"/>
      <c r="AA51" s="32"/>
      <c r="AB51" s="32"/>
    </row>
    <row r="52" ht="15.0" customHeight="1">
      <c r="A52" s="28" t="s">
        <v>399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400</v>
      </c>
      <c r="B53" s="32"/>
      <c r="C53" s="32"/>
      <c r="D53" s="33">
        <v>5.36</v>
      </c>
      <c r="E53" s="33">
        <v>40.21</v>
      </c>
      <c r="F53" s="32"/>
      <c r="G53" s="32"/>
      <c r="H53" s="32"/>
      <c r="I53" s="32"/>
      <c r="J53" s="33">
        <v>0.6</v>
      </c>
      <c r="K53" s="32"/>
      <c r="L53" s="32"/>
      <c r="M53" s="32"/>
      <c r="N53" s="32"/>
      <c r="O53" s="32"/>
      <c r="P53" s="32"/>
      <c r="Q53" s="33">
        <v>12.75</v>
      </c>
      <c r="R53" s="33">
        <v>15.55</v>
      </c>
      <c r="S53" s="33">
        <v>36.16</v>
      </c>
      <c r="T53" s="32"/>
      <c r="U53" s="33">
        <v>37.18</v>
      </c>
      <c r="V53" s="33">
        <v>8.92</v>
      </c>
      <c r="W53" s="32"/>
      <c r="X53" s="32"/>
      <c r="Y53" s="32"/>
      <c r="Z53" s="33">
        <v>4.87</v>
      </c>
      <c r="AA53" s="33">
        <v>5.01</v>
      </c>
      <c r="AB53" s="33">
        <v>4.19</v>
      </c>
    </row>
    <row r="54" ht="15.0" customHeight="1">
      <c r="A54" s="30" t="s">
        <v>401</v>
      </c>
      <c r="B54" s="32"/>
      <c r="C54" s="32"/>
      <c r="D54" s="32"/>
      <c r="E54" s="32"/>
      <c r="F54" s="33">
        <v>17.09</v>
      </c>
      <c r="G54" s="33">
        <v>34.33</v>
      </c>
      <c r="H54" s="32"/>
      <c r="I54" s="32"/>
      <c r="J54" s="32"/>
      <c r="K54" s="32"/>
      <c r="L54" s="32"/>
      <c r="M54" s="32"/>
      <c r="N54" s="32"/>
      <c r="O54" s="32"/>
      <c r="P54" s="32"/>
      <c r="Q54" s="33">
        <v>39.25</v>
      </c>
      <c r="R54" s="33">
        <v>29.28</v>
      </c>
      <c r="S54" s="32"/>
      <c r="T54" s="32"/>
      <c r="U54" s="32"/>
      <c r="V54" s="31">
        <v>1098.06</v>
      </c>
      <c r="W54" s="33">
        <v>27.0</v>
      </c>
      <c r="X54" s="33">
        <v>10.29</v>
      </c>
      <c r="Y54" s="32"/>
      <c r="Z54" s="32"/>
      <c r="AA54" s="32"/>
      <c r="AB54" s="32"/>
    </row>
    <row r="55" ht="15.0" customHeight="1">
      <c r="A55" s="28" t="s">
        <v>402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403</v>
      </c>
      <c r="B56" s="32"/>
      <c r="C56" s="33">
        <v>16.26</v>
      </c>
      <c r="D56" s="33">
        <v>5.18</v>
      </c>
      <c r="E56" s="33">
        <v>7.93</v>
      </c>
      <c r="F56" s="32"/>
      <c r="G56" s="32"/>
      <c r="H56" s="32"/>
      <c r="I56" s="32"/>
      <c r="J56" s="32"/>
      <c r="K56" s="32"/>
      <c r="L56" s="32"/>
      <c r="M56" s="32"/>
      <c r="N56" s="32"/>
      <c r="O56" s="33">
        <v>77.82</v>
      </c>
      <c r="P56" s="33">
        <v>13.0</v>
      </c>
      <c r="Q56" s="33">
        <v>10.46</v>
      </c>
      <c r="R56" s="33">
        <v>15.55</v>
      </c>
      <c r="S56" s="33">
        <v>36.42</v>
      </c>
      <c r="T56" s="32"/>
      <c r="U56" s="33">
        <v>37.18</v>
      </c>
      <c r="V56" s="33">
        <v>8.92</v>
      </c>
      <c r="W56" s="32"/>
      <c r="X56" s="32"/>
      <c r="Y56" s="31">
        <v>7421.2</v>
      </c>
      <c r="Z56" s="33">
        <v>8.86</v>
      </c>
      <c r="AA56" s="33">
        <v>8.87</v>
      </c>
      <c r="AB56" s="33">
        <v>7.36</v>
      </c>
    </row>
    <row r="57" ht="15.0" customHeight="1">
      <c r="A57" s="30" t="s">
        <v>404</v>
      </c>
      <c r="B57" s="33">
        <v>0.35</v>
      </c>
      <c r="C57" s="33">
        <v>0.35</v>
      </c>
      <c r="D57" s="33">
        <v>0.35</v>
      </c>
      <c r="E57" s="33">
        <v>0.33</v>
      </c>
      <c r="F57" s="33">
        <v>0.3</v>
      </c>
      <c r="G57" s="33">
        <v>0.34</v>
      </c>
      <c r="H57" s="33">
        <v>0.36</v>
      </c>
      <c r="I57" s="33">
        <v>0.38</v>
      </c>
      <c r="J57" s="33">
        <v>0.4</v>
      </c>
      <c r="K57" s="33">
        <v>0.52</v>
      </c>
      <c r="L57" s="33">
        <v>0.69</v>
      </c>
      <c r="M57" s="33">
        <v>0.62</v>
      </c>
      <c r="N57" s="33">
        <v>0.53</v>
      </c>
      <c r="O57" s="33">
        <v>0.64</v>
      </c>
      <c r="P57" s="33">
        <v>0.84</v>
      </c>
      <c r="Q57" s="33">
        <v>0.94</v>
      </c>
      <c r="R57" s="33">
        <v>1.03</v>
      </c>
      <c r="S57" s="33">
        <v>1.15</v>
      </c>
      <c r="T57" s="33">
        <v>1.07</v>
      </c>
      <c r="U57" s="33">
        <v>0.93</v>
      </c>
      <c r="V57" s="33">
        <v>1.03</v>
      </c>
      <c r="W57" s="33">
        <v>1.1</v>
      </c>
      <c r="X57" s="33">
        <v>1.1</v>
      </c>
      <c r="Y57" s="32"/>
      <c r="Z57" s="32"/>
      <c r="AA57" s="32"/>
      <c r="AB57" s="32"/>
    </row>
    <row r="58" ht="15.0" customHeight="1">
      <c r="A58" s="28" t="s">
        <v>405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406</v>
      </c>
      <c r="B59" s="32"/>
      <c r="C59" s="32"/>
      <c r="D59" s="33">
        <v>0.01</v>
      </c>
      <c r="E59" s="33">
        <v>0.38</v>
      </c>
      <c r="F59" s="32"/>
      <c r="G59" s="32"/>
      <c r="H59" s="32"/>
      <c r="I59" s="32"/>
      <c r="J59" s="32">
        <v>0.0</v>
      </c>
      <c r="K59" s="32"/>
      <c r="L59" s="32"/>
      <c r="M59" s="32"/>
      <c r="N59" s="32"/>
      <c r="O59" s="32"/>
      <c r="P59" s="32"/>
      <c r="Q59" s="33">
        <v>0.12</v>
      </c>
      <c r="R59" s="36">
        <v>-0.48</v>
      </c>
      <c r="S59" s="33">
        <v>0.01</v>
      </c>
      <c r="T59" s="32"/>
      <c r="U59" s="36">
        <v>-0.66</v>
      </c>
      <c r="V59" s="33">
        <v>0.07</v>
      </c>
      <c r="W59" s="32"/>
      <c r="X59" s="32"/>
      <c r="Y59" s="32"/>
      <c r="Z59" s="33">
        <v>0.08</v>
      </c>
      <c r="AA59" s="33">
        <v>0.13</v>
      </c>
      <c r="AB59" s="32"/>
    </row>
    <row r="60" ht="15.0" customHeight="1">
      <c r="A60" s="30" t="s">
        <v>407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6">
        <v>-2.46</v>
      </c>
      <c r="R60" s="32"/>
      <c r="S60" s="32"/>
      <c r="T60" s="32"/>
      <c r="U60" s="32"/>
      <c r="V60" s="36">
        <v>-45.01</v>
      </c>
      <c r="W60" s="32"/>
      <c r="X60" s="32"/>
      <c r="Y60" s="32"/>
      <c r="Z60" s="32"/>
      <c r="AA60" s="32"/>
      <c r="AB60" s="32"/>
    </row>
    <row r="61" ht="15.0" customHeight="1">
      <c r="A61" s="28" t="s">
        <v>408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409</v>
      </c>
      <c r="B62" s="33">
        <v>0.25</v>
      </c>
      <c r="C62" s="33">
        <v>0.21</v>
      </c>
      <c r="D62" s="33">
        <v>0.24</v>
      </c>
      <c r="E62" s="33">
        <v>0.22</v>
      </c>
      <c r="F62" s="33">
        <v>0.2</v>
      </c>
      <c r="G62" s="33">
        <v>0.15</v>
      </c>
      <c r="H62" s="33">
        <v>0.15</v>
      </c>
      <c r="I62" s="33">
        <v>0.13</v>
      </c>
      <c r="J62" s="33">
        <v>0.13</v>
      </c>
      <c r="K62" s="33">
        <v>0.35</v>
      </c>
      <c r="L62" s="33">
        <v>0.28</v>
      </c>
      <c r="M62" s="33">
        <v>0.33</v>
      </c>
      <c r="N62" s="33">
        <v>0.32</v>
      </c>
      <c r="O62" s="33">
        <v>0.34</v>
      </c>
      <c r="P62" s="33">
        <v>0.61</v>
      </c>
      <c r="Q62" s="33">
        <v>0.39</v>
      </c>
      <c r="R62" s="33">
        <v>0.4</v>
      </c>
      <c r="S62" s="33">
        <v>0.63</v>
      </c>
      <c r="T62" s="33">
        <v>0.79</v>
      </c>
      <c r="U62" s="33">
        <v>0.81</v>
      </c>
      <c r="V62" s="33">
        <v>0.62</v>
      </c>
      <c r="W62" s="33">
        <v>0.53</v>
      </c>
      <c r="X62" s="33">
        <v>0.54</v>
      </c>
      <c r="Y62" s="33">
        <v>0.76</v>
      </c>
      <c r="Z62" s="33">
        <v>0.95</v>
      </c>
      <c r="AA62" s="33">
        <v>0.74</v>
      </c>
      <c r="AB62" s="33">
        <v>0.59</v>
      </c>
    </row>
    <row r="63" ht="15.0" customHeight="1">
      <c r="A63" s="30" t="s">
        <v>410</v>
      </c>
      <c r="B63" s="33">
        <v>0.22</v>
      </c>
      <c r="C63" s="33">
        <v>0.2</v>
      </c>
      <c r="D63" s="33">
        <v>0.19</v>
      </c>
      <c r="E63" s="33">
        <v>0.17</v>
      </c>
      <c r="F63" s="33">
        <v>0.15</v>
      </c>
      <c r="G63" s="33">
        <v>0.18</v>
      </c>
      <c r="H63" s="33">
        <v>0.21</v>
      </c>
      <c r="I63" s="33">
        <v>0.25</v>
      </c>
      <c r="J63" s="33">
        <v>0.29</v>
      </c>
      <c r="K63" s="33">
        <v>0.32</v>
      </c>
      <c r="L63" s="33">
        <v>0.37</v>
      </c>
      <c r="M63" s="33">
        <v>0.39</v>
      </c>
      <c r="N63" s="33">
        <v>0.4</v>
      </c>
      <c r="O63" s="33">
        <v>0.47</v>
      </c>
      <c r="P63" s="33">
        <v>0.57</v>
      </c>
      <c r="Q63" s="33">
        <v>0.6</v>
      </c>
      <c r="R63" s="33">
        <v>0.65</v>
      </c>
      <c r="S63" s="33">
        <v>0.68</v>
      </c>
      <c r="T63" s="33">
        <v>0.65</v>
      </c>
      <c r="U63" s="33">
        <v>0.65</v>
      </c>
      <c r="V63" s="33">
        <v>0.69</v>
      </c>
      <c r="W63" s="33">
        <v>0.71</v>
      </c>
      <c r="X63" s="33">
        <v>0.74</v>
      </c>
      <c r="Y63" s="32"/>
      <c r="Z63" s="32"/>
      <c r="AA63" s="32"/>
      <c r="AB63" s="32"/>
    </row>
    <row r="64" ht="15.0" customHeight="1">
      <c r="A64" s="28" t="s">
        <v>411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412</v>
      </c>
      <c r="B65" s="33">
        <v>4.41</v>
      </c>
      <c r="C65" s="33">
        <v>3.57</v>
      </c>
      <c r="D65" s="33">
        <v>3.3</v>
      </c>
      <c r="E65" s="33">
        <v>3.77</v>
      </c>
      <c r="F65" s="33">
        <v>4.58</v>
      </c>
      <c r="G65" s="33">
        <v>2.44</v>
      </c>
      <c r="H65" s="33">
        <v>4.71</v>
      </c>
      <c r="I65" s="33">
        <v>2.74</v>
      </c>
      <c r="J65" s="33">
        <v>3.45</v>
      </c>
      <c r="K65" s="33">
        <v>9.08</v>
      </c>
      <c r="L65" s="33">
        <v>6.16</v>
      </c>
      <c r="M65" s="33">
        <v>16.97</v>
      </c>
      <c r="N65" s="33">
        <v>6.48</v>
      </c>
      <c r="O65" s="33">
        <v>6.86</v>
      </c>
      <c r="P65" s="33">
        <v>10.4</v>
      </c>
      <c r="Q65" s="33">
        <v>5.02</v>
      </c>
      <c r="R65" s="33">
        <v>4.57</v>
      </c>
      <c r="S65" s="33">
        <v>9.38</v>
      </c>
      <c r="T65" s="33">
        <v>14.85</v>
      </c>
      <c r="U65" s="33">
        <v>8.38</v>
      </c>
      <c r="V65" s="33">
        <v>5.24</v>
      </c>
      <c r="W65" s="33">
        <v>9.0</v>
      </c>
      <c r="X65" s="33">
        <v>4.3</v>
      </c>
      <c r="Y65" s="33">
        <v>8.74</v>
      </c>
      <c r="Z65" s="33">
        <v>6.73</v>
      </c>
      <c r="AA65" s="33">
        <v>5.5</v>
      </c>
      <c r="AB65" s="33">
        <v>5.3</v>
      </c>
    </row>
    <row r="66" ht="15.0" customHeight="1">
      <c r="A66" s="30" t="s">
        <v>413</v>
      </c>
      <c r="B66" s="33">
        <v>3.83</v>
      </c>
      <c r="C66" s="33">
        <v>3.42</v>
      </c>
      <c r="D66" s="33">
        <v>3.56</v>
      </c>
      <c r="E66" s="33">
        <v>3.47</v>
      </c>
      <c r="F66" s="33">
        <v>3.4</v>
      </c>
      <c r="G66" s="33">
        <v>4.31</v>
      </c>
      <c r="H66" s="33">
        <v>5.3</v>
      </c>
      <c r="I66" s="33">
        <v>6.74</v>
      </c>
      <c r="J66" s="33">
        <v>7.49</v>
      </c>
      <c r="K66" s="33">
        <v>7.88</v>
      </c>
      <c r="L66" s="33">
        <v>8.26</v>
      </c>
      <c r="M66" s="33">
        <v>7.89</v>
      </c>
      <c r="N66" s="33">
        <v>6.56</v>
      </c>
      <c r="O66" s="33">
        <v>7.08</v>
      </c>
      <c r="P66" s="33">
        <v>8.32</v>
      </c>
      <c r="Q66" s="33">
        <v>7.94</v>
      </c>
      <c r="R66" s="33">
        <v>7.76</v>
      </c>
      <c r="S66" s="33">
        <v>8.68</v>
      </c>
      <c r="T66" s="33">
        <v>7.24</v>
      </c>
      <c r="U66" s="33">
        <v>6.73</v>
      </c>
      <c r="V66" s="33">
        <v>6.48</v>
      </c>
      <c r="W66" s="33">
        <v>6.57</v>
      </c>
      <c r="X66" s="33">
        <v>6.18</v>
      </c>
      <c r="Y66" s="32"/>
      <c r="Z66" s="32"/>
      <c r="AA66" s="32"/>
      <c r="AB66" s="32"/>
    </row>
    <row r="67" ht="15.0" customHeight="1">
      <c r="A67" s="28" t="s">
        <v>414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415</v>
      </c>
      <c r="B68" s="33">
        <v>6.68</v>
      </c>
      <c r="C68" s="33">
        <v>5.4</v>
      </c>
      <c r="D68" s="33">
        <v>4.67</v>
      </c>
      <c r="E68" s="33">
        <v>6.03</v>
      </c>
      <c r="F68" s="33">
        <v>10.52</v>
      </c>
      <c r="G68" s="33">
        <v>3.15</v>
      </c>
      <c r="H68" s="32"/>
      <c r="I68" s="33">
        <v>5.46</v>
      </c>
      <c r="J68" s="33">
        <v>4.97</v>
      </c>
      <c r="K68" s="32"/>
      <c r="L68" s="33">
        <v>7.22</v>
      </c>
      <c r="M68" s="32"/>
      <c r="N68" s="32"/>
      <c r="O68" s="33">
        <v>7.37</v>
      </c>
      <c r="P68" s="33">
        <v>27.06</v>
      </c>
      <c r="Q68" s="33">
        <v>4.05</v>
      </c>
      <c r="R68" s="33">
        <v>3.85</v>
      </c>
      <c r="S68" s="33">
        <v>18.61</v>
      </c>
      <c r="T68" s="33">
        <v>47.07</v>
      </c>
      <c r="U68" s="33">
        <v>15.3</v>
      </c>
      <c r="V68" s="33">
        <v>7.05</v>
      </c>
      <c r="W68" s="33">
        <v>27.81</v>
      </c>
      <c r="X68" s="33">
        <v>8.95</v>
      </c>
      <c r="Y68" s="33">
        <v>57.78</v>
      </c>
      <c r="Z68" s="33">
        <v>14.46</v>
      </c>
      <c r="AA68" s="33">
        <v>6.8</v>
      </c>
      <c r="AB68" s="33">
        <v>7.21</v>
      </c>
    </row>
    <row r="69" ht="15.0" customHeight="1">
      <c r="A69" s="30" t="s">
        <v>416</v>
      </c>
      <c r="B69" s="33">
        <v>6.02</v>
      </c>
      <c r="C69" s="33">
        <v>5.18</v>
      </c>
      <c r="D69" s="33">
        <v>7.61</v>
      </c>
      <c r="E69" s="33">
        <v>8.74</v>
      </c>
      <c r="F69" s="33">
        <v>8.61</v>
      </c>
      <c r="G69" s="32"/>
      <c r="H69" s="32"/>
      <c r="I69" s="32"/>
      <c r="J69" s="32"/>
      <c r="K69" s="31">
        <v>137.6</v>
      </c>
      <c r="L69" s="33">
        <v>21.39</v>
      </c>
      <c r="M69" s="33">
        <v>15.74</v>
      </c>
      <c r="N69" s="33">
        <v>8.53</v>
      </c>
      <c r="O69" s="33">
        <v>8.11</v>
      </c>
      <c r="P69" s="33">
        <v>10.74</v>
      </c>
      <c r="Q69" s="33">
        <v>10.0</v>
      </c>
      <c r="R69" s="33">
        <v>11.12</v>
      </c>
      <c r="S69" s="33">
        <v>16.41</v>
      </c>
      <c r="T69" s="33">
        <v>13.97</v>
      </c>
      <c r="U69" s="33">
        <v>14.59</v>
      </c>
      <c r="V69" s="33">
        <v>14.42</v>
      </c>
      <c r="W69" s="33">
        <v>14.75</v>
      </c>
      <c r="X69" s="33">
        <v>12.6</v>
      </c>
      <c r="Y69" s="32"/>
      <c r="Z69" s="32"/>
      <c r="AA69" s="32"/>
      <c r="AB69" s="32"/>
    </row>
    <row r="70" ht="15.0" customHeight="1">
      <c r="A70" s="28" t="s">
        <v>417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418</v>
      </c>
      <c r="B71" s="33">
        <v>19.24</v>
      </c>
      <c r="C71" s="33">
        <v>8.36</v>
      </c>
      <c r="D71" s="33">
        <v>8.72</v>
      </c>
      <c r="E71" s="33">
        <v>8.92</v>
      </c>
      <c r="F71" s="33">
        <v>32.13</v>
      </c>
      <c r="G71" s="33">
        <v>4.19</v>
      </c>
      <c r="H71" s="32"/>
      <c r="I71" s="33">
        <v>7.87</v>
      </c>
      <c r="J71" s="33">
        <v>10.16</v>
      </c>
      <c r="K71" s="32"/>
      <c r="L71" s="33">
        <v>11.49</v>
      </c>
      <c r="M71" s="32"/>
      <c r="N71" s="32"/>
      <c r="O71" s="33">
        <v>15.11</v>
      </c>
      <c r="P71" s="32"/>
      <c r="Q71" s="33">
        <v>5.06</v>
      </c>
      <c r="R71" s="33">
        <v>5.33</v>
      </c>
      <c r="S71" s="31">
        <v>100.78</v>
      </c>
      <c r="T71" s="32"/>
      <c r="U71" s="33">
        <v>24.63</v>
      </c>
      <c r="V71" s="33">
        <v>7.78</v>
      </c>
      <c r="W71" s="33">
        <v>29.97</v>
      </c>
      <c r="X71" s="33">
        <v>8.97</v>
      </c>
      <c r="Y71" s="32"/>
      <c r="Z71" s="33">
        <v>14.65</v>
      </c>
      <c r="AA71" s="33">
        <v>25.83</v>
      </c>
      <c r="AB71" s="33">
        <v>53.89</v>
      </c>
    </row>
    <row r="72" ht="15.0" customHeight="1">
      <c r="A72" s="30" t="s">
        <v>419</v>
      </c>
      <c r="B72" s="33">
        <v>11.34</v>
      </c>
      <c r="C72" s="33">
        <v>8.35</v>
      </c>
      <c r="D72" s="33">
        <v>17.04</v>
      </c>
      <c r="E72" s="33">
        <v>19.08</v>
      </c>
      <c r="F72" s="33">
        <v>22.27</v>
      </c>
      <c r="G72" s="32"/>
      <c r="H72" s="32"/>
      <c r="I72" s="32"/>
      <c r="J72" s="32"/>
      <c r="K72" s="32"/>
      <c r="L72" s="32">
        <v>13415.69</v>
      </c>
      <c r="M72" s="33">
        <v>58.47</v>
      </c>
      <c r="N72" s="33">
        <v>14.33</v>
      </c>
      <c r="O72" s="33">
        <v>14.65</v>
      </c>
      <c r="P72" s="33">
        <v>21.41</v>
      </c>
      <c r="Q72" s="33">
        <v>16.86</v>
      </c>
      <c r="R72" s="33">
        <v>18.12</v>
      </c>
      <c r="S72" s="33">
        <v>27.96</v>
      </c>
      <c r="T72" s="33">
        <v>18.29</v>
      </c>
      <c r="U72" s="33">
        <v>20.02</v>
      </c>
      <c r="V72" s="33">
        <v>17.43</v>
      </c>
      <c r="W72" s="33">
        <v>22.83</v>
      </c>
      <c r="X72" s="33">
        <v>23.28</v>
      </c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