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hfYk0y2yv+5c+qT8yz/hxteE3ViOxJWoOVXyjI8NgI="/>
    </ext>
  </extLst>
</workbook>
</file>

<file path=xl/sharedStrings.xml><?xml version="1.0" encoding="utf-8"?>
<sst xmlns="http://schemas.openxmlformats.org/spreadsheetml/2006/main" count="832" uniqueCount="432">
  <si>
    <t>Company Fundamentals - Income Statement</t>
  </si>
  <si>
    <t>Company Name</t>
  </si>
  <si>
    <t>XANO Industri AB (XANOb.ST)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</si>
  <si>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</si>
  <si>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</si>
  <si>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</si>
  <si>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</si>
  <si>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</si>
  <si>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</si>
  <si>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</si>
  <si>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</si>
  <si>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</si>
  <si>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</si>
  <si>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</si>
  <si>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</si>
  <si>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</si>
  <si>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</si>
  <si>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</si>
  <si>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</si>
  <si>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</si>
  <si>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</si>
  <si>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</si>
  <si>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</si>
  <si>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</si>
  <si>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</si>
  <si>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</si>
  <si>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</si>
  <si>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</si>
  <si>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</si>
  <si>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</si>
  <si>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</si>
  <si>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</si>
  <si>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</si>
  <si>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</si>
  <si>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</si>
  <si>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</si>
  <si>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</si>
  <si>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</si>
  <si>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</si>
  <si>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</si>
  <si>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</si>
  <si>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</si>
  <si>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</si>
  <si>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</si>
  <si>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</si>
  <si>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</si>
  <si>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</si>
  <si>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</si>
  <si>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</si>
  <si>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</si>
  <si>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</si>
  <si>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</si>
  <si>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</si>
  <si>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</si>
  <si>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</si>
  <si>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</si>
  <si>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</si>
  <si>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</si>
  <si>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</si>
  <si>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</si>
  <si>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</si>
  <si>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</si>
  <si>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</si>
  <si>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</si>
  <si>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</si>
  <si>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</si>
  <si>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</si>
  <si>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</si>
  <si>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</si>
  <si>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</si>
  <si>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</si>
  <si>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</si>
  <si>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</si>
  <si>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</si>
  <si>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Labor &amp; Related Expense - COGS</t>
  </si>
  <si>
    <t>Depreciation &amp; Amortization in Cost of Revenues</t>
  </si>
  <si>
    <t>Depreciation in COR/COGS</t>
  </si>
  <si>
    <t>Other Cost of Goods Sold</t>
  </si>
  <si>
    <t>Cost of Goods Sold - Other</t>
  </si>
  <si>
    <t>Balancing Item - Cost of Revenue</t>
  </si>
  <si>
    <t>Cost of revenues/COGS</t>
  </si>
  <si>
    <t>Gross profit</t>
  </si>
  <si>
    <t>Selling expenses</t>
  </si>
  <si>
    <t>Labor &amp; Related Expenses in Selling Expenses</t>
  </si>
  <si>
    <t>Depreciation in Selling Expenses</t>
  </si>
  <si>
    <t>Selling Expenses - Other</t>
  </si>
  <si>
    <t>Other Operating Expense (Selling)</t>
  </si>
  <si>
    <t>Administration costs</t>
  </si>
  <si>
    <t>Personnel Expenses</t>
  </si>
  <si>
    <t>Other Operating Expense (Administrative)</t>
  </si>
  <si>
    <t>Depreciation in Administrative Expenses</t>
  </si>
  <si>
    <t>Administrative Expenses - Other</t>
  </si>
  <si>
    <t>Depreciation</t>
  </si>
  <si>
    <t>Other operating income</t>
  </si>
  <si>
    <t>Rental Income, Net</t>
  </si>
  <si>
    <t>Exchange gains on operating receivables/liabilities</t>
  </si>
  <si>
    <t>Capital gain on disposal of Group company</t>
  </si>
  <si>
    <t>Other Operating Income</t>
  </si>
  <si>
    <t>Other operating expenses</t>
  </si>
  <si>
    <t>Gain on Sale and Acquisition of Group Companies</t>
  </si>
  <si>
    <t>Depreciation/Amortization in SGA</t>
  </si>
  <si>
    <t>Ground leases/Rental Expenses</t>
  </si>
  <si>
    <t>Exchange losses on operating receivables/liabilities</t>
  </si>
  <si>
    <t>Other operating expenses - the rest</t>
  </si>
  <si>
    <t>Profit/loss from participations in associated companies</t>
  </si>
  <si>
    <t>Total Operating Expense</t>
  </si>
  <si>
    <t>Operating profit</t>
  </si>
  <si>
    <t>Financial costs</t>
  </si>
  <si>
    <t>Exchange losses on financial assets/liabilities</t>
  </si>
  <si>
    <t>Interest expenses</t>
  </si>
  <si>
    <t>Interest Expense on Financial Lease Liabilities</t>
  </si>
  <si>
    <t>Interest Expense - Remaing value</t>
  </si>
  <si>
    <t>Financial Income/Expenses</t>
  </si>
  <si>
    <t>Financial income</t>
  </si>
  <si>
    <t>Interest Income</t>
  </si>
  <si>
    <t>Gain/Loss on Investments Held for Sale, Maturity and Trading</t>
  </si>
  <si>
    <t>Exchange gains on financial assets/liabilities</t>
  </si>
  <si>
    <t>Translation differences</t>
  </si>
  <si>
    <t>Profit before tax</t>
  </si>
  <si>
    <t>Tax</t>
  </si>
  <si>
    <t>Current tax</t>
  </si>
  <si>
    <t>Deferred tax</t>
  </si>
  <si>
    <t>Tax on dividends from non-Swedish subsidiaries</t>
  </si>
  <si>
    <t>Tax on Discontinued Operations</t>
  </si>
  <si>
    <t>Income Taxes - Total</t>
  </si>
  <si>
    <t>Profit for the period</t>
  </si>
  <si>
    <t>Net Income Before Extra. Items</t>
  </si>
  <si>
    <t>Profit fom discontinued operations</t>
  </si>
  <si>
    <t>Extraordinary Items (After Tax)</t>
  </si>
  <si>
    <t>Net Income After Extraordinary Items</t>
  </si>
  <si>
    <t>Reported Net Income</t>
  </si>
  <si>
    <t>Income Available to Com Excl ExtraOrd</t>
  </si>
  <si>
    <t>of which attributable to shareholders of the Parent Company</t>
  </si>
  <si>
    <t>Change in hedging reserve including tax</t>
  </si>
  <si>
    <t>Tax relating to change in hedging reserve</t>
  </si>
  <si>
    <t>Övrigt totalresultat</t>
  </si>
  <si>
    <t>Total profit for the period</t>
  </si>
  <si>
    <t>COMPREHENSIVE INCOME FOR THE YEAR</t>
  </si>
  <si>
    <t>Basic Weighted Average Shares</t>
  </si>
  <si>
    <t>Diluted Weighted Average Shares</t>
  </si>
  <si>
    <t>Basic earnings per share</t>
  </si>
  <si>
    <t>Diluted earnings per share</t>
  </si>
  <si>
    <t>Basic EPS Excluding ExtraOrdinary Items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</si>
  <si>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</si>
  <si>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</si>
  <si>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</si>
  <si>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</si>
  <si>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Depreciation &amp; Amortization</t>
  </si>
  <si>
    <t>Amort of Intangibles</t>
  </si>
  <si>
    <t>Depreciation of Financial Lease Right-of-Use Assets - Supplemental</t>
  </si>
  <si>
    <t>Auditor Fees - Total</t>
  </si>
  <si>
    <t>Audit Fees</t>
  </si>
  <si>
    <t>Audit-Related Fees</t>
  </si>
  <si>
    <t>Tax Fees</t>
  </si>
  <si>
    <t>Other Fees</t>
  </si>
  <si>
    <t>Leasing expenses on short-term leases</t>
  </si>
  <si>
    <t>Leasing expenses on low-value leases</t>
  </si>
  <si>
    <t>Selling, General &amp; Admin</t>
  </si>
  <si>
    <t>STAFF EXPENSES</t>
  </si>
  <si>
    <t>Rental Expense</t>
  </si>
  <si>
    <t>Amort of Acquisition Costs</t>
  </si>
  <si>
    <t>Total Depreciation of Goodwill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</si>
  <si>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</si>
  <si>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</si>
  <si>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</si>
  <si>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</si>
  <si>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Restructuring Charges &amp; Provisions</t>
  </si>
  <si>
    <t>Items related to business combinations</t>
  </si>
  <si>
    <t>Acquisition Cost of Group Companies</t>
  </si>
  <si>
    <t>Impairment - Right of use assets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</si>
  <si>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</si>
  <si>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</si>
  <si>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</si>
  <si>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</si>
  <si>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</si>
  <si>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</si>
  <si>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</si>
  <si>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</si>
  <si>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</si>
  <si>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</si>
  <si>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</si>
  <si>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</si>
  <si>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Dilution Adjustment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</si>
  <si>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</si>
  <si>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</si>
  <si>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</si>
  <si>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</si>
  <si>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</si>
  <si>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</si>
  <si>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 and consumables</t>
  </si>
  <si>
    <t>Products in progress</t>
  </si>
  <si>
    <t>Finished products and goods for resale</t>
  </si>
  <si>
    <t>Advance payments to suppliers</t>
  </si>
  <si>
    <t>Work in progress</t>
  </si>
  <si>
    <t>Inventories - Balancing value</t>
  </si>
  <si>
    <t>Uninvoiced WIP</t>
  </si>
  <si>
    <t>Current Receivables</t>
  </si>
  <si>
    <t>Deferred tax asset</t>
  </si>
  <si>
    <t>Current receivables</t>
  </si>
  <si>
    <t>Accounts receivable</t>
  </si>
  <si>
    <t>Provision for Doubtful Trade Accounts</t>
  </si>
  <si>
    <t>Accounts Receivable, Gross</t>
  </si>
  <si>
    <t>Tax asset</t>
  </si>
  <si>
    <t>Other receivables</t>
  </si>
  <si>
    <t>Accrued Income</t>
  </si>
  <si>
    <t>Contract Assets</t>
  </si>
  <si>
    <t>Current receivables - Balancing value</t>
  </si>
  <si>
    <t>Prepaid expenses</t>
  </si>
  <si>
    <t>Cash and cash equivalents</t>
  </si>
  <si>
    <t>Current investments</t>
  </si>
  <si>
    <t>Cash and bank balances</t>
  </si>
  <si>
    <t>Derivative instruments</t>
  </si>
  <si>
    <t>Alecta Receivable</t>
  </si>
  <si>
    <t>Other Financial Assets</t>
  </si>
  <si>
    <t>Assets held for sale</t>
  </si>
  <si>
    <t>Summa omsättningstillgångar</t>
  </si>
  <si>
    <t>Intangible Assets</t>
  </si>
  <si>
    <t>Goodwill</t>
  </si>
  <si>
    <t>Goodwill, Gross</t>
  </si>
  <si>
    <t>Goodwill Amortisation</t>
  </si>
  <si>
    <t>Misc intang FA, net</t>
  </si>
  <si>
    <t>Other intangible assets</t>
  </si>
  <si>
    <t>Other intangibles, Gross</t>
  </si>
  <si>
    <t>Accumulated Intangible Amortization</t>
  </si>
  <si>
    <t>Construction in progress for intangible non-current assets</t>
  </si>
  <si>
    <t>Tangible fixed assets</t>
  </si>
  <si>
    <t>Land and buildings</t>
  </si>
  <si>
    <t>Land &amp; Buildings</t>
  </si>
  <si>
    <t>Buildings - acc depn</t>
  </si>
  <si>
    <t>Plant and machinery</t>
  </si>
  <si>
    <t>Plant/ Machinery</t>
  </si>
  <si>
    <t>Plant/mach - acc depn</t>
  </si>
  <si>
    <t>Equipment, tools, fixtures and fittings</t>
  </si>
  <si>
    <t>Other Equipment</t>
  </si>
  <si>
    <t>Other Equipment Acc Depr</t>
  </si>
  <si>
    <t>Construction in progress and advance payments for non-current assets</t>
  </si>
  <si>
    <t>Participations in associated companies</t>
  </si>
  <si>
    <t>Write-Ups</t>
  </si>
  <si>
    <t>Other fixed assets</t>
  </si>
  <si>
    <t>Other non-current assets</t>
  </si>
  <si>
    <t>Right-of-use assets</t>
  </si>
  <si>
    <t>Non-current receivables</t>
  </si>
  <si>
    <t>Balancing Item - Assets</t>
  </si>
  <si>
    <t>Balancing Item - Noncurrent Assets</t>
  </si>
  <si>
    <t>Total Non-current Assets</t>
  </si>
  <si>
    <t>Total Assets</t>
  </si>
  <si>
    <t>Current Liabilities</t>
  </si>
  <si>
    <t>Accounts payable - trade and other current liabilities</t>
  </si>
  <si>
    <t>Advance payments from customers</t>
  </si>
  <si>
    <t>Accounts Payable</t>
  </si>
  <si>
    <t>Accrued Payroll</t>
  </si>
  <si>
    <t>Other accrued expenses</t>
  </si>
  <si>
    <t>Other non-interest-bearing liabilities</t>
  </si>
  <si>
    <t>Contract Liabilities</t>
  </si>
  <si>
    <t>Accounts payable - trade and other current liabilities - Balancing value</t>
  </si>
  <si>
    <t>Current tax liability</t>
  </si>
  <si>
    <t>Bank overdraft facilities</t>
  </si>
  <si>
    <t>Current interest-bearing liabilities</t>
  </si>
  <si>
    <t>Current portion of non-current liabilities</t>
  </si>
  <si>
    <t>Deferred income</t>
  </si>
  <si>
    <t>Provisions</t>
  </si>
  <si>
    <t>Liabilities, Held for Sale</t>
  </si>
  <si>
    <t>Current liabilities</t>
  </si>
  <si>
    <t>Non-current liabilities</t>
  </si>
  <si>
    <t>Other Non-Current Liabilities</t>
  </si>
  <si>
    <t>Non-current interest-bearing liabilities</t>
  </si>
  <si>
    <t>Deferred tax liability</t>
  </si>
  <si>
    <t>Other provisions</t>
  </si>
  <si>
    <t>Pension provisions</t>
  </si>
  <si>
    <t>Other Other Provisions</t>
  </si>
  <si>
    <t>Other LT Liabilities</t>
  </si>
  <si>
    <t>Kortfristiga skulder</t>
  </si>
  <si>
    <t>Total liabilities</t>
  </si>
  <si>
    <t>Share Capital</t>
  </si>
  <si>
    <t>Other contributed capital</t>
  </si>
  <si>
    <t>Reserves</t>
  </si>
  <si>
    <t>Accumulated Foreign Currency Translation Adjustment</t>
  </si>
  <si>
    <t>Hedging Reserves</t>
  </si>
  <si>
    <t>Retained earnings</t>
  </si>
  <si>
    <t>Restricted Reserves</t>
  </si>
  <si>
    <t>Unrestricted Reserves</t>
  </si>
  <si>
    <t>Total Equity</t>
  </si>
  <si>
    <t>ofwhich attributable to shareholders of the Parent Company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</si>
  <si>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</si>
  <si>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</si>
  <si>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</si>
  <si>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</si>
  <si>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</t>
  </si>
  <si>
    <t>Capital lease due within 1 Year</t>
  </si>
  <si>
    <t>Capital lease due within 5 Years</t>
  </si>
  <si>
    <t>Capital lease due after 5 years</t>
  </si>
  <si>
    <t>Capitalized Lease Obligations - Long-Term &amp; Short-Term</t>
  </si>
  <si>
    <t>Long-Term Debt excluding Capitalized Leases</t>
  </si>
  <si>
    <t>Buildings-NBV</t>
  </si>
  <si>
    <t>Deferred tax debit</t>
  </si>
  <si>
    <t>Deferred tax credit</t>
  </si>
  <si>
    <t>Reported Total LT Debt, Supplemental</t>
  </si>
  <si>
    <t>Debt - Long-Term - Maturities - within 1 Year</t>
  </si>
  <si>
    <t>Debt - Long-Term - Maturities - Year 3</t>
  </si>
  <si>
    <t>Debt Maturing Within 5 Years</t>
  </si>
  <si>
    <t>Debt, Remaining Maturities</t>
  </si>
  <si>
    <t>Asset Allocation Factor - (Instrument Level)</t>
  </si>
  <si>
    <t>Common Shares Issued A</t>
  </si>
  <si>
    <t>S/O-Class A Shares</t>
  </si>
  <si>
    <t>Common Shares Issued B</t>
  </si>
  <si>
    <t>S/O-Class B Shares</t>
  </si>
  <si>
    <t>T/S-Class B Shares</t>
  </si>
  <si>
    <t>Company Fundamentals - Cash Flow</t>
  </si>
  <si>
    <t>Industrial - Indirect</t>
  </si>
  <si>
    <t>Cash Flow - Company Specific (Currency: Norwegian Krone)</t>
  </si>
  <si>
    <t>Interest and income tax paid/received and adjustments for items not included in cash flow</t>
  </si>
  <si>
    <t>Change in Pension Provision</t>
  </si>
  <si>
    <t>Cash flow from operating activities before changes in working capital</t>
  </si>
  <si>
    <t>Operating profit Interest and income tax paid/received and adjustments</t>
  </si>
  <si>
    <t>Depreciation and amortisation of non-current assets</t>
  </si>
  <si>
    <t>Capital gain from sale of non-current assets</t>
  </si>
  <si>
    <t>Reversal of negative goodwill</t>
  </si>
  <si>
    <t>Write-Down of Inventories</t>
  </si>
  <si>
    <t>Other</t>
  </si>
  <si>
    <t>Interest paid</t>
  </si>
  <si>
    <t>Cash Interest Paid</t>
  </si>
  <si>
    <t>Interest Received</t>
  </si>
  <si>
    <t>Income tax paid</t>
  </si>
  <si>
    <t>Revaluation/write-down of inventories</t>
  </si>
  <si>
    <t>Change in working capital</t>
  </si>
  <si>
    <t>Increase/decrease in inventories</t>
  </si>
  <si>
    <t>Increase/decrease in current receivables</t>
  </si>
  <si>
    <t>Increase/decrease in current liabilities</t>
  </si>
  <si>
    <t>Increase/decrease in other provisions</t>
  </si>
  <si>
    <t>Impairment of accounts receivable</t>
  </si>
  <si>
    <t>Cash flow from operating activities Investments</t>
  </si>
  <si>
    <t>Investments</t>
  </si>
  <si>
    <t>Purchase of intangible non-current assets</t>
  </si>
  <si>
    <t>Purchase of property, plant and equipment</t>
  </si>
  <si>
    <t>Sale of property, plant and equipment</t>
  </si>
  <si>
    <t>Indirect investments through acquisition of subsidiaries/assets and liabilities</t>
  </si>
  <si>
    <t>Acquisition/sale of subsidiaries</t>
  </si>
  <si>
    <t>Indirect investments through sale of subsidiaries/assets and liabilities</t>
  </si>
  <si>
    <t>Indirect investments through distribution of subsidiary</t>
  </si>
  <si>
    <t>Sale of Associates</t>
  </si>
  <si>
    <t>Increase in Long Term Receivables</t>
  </si>
  <si>
    <t>Increase/decrease in other non-current receivables</t>
  </si>
  <si>
    <t>Purchase / Long Term Investments</t>
  </si>
  <si>
    <t>Investments through Subsidiaries</t>
  </si>
  <si>
    <t>Cash flow from investing activities</t>
  </si>
  <si>
    <t>Cash dividends paid</t>
  </si>
  <si>
    <t>Cash flow from other financing activities</t>
  </si>
  <si>
    <t>Acquisition of own personnel convertibles</t>
  </si>
  <si>
    <t>Transfer of own shares</t>
  </si>
  <si>
    <t>Borrowings</t>
  </si>
  <si>
    <t>Payments of lease liabilities</t>
  </si>
  <si>
    <t>Repayments of borrowings</t>
  </si>
  <si>
    <t>Change in bank overdraft facilities</t>
  </si>
  <si>
    <t>Change in other provisions</t>
  </si>
  <si>
    <t>ST Debt Issued</t>
  </si>
  <si>
    <t>ST Debt Repaid</t>
  </si>
  <si>
    <t>Short Term Debt</t>
  </si>
  <si>
    <t>Change in other non-current liabilities</t>
  </si>
  <si>
    <t>Purchase of Own Convertibles</t>
  </si>
  <si>
    <t>Own Shares</t>
  </si>
  <si>
    <t>Translation Diff.</t>
  </si>
  <si>
    <t>Cash flow from financing activities</t>
  </si>
  <si>
    <t>Cash flow for the period</t>
  </si>
  <si>
    <t>Cash and cash equivalents at the start of the period</t>
  </si>
  <si>
    <t>Exchange rate differences in cash and cash equivalents</t>
  </si>
  <si>
    <t>Cash and cash equivalents at the end of the period</t>
  </si>
  <si>
    <t>Cash flow for the year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</si>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</sst>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39629.0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3603.27</v>
      </c>
      <c r="C20" s="15">
        <v>3371.07</v>
      </c>
      <c r="D20" s="15">
        <v>3415.25</v>
      </c>
      <c r="E20" s="15">
        <v>3333.78</v>
      </c>
      <c r="F20" s="15">
        <v>3158.33</v>
      </c>
      <c r="G20" s="15">
        <v>2292.02</v>
      </c>
      <c r="H20" s="15">
        <v>1980.3</v>
      </c>
      <c r="I20" s="15">
        <v>1914.08</v>
      </c>
      <c r="J20" s="15">
        <v>1610.55</v>
      </c>
      <c r="K20" s="15">
        <v>1032.69</v>
      </c>
      <c r="L20" s="15">
        <v>1006.4</v>
      </c>
      <c r="M20" s="15">
        <v>912.87</v>
      </c>
      <c r="N20" s="15">
        <v>892.25</v>
      </c>
      <c r="O20" s="15">
        <v>1006.81</v>
      </c>
      <c r="P20" s="15">
        <v>1003.69</v>
      </c>
      <c r="Q20" s="15">
        <v>988.46</v>
      </c>
      <c r="R20" s="15">
        <v>681.05</v>
      </c>
      <c r="S20" s="15">
        <v>1199.33</v>
      </c>
      <c r="T20" s="15">
        <v>1180.0</v>
      </c>
      <c r="U20" s="15">
        <v>757.91</v>
      </c>
      <c r="V20" s="15">
        <v>453.25</v>
      </c>
      <c r="W20" s="15">
        <v>353.66</v>
      </c>
    </row>
    <row r="21" ht="15.0" customHeight="1">
      <c r="A21" s="16" t="s">
        <v>72</v>
      </c>
      <c r="B21" s="17">
        <v>3603.27</v>
      </c>
      <c r="C21" s="17">
        <v>3371.07</v>
      </c>
      <c r="D21" s="17">
        <v>3415.25</v>
      </c>
      <c r="E21" s="17">
        <v>3333.78</v>
      </c>
      <c r="F21" s="17">
        <v>3158.33</v>
      </c>
      <c r="G21" s="17">
        <v>2292.02</v>
      </c>
      <c r="H21" s="17">
        <v>1980.3</v>
      </c>
      <c r="I21" s="17">
        <v>1914.08</v>
      </c>
      <c r="J21" s="17">
        <v>1610.55</v>
      </c>
      <c r="K21" s="17">
        <v>1032.69</v>
      </c>
      <c r="L21" s="17">
        <v>1006.4</v>
      </c>
      <c r="M21" s="17">
        <v>912.87</v>
      </c>
      <c r="N21" s="17">
        <v>892.25</v>
      </c>
      <c r="O21" s="17">
        <v>1006.81</v>
      </c>
      <c r="P21" s="17">
        <v>1003.69</v>
      </c>
      <c r="Q21" s="17">
        <v>988.46</v>
      </c>
      <c r="R21" s="17">
        <v>681.05</v>
      </c>
      <c r="S21" s="17">
        <v>1199.33</v>
      </c>
      <c r="T21" s="17">
        <v>1180.0</v>
      </c>
      <c r="U21" s="17">
        <v>757.91</v>
      </c>
      <c r="V21" s="17">
        <v>453.25</v>
      </c>
      <c r="W21" s="17">
        <v>353.66</v>
      </c>
    </row>
    <row r="22" ht="15.0" customHeight="1">
      <c r="A22" s="14" t="s">
        <v>73</v>
      </c>
      <c r="B22" s="15">
        <v>2813.14</v>
      </c>
      <c r="C22" s="15">
        <v>2725.84</v>
      </c>
      <c r="D22" s="15">
        <v>2665.97</v>
      </c>
      <c r="E22" s="15">
        <v>2625.61</v>
      </c>
      <c r="F22" s="15">
        <v>2380.74</v>
      </c>
      <c r="G22" s="15">
        <v>1749.18</v>
      </c>
      <c r="H22" s="15">
        <v>1542.81</v>
      </c>
      <c r="I22" s="15">
        <v>1483.84</v>
      </c>
      <c r="J22" s="15">
        <v>1219.45</v>
      </c>
      <c r="K22" s="15">
        <v>789.35</v>
      </c>
      <c r="L22" s="15">
        <v>773.51</v>
      </c>
      <c r="M22" s="15">
        <v>724.43</v>
      </c>
      <c r="N22" s="15">
        <v>698.07</v>
      </c>
      <c r="O22" s="15">
        <v>802.77</v>
      </c>
      <c r="P22" s="15">
        <v>797.32</v>
      </c>
      <c r="Q22" s="15">
        <v>816.3</v>
      </c>
      <c r="R22" s="15">
        <v>576.83</v>
      </c>
      <c r="S22" s="15">
        <v>989.86</v>
      </c>
      <c r="T22" s="15">
        <v>950.76</v>
      </c>
      <c r="U22" s="15">
        <v>603.89</v>
      </c>
      <c r="V22" s="15">
        <v>351.95</v>
      </c>
      <c r="W22" s="15">
        <v>270.66</v>
      </c>
    </row>
    <row r="23" ht="15.0" customHeight="1">
      <c r="A23" s="14" t="s">
        <v>74</v>
      </c>
      <c r="B23" s="18"/>
      <c r="C23" s="15">
        <v>955.41</v>
      </c>
      <c r="D23" s="15">
        <v>880.98</v>
      </c>
      <c r="E23" s="15">
        <v>806.91</v>
      </c>
      <c r="F23" s="15">
        <v>717.37</v>
      </c>
      <c r="G23" s="15">
        <v>514.09</v>
      </c>
      <c r="H23" s="15">
        <v>505.05</v>
      </c>
      <c r="I23" s="15">
        <v>488.96</v>
      </c>
      <c r="J23" s="15">
        <v>380.12</v>
      </c>
      <c r="K23" s="15">
        <v>256.15</v>
      </c>
      <c r="L23" s="15">
        <v>232.26</v>
      </c>
      <c r="M23" s="15">
        <v>212.89</v>
      </c>
      <c r="N23" s="15">
        <v>203.69</v>
      </c>
      <c r="O23" s="15">
        <v>233.94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8"/>
      <c r="C24" s="15">
        <v>145.88</v>
      </c>
      <c r="D24" s="15">
        <v>119.18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8"/>
      <c r="D25" s="18"/>
      <c r="E25" s="15">
        <v>103.73</v>
      </c>
      <c r="F25" s="19">
        <v>89.72</v>
      </c>
      <c r="G25" s="19">
        <v>76.65</v>
      </c>
      <c r="H25" s="19">
        <v>68.38</v>
      </c>
      <c r="I25" s="19">
        <v>55.6</v>
      </c>
      <c r="J25" s="19">
        <v>45.92</v>
      </c>
      <c r="K25" s="19">
        <v>41.09</v>
      </c>
      <c r="L25" s="19">
        <v>40.62</v>
      </c>
      <c r="M25" s="19">
        <v>34.35</v>
      </c>
      <c r="N25" s="19">
        <v>33.65</v>
      </c>
      <c r="O25" s="19">
        <v>43.86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>
        <v>72.88</v>
      </c>
      <c r="O26" s="19">
        <v>81.79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15">
        <v>1624.55</v>
      </c>
      <c r="D27" s="15">
        <v>1665.81</v>
      </c>
      <c r="E27" s="15">
        <v>1714.97</v>
      </c>
      <c r="F27" s="15">
        <v>1573.65</v>
      </c>
      <c r="G27" s="15">
        <v>1158.43</v>
      </c>
      <c r="H27" s="15">
        <v>969.38</v>
      </c>
      <c r="I27" s="15">
        <v>939.28</v>
      </c>
      <c r="J27" s="15">
        <v>793.42</v>
      </c>
      <c r="K27" s="15">
        <v>492.11</v>
      </c>
      <c r="L27" s="15">
        <v>500.63</v>
      </c>
      <c r="M27" s="15">
        <v>477.19</v>
      </c>
      <c r="N27" s="15">
        <v>387.85</v>
      </c>
      <c r="O27" s="15">
        <v>443.18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79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0">
        <v>-5.04</v>
      </c>
      <c r="R28" s="18"/>
      <c r="S28" s="18"/>
      <c r="T28" s="18"/>
      <c r="U28" s="20">
        <v>-1.74</v>
      </c>
      <c r="V28" s="18"/>
      <c r="W28" s="18"/>
    </row>
    <row r="29" ht="15.0" customHeight="1">
      <c r="A29" s="16" t="s">
        <v>80</v>
      </c>
      <c r="B29" s="17">
        <v>2813.14</v>
      </c>
      <c r="C29" s="17">
        <v>2725.84</v>
      </c>
      <c r="D29" s="17">
        <v>2665.97</v>
      </c>
      <c r="E29" s="17">
        <v>2625.61</v>
      </c>
      <c r="F29" s="17">
        <v>2380.74</v>
      </c>
      <c r="G29" s="17">
        <v>1749.18</v>
      </c>
      <c r="H29" s="17">
        <v>1542.81</v>
      </c>
      <c r="I29" s="17">
        <v>1483.84</v>
      </c>
      <c r="J29" s="17">
        <v>1219.45</v>
      </c>
      <c r="K29" s="17">
        <v>789.35</v>
      </c>
      <c r="L29" s="17">
        <v>773.51</v>
      </c>
      <c r="M29" s="17">
        <v>724.43</v>
      </c>
      <c r="N29" s="17">
        <v>698.07</v>
      </c>
      <c r="O29" s="17">
        <v>802.77</v>
      </c>
      <c r="P29" s="17">
        <v>797.32</v>
      </c>
      <c r="Q29" s="17">
        <v>811.26</v>
      </c>
      <c r="R29" s="17">
        <v>576.83</v>
      </c>
      <c r="S29" s="17">
        <v>989.86</v>
      </c>
      <c r="T29" s="17">
        <v>950.76</v>
      </c>
      <c r="U29" s="17">
        <v>602.15</v>
      </c>
      <c r="V29" s="17">
        <v>351.95</v>
      </c>
      <c r="W29" s="17">
        <v>270.66</v>
      </c>
    </row>
    <row r="30" ht="15.0" customHeight="1">
      <c r="A30" s="16" t="s">
        <v>81</v>
      </c>
      <c r="B30" s="17">
        <v>790.14</v>
      </c>
      <c r="C30" s="17">
        <v>645.24</v>
      </c>
      <c r="D30" s="17">
        <v>749.27</v>
      </c>
      <c r="E30" s="17">
        <v>708.16</v>
      </c>
      <c r="F30" s="17">
        <v>777.59</v>
      </c>
      <c r="G30" s="17">
        <v>542.84</v>
      </c>
      <c r="H30" s="17">
        <v>437.49</v>
      </c>
      <c r="I30" s="17">
        <v>430.24</v>
      </c>
      <c r="J30" s="17">
        <v>391.1</v>
      </c>
      <c r="K30" s="17">
        <v>243.34</v>
      </c>
      <c r="L30" s="17">
        <v>232.89</v>
      </c>
      <c r="M30" s="17">
        <v>188.44</v>
      </c>
      <c r="N30" s="17">
        <v>194.18</v>
      </c>
      <c r="O30" s="17">
        <v>204.04</v>
      </c>
      <c r="P30" s="17">
        <v>206.37</v>
      </c>
      <c r="Q30" s="17">
        <v>177.2</v>
      </c>
      <c r="R30" s="17">
        <v>104.23</v>
      </c>
      <c r="S30" s="17">
        <v>209.47</v>
      </c>
      <c r="T30" s="17">
        <v>229.23</v>
      </c>
      <c r="U30" s="17">
        <v>155.76</v>
      </c>
      <c r="V30" s="17">
        <v>101.3</v>
      </c>
      <c r="W30" s="21">
        <v>83.0</v>
      </c>
    </row>
    <row r="31" ht="15.0" customHeight="1">
      <c r="A31" s="14" t="s">
        <v>82</v>
      </c>
      <c r="B31" s="15">
        <v>317.75</v>
      </c>
      <c r="C31" s="15">
        <v>372.13</v>
      </c>
      <c r="D31" s="15">
        <v>293.87</v>
      </c>
      <c r="E31" s="15">
        <v>244.76</v>
      </c>
      <c r="F31" s="15">
        <v>209.21</v>
      </c>
      <c r="G31" s="15">
        <v>165.0</v>
      </c>
      <c r="H31" s="15">
        <v>147.23</v>
      </c>
      <c r="I31" s="15">
        <v>136.27</v>
      </c>
      <c r="J31" s="15">
        <v>111.42</v>
      </c>
      <c r="K31" s="19">
        <v>98.66</v>
      </c>
      <c r="L31" s="19">
        <v>96.33</v>
      </c>
      <c r="M31" s="19">
        <v>85.69</v>
      </c>
      <c r="N31" s="19">
        <v>79.65</v>
      </c>
      <c r="O31" s="19">
        <v>81.15</v>
      </c>
      <c r="P31" s="19">
        <v>30.52</v>
      </c>
      <c r="Q31" s="19">
        <v>73.06</v>
      </c>
      <c r="R31" s="19">
        <v>60.41</v>
      </c>
      <c r="S31" s="19">
        <v>82.57</v>
      </c>
      <c r="T31" s="19">
        <v>72.89</v>
      </c>
      <c r="U31" s="19">
        <v>51.34</v>
      </c>
      <c r="V31" s="19">
        <v>40.11</v>
      </c>
      <c r="W31" s="19">
        <v>31.57</v>
      </c>
    </row>
    <row r="32" ht="15.0" customHeight="1">
      <c r="A32" s="14" t="s">
        <v>83</v>
      </c>
      <c r="B32" s="18"/>
      <c r="C32" s="15">
        <v>213.4</v>
      </c>
      <c r="D32" s="15">
        <v>183.1</v>
      </c>
      <c r="E32" s="15">
        <v>145.46</v>
      </c>
      <c r="F32" s="15">
        <v>127.35</v>
      </c>
      <c r="G32" s="19">
        <v>99.6</v>
      </c>
      <c r="H32" s="19">
        <v>87.37</v>
      </c>
      <c r="I32" s="19">
        <v>76.74</v>
      </c>
      <c r="J32" s="19">
        <v>65.39</v>
      </c>
      <c r="K32" s="19">
        <v>53.0</v>
      </c>
      <c r="L32" s="19">
        <v>50.62</v>
      </c>
      <c r="M32" s="19">
        <v>45.61</v>
      </c>
      <c r="N32" s="19">
        <v>42.71</v>
      </c>
      <c r="O32" s="19">
        <v>45.24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9">
        <v>19.53</v>
      </c>
      <c r="D33" s="19">
        <v>14.72</v>
      </c>
      <c r="E33" s="19">
        <v>12.16</v>
      </c>
      <c r="F33" s="19">
        <v>10.94</v>
      </c>
      <c r="G33" s="19">
        <v>8.91</v>
      </c>
      <c r="H33" s="19">
        <v>7.36</v>
      </c>
      <c r="I33" s="19">
        <v>3.92</v>
      </c>
      <c r="J33" s="19">
        <v>3.97</v>
      </c>
      <c r="K33" s="19">
        <v>4.29</v>
      </c>
      <c r="L33" s="19">
        <v>4.56</v>
      </c>
      <c r="M33" s="19">
        <v>4.3</v>
      </c>
      <c r="N33" s="19">
        <v>2.72</v>
      </c>
      <c r="O33" s="19">
        <v>3.34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8"/>
      <c r="C34" s="15">
        <v>139.2</v>
      </c>
      <c r="D34" s="19">
        <v>96.06</v>
      </c>
      <c r="E34" s="19">
        <v>87.14</v>
      </c>
      <c r="F34" s="19">
        <v>70.92</v>
      </c>
      <c r="G34" s="19">
        <v>56.49</v>
      </c>
      <c r="H34" s="19">
        <v>52.5</v>
      </c>
      <c r="I34" s="19">
        <v>55.61</v>
      </c>
      <c r="J34" s="19">
        <v>42.06</v>
      </c>
      <c r="K34" s="19">
        <v>41.37</v>
      </c>
      <c r="L34" s="19">
        <v>41.15</v>
      </c>
      <c r="M34" s="19">
        <v>35.79</v>
      </c>
      <c r="N34" s="19">
        <v>34.22</v>
      </c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>
        <v>32.56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5">
        <v>175.82</v>
      </c>
      <c r="C36" s="15">
        <v>173.73</v>
      </c>
      <c r="D36" s="15">
        <v>172.8</v>
      </c>
      <c r="E36" s="15">
        <v>145.52</v>
      </c>
      <c r="F36" s="15">
        <v>127.74</v>
      </c>
      <c r="G36" s="19">
        <v>92.39</v>
      </c>
      <c r="H36" s="19">
        <v>78.92</v>
      </c>
      <c r="I36" s="19">
        <v>77.63</v>
      </c>
      <c r="J36" s="19">
        <v>65.75</v>
      </c>
      <c r="K36" s="19">
        <v>51.69</v>
      </c>
      <c r="L36" s="19">
        <v>46.31</v>
      </c>
      <c r="M36" s="19">
        <v>40.15</v>
      </c>
      <c r="N36" s="19">
        <v>39.97</v>
      </c>
      <c r="O36" s="19">
        <v>42.92</v>
      </c>
      <c r="P36" s="19">
        <v>11.83</v>
      </c>
      <c r="Q36" s="19">
        <v>38.63</v>
      </c>
      <c r="R36" s="19">
        <v>33.95</v>
      </c>
      <c r="S36" s="19">
        <v>46.51</v>
      </c>
      <c r="T36" s="19">
        <v>46.77</v>
      </c>
      <c r="U36" s="19">
        <v>29.59</v>
      </c>
      <c r="V36" s="19">
        <v>24.09</v>
      </c>
      <c r="W36" s="19">
        <v>22.33</v>
      </c>
    </row>
    <row r="37" ht="15.0" customHeight="1">
      <c r="A37" s="14" t="s">
        <v>88</v>
      </c>
      <c r="B37" s="18"/>
      <c r="C37" s="15">
        <v>120.6</v>
      </c>
      <c r="D37" s="15">
        <v>119.67</v>
      </c>
      <c r="E37" s="19">
        <v>96.81</v>
      </c>
      <c r="F37" s="19">
        <v>90.59</v>
      </c>
      <c r="G37" s="19">
        <v>68.52</v>
      </c>
      <c r="H37" s="19">
        <v>58.35</v>
      </c>
      <c r="I37" s="19">
        <v>56.62</v>
      </c>
      <c r="J37" s="19">
        <v>47.83</v>
      </c>
      <c r="K37" s="19">
        <v>34.88</v>
      </c>
      <c r="L37" s="19">
        <v>31.84</v>
      </c>
      <c r="M37" s="19">
        <v>26.99</v>
      </c>
      <c r="N37" s="19">
        <v>27.28</v>
      </c>
      <c r="O37" s="19">
        <v>29.22</v>
      </c>
      <c r="P37" s="19">
        <v>67.35</v>
      </c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>
        <v>12.62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90</v>
      </c>
      <c r="B39" s="18"/>
      <c r="C39" s="19">
        <v>6.73</v>
      </c>
      <c r="D39" s="19">
        <v>5.04</v>
      </c>
      <c r="E39" s="19">
        <v>3.91</v>
      </c>
      <c r="F39" s="19">
        <v>3.18</v>
      </c>
      <c r="G39" s="19">
        <v>2.55</v>
      </c>
      <c r="H39" s="19">
        <v>2.3</v>
      </c>
      <c r="I39" s="19">
        <v>0.68</v>
      </c>
      <c r="J39" s="19">
        <v>0.68</v>
      </c>
      <c r="K39" s="19">
        <v>0.68</v>
      </c>
      <c r="L39" s="19">
        <v>0.95</v>
      </c>
      <c r="M39" s="19">
        <v>0.88</v>
      </c>
      <c r="N39" s="19">
        <v>0.87</v>
      </c>
      <c r="O39" s="19">
        <v>1.08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19">
        <v>46.4</v>
      </c>
      <c r="D40" s="19">
        <v>48.1</v>
      </c>
      <c r="E40" s="19">
        <v>44.79</v>
      </c>
      <c r="F40" s="19">
        <v>33.97</v>
      </c>
      <c r="G40" s="19">
        <v>21.32</v>
      </c>
      <c r="H40" s="19">
        <v>18.27</v>
      </c>
      <c r="I40" s="19">
        <v>20.33</v>
      </c>
      <c r="J40" s="19">
        <v>17.25</v>
      </c>
      <c r="K40" s="19">
        <v>16.13</v>
      </c>
      <c r="L40" s="19">
        <v>13.51</v>
      </c>
      <c r="M40" s="19">
        <v>12.28</v>
      </c>
      <c r="N40" s="19">
        <v>11.82</v>
      </c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>
        <v>5.08</v>
      </c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20">
        <v>-58.25</v>
      </c>
      <c r="C42" s="22">
        <v>-101.43</v>
      </c>
      <c r="D42" s="20">
        <v>-48.76</v>
      </c>
      <c r="E42" s="20">
        <v>-24.17</v>
      </c>
      <c r="F42" s="20">
        <v>-26.32</v>
      </c>
      <c r="G42" s="20">
        <v>-19.51</v>
      </c>
      <c r="H42" s="20">
        <v>-13.14</v>
      </c>
      <c r="I42" s="20">
        <v>-17.65</v>
      </c>
      <c r="J42" s="20">
        <v>-8.73</v>
      </c>
      <c r="K42" s="20">
        <v>-7.99</v>
      </c>
      <c r="L42" s="20">
        <v>-13.05</v>
      </c>
      <c r="M42" s="20">
        <v>-5.18</v>
      </c>
      <c r="N42" s="20">
        <v>-6.56</v>
      </c>
      <c r="O42" s="20">
        <v>-12.8</v>
      </c>
      <c r="P42" s="20">
        <v>-14.54</v>
      </c>
      <c r="Q42" s="20">
        <v>-15.12</v>
      </c>
      <c r="R42" s="20">
        <v>-4.27</v>
      </c>
      <c r="S42" s="20">
        <v>-6.49</v>
      </c>
      <c r="T42" s="20">
        <v>-5.88</v>
      </c>
      <c r="U42" s="20">
        <v>-7.83</v>
      </c>
      <c r="V42" s="20">
        <v>-5.77</v>
      </c>
      <c r="W42" s="20">
        <v>-9.41</v>
      </c>
    </row>
    <row r="43" ht="15.0" customHeight="1">
      <c r="A43" s="14" t="s">
        <v>94</v>
      </c>
      <c r="B43" s="18"/>
      <c r="C43" s="18"/>
      <c r="D43" s="20">
        <v>-0.1</v>
      </c>
      <c r="E43" s="20">
        <v>-0.04</v>
      </c>
      <c r="F43" s="20">
        <v>-0.08</v>
      </c>
      <c r="G43" s="20">
        <v>-0.34</v>
      </c>
      <c r="H43" s="20">
        <v>-0.67</v>
      </c>
      <c r="I43" s="20">
        <v>-0.87</v>
      </c>
      <c r="J43" s="20">
        <v>-1.17</v>
      </c>
      <c r="K43" s="20">
        <v>-1.56</v>
      </c>
      <c r="L43" s="20">
        <v>-2.13</v>
      </c>
      <c r="M43" s="20">
        <v>-0.92</v>
      </c>
      <c r="N43" s="20">
        <v>-1.43</v>
      </c>
      <c r="O43" s="20">
        <v>-8.07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20">
        <v>-12.37</v>
      </c>
      <c r="D44" s="20">
        <v>-28.85</v>
      </c>
      <c r="E44" s="20">
        <v>-21.64</v>
      </c>
      <c r="F44" s="20">
        <v>-14.38</v>
      </c>
      <c r="G44" s="20">
        <v>-15.75</v>
      </c>
      <c r="H44" s="20">
        <v>-10.69</v>
      </c>
      <c r="I44" s="20">
        <v>-13.88</v>
      </c>
      <c r="J44" s="20">
        <v>-5.31</v>
      </c>
      <c r="K44" s="20">
        <v>-5.34</v>
      </c>
      <c r="L44" s="20">
        <v>-5.87</v>
      </c>
      <c r="M44" s="20">
        <v>-2.99</v>
      </c>
      <c r="N44" s="20">
        <v>-3.43</v>
      </c>
      <c r="O44" s="20">
        <v>-1.62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96</v>
      </c>
      <c r="B45" s="18"/>
      <c r="C45" s="20">
        <v>-67.19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97</v>
      </c>
      <c r="B46" s="18"/>
      <c r="C46" s="20">
        <v>-21.87</v>
      </c>
      <c r="D46" s="20">
        <v>-19.81</v>
      </c>
      <c r="E46" s="20">
        <v>-2.48</v>
      </c>
      <c r="F46" s="20">
        <v>-11.86</v>
      </c>
      <c r="G46" s="20">
        <v>-3.42</v>
      </c>
      <c r="H46" s="20">
        <v>-1.78</v>
      </c>
      <c r="I46" s="20">
        <v>-2.89</v>
      </c>
      <c r="J46" s="20">
        <v>-2.25</v>
      </c>
      <c r="K46" s="20">
        <v>-1.09</v>
      </c>
      <c r="L46" s="20">
        <v>-5.05</v>
      </c>
      <c r="M46" s="20">
        <v>-1.27</v>
      </c>
      <c r="N46" s="20">
        <v>-1.7</v>
      </c>
      <c r="O46" s="20">
        <v>-3.11</v>
      </c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98</v>
      </c>
      <c r="B47" s="19">
        <v>16.95</v>
      </c>
      <c r="C47" s="19">
        <v>14.57</v>
      </c>
      <c r="D47" s="19">
        <v>31.17</v>
      </c>
      <c r="E47" s="19">
        <v>17.69</v>
      </c>
      <c r="F47" s="19">
        <v>12.86</v>
      </c>
      <c r="G47" s="19">
        <v>24.87</v>
      </c>
      <c r="H47" s="19">
        <v>10.91</v>
      </c>
      <c r="I47" s="19">
        <v>12.74</v>
      </c>
      <c r="J47" s="19">
        <v>9.27</v>
      </c>
      <c r="K47" s="19">
        <v>7.15</v>
      </c>
      <c r="L47" s="19">
        <v>11.53</v>
      </c>
      <c r="M47" s="19">
        <v>3.93</v>
      </c>
      <c r="N47" s="19">
        <v>4.77</v>
      </c>
      <c r="O47" s="19">
        <v>12.19</v>
      </c>
      <c r="P47" s="19">
        <v>7.1</v>
      </c>
      <c r="Q47" s="19">
        <v>5.04</v>
      </c>
      <c r="R47" s="19">
        <v>2.07</v>
      </c>
      <c r="S47" s="19">
        <v>6.71</v>
      </c>
      <c r="T47" s="19">
        <v>5.91</v>
      </c>
      <c r="U47" s="19">
        <v>1.74</v>
      </c>
      <c r="V47" s="19">
        <v>2.03</v>
      </c>
      <c r="W47" s="19">
        <v>6.68</v>
      </c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>
        <v>0.01</v>
      </c>
      <c r="O48" s="19">
        <v>4.96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100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19">
        <v>0.53</v>
      </c>
      <c r="N49" s="19">
        <v>0.16</v>
      </c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18"/>
      <c r="D50" s="18">
        <v>0.0</v>
      </c>
      <c r="E50" s="19">
        <v>0.04</v>
      </c>
      <c r="F50" s="19">
        <v>0.08</v>
      </c>
      <c r="G50" s="19">
        <v>0.34</v>
      </c>
      <c r="H50" s="19">
        <v>0.67</v>
      </c>
      <c r="I50" s="19">
        <v>0.87</v>
      </c>
      <c r="J50" s="19">
        <v>1.17</v>
      </c>
      <c r="K50" s="19">
        <v>1.56</v>
      </c>
      <c r="L50" s="19">
        <v>2.12</v>
      </c>
      <c r="M50" s="19">
        <v>0.87</v>
      </c>
      <c r="N50" s="19">
        <v>0.57</v>
      </c>
      <c r="O50" s="19">
        <v>4.26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102</v>
      </c>
      <c r="B51" s="18"/>
      <c r="C51" s="19">
        <v>13.31</v>
      </c>
      <c r="D51" s="19">
        <v>24.83</v>
      </c>
      <c r="E51" s="19">
        <v>17.6</v>
      </c>
      <c r="F51" s="19">
        <v>12.26</v>
      </c>
      <c r="G51" s="19">
        <v>22.28</v>
      </c>
      <c r="H51" s="19">
        <v>10.16</v>
      </c>
      <c r="I51" s="19">
        <v>10.55</v>
      </c>
      <c r="J51" s="19">
        <v>7.5</v>
      </c>
      <c r="K51" s="19">
        <v>4.7</v>
      </c>
      <c r="L51" s="19">
        <v>5.09</v>
      </c>
      <c r="M51" s="19">
        <v>2.49</v>
      </c>
      <c r="N51" s="19">
        <v>3.5</v>
      </c>
      <c r="O51" s="19">
        <v>2.71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19">
        <v>1.25</v>
      </c>
      <c r="D52" s="19">
        <v>6.35</v>
      </c>
      <c r="E52" s="19">
        <v>0.05</v>
      </c>
      <c r="F52" s="19">
        <v>0.52</v>
      </c>
      <c r="G52" s="19">
        <v>2.26</v>
      </c>
      <c r="H52" s="19">
        <v>0.08</v>
      </c>
      <c r="I52" s="19">
        <v>1.32</v>
      </c>
      <c r="J52" s="19">
        <v>0.59</v>
      </c>
      <c r="K52" s="19">
        <v>0.89</v>
      </c>
      <c r="L52" s="19">
        <v>4.32</v>
      </c>
      <c r="M52" s="19">
        <v>0.05</v>
      </c>
      <c r="N52" s="19">
        <v>0.53</v>
      </c>
      <c r="O52" s="19">
        <v>0.27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104</v>
      </c>
      <c r="B53" s="18">
        <v>0.0</v>
      </c>
      <c r="C53" s="19">
        <v>0.26</v>
      </c>
      <c r="D53" s="19">
        <v>0.53</v>
      </c>
      <c r="E53" s="19">
        <v>0.15</v>
      </c>
      <c r="F53" s="19">
        <v>0.17</v>
      </c>
      <c r="G53" s="19">
        <v>0.04</v>
      </c>
      <c r="H53" s="19">
        <v>0.04</v>
      </c>
      <c r="I53" s="19">
        <v>0.03</v>
      </c>
      <c r="J53" s="19">
        <v>0.01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6" t="s">
        <v>105</v>
      </c>
      <c r="B54" s="17">
        <v>452.26</v>
      </c>
      <c r="C54" s="17">
        <v>459.25</v>
      </c>
      <c r="D54" s="17">
        <v>449.61</v>
      </c>
      <c r="E54" s="17">
        <v>383.94</v>
      </c>
      <c r="F54" s="17">
        <v>323.66</v>
      </c>
      <c r="G54" s="17">
        <v>262.79</v>
      </c>
      <c r="H54" s="17">
        <v>223.98</v>
      </c>
      <c r="I54" s="17">
        <v>209.02</v>
      </c>
      <c r="J54" s="17">
        <v>177.72</v>
      </c>
      <c r="K54" s="17">
        <v>149.51</v>
      </c>
      <c r="L54" s="17">
        <v>141.12</v>
      </c>
      <c r="M54" s="17">
        <v>124.59</v>
      </c>
      <c r="N54" s="17">
        <v>117.83</v>
      </c>
      <c r="O54" s="17">
        <v>123.46</v>
      </c>
      <c r="P54" s="17">
        <v>107.34</v>
      </c>
      <c r="Q54" s="17">
        <v>101.62</v>
      </c>
      <c r="R54" s="21">
        <v>92.16</v>
      </c>
      <c r="S54" s="17">
        <v>129.3</v>
      </c>
      <c r="T54" s="17">
        <v>119.68</v>
      </c>
      <c r="U54" s="21">
        <v>74.83</v>
      </c>
      <c r="V54" s="21">
        <v>60.47</v>
      </c>
      <c r="W54" s="21">
        <v>51.16</v>
      </c>
    </row>
    <row r="55" ht="15.0" customHeight="1">
      <c r="A55" s="16" t="s">
        <v>106</v>
      </c>
      <c r="B55" s="17">
        <v>337.87</v>
      </c>
      <c r="C55" s="17">
        <v>185.99</v>
      </c>
      <c r="D55" s="17">
        <v>299.66</v>
      </c>
      <c r="E55" s="17">
        <v>324.22</v>
      </c>
      <c r="F55" s="17">
        <v>453.93</v>
      </c>
      <c r="G55" s="17">
        <v>280.05</v>
      </c>
      <c r="H55" s="17">
        <v>213.52</v>
      </c>
      <c r="I55" s="17">
        <v>221.22</v>
      </c>
      <c r="J55" s="17">
        <v>213.38</v>
      </c>
      <c r="K55" s="21">
        <v>93.83</v>
      </c>
      <c r="L55" s="21">
        <v>91.76</v>
      </c>
      <c r="M55" s="21">
        <v>63.85</v>
      </c>
      <c r="N55" s="21">
        <v>76.35</v>
      </c>
      <c r="O55" s="21">
        <v>80.58</v>
      </c>
      <c r="P55" s="21">
        <v>99.03</v>
      </c>
      <c r="Q55" s="21">
        <v>75.58</v>
      </c>
      <c r="R55" s="21">
        <v>12.07</v>
      </c>
      <c r="S55" s="21">
        <v>80.17</v>
      </c>
      <c r="T55" s="17">
        <v>109.55</v>
      </c>
      <c r="U55" s="21">
        <v>80.93</v>
      </c>
      <c r="V55" s="21">
        <v>40.83</v>
      </c>
      <c r="W55" s="21">
        <v>31.84</v>
      </c>
    </row>
    <row r="56" ht="15.0" customHeight="1">
      <c r="A56" s="14" t="s">
        <v>107</v>
      </c>
      <c r="B56" s="22">
        <v>-111.21</v>
      </c>
      <c r="C56" s="22">
        <v>-112.96</v>
      </c>
      <c r="D56" s="20">
        <v>-95.36</v>
      </c>
      <c r="E56" s="20">
        <v>-58.73</v>
      </c>
      <c r="F56" s="20">
        <v>-31.94</v>
      </c>
      <c r="G56" s="20">
        <v>-31.41</v>
      </c>
      <c r="H56" s="20">
        <v>-25.2</v>
      </c>
      <c r="I56" s="20">
        <v>-23.03</v>
      </c>
      <c r="J56" s="20">
        <v>-23.48</v>
      </c>
      <c r="K56" s="20">
        <v>-14.79</v>
      </c>
      <c r="L56" s="20">
        <v>-15.9</v>
      </c>
      <c r="M56" s="20">
        <v>-15.9</v>
      </c>
      <c r="N56" s="20">
        <v>-19.55</v>
      </c>
      <c r="O56" s="20">
        <v>-13.2</v>
      </c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108</v>
      </c>
      <c r="B57" s="18"/>
      <c r="C57" s="20">
        <v>-29.8</v>
      </c>
      <c r="D57" s="20">
        <v>-26.53</v>
      </c>
      <c r="E57" s="20">
        <v>-26.83</v>
      </c>
      <c r="F57" s="20">
        <v>-9.98</v>
      </c>
      <c r="G57" s="20">
        <v>-12.66</v>
      </c>
      <c r="H57" s="20">
        <v>-3.54</v>
      </c>
      <c r="I57" s="20">
        <v>-5.71</v>
      </c>
      <c r="J57" s="20">
        <v>-7.53</v>
      </c>
      <c r="K57" s="20">
        <v>-3.12</v>
      </c>
      <c r="L57" s="20">
        <v>-3.79</v>
      </c>
      <c r="M57" s="20">
        <v>-3.74</v>
      </c>
      <c r="N57" s="20">
        <v>-3.87</v>
      </c>
      <c r="O57" s="20">
        <v>-2.14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109</v>
      </c>
      <c r="B58" s="18"/>
      <c r="C58" s="20">
        <v>-83.16</v>
      </c>
      <c r="D58" s="20">
        <v>-68.83</v>
      </c>
      <c r="E58" s="20">
        <v>-31.9</v>
      </c>
      <c r="F58" s="20">
        <v>-21.96</v>
      </c>
      <c r="G58" s="20">
        <v>-18.75</v>
      </c>
      <c r="H58" s="20">
        <v>-21.66</v>
      </c>
      <c r="I58" s="20">
        <v>-17.32</v>
      </c>
      <c r="J58" s="20">
        <v>-15.92</v>
      </c>
      <c r="K58" s="20">
        <v>-11.64</v>
      </c>
      <c r="L58" s="20">
        <v>-12.11</v>
      </c>
      <c r="M58" s="20">
        <v>-12.15</v>
      </c>
      <c r="N58" s="20">
        <v>-15.68</v>
      </c>
      <c r="O58" s="20">
        <v>-11.05</v>
      </c>
      <c r="P58" s="20">
        <v>-13.15</v>
      </c>
      <c r="Q58" s="18"/>
      <c r="R58" s="20">
        <v>-17.38</v>
      </c>
      <c r="S58" s="20">
        <v>-28.36</v>
      </c>
      <c r="T58" s="20">
        <v>-21.92</v>
      </c>
      <c r="U58" s="18"/>
      <c r="V58" s="20">
        <v>-6.53</v>
      </c>
      <c r="W58" s="20">
        <v>-7.3</v>
      </c>
    </row>
    <row r="59" ht="15.0" customHeight="1">
      <c r="A59" s="14" t="s">
        <v>110</v>
      </c>
      <c r="B59" s="18"/>
      <c r="C59" s="20">
        <v>-5.07</v>
      </c>
      <c r="D59" s="20">
        <v>-4.41</v>
      </c>
      <c r="E59" s="20">
        <v>-4.8</v>
      </c>
      <c r="F59" s="20">
        <v>-4.17</v>
      </c>
      <c r="G59" s="20">
        <v>-3.57</v>
      </c>
      <c r="H59" s="20">
        <v>-4.23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111</v>
      </c>
      <c r="B60" s="18"/>
      <c r="C60" s="20">
        <v>-78.09</v>
      </c>
      <c r="D60" s="20">
        <v>-64.41</v>
      </c>
      <c r="E60" s="20">
        <v>-27.1</v>
      </c>
      <c r="F60" s="20">
        <v>-17.79</v>
      </c>
      <c r="G60" s="20">
        <v>-15.18</v>
      </c>
      <c r="H60" s="20">
        <v>-17.43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112</v>
      </c>
      <c r="B61" s="18"/>
      <c r="C61" s="18"/>
      <c r="D61" s="18"/>
      <c r="E61" s="18"/>
      <c r="F61" s="18"/>
      <c r="G61" s="18"/>
      <c r="H61" s="18"/>
      <c r="I61" s="18">
        <v>0.0</v>
      </c>
      <c r="J61" s="20">
        <v>-0.03</v>
      </c>
      <c r="K61" s="20">
        <v>-0.03</v>
      </c>
      <c r="L61" s="18"/>
      <c r="M61" s="18"/>
      <c r="N61" s="18"/>
      <c r="O61" s="18"/>
      <c r="P61" s="19">
        <v>0.02</v>
      </c>
      <c r="Q61" s="18"/>
      <c r="R61" s="18"/>
      <c r="S61" s="18">
        <v>0.0</v>
      </c>
      <c r="T61" s="19">
        <v>0.39</v>
      </c>
      <c r="U61" s="18"/>
      <c r="V61" s="19">
        <v>0.24</v>
      </c>
      <c r="W61" s="18"/>
    </row>
    <row r="62" ht="15.0" customHeight="1">
      <c r="A62" s="14" t="s">
        <v>113</v>
      </c>
      <c r="B62" s="19">
        <v>34.95</v>
      </c>
      <c r="C62" s="19">
        <v>43.85</v>
      </c>
      <c r="D62" s="19">
        <v>21.3</v>
      </c>
      <c r="E62" s="19">
        <v>28.1</v>
      </c>
      <c r="F62" s="19">
        <v>12.45</v>
      </c>
      <c r="G62" s="19">
        <v>8.12</v>
      </c>
      <c r="H62" s="19">
        <v>8.45</v>
      </c>
      <c r="I62" s="19">
        <v>7.06</v>
      </c>
      <c r="J62" s="19">
        <v>3.96</v>
      </c>
      <c r="K62" s="19">
        <v>11.16</v>
      </c>
      <c r="L62" s="19">
        <v>5.08</v>
      </c>
      <c r="M62" s="19">
        <v>3.5</v>
      </c>
      <c r="N62" s="19">
        <v>7.71</v>
      </c>
      <c r="O62" s="19">
        <v>3.15</v>
      </c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114</v>
      </c>
      <c r="B63" s="18"/>
      <c r="C63" s="19">
        <v>12.95</v>
      </c>
      <c r="D63" s="19">
        <v>13.6</v>
      </c>
      <c r="E63" s="19">
        <v>2.47</v>
      </c>
      <c r="F63" s="19">
        <v>0.56</v>
      </c>
      <c r="G63" s="19">
        <v>1.39</v>
      </c>
      <c r="H63" s="19">
        <v>3.12</v>
      </c>
      <c r="I63" s="19">
        <v>0.37</v>
      </c>
      <c r="J63" s="19">
        <v>0.34</v>
      </c>
      <c r="K63" s="19">
        <v>0.22</v>
      </c>
      <c r="L63" s="19">
        <v>0.57</v>
      </c>
      <c r="M63" s="19">
        <v>0.62</v>
      </c>
      <c r="N63" s="19">
        <v>5.39</v>
      </c>
      <c r="O63" s="19">
        <v>2.68</v>
      </c>
      <c r="P63" s="19">
        <v>2.58</v>
      </c>
      <c r="Q63" s="18"/>
      <c r="R63" s="19">
        <v>2.53</v>
      </c>
      <c r="S63" s="19">
        <v>1.41</v>
      </c>
      <c r="T63" s="19">
        <v>0.55</v>
      </c>
      <c r="U63" s="18"/>
      <c r="V63" s="19">
        <v>0.35</v>
      </c>
      <c r="W63" s="19">
        <v>0.31</v>
      </c>
    </row>
    <row r="64" ht="15.0" customHeight="1">
      <c r="A64" s="14" t="s">
        <v>115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>
        <v>0.13</v>
      </c>
      <c r="O64" s="19">
        <v>0.06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116</v>
      </c>
      <c r="B65" s="18"/>
      <c r="C65" s="19">
        <v>30.91</v>
      </c>
      <c r="D65" s="19">
        <v>7.7</v>
      </c>
      <c r="E65" s="19">
        <v>25.64</v>
      </c>
      <c r="F65" s="19">
        <v>11.88</v>
      </c>
      <c r="G65" s="19">
        <v>6.73</v>
      </c>
      <c r="H65" s="19">
        <v>5.32</v>
      </c>
      <c r="I65" s="19">
        <v>6.69</v>
      </c>
      <c r="J65" s="19">
        <v>3.62</v>
      </c>
      <c r="K65" s="19">
        <v>10.93</v>
      </c>
      <c r="L65" s="19">
        <v>4.51</v>
      </c>
      <c r="M65" s="19">
        <v>2.87</v>
      </c>
      <c r="N65" s="19">
        <v>2.19</v>
      </c>
      <c r="O65" s="19">
        <v>0.41</v>
      </c>
      <c r="P65" s="19">
        <v>1.63</v>
      </c>
      <c r="Q65" s="18"/>
      <c r="R65" s="19">
        <v>4.77</v>
      </c>
      <c r="S65" s="20">
        <v>-3.02</v>
      </c>
      <c r="T65" s="19">
        <v>1.0</v>
      </c>
      <c r="U65" s="18"/>
      <c r="V65" s="20">
        <v>-0.48</v>
      </c>
      <c r="W65" s="19">
        <v>0.02</v>
      </c>
    </row>
    <row r="66" ht="15.0" customHeight="1">
      <c r="A66" s="16" t="s">
        <v>117</v>
      </c>
      <c r="B66" s="23">
        <v>-76.26</v>
      </c>
      <c r="C66" s="23">
        <v>-69.11</v>
      </c>
      <c r="D66" s="23">
        <v>-74.06</v>
      </c>
      <c r="E66" s="23">
        <v>-30.63</v>
      </c>
      <c r="F66" s="23">
        <v>-19.49</v>
      </c>
      <c r="G66" s="23">
        <v>-23.29</v>
      </c>
      <c r="H66" s="23">
        <v>-16.76</v>
      </c>
      <c r="I66" s="23">
        <v>-15.97</v>
      </c>
      <c r="J66" s="23">
        <v>-19.52</v>
      </c>
      <c r="K66" s="23">
        <v>-3.63</v>
      </c>
      <c r="L66" s="23">
        <v>-10.82</v>
      </c>
      <c r="M66" s="23">
        <v>-12.4</v>
      </c>
      <c r="N66" s="23">
        <v>-11.84</v>
      </c>
      <c r="O66" s="23">
        <v>-10.05</v>
      </c>
      <c r="P66" s="23">
        <v>-8.92</v>
      </c>
      <c r="Q66" s="23">
        <v>-12.6</v>
      </c>
      <c r="R66" s="23">
        <v>-10.08</v>
      </c>
      <c r="S66" s="23">
        <v>-29.97</v>
      </c>
      <c r="T66" s="23">
        <v>-19.99</v>
      </c>
      <c r="U66" s="23">
        <v>-7.83</v>
      </c>
      <c r="V66" s="23">
        <v>-6.42</v>
      </c>
      <c r="W66" s="23">
        <v>-6.97</v>
      </c>
    </row>
    <row r="67" ht="15.0" customHeight="1">
      <c r="A67" s="16" t="s">
        <v>118</v>
      </c>
      <c r="B67" s="17">
        <v>261.61</v>
      </c>
      <c r="C67" s="17">
        <v>116.88</v>
      </c>
      <c r="D67" s="17">
        <v>225.6</v>
      </c>
      <c r="E67" s="17">
        <v>293.59</v>
      </c>
      <c r="F67" s="17">
        <v>434.44</v>
      </c>
      <c r="G67" s="17">
        <v>256.76</v>
      </c>
      <c r="H67" s="17">
        <v>196.76</v>
      </c>
      <c r="I67" s="17">
        <v>205.25</v>
      </c>
      <c r="J67" s="17">
        <v>193.85</v>
      </c>
      <c r="K67" s="21">
        <v>90.2</v>
      </c>
      <c r="L67" s="21">
        <v>80.95</v>
      </c>
      <c r="M67" s="21">
        <v>51.45</v>
      </c>
      <c r="N67" s="21">
        <v>64.51</v>
      </c>
      <c r="O67" s="21">
        <v>70.53</v>
      </c>
      <c r="P67" s="21">
        <v>90.11</v>
      </c>
      <c r="Q67" s="21">
        <v>62.99</v>
      </c>
      <c r="R67" s="21">
        <v>1.99</v>
      </c>
      <c r="S67" s="21">
        <v>50.2</v>
      </c>
      <c r="T67" s="21">
        <v>89.56</v>
      </c>
      <c r="U67" s="21">
        <v>73.09</v>
      </c>
      <c r="V67" s="21">
        <v>34.41</v>
      </c>
      <c r="W67" s="21">
        <v>24.87</v>
      </c>
    </row>
    <row r="68" ht="15.0" customHeight="1">
      <c r="A68" s="14" t="s">
        <v>119</v>
      </c>
      <c r="B68" s="19">
        <v>73.08</v>
      </c>
      <c r="C68" s="19">
        <v>15.13</v>
      </c>
      <c r="D68" s="19">
        <v>51.03</v>
      </c>
      <c r="E68" s="19">
        <v>56.94</v>
      </c>
      <c r="F68" s="19">
        <v>91.6</v>
      </c>
      <c r="G68" s="19">
        <v>57.04</v>
      </c>
      <c r="H68" s="19">
        <v>44.97</v>
      </c>
      <c r="I68" s="19">
        <v>45.0</v>
      </c>
      <c r="J68" s="19">
        <v>40.84</v>
      </c>
      <c r="K68" s="19">
        <v>21.67</v>
      </c>
      <c r="L68" s="19">
        <v>18.47</v>
      </c>
      <c r="M68" s="19">
        <v>11.83</v>
      </c>
      <c r="N68" s="19">
        <v>15.37</v>
      </c>
      <c r="O68" s="19">
        <v>13.01</v>
      </c>
      <c r="P68" s="19">
        <v>20.78</v>
      </c>
      <c r="Q68" s="19">
        <v>15.12</v>
      </c>
      <c r="R68" s="19">
        <v>0.69</v>
      </c>
      <c r="S68" s="19">
        <v>11.51</v>
      </c>
      <c r="T68" s="19">
        <v>26.59</v>
      </c>
      <c r="U68" s="19">
        <v>18.27</v>
      </c>
      <c r="V68" s="19">
        <v>6.88</v>
      </c>
      <c r="W68" s="19">
        <v>5.36</v>
      </c>
    </row>
    <row r="69" ht="15.0" customHeight="1">
      <c r="A69" s="14" t="s">
        <v>120</v>
      </c>
      <c r="B69" s="18"/>
      <c r="C69" s="19">
        <v>18.29</v>
      </c>
      <c r="D69" s="19">
        <v>67.98</v>
      </c>
      <c r="E69" s="19">
        <v>52.62</v>
      </c>
      <c r="F69" s="19">
        <v>88.78</v>
      </c>
      <c r="G69" s="19">
        <v>68.33</v>
      </c>
      <c r="H69" s="19">
        <v>38.67</v>
      </c>
      <c r="I69" s="19">
        <v>42.61</v>
      </c>
      <c r="J69" s="19">
        <v>23.68</v>
      </c>
      <c r="K69" s="19">
        <v>12.65</v>
      </c>
      <c r="L69" s="19">
        <v>19.35</v>
      </c>
      <c r="M69" s="19">
        <v>11.64</v>
      </c>
      <c r="N69" s="19">
        <v>12.17</v>
      </c>
      <c r="O69" s="19">
        <v>15.52</v>
      </c>
      <c r="P69" s="19">
        <v>17.88</v>
      </c>
      <c r="Q69" s="18"/>
      <c r="R69" s="20">
        <v>-4.08</v>
      </c>
      <c r="S69" s="19">
        <v>14.2</v>
      </c>
      <c r="T69" s="19">
        <v>29.21</v>
      </c>
      <c r="U69" s="18"/>
      <c r="V69" s="19">
        <v>10.54</v>
      </c>
      <c r="W69" s="19">
        <v>12.71</v>
      </c>
    </row>
    <row r="70" ht="15.0" customHeight="1">
      <c r="A70" s="14" t="s">
        <v>121</v>
      </c>
      <c r="B70" s="18"/>
      <c r="C70" s="20">
        <v>-5.06</v>
      </c>
      <c r="D70" s="20">
        <v>-19.57</v>
      </c>
      <c r="E70" s="19">
        <v>2.67</v>
      </c>
      <c r="F70" s="19">
        <v>0.87</v>
      </c>
      <c r="G70" s="20">
        <v>-13.65</v>
      </c>
      <c r="H70" s="19">
        <v>3.19</v>
      </c>
      <c r="I70" s="19">
        <v>2.39</v>
      </c>
      <c r="J70" s="19">
        <v>17.16</v>
      </c>
      <c r="K70" s="19">
        <v>9.02</v>
      </c>
      <c r="L70" s="20">
        <v>-0.88</v>
      </c>
      <c r="M70" s="19">
        <v>0.19</v>
      </c>
      <c r="N70" s="19">
        <v>3.2</v>
      </c>
      <c r="O70" s="20">
        <v>-2.51</v>
      </c>
      <c r="P70" s="19">
        <v>2.9</v>
      </c>
      <c r="Q70" s="18"/>
      <c r="R70" s="19">
        <v>3.95</v>
      </c>
      <c r="S70" s="20">
        <v>-2.69</v>
      </c>
      <c r="T70" s="20">
        <v>-2.62</v>
      </c>
      <c r="U70" s="18"/>
      <c r="V70" s="20">
        <v>-3.53</v>
      </c>
      <c r="W70" s="20">
        <v>-6.98</v>
      </c>
    </row>
    <row r="71" ht="15.0" customHeight="1">
      <c r="A71" s="14" t="s">
        <v>122</v>
      </c>
      <c r="B71" s="18"/>
      <c r="C71" s="19">
        <v>1.89</v>
      </c>
      <c r="D71" s="19">
        <v>2.62</v>
      </c>
      <c r="E71" s="19">
        <v>1.65</v>
      </c>
      <c r="F71" s="19">
        <v>1.95</v>
      </c>
      <c r="G71" s="19">
        <v>2.37</v>
      </c>
      <c r="H71" s="19">
        <v>3.11</v>
      </c>
      <c r="I71" s="18"/>
      <c r="J71" s="18"/>
      <c r="K71" s="18"/>
      <c r="L71" s="18"/>
      <c r="M71" s="18"/>
      <c r="N71" s="18"/>
      <c r="O71" s="18"/>
      <c r="P71" s="18"/>
      <c r="Q71" s="18"/>
      <c r="R71" s="19">
        <v>0.83</v>
      </c>
      <c r="S71" s="18"/>
      <c r="T71" s="18"/>
      <c r="U71" s="18"/>
      <c r="V71" s="18"/>
      <c r="W71" s="18"/>
    </row>
    <row r="72" ht="15.0" customHeight="1">
      <c r="A72" s="14" t="s">
        <v>123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20">
        <v>-0.14</v>
      </c>
      <c r="W72" s="20">
        <v>-0.37</v>
      </c>
    </row>
    <row r="73" ht="15.0" customHeight="1">
      <c r="A73" s="16" t="s">
        <v>124</v>
      </c>
      <c r="B73" s="21">
        <v>73.08</v>
      </c>
      <c r="C73" s="21">
        <v>15.13</v>
      </c>
      <c r="D73" s="21">
        <v>51.03</v>
      </c>
      <c r="E73" s="21">
        <v>56.94</v>
      </c>
      <c r="F73" s="21">
        <v>91.6</v>
      </c>
      <c r="G73" s="21">
        <v>57.04</v>
      </c>
      <c r="H73" s="21">
        <v>44.97</v>
      </c>
      <c r="I73" s="21">
        <v>45.0</v>
      </c>
      <c r="J73" s="21">
        <v>40.84</v>
      </c>
      <c r="K73" s="21">
        <v>21.67</v>
      </c>
      <c r="L73" s="21">
        <v>18.47</v>
      </c>
      <c r="M73" s="21">
        <v>11.83</v>
      </c>
      <c r="N73" s="21">
        <v>15.37</v>
      </c>
      <c r="O73" s="21">
        <v>13.01</v>
      </c>
      <c r="P73" s="21">
        <v>20.78</v>
      </c>
      <c r="Q73" s="21">
        <v>15.12</v>
      </c>
      <c r="R73" s="21">
        <v>0.69</v>
      </c>
      <c r="S73" s="21">
        <v>11.51</v>
      </c>
      <c r="T73" s="21">
        <v>26.59</v>
      </c>
      <c r="U73" s="21">
        <v>18.27</v>
      </c>
      <c r="V73" s="21">
        <v>6.88</v>
      </c>
      <c r="W73" s="21">
        <v>5.36</v>
      </c>
    </row>
    <row r="74" ht="15.0" customHeight="1">
      <c r="A74" s="16" t="s">
        <v>125</v>
      </c>
      <c r="B74" s="17">
        <v>188.53</v>
      </c>
      <c r="C74" s="17">
        <v>101.76</v>
      </c>
      <c r="D74" s="17">
        <v>174.57</v>
      </c>
      <c r="E74" s="17">
        <v>236.65</v>
      </c>
      <c r="F74" s="17">
        <v>342.84</v>
      </c>
      <c r="G74" s="17">
        <v>199.72</v>
      </c>
      <c r="H74" s="17">
        <v>151.79</v>
      </c>
      <c r="I74" s="17">
        <v>160.25</v>
      </c>
      <c r="J74" s="17">
        <v>153.01</v>
      </c>
      <c r="K74" s="21">
        <v>68.53</v>
      </c>
      <c r="L74" s="21">
        <v>62.47</v>
      </c>
      <c r="M74" s="21">
        <v>39.61</v>
      </c>
      <c r="N74" s="21">
        <v>49.14</v>
      </c>
      <c r="O74" s="21">
        <v>57.52</v>
      </c>
      <c r="P74" s="21">
        <v>69.33</v>
      </c>
      <c r="Q74" s="21">
        <v>47.87</v>
      </c>
      <c r="R74" s="21">
        <v>1.3</v>
      </c>
      <c r="S74" s="21">
        <v>38.69</v>
      </c>
      <c r="T74" s="21">
        <v>62.97</v>
      </c>
      <c r="U74" s="21">
        <v>54.82</v>
      </c>
      <c r="V74" s="21">
        <v>27.53</v>
      </c>
      <c r="W74" s="21">
        <v>19.51</v>
      </c>
    </row>
    <row r="75" ht="15.0" customHeight="1">
      <c r="A75" s="16" t="s">
        <v>126</v>
      </c>
      <c r="B75" s="17">
        <v>188.53</v>
      </c>
      <c r="C75" s="17">
        <v>101.76</v>
      </c>
      <c r="D75" s="17">
        <v>174.57</v>
      </c>
      <c r="E75" s="17">
        <v>236.65</v>
      </c>
      <c r="F75" s="17">
        <v>342.84</v>
      </c>
      <c r="G75" s="17">
        <v>199.72</v>
      </c>
      <c r="H75" s="17">
        <v>151.79</v>
      </c>
      <c r="I75" s="17">
        <v>160.25</v>
      </c>
      <c r="J75" s="17">
        <v>153.01</v>
      </c>
      <c r="K75" s="21">
        <v>68.53</v>
      </c>
      <c r="L75" s="21">
        <v>62.47</v>
      </c>
      <c r="M75" s="21">
        <v>39.61</v>
      </c>
      <c r="N75" s="21">
        <v>49.14</v>
      </c>
      <c r="O75" s="21">
        <v>57.52</v>
      </c>
      <c r="P75" s="21">
        <v>69.33</v>
      </c>
      <c r="Q75" s="21">
        <v>47.87</v>
      </c>
      <c r="R75" s="21">
        <v>1.3</v>
      </c>
      <c r="S75" s="21">
        <v>38.69</v>
      </c>
      <c r="T75" s="21">
        <v>62.97</v>
      </c>
      <c r="U75" s="21">
        <v>54.82</v>
      </c>
      <c r="V75" s="21">
        <v>27.53</v>
      </c>
      <c r="W75" s="21">
        <v>19.51</v>
      </c>
    </row>
    <row r="76" ht="15.0" customHeight="1">
      <c r="A76" s="14" t="s">
        <v>127</v>
      </c>
      <c r="B76" s="18"/>
      <c r="C76" s="18"/>
      <c r="D76" s="18"/>
      <c r="E76" s="18"/>
      <c r="F76" s="18"/>
      <c r="G76" s="18"/>
      <c r="H76" s="18"/>
      <c r="I76" s="18"/>
      <c r="J76" s="18"/>
      <c r="K76" s="18">
        <v>0.0</v>
      </c>
      <c r="L76" s="19">
        <v>11.95</v>
      </c>
      <c r="M76" s="19">
        <v>16.94</v>
      </c>
      <c r="N76" s="19">
        <v>57.36</v>
      </c>
      <c r="O76" s="18"/>
      <c r="P76" s="19">
        <v>1.98</v>
      </c>
      <c r="Q76" s="19">
        <v>12.6</v>
      </c>
      <c r="R76" s="20">
        <v>-8.61</v>
      </c>
      <c r="S76" s="18">
        <v>0.0</v>
      </c>
      <c r="T76" s="18">
        <v>0.0</v>
      </c>
      <c r="U76" s="19">
        <v>16.53</v>
      </c>
      <c r="V76" s="19">
        <v>12.28</v>
      </c>
      <c r="W76" s="19">
        <v>1.28</v>
      </c>
    </row>
    <row r="77" ht="15.0" customHeight="1">
      <c r="A77" s="16" t="s">
        <v>128</v>
      </c>
      <c r="B77" s="24"/>
      <c r="C77" s="24"/>
      <c r="D77" s="24"/>
      <c r="E77" s="24"/>
      <c r="F77" s="24"/>
      <c r="G77" s="24"/>
      <c r="H77" s="24"/>
      <c r="I77" s="24"/>
      <c r="J77" s="24"/>
      <c r="K77" s="24">
        <v>0.0</v>
      </c>
      <c r="L77" s="21">
        <v>11.95</v>
      </c>
      <c r="M77" s="21">
        <v>16.94</v>
      </c>
      <c r="N77" s="21">
        <v>57.36</v>
      </c>
      <c r="O77" s="24"/>
      <c r="P77" s="21">
        <v>1.98</v>
      </c>
      <c r="Q77" s="21">
        <v>12.6</v>
      </c>
      <c r="R77" s="23">
        <v>-8.61</v>
      </c>
      <c r="S77" s="24">
        <v>0.0</v>
      </c>
      <c r="T77" s="24">
        <v>0.0</v>
      </c>
      <c r="U77" s="21">
        <v>16.53</v>
      </c>
      <c r="V77" s="21">
        <v>12.28</v>
      </c>
      <c r="W77" s="21">
        <v>1.28</v>
      </c>
    </row>
    <row r="78" ht="15.0" customHeight="1">
      <c r="A78" s="16" t="s">
        <v>129</v>
      </c>
      <c r="B78" s="17">
        <v>188.53</v>
      </c>
      <c r="C78" s="17">
        <v>101.76</v>
      </c>
      <c r="D78" s="17">
        <v>174.57</v>
      </c>
      <c r="E78" s="17">
        <v>236.65</v>
      </c>
      <c r="F78" s="17">
        <v>342.84</v>
      </c>
      <c r="G78" s="17">
        <v>199.72</v>
      </c>
      <c r="H78" s="17">
        <v>151.79</v>
      </c>
      <c r="I78" s="17">
        <v>160.25</v>
      </c>
      <c r="J78" s="17">
        <v>153.01</v>
      </c>
      <c r="K78" s="21">
        <v>68.53</v>
      </c>
      <c r="L78" s="21">
        <v>74.42</v>
      </c>
      <c r="M78" s="21">
        <v>56.56</v>
      </c>
      <c r="N78" s="17">
        <v>106.5</v>
      </c>
      <c r="O78" s="21">
        <v>57.52</v>
      </c>
      <c r="P78" s="21">
        <v>71.31</v>
      </c>
      <c r="Q78" s="21">
        <v>60.47</v>
      </c>
      <c r="R78" s="23">
        <v>-7.31</v>
      </c>
      <c r="S78" s="21">
        <v>38.69</v>
      </c>
      <c r="T78" s="21">
        <v>62.97</v>
      </c>
      <c r="U78" s="21">
        <v>71.35</v>
      </c>
      <c r="V78" s="21">
        <v>39.82</v>
      </c>
      <c r="W78" s="21">
        <v>20.78</v>
      </c>
    </row>
    <row r="79" ht="15.0" customHeight="1">
      <c r="A79" s="16" t="s">
        <v>130</v>
      </c>
      <c r="B79" s="17">
        <v>188.53</v>
      </c>
      <c r="C79" s="17">
        <v>101.76</v>
      </c>
      <c r="D79" s="17">
        <v>174.57</v>
      </c>
      <c r="E79" s="17">
        <v>236.65</v>
      </c>
      <c r="F79" s="17">
        <v>342.84</v>
      </c>
      <c r="G79" s="17">
        <v>199.72</v>
      </c>
      <c r="H79" s="17">
        <v>151.79</v>
      </c>
      <c r="I79" s="17">
        <v>160.25</v>
      </c>
      <c r="J79" s="17">
        <v>153.01</v>
      </c>
      <c r="K79" s="21">
        <v>68.53</v>
      </c>
      <c r="L79" s="21">
        <v>74.42</v>
      </c>
      <c r="M79" s="21">
        <v>56.56</v>
      </c>
      <c r="N79" s="17">
        <v>106.5</v>
      </c>
      <c r="O79" s="21">
        <v>57.52</v>
      </c>
      <c r="P79" s="21">
        <v>71.31</v>
      </c>
      <c r="Q79" s="21">
        <v>60.47</v>
      </c>
      <c r="R79" s="23">
        <v>-7.31</v>
      </c>
      <c r="S79" s="21">
        <v>38.69</v>
      </c>
      <c r="T79" s="21">
        <v>62.97</v>
      </c>
      <c r="U79" s="21">
        <v>71.35</v>
      </c>
      <c r="V79" s="21">
        <v>39.82</v>
      </c>
      <c r="W79" s="21">
        <v>20.78</v>
      </c>
    </row>
    <row r="80" ht="15.0" customHeight="1">
      <c r="A80" s="16" t="s">
        <v>131</v>
      </c>
      <c r="B80" s="17">
        <v>188.53</v>
      </c>
      <c r="C80" s="17">
        <v>101.76</v>
      </c>
      <c r="D80" s="17">
        <v>174.57</v>
      </c>
      <c r="E80" s="17">
        <v>236.65</v>
      </c>
      <c r="F80" s="17">
        <v>342.84</v>
      </c>
      <c r="G80" s="17">
        <v>199.72</v>
      </c>
      <c r="H80" s="17">
        <v>151.79</v>
      </c>
      <c r="I80" s="17">
        <v>160.25</v>
      </c>
      <c r="J80" s="17">
        <v>153.01</v>
      </c>
      <c r="K80" s="21">
        <v>68.53</v>
      </c>
      <c r="L80" s="21">
        <v>62.47</v>
      </c>
      <c r="M80" s="21">
        <v>39.61</v>
      </c>
      <c r="N80" s="21">
        <v>49.14</v>
      </c>
      <c r="O80" s="21">
        <v>57.52</v>
      </c>
      <c r="P80" s="21">
        <v>69.33</v>
      </c>
      <c r="Q80" s="21">
        <v>47.87</v>
      </c>
      <c r="R80" s="21">
        <v>1.3</v>
      </c>
      <c r="S80" s="21">
        <v>38.69</v>
      </c>
      <c r="T80" s="21">
        <v>62.97</v>
      </c>
      <c r="U80" s="21">
        <v>54.82</v>
      </c>
      <c r="V80" s="21">
        <v>27.53</v>
      </c>
      <c r="W80" s="21">
        <v>19.51</v>
      </c>
    </row>
    <row r="81" ht="15.0" customHeight="1">
      <c r="A81" s="16" t="s">
        <v>132</v>
      </c>
      <c r="B81" s="17">
        <v>188.53</v>
      </c>
      <c r="C81" s="17">
        <v>101.76</v>
      </c>
      <c r="D81" s="17">
        <v>174.57</v>
      </c>
      <c r="E81" s="17">
        <v>236.65</v>
      </c>
      <c r="F81" s="17">
        <v>342.84</v>
      </c>
      <c r="G81" s="17">
        <v>199.72</v>
      </c>
      <c r="H81" s="17">
        <v>151.79</v>
      </c>
      <c r="I81" s="17">
        <v>160.25</v>
      </c>
      <c r="J81" s="17">
        <v>153.01</v>
      </c>
      <c r="K81" s="21">
        <v>68.53</v>
      </c>
      <c r="L81" s="21">
        <v>74.42</v>
      </c>
      <c r="M81" s="21">
        <v>56.56</v>
      </c>
      <c r="N81" s="17">
        <v>106.5</v>
      </c>
      <c r="O81" s="21">
        <v>57.52</v>
      </c>
      <c r="P81" s="21">
        <v>71.31</v>
      </c>
      <c r="Q81" s="21">
        <v>60.47</v>
      </c>
      <c r="R81" s="23">
        <v>-7.31</v>
      </c>
      <c r="S81" s="21">
        <v>38.69</v>
      </c>
      <c r="T81" s="21">
        <v>62.97</v>
      </c>
      <c r="U81" s="21">
        <v>71.35</v>
      </c>
      <c r="V81" s="21">
        <v>39.82</v>
      </c>
      <c r="W81" s="21">
        <v>20.78</v>
      </c>
    </row>
    <row r="82" ht="15.0" customHeight="1">
      <c r="A82" s="14" t="s">
        <v>125</v>
      </c>
      <c r="B82" s="18"/>
      <c r="C82" s="15">
        <v>101.76</v>
      </c>
      <c r="D82" s="15">
        <v>174.57</v>
      </c>
      <c r="E82" s="15">
        <v>236.65</v>
      </c>
      <c r="F82" s="15">
        <v>342.84</v>
      </c>
      <c r="G82" s="15">
        <v>199.72</v>
      </c>
      <c r="H82" s="15">
        <v>151.79</v>
      </c>
      <c r="I82" s="15">
        <v>160.25</v>
      </c>
      <c r="J82" s="15">
        <v>153.01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133</v>
      </c>
      <c r="B83" s="18"/>
      <c r="C83" s="20">
        <v>-2.94</v>
      </c>
      <c r="D83" s="20">
        <v>-13.05</v>
      </c>
      <c r="E83" s="19">
        <v>24.24</v>
      </c>
      <c r="F83" s="19">
        <v>1.99</v>
      </c>
      <c r="G83" s="19">
        <v>5.22</v>
      </c>
      <c r="H83" s="19">
        <v>0.8</v>
      </c>
      <c r="I83" s="19">
        <v>0.75</v>
      </c>
      <c r="J83" s="19">
        <v>2.54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117</v>
      </c>
      <c r="B84" s="18"/>
      <c r="C84" s="19">
        <v>13.06</v>
      </c>
      <c r="D84" s="20">
        <v>-12.23</v>
      </c>
      <c r="E84" s="19">
        <v>20.38</v>
      </c>
      <c r="F84" s="19">
        <v>18.83</v>
      </c>
      <c r="G84" s="20">
        <v>-18.26</v>
      </c>
      <c r="H84" s="19">
        <v>5.76</v>
      </c>
      <c r="I84" s="19">
        <v>7.98</v>
      </c>
      <c r="J84" s="19">
        <v>0.63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134</v>
      </c>
      <c r="B85" s="18"/>
      <c r="C85" s="19">
        <v>0.61</v>
      </c>
      <c r="D85" s="19">
        <v>2.69</v>
      </c>
      <c r="E85" s="20">
        <v>-4.99</v>
      </c>
      <c r="F85" s="20">
        <v>-0.41</v>
      </c>
      <c r="G85" s="20">
        <v>-1.18</v>
      </c>
      <c r="H85" s="20">
        <v>-0.17</v>
      </c>
      <c r="I85" s="20">
        <v>-0.24</v>
      </c>
      <c r="J85" s="20">
        <v>-0.56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6" t="s">
        <v>135</v>
      </c>
      <c r="B86" s="24"/>
      <c r="C86" s="21">
        <v>10.72</v>
      </c>
      <c r="D86" s="23">
        <v>-22.59</v>
      </c>
      <c r="E86" s="21">
        <v>39.63</v>
      </c>
      <c r="F86" s="21">
        <v>20.41</v>
      </c>
      <c r="G86" s="23">
        <v>-14.22</v>
      </c>
      <c r="H86" s="21">
        <v>6.39</v>
      </c>
      <c r="I86" s="21">
        <v>8.49</v>
      </c>
      <c r="J86" s="21">
        <v>2.61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ht="15.0" customHeight="1">
      <c r="A87" s="14" t="s">
        <v>136</v>
      </c>
      <c r="B87" s="18"/>
      <c r="C87" s="15">
        <v>112.48</v>
      </c>
      <c r="D87" s="15">
        <v>151.98</v>
      </c>
      <c r="E87" s="15">
        <v>276.28</v>
      </c>
      <c r="F87" s="15">
        <v>363.25</v>
      </c>
      <c r="G87" s="15">
        <v>185.49</v>
      </c>
      <c r="H87" s="15">
        <v>158.18</v>
      </c>
      <c r="I87" s="15">
        <v>168.73</v>
      </c>
      <c r="J87" s="15">
        <v>155.62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137</v>
      </c>
      <c r="B88" s="24"/>
      <c r="C88" s="17">
        <v>112.48</v>
      </c>
      <c r="D88" s="17">
        <v>151.98</v>
      </c>
      <c r="E88" s="17">
        <v>276.28</v>
      </c>
      <c r="F88" s="17">
        <v>363.25</v>
      </c>
      <c r="G88" s="17">
        <v>185.49</v>
      </c>
      <c r="H88" s="17">
        <v>158.18</v>
      </c>
      <c r="I88" s="17">
        <v>168.73</v>
      </c>
      <c r="J88" s="17">
        <v>155.62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ht="15.0" customHeight="1">
      <c r="A89" s="14" t="s">
        <v>138</v>
      </c>
      <c r="B89" s="19">
        <v>59.31</v>
      </c>
      <c r="C89" s="19">
        <v>59.26</v>
      </c>
      <c r="D89" s="19">
        <v>58.3</v>
      </c>
      <c r="E89" s="19">
        <v>57.99</v>
      </c>
      <c r="F89" s="19">
        <v>57.98</v>
      </c>
      <c r="G89" s="19">
        <v>56.87</v>
      </c>
      <c r="H89" s="19">
        <v>55.79</v>
      </c>
      <c r="I89" s="19">
        <v>55.79</v>
      </c>
      <c r="J89" s="19">
        <v>55.25</v>
      </c>
      <c r="K89" s="19">
        <v>54.81</v>
      </c>
      <c r="L89" s="19">
        <v>54.31</v>
      </c>
      <c r="M89" s="19">
        <v>54.31</v>
      </c>
      <c r="N89" s="19">
        <v>54.31</v>
      </c>
      <c r="O89" s="19">
        <v>54.31</v>
      </c>
      <c r="P89" s="19">
        <v>54.31</v>
      </c>
      <c r="Q89" s="19">
        <v>54.31</v>
      </c>
      <c r="R89" s="19">
        <v>54.31</v>
      </c>
      <c r="S89" s="19">
        <v>54.04</v>
      </c>
      <c r="T89" s="19">
        <v>53.87</v>
      </c>
      <c r="U89" s="19">
        <v>53.57</v>
      </c>
      <c r="V89" s="19">
        <v>53.57</v>
      </c>
      <c r="W89" s="19">
        <v>53.57</v>
      </c>
    </row>
    <row r="90" ht="15.0" customHeight="1">
      <c r="A90" s="14" t="s">
        <v>139</v>
      </c>
      <c r="B90" s="19">
        <v>59.64</v>
      </c>
      <c r="C90" s="19">
        <v>59.35</v>
      </c>
      <c r="D90" s="19">
        <v>59.13</v>
      </c>
      <c r="E90" s="19">
        <v>59.13</v>
      </c>
      <c r="F90" s="19">
        <v>59.13</v>
      </c>
      <c r="G90" s="19">
        <v>58.28</v>
      </c>
      <c r="H90" s="19">
        <v>58.07</v>
      </c>
      <c r="I90" s="19">
        <v>58.07</v>
      </c>
      <c r="J90" s="19">
        <v>57.53</v>
      </c>
      <c r="K90" s="19">
        <v>58.18</v>
      </c>
      <c r="L90" s="19">
        <v>59.02</v>
      </c>
      <c r="M90" s="19">
        <v>58.19</v>
      </c>
      <c r="N90" s="19">
        <v>56.51</v>
      </c>
      <c r="O90" s="19">
        <v>56.29</v>
      </c>
      <c r="P90" s="19">
        <v>56.07</v>
      </c>
      <c r="Q90" s="19">
        <v>56.07</v>
      </c>
      <c r="R90" s="19">
        <v>54.31</v>
      </c>
      <c r="S90" s="19">
        <v>55.6</v>
      </c>
      <c r="T90" s="19">
        <v>55.39</v>
      </c>
      <c r="U90" s="19">
        <v>55.09</v>
      </c>
      <c r="V90" s="19">
        <v>54.33</v>
      </c>
      <c r="W90" s="19">
        <v>53.57</v>
      </c>
    </row>
    <row r="91" ht="15.0" customHeight="1">
      <c r="A91" s="14" t="s">
        <v>140</v>
      </c>
      <c r="B91" s="19">
        <v>3.19</v>
      </c>
      <c r="C91" s="19">
        <v>1.72</v>
      </c>
      <c r="D91" s="19">
        <v>3.0</v>
      </c>
      <c r="E91" s="19">
        <v>4.09</v>
      </c>
      <c r="F91" s="19">
        <v>5.91</v>
      </c>
      <c r="G91" s="19">
        <v>3.51</v>
      </c>
      <c r="H91" s="19">
        <v>2.72</v>
      </c>
      <c r="I91" s="19">
        <v>2.87</v>
      </c>
      <c r="J91" s="19">
        <v>2.77</v>
      </c>
      <c r="K91" s="19">
        <v>1.25</v>
      </c>
      <c r="L91" s="19">
        <v>1.37</v>
      </c>
      <c r="M91" s="19">
        <v>1.04</v>
      </c>
      <c r="N91" s="19">
        <v>1.96</v>
      </c>
      <c r="O91" s="19">
        <v>1.06</v>
      </c>
      <c r="P91" s="19">
        <v>1.31</v>
      </c>
      <c r="Q91" s="19">
        <v>1.11</v>
      </c>
      <c r="R91" s="20">
        <v>-0.13</v>
      </c>
      <c r="S91" s="19">
        <v>0.72</v>
      </c>
      <c r="T91" s="19">
        <v>1.17</v>
      </c>
      <c r="U91" s="19">
        <v>1.33</v>
      </c>
      <c r="V91" s="19">
        <v>0.74</v>
      </c>
      <c r="W91" s="19">
        <v>0.39</v>
      </c>
    </row>
    <row r="92" ht="15.0" customHeight="1">
      <c r="A92" s="14" t="s">
        <v>141</v>
      </c>
      <c r="B92" s="19">
        <v>3.19</v>
      </c>
      <c r="C92" s="19">
        <v>1.72</v>
      </c>
      <c r="D92" s="19">
        <v>3.0</v>
      </c>
      <c r="E92" s="19">
        <v>4.06</v>
      </c>
      <c r="F92" s="19">
        <v>5.86</v>
      </c>
      <c r="G92" s="19">
        <v>3.46</v>
      </c>
      <c r="H92" s="19">
        <v>2.65</v>
      </c>
      <c r="I92" s="19">
        <v>2.8</v>
      </c>
      <c r="J92" s="19">
        <v>2.7</v>
      </c>
      <c r="K92" s="19">
        <v>1.21</v>
      </c>
      <c r="L92" s="19">
        <v>1.28</v>
      </c>
      <c r="M92" s="19">
        <v>0.99</v>
      </c>
      <c r="N92" s="19">
        <v>1.91</v>
      </c>
      <c r="O92" s="19">
        <v>1.04</v>
      </c>
      <c r="P92" s="19">
        <v>1.29</v>
      </c>
      <c r="Q92" s="19">
        <v>1.08</v>
      </c>
      <c r="R92" s="20">
        <v>-0.13</v>
      </c>
      <c r="S92" s="19">
        <v>0.7</v>
      </c>
      <c r="T92" s="19">
        <v>1.14</v>
      </c>
      <c r="U92" s="19">
        <v>1.3</v>
      </c>
      <c r="V92" s="19">
        <v>0.73</v>
      </c>
      <c r="W92" s="19">
        <v>0.39</v>
      </c>
    </row>
    <row r="93" ht="15.0" customHeight="1">
      <c r="A93" s="14" t="s">
        <v>142</v>
      </c>
      <c r="B93" s="19">
        <v>3.19</v>
      </c>
      <c r="C93" s="19">
        <v>1.72</v>
      </c>
      <c r="D93" s="19">
        <v>3.0</v>
      </c>
      <c r="E93" s="19">
        <v>4.09</v>
      </c>
      <c r="F93" s="19">
        <v>5.91</v>
      </c>
      <c r="G93" s="19">
        <v>3.51</v>
      </c>
      <c r="H93" s="19">
        <v>2.72</v>
      </c>
      <c r="I93" s="19">
        <v>2.87</v>
      </c>
      <c r="J93" s="19">
        <v>2.77</v>
      </c>
      <c r="K93" s="19">
        <v>1.25</v>
      </c>
      <c r="L93" s="19">
        <v>1.15</v>
      </c>
      <c r="M93" s="19">
        <v>0.73</v>
      </c>
      <c r="N93" s="19">
        <v>0.9</v>
      </c>
      <c r="O93" s="19">
        <v>1.06</v>
      </c>
      <c r="P93" s="19">
        <v>1.28</v>
      </c>
      <c r="Q93" s="19">
        <v>0.88</v>
      </c>
      <c r="R93" s="19">
        <v>0.02</v>
      </c>
      <c r="S93" s="19">
        <v>0.72</v>
      </c>
      <c r="T93" s="19">
        <v>1.17</v>
      </c>
      <c r="U93" s="19">
        <v>1.02</v>
      </c>
      <c r="V93" s="19">
        <v>0.51</v>
      </c>
      <c r="W93" s="19">
        <v>0.36</v>
      </c>
    </row>
    <row r="94" ht="15.0" customHeight="1">
      <c r="A94" s="14" t="s">
        <v>143</v>
      </c>
      <c r="B94" s="19">
        <v>3.19</v>
      </c>
      <c r="C94" s="19">
        <v>1.72</v>
      </c>
      <c r="D94" s="19">
        <v>3.0</v>
      </c>
      <c r="E94" s="19">
        <v>4.06</v>
      </c>
      <c r="F94" s="19">
        <v>5.86</v>
      </c>
      <c r="G94" s="19">
        <v>3.46</v>
      </c>
      <c r="H94" s="19">
        <v>2.65</v>
      </c>
      <c r="I94" s="19">
        <v>2.8</v>
      </c>
      <c r="J94" s="19">
        <v>2.7</v>
      </c>
      <c r="K94" s="19">
        <v>1.21</v>
      </c>
      <c r="L94" s="19">
        <v>1.08</v>
      </c>
      <c r="M94" s="19">
        <v>0.7</v>
      </c>
      <c r="N94" s="19">
        <v>0.89</v>
      </c>
      <c r="O94" s="19">
        <v>1.04</v>
      </c>
      <c r="P94" s="19">
        <v>1.24</v>
      </c>
      <c r="Q94" s="19">
        <v>0.85</v>
      </c>
      <c r="R94" s="19">
        <v>0.02</v>
      </c>
      <c r="S94" s="19">
        <v>0.7</v>
      </c>
      <c r="T94" s="19">
        <v>1.14</v>
      </c>
      <c r="U94" s="19">
        <v>1.0</v>
      </c>
      <c r="V94" s="19">
        <v>0.51</v>
      </c>
      <c r="W94" s="19">
        <v>0.36</v>
      </c>
    </row>
    <row r="95" ht="15.0" customHeight="1">
      <c r="A95" s="14" t="s">
        <v>144</v>
      </c>
      <c r="B95" s="19">
        <v>2.12</v>
      </c>
      <c r="C95" s="19">
        <v>0.6</v>
      </c>
      <c r="D95" s="19">
        <v>3.67</v>
      </c>
      <c r="E95" s="19">
        <v>3.6</v>
      </c>
      <c r="F95" s="19">
        <v>3.51</v>
      </c>
      <c r="G95" s="19">
        <v>2.0</v>
      </c>
      <c r="H95" s="19">
        <v>2.14</v>
      </c>
      <c r="I95" s="19">
        <v>2.21</v>
      </c>
      <c r="J95" s="19">
        <v>2.15</v>
      </c>
      <c r="K95" s="19">
        <v>1.8</v>
      </c>
      <c r="L95" s="19">
        <v>1.05</v>
      </c>
      <c r="M95" s="19">
        <v>1.24</v>
      </c>
      <c r="N95" s="18"/>
      <c r="O95" s="19">
        <v>1.26</v>
      </c>
      <c r="P95" s="18"/>
      <c r="Q95" s="18"/>
      <c r="R95" s="18">
        <v>0.0</v>
      </c>
      <c r="S95" s="18"/>
      <c r="T95" s="18"/>
      <c r="U95" s="18"/>
      <c r="V95" s="18"/>
      <c r="W95" s="18"/>
    </row>
    <row r="96" ht="15.0" customHeight="1">
      <c r="A96" s="14" t="s">
        <v>145</v>
      </c>
      <c r="B96" s="15">
        <v>190.65</v>
      </c>
      <c r="C96" s="15">
        <v>102.35</v>
      </c>
      <c r="D96" s="15">
        <v>178.24</v>
      </c>
      <c r="E96" s="15">
        <v>240.25</v>
      </c>
      <c r="F96" s="15">
        <v>346.35</v>
      </c>
      <c r="G96" s="15">
        <v>201.72</v>
      </c>
      <c r="H96" s="15">
        <v>153.93</v>
      </c>
      <c r="I96" s="15">
        <v>162.46</v>
      </c>
      <c r="J96" s="15">
        <v>155.15</v>
      </c>
      <c r="K96" s="19">
        <v>70.34</v>
      </c>
      <c r="L96" s="19">
        <v>75.47</v>
      </c>
      <c r="M96" s="19">
        <v>57.8</v>
      </c>
      <c r="N96" s="15">
        <v>107.75</v>
      </c>
      <c r="O96" s="19">
        <v>58.77</v>
      </c>
      <c r="P96" s="19">
        <v>71.31</v>
      </c>
      <c r="Q96" s="19">
        <v>60.47</v>
      </c>
      <c r="R96" s="20">
        <v>-7.31</v>
      </c>
      <c r="S96" s="19">
        <v>38.69</v>
      </c>
      <c r="T96" s="19">
        <v>62.97</v>
      </c>
      <c r="U96" s="19">
        <v>71.35</v>
      </c>
      <c r="V96" s="19">
        <v>39.82</v>
      </c>
      <c r="W96" s="19">
        <v>20.78</v>
      </c>
    </row>
    <row r="97" ht="15.0" customHeight="1">
      <c r="A97" s="14" t="s">
        <v>146</v>
      </c>
      <c r="B97" s="15">
        <v>190.65</v>
      </c>
      <c r="C97" s="15">
        <v>102.35</v>
      </c>
      <c r="D97" s="15">
        <v>178.24</v>
      </c>
      <c r="E97" s="15">
        <v>240.25</v>
      </c>
      <c r="F97" s="15">
        <v>346.35</v>
      </c>
      <c r="G97" s="15">
        <v>201.72</v>
      </c>
      <c r="H97" s="15">
        <v>153.93</v>
      </c>
      <c r="I97" s="15">
        <v>162.46</v>
      </c>
      <c r="J97" s="15">
        <v>155.15</v>
      </c>
      <c r="K97" s="19">
        <v>70.34</v>
      </c>
      <c r="L97" s="19">
        <v>63.52</v>
      </c>
      <c r="M97" s="19">
        <v>40.85</v>
      </c>
      <c r="N97" s="19">
        <v>50.37</v>
      </c>
      <c r="O97" s="19">
        <v>58.77</v>
      </c>
      <c r="P97" s="19">
        <v>69.33</v>
      </c>
      <c r="Q97" s="19">
        <v>47.87</v>
      </c>
      <c r="R97" s="19">
        <v>1.3</v>
      </c>
      <c r="S97" s="19">
        <v>38.69</v>
      </c>
      <c r="T97" s="19">
        <v>62.97</v>
      </c>
      <c r="U97" s="19">
        <v>54.82</v>
      </c>
      <c r="V97" s="19">
        <v>27.53</v>
      </c>
      <c r="W97" s="19">
        <v>19.51</v>
      </c>
    </row>
    <row r="98" ht="15.0" customHeight="1">
      <c r="A98" s="14" t="s">
        <v>147</v>
      </c>
      <c r="B98" s="15">
        <v>177.94</v>
      </c>
      <c r="C98" s="15">
        <v>160.95</v>
      </c>
      <c r="D98" s="15">
        <v>138.94</v>
      </c>
      <c r="E98" s="15">
        <v>119.8</v>
      </c>
      <c r="F98" s="15">
        <v>103.84</v>
      </c>
      <c r="G98" s="19">
        <v>88.12</v>
      </c>
      <c r="H98" s="19">
        <v>78.04</v>
      </c>
      <c r="I98" s="19">
        <v>60.2</v>
      </c>
      <c r="J98" s="19">
        <v>50.57</v>
      </c>
      <c r="K98" s="19">
        <v>46.06</v>
      </c>
      <c r="L98" s="19">
        <v>46.13</v>
      </c>
      <c r="M98" s="19">
        <v>48.23</v>
      </c>
      <c r="N98" s="19">
        <v>61.85</v>
      </c>
      <c r="O98" s="19">
        <v>48.29</v>
      </c>
      <c r="P98" s="19">
        <v>41.47</v>
      </c>
      <c r="Q98" s="19">
        <v>52.91</v>
      </c>
      <c r="R98" s="19">
        <v>58.14</v>
      </c>
      <c r="S98" s="19">
        <v>57.62</v>
      </c>
      <c r="T98" s="19">
        <v>54.89</v>
      </c>
      <c r="U98" s="19">
        <v>27.85</v>
      </c>
      <c r="V98" s="19">
        <v>34.25</v>
      </c>
      <c r="W98" s="19">
        <v>38.67</v>
      </c>
    </row>
    <row r="99" ht="15.0" customHeight="1">
      <c r="A99" s="14" t="s">
        <v>148</v>
      </c>
      <c r="B99" s="18"/>
      <c r="C99" s="19">
        <v>23.82</v>
      </c>
      <c r="D99" s="19">
        <v>16.2</v>
      </c>
      <c r="E99" s="19">
        <v>12.98</v>
      </c>
      <c r="F99" s="19">
        <v>10.54</v>
      </c>
      <c r="G99" s="19">
        <v>6.82</v>
      </c>
      <c r="H99" s="19">
        <v>5.69</v>
      </c>
      <c r="I99" s="19">
        <v>5.64</v>
      </c>
      <c r="J99" s="19">
        <v>5.42</v>
      </c>
      <c r="K99" s="19">
        <v>3.41</v>
      </c>
      <c r="L99" s="19">
        <v>3.02</v>
      </c>
      <c r="M99" s="19">
        <v>2.03</v>
      </c>
      <c r="N99" s="19">
        <v>1.51</v>
      </c>
      <c r="O99" s="19">
        <v>1.81</v>
      </c>
      <c r="P99" s="19">
        <v>1.91</v>
      </c>
      <c r="Q99" s="18"/>
      <c r="R99" s="19">
        <v>2.05</v>
      </c>
      <c r="S99" s="19">
        <v>1.46</v>
      </c>
      <c r="T99" s="19">
        <v>0.88</v>
      </c>
      <c r="U99" s="18"/>
      <c r="V99" s="18">
        <v>0.0</v>
      </c>
      <c r="W99" s="18">
        <v>0.0</v>
      </c>
    </row>
    <row r="100" ht="15.0" customHeight="1">
      <c r="A100" s="14" t="s">
        <v>92</v>
      </c>
      <c r="B100" s="18"/>
      <c r="C100" s="19">
        <v>85.06</v>
      </c>
      <c r="D100" s="19">
        <v>79.1</v>
      </c>
      <c r="E100" s="19">
        <v>70.7</v>
      </c>
      <c r="F100" s="19">
        <v>60.76</v>
      </c>
      <c r="G100" s="19">
        <v>52.3</v>
      </c>
      <c r="H100" s="19">
        <v>44.93</v>
      </c>
      <c r="I100" s="19">
        <v>54.56</v>
      </c>
      <c r="J100" s="19">
        <v>45.15</v>
      </c>
      <c r="K100" s="19">
        <v>42.66</v>
      </c>
      <c r="L100" s="19">
        <v>43.11</v>
      </c>
      <c r="M100" s="19">
        <v>46.19</v>
      </c>
      <c r="N100" s="19">
        <v>60.34</v>
      </c>
      <c r="O100" s="19">
        <v>46.48</v>
      </c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149</v>
      </c>
      <c r="B101" s="18"/>
      <c r="C101" s="19">
        <v>52.08</v>
      </c>
      <c r="D101" s="19">
        <v>43.65</v>
      </c>
      <c r="E101" s="19">
        <v>36.12</v>
      </c>
      <c r="F101" s="19">
        <v>32.54</v>
      </c>
      <c r="G101" s="19">
        <v>29.01</v>
      </c>
      <c r="H101" s="19">
        <v>27.43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150</v>
      </c>
      <c r="B102" s="18"/>
      <c r="C102" s="19">
        <v>6.84</v>
      </c>
      <c r="D102" s="19">
        <v>6.61</v>
      </c>
      <c r="E102" s="19">
        <v>5.25</v>
      </c>
      <c r="F102" s="19">
        <v>3.4</v>
      </c>
      <c r="G102" s="19">
        <v>2.53</v>
      </c>
      <c r="H102" s="19">
        <v>1.99</v>
      </c>
      <c r="I102" s="19">
        <v>0.29</v>
      </c>
      <c r="J102" s="19">
        <v>0.56</v>
      </c>
      <c r="K102" s="19">
        <v>0.72</v>
      </c>
      <c r="L102" s="19">
        <v>1.3</v>
      </c>
      <c r="M102" s="19">
        <v>1.42</v>
      </c>
      <c r="N102" s="19">
        <v>1.35</v>
      </c>
      <c r="O102" s="19">
        <v>1.22</v>
      </c>
      <c r="P102" s="19">
        <v>1.12</v>
      </c>
      <c r="Q102" s="18"/>
      <c r="R102" s="18"/>
      <c r="S102" s="19">
        <v>1.81</v>
      </c>
      <c r="T102" s="19">
        <v>1.45</v>
      </c>
      <c r="U102" s="18"/>
      <c r="V102" s="18"/>
      <c r="W102" s="18"/>
    </row>
    <row r="103" ht="15.0" customHeight="1">
      <c r="A103" s="14" t="s">
        <v>151</v>
      </c>
      <c r="B103" s="18"/>
      <c r="C103" s="19">
        <v>6.0</v>
      </c>
      <c r="D103" s="19">
        <v>5.55</v>
      </c>
      <c r="E103" s="19">
        <v>4.5</v>
      </c>
      <c r="F103" s="19">
        <v>2.94</v>
      </c>
      <c r="G103" s="19">
        <v>2.11</v>
      </c>
      <c r="H103" s="19">
        <v>1.88</v>
      </c>
      <c r="I103" s="19">
        <v>0.26</v>
      </c>
      <c r="J103" s="19">
        <v>0.25</v>
      </c>
      <c r="K103" s="19">
        <v>0.24</v>
      </c>
      <c r="L103" s="19">
        <v>1.13</v>
      </c>
      <c r="M103" s="19">
        <v>1.11</v>
      </c>
      <c r="N103" s="19">
        <v>0.95</v>
      </c>
      <c r="O103" s="19">
        <v>1.0</v>
      </c>
      <c r="P103" s="19">
        <v>1.03</v>
      </c>
      <c r="Q103" s="18"/>
      <c r="R103" s="18"/>
      <c r="S103" s="19">
        <v>1.36</v>
      </c>
      <c r="T103" s="19">
        <v>1.14</v>
      </c>
      <c r="U103" s="18"/>
      <c r="V103" s="18"/>
      <c r="W103" s="18"/>
    </row>
    <row r="104" ht="15.0" customHeight="1">
      <c r="A104" s="14" t="s">
        <v>152</v>
      </c>
      <c r="B104" s="18"/>
      <c r="C104" s="19">
        <v>0.15</v>
      </c>
      <c r="D104" s="19">
        <v>0.1</v>
      </c>
      <c r="E104" s="19">
        <v>0.22</v>
      </c>
      <c r="F104" s="19">
        <v>0.15</v>
      </c>
      <c r="G104" s="19">
        <v>0.07</v>
      </c>
      <c r="H104" s="18"/>
      <c r="I104" s="19">
        <v>0.02</v>
      </c>
      <c r="J104" s="19">
        <v>0.17</v>
      </c>
      <c r="K104" s="19">
        <v>0.04</v>
      </c>
      <c r="L104" s="19">
        <v>0.04</v>
      </c>
      <c r="M104" s="19">
        <v>0.2</v>
      </c>
      <c r="N104" s="19">
        <v>0.03</v>
      </c>
      <c r="O104" s="19">
        <v>0.03</v>
      </c>
      <c r="P104" s="19">
        <v>0.03</v>
      </c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153</v>
      </c>
      <c r="B105" s="18"/>
      <c r="C105" s="19">
        <v>0.26</v>
      </c>
      <c r="D105" s="19">
        <v>0.3</v>
      </c>
      <c r="E105" s="19">
        <v>0.24</v>
      </c>
      <c r="F105" s="19">
        <v>0.13</v>
      </c>
      <c r="G105" s="19">
        <v>0.21</v>
      </c>
      <c r="H105" s="19">
        <v>0.04</v>
      </c>
      <c r="I105" s="18">
        <v>0.0</v>
      </c>
      <c r="J105" s="18">
        <v>0.0</v>
      </c>
      <c r="K105" s="19">
        <v>0.12</v>
      </c>
      <c r="L105" s="19">
        <v>0.08</v>
      </c>
      <c r="M105" s="19">
        <v>0.08</v>
      </c>
      <c r="N105" s="19">
        <v>0.18</v>
      </c>
      <c r="O105" s="19">
        <v>0.06</v>
      </c>
      <c r="P105" s="19">
        <v>0.04</v>
      </c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154</v>
      </c>
      <c r="B106" s="18"/>
      <c r="C106" s="19">
        <v>0.43</v>
      </c>
      <c r="D106" s="19">
        <v>0.66</v>
      </c>
      <c r="E106" s="19">
        <v>0.29</v>
      </c>
      <c r="F106" s="19">
        <v>0.17</v>
      </c>
      <c r="G106" s="19">
        <v>0.14</v>
      </c>
      <c r="H106" s="19">
        <v>0.07</v>
      </c>
      <c r="I106" s="19">
        <v>0.01</v>
      </c>
      <c r="J106" s="19">
        <v>0.14</v>
      </c>
      <c r="K106" s="19">
        <v>0.33</v>
      </c>
      <c r="L106" s="19">
        <v>0.06</v>
      </c>
      <c r="M106" s="19">
        <v>0.03</v>
      </c>
      <c r="N106" s="19">
        <v>0.18</v>
      </c>
      <c r="O106" s="19">
        <v>0.13</v>
      </c>
      <c r="P106" s="19">
        <v>0.02</v>
      </c>
      <c r="Q106" s="18"/>
      <c r="R106" s="18"/>
      <c r="S106" s="19">
        <v>0.45</v>
      </c>
      <c r="T106" s="19">
        <v>0.31</v>
      </c>
      <c r="U106" s="18"/>
      <c r="V106" s="18"/>
      <c r="W106" s="18"/>
    </row>
    <row r="107" ht="15.0" customHeight="1">
      <c r="A107" s="14" t="s">
        <v>155</v>
      </c>
      <c r="B107" s="18"/>
      <c r="C107" s="19">
        <v>2.41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156</v>
      </c>
      <c r="B108" s="18"/>
      <c r="C108" s="19">
        <v>0.27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157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5">
        <v>114.79</v>
      </c>
      <c r="Q109" s="18"/>
      <c r="R109" s="18"/>
      <c r="S109" s="15">
        <v>129.08</v>
      </c>
      <c r="T109" s="18"/>
      <c r="U109" s="18"/>
      <c r="V109" s="18"/>
      <c r="W109" s="18"/>
    </row>
    <row r="110" ht="15.0" customHeight="1">
      <c r="A110" s="14" t="s">
        <v>158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5">
        <v>270.47</v>
      </c>
      <c r="Q110" s="18"/>
      <c r="R110" s="18"/>
      <c r="S110" s="15">
        <v>330.01</v>
      </c>
      <c r="T110" s="15">
        <v>305.09</v>
      </c>
      <c r="U110" s="18"/>
      <c r="V110" s="18"/>
      <c r="W110" s="18"/>
    </row>
    <row r="111" ht="15.0" customHeight="1">
      <c r="A111" s="14" t="s">
        <v>159</v>
      </c>
      <c r="B111" s="18"/>
      <c r="C111" s="18"/>
      <c r="D111" s="18"/>
      <c r="E111" s="18"/>
      <c r="F111" s="18"/>
      <c r="G111" s="18"/>
      <c r="H111" s="19">
        <v>31.46</v>
      </c>
      <c r="I111" s="19">
        <v>16.55</v>
      </c>
      <c r="J111" s="19">
        <v>10.2</v>
      </c>
      <c r="K111" s="19">
        <v>8.49</v>
      </c>
      <c r="L111" s="19">
        <v>8.97</v>
      </c>
      <c r="M111" s="19">
        <v>7.82</v>
      </c>
      <c r="N111" s="19">
        <v>7.43</v>
      </c>
      <c r="O111" s="18"/>
      <c r="P111" s="18"/>
      <c r="Q111" s="18"/>
      <c r="R111" s="18"/>
      <c r="S111" s="19">
        <v>4.03</v>
      </c>
      <c r="T111" s="19">
        <v>2.57</v>
      </c>
      <c r="U111" s="18"/>
      <c r="V111" s="19">
        <v>2.04</v>
      </c>
      <c r="W111" s="19">
        <v>4.75</v>
      </c>
    </row>
    <row r="112" ht="15.0" customHeight="1">
      <c r="A112" s="14" t="s">
        <v>160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>
        <v>0.0</v>
      </c>
      <c r="W112" s="19">
        <v>0.96</v>
      </c>
    </row>
    <row r="113" ht="15.0" customHeight="1">
      <c r="A113" s="14" t="s">
        <v>161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>
        <v>0.0</v>
      </c>
      <c r="W113" s="19">
        <v>0.96</v>
      </c>
    </row>
    <row r="114" ht="15.0" customHeight="1">
      <c r="A114" s="14" t="s">
        <v>162</v>
      </c>
      <c r="B114" s="18"/>
      <c r="C114" s="15">
        <v>137.13</v>
      </c>
      <c r="D114" s="15">
        <v>122.74</v>
      </c>
      <c r="E114" s="15">
        <v>106.82</v>
      </c>
      <c r="F114" s="19">
        <v>93.3</v>
      </c>
      <c r="G114" s="19">
        <v>81.3</v>
      </c>
      <c r="H114" s="19">
        <v>72.36</v>
      </c>
      <c r="I114" s="19">
        <v>55.6</v>
      </c>
      <c r="J114" s="19">
        <v>45.92</v>
      </c>
      <c r="K114" s="19">
        <v>42.66</v>
      </c>
      <c r="L114" s="19">
        <v>43.11</v>
      </c>
      <c r="M114" s="19">
        <v>46.19</v>
      </c>
      <c r="N114" s="19">
        <v>60.34</v>
      </c>
      <c r="O114" s="19">
        <v>46.48</v>
      </c>
      <c r="P114" s="19">
        <v>5.08</v>
      </c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163</v>
      </c>
      <c r="B115" s="18"/>
      <c r="C115" s="19">
        <v>23.82</v>
      </c>
      <c r="D115" s="19">
        <v>16.2</v>
      </c>
      <c r="E115" s="19">
        <v>12.98</v>
      </c>
      <c r="F115" s="19">
        <v>10.54</v>
      </c>
      <c r="G115" s="19">
        <v>6.82</v>
      </c>
      <c r="H115" s="19">
        <v>5.69</v>
      </c>
      <c r="I115" s="19">
        <v>5.64</v>
      </c>
      <c r="J115" s="19">
        <v>5.42</v>
      </c>
      <c r="K115" s="19">
        <v>3.41</v>
      </c>
      <c r="L115" s="19">
        <v>3.02</v>
      </c>
      <c r="M115" s="19">
        <v>2.03</v>
      </c>
      <c r="N115" s="19">
        <v>1.51</v>
      </c>
      <c r="O115" s="19">
        <v>1.81</v>
      </c>
      <c r="P115" s="19">
        <v>1.91</v>
      </c>
      <c r="Q115" s="18"/>
      <c r="R115" s="19">
        <v>2.05</v>
      </c>
      <c r="S115" s="19">
        <v>1.46</v>
      </c>
      <c r="T115" s="19">
        <v>0.88</v>
      </c>
      <c r="U115" s="18"/>
      <c r="V115" s="18">
        <v>0.0</v>
      </c>
      <c r="W115" s="18">
        <v>0.0</v>
      </c>
    </row>
    <row r="116" ht="15.0" customHeight="1">
      <c r="A116" s="14" t="s">
        <v>164</v>
      </c>
      <c r="B116" s="15">
        <v>177.94</v>
      </c>
      <c r="C116" s="15">
        <v>160.95</v>
      </c>
      <c r="D116" s="15">
        <v>138.94</v>
      </c>
      <c r="E116" s="15">
        <v>119.8</v>
      </c>
      <c r="F116" s="15">
        <v>103.84</v>
      </c>
      <c r="G116" s="19">
        <v>88.12</v>
      </c>
      <c r="H116" s="19">
        <v>78.04</v>
      </c>
      <c r="I116" s="19">
        <v>60.2</v>
      </c>
      <c r="J116" s="19">
        <v>50.57</v>
      </c>
      <c r="K116" s="19">
        <v>46.06</v>
      </c>
      <c r="L116" s="19">
        <v>46.13</v>
      </c>
      <c r="M116" s="19">
        <v>48.23</v>
      </c>
      <c r="N116" s="19">
        <v>61.85</v>
      </c>
      <c r="O116" s="19">
        <v>48.29</v>
      </c>
      <c r="P116" s="19">
        <v>43.38</v>
      </c>
      <c r="Q116" s="19">
        <v>53.05</v>
      </c>
      <c r="R116" s="19">
        <v>58.14</v>
      </c>
      <c r="S116" s="19">
        <v>59.08</v>
      </c>
      <c r="T116" s="19">
        <v>55.77</v>
      </c>
      <c r="U116" s="19">
        <v>38.34</v>
      </c>
      <c r="V116" s="19">
        <v>34.25</v>
      </c>
      <c r="W116" s="19">
        <v>39.63</v>
      </c>
    </row>
    <row r="117" ht="15.0" customHeight="1">
      <c r="A117" s="14" t="s">
        <v>165</v>
      </c>
      <c r="B117" s="18"/>
      <c r="C117" s="19">
        <v>5.07</v>
      </c>
      <c r="D117" s="19">
        <v>4.41</v>
      </c>
      <c r="E117" s="19">
        <v>4.8</v>
      </c>
      <c r="F117" s="19">
        <v>4.17</v>
      </c>
      <c r="G117" s="19">
        <v>3.57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166</v>
      </c>
      <c r="B118" s="20">
        <v>-8.47</v>
      </c>
      <c r="C118" s="20">
        <v>-24.58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167</v>
      </c>
      <c r="B119" s="19">
        <v>43.43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168</v>
      </c>
      <c r="B120" s="18"/>
      <c r="C120" s="19">
        <v>10.68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169</v>
      </c>
      <c r="B121" s="18"/>
      <c r="C121" s="20">
        <v>-11.19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170</v>
      </c>
      <c r="B122" s="25">
        <v>8.4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ht="15.0" customHeight="1">
      <c r="A123" s="14" t="s">
        <v>171</v>
      </c>
      <c r="B123" s="15">
        <v>486.16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172</v>
      </c>
      <c r="B124" s="19">
        <v>59.31</v>
      </c>
      <c r="C124" s="19">
        <v>59.26</v>
      </c>
      <c r="D124" s="19">
        <v>58.3</v>
      </c>
      <c r="E124" s="19">
        <v>57.99</v>
      </c>
      <c r="F124" s="19">
        <v>57.98</v>
      </c>
      <c r="G124" s="19">
        <v>56.87</v>
      </c>
      <c r="H124" s="18"/>
      <c r="I124" s="18"/>
      <c r="J124" s="18"/>
      <c r="K124" s="18"/>
      <c r="L124" s="18"/>
      <c r="M124" s="18"/>
      <c r="N124" s="18"/>
      <c r="O124" s="19">
        <v>54.31</v>
      </c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173</v>
      </c>
      <c r="B125" s="19">
        <v>59.64</v>
      </c>
      <c r="C125" s="19">
        <v>59.35</v>
      </c>
      <c r="D125" s="19">
        <v>59.13</v>
      </c>
      <c r="E125" s="19">
        <v>59.13</v>
      </c>
      <c r="F125" s="19">
        <v>59.13</v>
      </c>
      <c r="G125" s="19">
        <v>58.28</v>
      </c>
      <c r="H125" s="18"/>
      <c r="I125" s="18"/>
      <c r="J125" s="18"/>
      <c r="K125" s="18"/>
      <c r="L125" s="18"/>
      <c r="M125" s="18"/>
      <c r="N125" s="18"/>
      <c r="O125" s="19">
        <v>56.29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174</v>
      </c>
      <c r="B126" s="19">
        <v>3.19</v>
      </c>
      <c r="C126" s="19">
        <v>1.72</v>
      </c>
      <c r="D126" s="19">
        <v>3.0</v>
      </c>
      <c r="E126" s="19">
        <v>4.09</v>
      </c>
      <c r="F126" s="19">
        <v>5.91</v>
      </c>
      <c r="G126" s="19">
        <v>3.51</v>
      </c>
      <c r="H126" s="18"/>
      <c r="I126" s="18"/>
      <c r="J126" s="18"/>
      <c r="K126" s="18"/>
      <c r="L126" s="18"/>
      <c r="M126" s="18"/>
      <c r="N126" s="18"/>
      <c r="O126" s="19">
        <v>1.06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175</v>
      </c>
      <c r="B127" s="19">
        <v>3.19</v>
      </c>
      <c r="C127" s="19">
        <v>1.72</v>
      </c>
      <c r="D127" s="19">
        <v>3.0</v>
      </c>
      <c r="E127" s="19">
        <v>4.06</v>
      </c>
      <c r="F127" s="19">
        <v>5.86</v>
      </c>
      <c r="G127" s="19">
        <v>3.46</v>
      </c>
      <c r="H127" s="18"/>
      <c r="I127" s="18"/>
      <c r="J127" s="18"/>
      <c r="K127" s="18"/>
      <c r="L127" s="18"/>
      <c r="M127" s="18"/>
      <c r="N127" s="18"/>
      <c r="O127" s="19">
        <v>1.04</v>
      </c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176</v>
      </c>
      <c r="B128" s="15">
        <v>188.53</v>
      </c>
      <c r="C128" s="15">
        <v>102.35</v>
      </c>
      <c r="D128" s="15">
        <v>178.24</v>
      </c>
      <c r="E128" s="15">
        <v>240.25</v>
      </c>
      <c r="F128" s="15">
        <v>346.39</v>
      </c>
      <c r="G128" s="15">
        <v>201.72</v>
      </c>
      <c r="H128" s="18"/>
      <c r="I128" s="18"/>
      <c r="J128" s="18"/>
      <c r="K128" s="18"/>
      <c r="L128" s="18"/>
      <c r="M128" s="18"/>
      <c r="N128" s="18"/>
      <c r="O128" s="19">
        <v>58.77</v>
      </c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177</v>
      </c>
      <c r="B129" s="15">
        <v>188.53</v>
      </c>
      <c r="C129" s="15">
        <v>101.76</v>
      </c>
      <c r="D129" s="15">
        <v>174.57</v>
      </c>
      <c r="E129" s="15">
        <v>236.65</v>
      </c>
      <c r="F129" s="15">
        <v>342.84</v>
      </c>
      <c r="G129" s="15">
        <v>199.72</v>
      </c>
      <c r="H129" s="18"/>
      <c r="I129" s="18"/>
      <c r="J129" s="18"/>
      <c r="K129" s="18"/>
      <c r="L129" s="18"/>
      <c r="M129" s="18"/>
      <c r="N129" s="18"/>
      <c r="O129" s="19">
        <v>57.52</v>
      </c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178</v>
      </c>
      <c r="B130" s="19">
        <v>3.2</v>
      </c>
      <c r="C130" s="19">
        <v>1.72</v>
      </c>
      <c r="D130" s="19">
        <v>3.0</v>
      </c>
      <c r="E130" s="19">
        <v>4.0</v>
      </c>
      <c r="F130" s="19">
        <v>5.86</v>
      </c>
      <c r="G130" s="19">
        <v>3.46</v>
      </c>
      <c r="H130" s="18"/>
      <c r="I130" s="18"/>
      <c r="J130" s="18"/>
      <c r="K130" s="18"/>
      <c r="L130" s="18"/>
      <c r="M130" s="18"/>
      <c r="N130" s="18"/>
      <c r="O130" s="19">
        <v>1.04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179</v>
      </c>
      <c r="B131" s="19">
        <v>3.19</v>
      </c>
      <c r="C131" s="19">
        <v>1.72</v>
      </c>
      <c r="D131" s="19">
        <v>3.0</v>
      </c>
      <c r="E131" s="19">
        <v>4.09</v>
      </c>
      <c r="F131" s="19">
        <v>5.91</v>
      </c>
      <c r="G131" s="19">
        <v>3.51</v>
      </c>
      <c r="H131" s="18"/>
      <c r="I131" s="18"/>
      <c r="J131" s="18"/>
      <c r="K131" s="18"/>
      <c r="L131" s="18"/>
      <c r="M131" s="18"/>
      <c r="N131" s="18"/>
      <c r="O131" s="19">
        <v>1.06</v>
      </c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180</v>
      </c>
      <c r="B132" s="19">
        <v>1.0</v>
      </c>
      <c r="C132" s="19">
        <v>1.0</v>
      </c>
      <c r="D132" s="19">
        <v>1.0</v>
      </c>
      <c r="E132" s="19">
        <v>1.0</v>
      </c>
      <c r="F132" s="19">
        <v>1.0</v>
      </c>
      <c r="G132" s="19">
        <v>1.0</v>
      </c>
      <c r="H132" s="18"/>
      <c r="I132" s="18"/>
      <c r="J132" s="18"/>
      <c r="K132" s="18"/>
      <c r="L132" s="18"/>
      <c r="M132" s="18"/>
      <c r="N132" s="18"/>
      <c r="O132" s="19">
        <v>1.0</v>
      </c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181</v>
      </c>
      <c r="B133" s="15">
        <v>190.65</v>
      </c>
      <c r="C133" s="15">
        <v>102.35</v>
      </c>
      <c r="D133" s="15">
        <v>178.24</v>
      </c>
      <c r="E133" s="15">
        <v>236.65</v>
      </c>
      <c r="F133" s="15">
        <v>346.35</v>
      </c>
      <c r="G133" s="15">
        <v>201.72</v>
      </c>
      <c r="H133" s="18"/>
      <c r="I133" s="18"/>
      <c r="J133" s="18"/>
      <c r="K133" s="18"/>
      <c r="L133" s="18"/>
      <c r="M133" s="18"/>
      <c r="N133" s="18"/>
      <c r="O133" s="19">
        <v>58.77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182</v>
      </c>
      <c r="B134" s="18"/>
      <c r="C134" s="19">
        <v>0.6</v>
      </c>
      <c r="D134" s="19">
        <v>3.67</v>
      </c>
      <c r="E134" s="19">
        <v>3.6</v>
      </c>
      <c r="F134" s="19">
        <v>3.55</v>
      </c>
      <c r="G134" s="19">
        <v>2.0</v>
      </c>
      <c r="H134" s="18"/>
      <c r="I134" s="18"/>
      <c r="J134" s="18"/>
      <c r="K134" s="18"/>
      <c r="L134" s="18"/>
      <c r="M134" s="18"/>
      <c r="N134" s="18"/>
      <c r="O134" s="19">
        <v>1.26</v>
      </c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183</v>
      </c>
      <c r="B135" s="15">
        <v>188.53</v>
      </c>
      <c r="C135" s="15">
        <v>101.76</v>
      </c>
      <c r="D135" s="15">
        <v>174.57</v>
      </c>
      <c r="E135" s="15">
        <v>236.65</v>
      </c>
      <c r="F135" s="15">
        <v>342.84</v>
      </c>
      <c r="G135" s="15">
        <v>199.72</v>
      </c>
      <c r="H135" s="18"/>
      <c r="I135" s="18"/>
      <c r="J135" s="18"/>
      <c r="K135" s="18"/>
      <c r="L135" s="18"/>
      <c r="M135" s="18"/>
      <c r="N135" s="18"/>
      <c r="O135" s="19">
        <v>57.52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184</v>
      </c>
      <c r="B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8"/>
      <c r="I136" s="18"/>
      <c r="J136" s="18"/>
      <c r="K136" s="18"/>
      <c r="L136" s="18"/>
      <c r="M136" s="18"/>
      <c r="N136" s="18"/>
      <c r="O136" s="19">
        <v>1.0</v>
      </c>
      <c r="P136" s="18"/>
      <c r="Q136" s="18"/>
      <c r="R136" s="18"/>
      <c r="S136" s="18"/>
      <c r="T136" s="18"/>
      <c r="U136" s="18"/>
      <c r="V136" s="18"/>
      <c r="W136" s="1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15">
        <v>545.64</v>
      </c>
      <c r="C20" s="15">
        <v>515.09</v>
      </c>
      <c r="D20" s="15">
        <v>512.56</v>
      </c>
      <c r="E20" s="15">
        <v>531.53</v>
      </c>
      <c r="F20" s="15">
        <v>463.39</v>
      </c>
      <c r="G20" s="15">
        <v>323.25</v>
      </c>
      <c r="H20" s="15">
        <v>297.79</v>
      </c>
      <c r="I20" s="15">
        <v>281.07</v>
      </c>
      <c r="J20" s="15">
        <v>205.86</v>
      </c>
      <c r="K20" s="15">
        <v>167.37</v>
      </c>
      <c r="L20" s="15">
        <v>166.96</v>
      </c>
      <c r="M20" s="15">
        <v>130.8</v>
      </c>
      <c r="N20" s="15">
        <v>219.14</v>
      </c>
      <c r="O20" s="15">
        <v>217.63</v>
      </c>
      <c r="P20" s="15">
        <v>164.1</v>
      </c>
      <c r="Q20" s="15">
        <v>161.76</v>
      </c>
      <c r="R20" s="15">
        <v>166.78</v>
      </c>
      <c r="S20" s="15">
        <v>237.43</v>
      </c>
      <c r="T20" s="15">
        <v>226.06</v>
      </c>
      <c r="U20" s="15">
        <v>178.59</v>
      </c>
      <c r="V20" s="18"/>
      <c r="W20" s="18"/>
    </row>
    <row r="21" ht="15.0" customHeight="1">
      <c r="A21" s="14" t="s">
        <v>189</v>
      </c>
      <c r="B21" s="18"/>
      <c r="C21" s="15">
        <v>267.18</v>
      </c>
      <c r="D21" s="15">
        <v>270.41</v>
      </c>
      <c r="E21" s="15">
        <v>257.98</v>
      </c>
      <c r="F21" s="15">
        <v>208.57</v>
      </c>
      <c r="G21" s="15">
        <v>132.95</v>
      </c>
      <c r="H21" s="15">
        <v>128.92</v>
      </c>
      <c r="I21" s="15">
        <v>121.15</v>
      </c>
      <c r="J21" s="19">
        <v>83.75</v>
      </c>
      <c r="K21" s="19">
        <v>70.64</v>
      </c>
      <c r="L21" s="19">
        <v>64.65</v>
      </c>
      <c r="M21" s="19">
        <v>54.84</v>
      </c>
      <c r="N21" s="18"/>
      <c r="O21" s="19">
        <v>63.26</v>
      </c>
      <c r="P21" s="19">
        <v>52.29</v>
      </c>
      <c r="Q21" s="19">
        <v>50.9</v>
      </c>
      <c r="R21" s="18"/>
      <c r="S21" s="19">
        <v>87.2</v>
      </c>
      <c r="T21" s="19">
        <v>90.28</v>
      </c>
      <c r="U21" s="19">
        <v>71.39</v>
      </c>
      <c r="V21" s="19">
        <v>41.28</v>
      </c>
      <c r="W21" s="19">
        <v>38.98</v>
      </c>
    </row>
    <row r="22" ht="15.0" customHeight="1">
      <c r="A22" s="14" t="s">
        <v>190</v>
      </c>
      <c r="B22" s="18"/>
      <c r="C22" s="15">
        <v>112.67</v>
      </c>
      <c r="D22" s="15">
        <v>117.42</v>
      </c>
      <c r="E22" s="15">
        <v>111.21</v>
      </c>
      <c r="F22" s="15">
        <v>115.75</v>
      </c>
      <c r="G22" s="19">
        <v>88.41</v>
      </c>
      <c r="H22" s="19">
        <v>77.0</v>
      </c>
      <c r="I22" s="19">
        <v>69.09</v>
      </c>
      <c r="J22" s="19">
        <v>55.27</v>
      </c>
      <c r="K22" s="19">
        <v>38.84</v>
      </c>
      <c r="L22" s="19">
        <v>39.02</v>
      </c>
      <c r="M22" s="19">
        <v>60.95</v>
      </c>
      <c r="N22" s="18"/>
      <c r="O22" s="19">
        <v>97.05</v>
      </c>
      <c r="P22" s="19">
        <v>46.75</v>
      </c>
      <c r="Q22" s="19">
        <v>53.15</v>
      </c>
      <c r="R22" s="18"/>
      <c r="S22" s="19">
        <v>40.67</v>
      </c>
      <c r="T22" s="19">
        <v>43.64</v>
      </c>
      <c r="U22" s="19">
        <v>34.91</v>
      </c>
      <c r="V22" s="19">
        <v>10.31</v>
      </c>
      <c r="W22" s="19">
        <v>4.01</v>
      </c>
    </row>
    <row r="23" ht="15.0" customHeight="1">
      <c r="A23" s="14" t="s">
        <v>191</v>
      </c>
      <c r="B23" s="18"/>
      <c r="C23" s="15">
        <v>112.46</v>
      </c>
      <c r="D23" s="15">
        <v>100.59</v>
      </c>
      <c r="E23" s="15">
        <v>122.38</v>
      </c>
      <c r="F23" s="19">
        <v>97.12</v>
      </c>
      <c r="G23" s="19">
        <v>81.58</v>
      </c>
      <c r="H23" s="19">
        <v>85.64</v>
      </c>
      <c r="I23" s="19">
        <v>85.63</v>
      </c>
      <c r="J23" s="19">
        <v>55.62</v>
      </c>
      <c r="K23" s="19">
        <v>48.44</v>
      </c>
      <c r="L23" s="19">
        <v>51.01</v>
      </c>
      <c r="M23" s="19">
        <v>41.53</v>
      </c>
      <c r="N23" s="18"/>
      <c r="O23" s="19">
        <v>52.54</v>
      </c>
      <c r="P23" s="19">
        <v>64.06</v>
      </c>
      <c r="Q23" s="19">
        <v>57.34</v>
      </c>
      <c r="R23" s="18"/>
      <c r="S23" s="15">
        <v>106.95</v>
      </c>
      <c r="T23" s="19">
        <v>90.75</v>
      </c>
      <c r="U23" s="19">
        <v>71.8</v>
      </c>
      <c r="V23" s="19">
        <v>40.76</v>
      </c>
      <c r="W23" s="19">
        <v>40.23</v>
      </c>
    </row>
    <row r="24" ht="15.0" customHeight="1">
      <c r="A24" s="14" t="s">
        <v>192</v>
      </c>
      <c r="B24" s="18"/>
      <c r="C24" s="19">
        <v>20.06</v>
      </c>
      <c r="D24" s="19">
        <v>22.61</v>
      </c>
      <c r="E24" s="19">
        <v>39.29</v>
      </c>
      <c r="F24" s="19">
        <v>40.11</v>
      </c>
      <c r="G24" s="19">
        <v>20.32</v>
      </c>
      <c r="H24" s="19">
        <v>6.23</v>
      </c>
      <c r="I24" s="19">
        <v>5.21</v>
      </c>
      <c r="J24" s="19">
        <v>11.22</v>
      </c>
      <c r="K24" s="19">
        <v>9.45</v>
      </c>
      <c r="L24" s="19">
        <v>12.28</v>
      </c>
      <c r="M24" s="19">
        <v>2.24</v>
      </c>
      <c r="N24" s="18"/>
      <c r="O24" s="19">
        <v>4.77</v>
      </c>
      <c r="P24" s="19">
        <v>1.0</v>
      </c>
      <c r="Q24" s="19">
        <v>0.37</v>
      </c>
      <c r="R24" s="18"/>
      <c r="S24" s="19">
        <v>2.61</v>
      </c>
      <c r="T24" s="19">
        <v>1.18</v>
      </c>
      <c r="U24" s="19">
        <v>0.49</v>
      </c>
      <c r="V24" s="19">
        <v>0.64</v>
      </c>
      <c r="W24" s="19">
        <v>0.57</v>
      </c>
    </row>
    <row r="25" ht="15.0" customHeight="1">
      <c r="A25" s="14" t="s">
        <v>193</v>
      </c>
      <c r="B25" s="18"/>
      <c r="C25" s="19">
        <v>2.71</v>
      </c>
      <c r="D25" s="19">
        <v>1.53</v>
      </c>
      <c r="E25" s="19">
        <v>0.67</v>
      </c>
      <c r="F25" s="19">
        <v>1.84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194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">
        <v>-28.76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195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v>0.0</v>
      </c>
      <c r="T27" s="19">
        <v>0.22</v>
      </c>
      <c r="U27" s="18">
        <v>0.0</v>
      </c>
      <c r="V27" s="19">
        <v>0.18</v>
      </c>
      <c r="W27" s="19">
        <v>0.09</v>
      </c>
    </row>
    <row r="28" ht="15.0" customHeight="1">
      <c r="A28" s="14" t="s">
        <v>196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5">
        <v>253.23</v>
      </c>
      <c r="P28" s="15">
        <v>144.16</v>
      </c>
      <c r="Q28" s="15">
        <v>137.89</v>
      </c>
      <c r="R28" s="15">
        <v>147.7</v>
      </c>
      <c r="S28" s="15">
        <v>127.65</v>
      </c>
      <c r="T28" s="15">
        <v>147.08</v>
      </c>
      <c r="U28" s="15">
        <v>119.72</v>
      </c>
      <c r="V28" s="19">
        <v>67.76</v>
      </c>
      <c r="W28" s="19">
        <v>59.55</v>
      </c>
    </row>
    <row r="29" ht="15.0" customHeight="1">
      <c r="A29" s="14" t="s">
        <v>197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>
        <v>7.21</v>
      </c>
      <c r="P29" s="19">
        <v>7.76</v>
      </c>
      <c r="Q29" s="19">
        <v>7.67</v>
      </c>
      <c r="R29" s="18"/>
      <c r="S29" s="18"/>
      <c r="T29" s="18"/>
      <c r="U29" s="18"/>
      <c r="V29" s="18"/>
      <c r="W29" s="18"/>
    </row>
    <row r="30" ht="15.0" customHeight="1">
      <c r="A30" s="14" t="s">
        <v>198</v>
      </c>
      <c r="B30" s="15">
        <v>779.64</v>
      </c>
      <c r="C30" s="15">
        <v>748.65</v>
      </c>
      <c r="D30" s="15">
        <v>811.78</v>
      </c>
      <c r="E30" s="15">
        <v>872.14</v>
      </c>
      <c r="F30" s="15">
        <v>782.51</v>
      </c>
      <c r="G30" s="15">
        <v>480.56</v>
      </c>
      <c r="H30" s="15">
        <v>376.13</v>
      </c>
      <c r="I30" s="15">
        <v>471.25</v>
      </c>
      <c r="J30" s="15">
        <v>344.39</v>
      </c>
      <c r="K30" s="15">
        <v>227.33</v>
      </c>
      <c r="L30" s="15">
        <v>173.43</v>
      </c>
      <c r="M30" s="15">
        <v>157.75</v>
      </c>
      <c r="N30" s="15">
        <v>263.34</v>
      </c>
      <c r="O30" s="15">
        <v>236.86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199</v>
      </c>
      <c r="B31" s="18"/>
      <c r="C31" s="15">
        <v>474.87</v>
      </c>
      <c r="D31" s="15">
        <v>535.06</v>
      </c>
      <c r="E31" s="15">
        <v>518.12</v>
      </c>
      <c r="F31" s="15">
        <v>554.49</v>
      </c>
      <c r="G31" s="15">
        <v>368.15</v>
      </c>
      <c r="H31" s="15">
        <v>337.47</v>
      </c>
      <c r="I31" s="15">
        <v>437.19</v>
      </c>
      <c r="J31" s="15">
        <v>320.3</v>
      </c>
      <c r="K31" s="15">
        <v>209.98</v>
      </c>
      <c r="L31" s="15">
        <v>155.37</v>
      </c>
      <c r="M31" s="15">
        <v>135.29</v>
      </c>
      <c r="N31" s="18"/>
      <c r="O31" s="15">
        <v>226.16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200</v>
      </c>
      <c r="B32" s="18"/>
      <c r="C32" s="18"/>
      <c r="D32" s="20">
        <v>-5.36</v>
      </c>
      <c r="E32" s="20">
        <v>-5.63</v>
      </c>
      <c r="F32" s="20">
        <v>-5.33</v>
      </c>
      <c r="G32" s="20">
        <v>-4.13</v>
      </c>
      <c r="H32" s="20">
        <v>-2.34</v>
      </c>
      <c r="I32" s="20">
        <v>-2.59</v>
      </c>
      <c r="J32" s="20">
        <v>-5.27</v>
      </c>
      <c r="K32" s="20">
        <v>-14.64</v>
      </c>
      <c r="L32" s="20">
        <v>-0.98</v>
      </c>
      <c r="M32" s="20">
        <v>-0.31</v>
      </c>
      <c r="N32" s="18"/>
      <c r="O32" s="20">
        <v>-1.14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201</v>
      </c>
      <c r="B33" s="18"/>
      <c r="C33" s="18"/>
      <c r="D33" s="15">
        <v>540.43</v>
      </c>
      <c r="E33" s="15">
        <v>523.74</v>
      </c>
      <c r="F33" s="15">
        <v>559.81</v>
      </c>
      <c r="G33" s="15">
        <v>372.28</v>
      </c>
      <c r="H33" s="15">
        <v>339.81</v>
      </c>
      <c r="I33" s="15">
        <v>439.79</v>
      </c>
      <c r="J33" s="15">
        <v>325.58</v>
      </c>
      <c r="K33" s="15">
        <v>224.62</v>
      </c>
      <c r="L33" s="15">
        <v>156.35</v>
      </c>
      <c r="M33" s="15">
        <v>135.61</v>
      </c>
      <c r="N33" s="18"/>
      <c r="O33" s="15">
        <v>227.3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202</v>
      </c>
      <c r="B34" s="18"/>
      <c r="C34" s="19">
        <v>54.13</v>
      </c>
      <c r="D34" s="19">
        <v>26.09</v>
      </c>
      <c r="E34" s="19">
        <v>19.56</v>
      </c>
      <c r="F34" s="19">
        <v>5.9</v>
      </c>
      <c r="G34" s="19">
        <v>3.13</v>
      </c>
      <c r="H34" s="19">
        <v>7.66</v>
      </c>
      <c r="I34" s="19">
        <v>1.28</v>
      </c>
      <c r="J34" s="19">
        <v>1.17</v>
      </c>
      <c r="K34" s="19">
        <v>3.64</v>
      </c>
      <c r="L34" s="19">
        <v>0.1</v>
      </c>
      <c r="M34" s="19">
        <v>14.68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203</v>
      </c>
      <c r="B35" s="18"/>
      <c r="C35" s="19">
        <v>36.85</v>
      </c>
      <c r="D35" s="19">
        <v>59.85</v>
      </c>
      <c r="E35" s="19">
        <v>42.82</v>
      </c>
      <c r="F35" s="19">
        <v>50.45</v>
      </c>
      <c r="G35" s="19">
        <v>40.44</v>
      </c>
      <c r="H35" s="19">
        <v>16.32</v>
      </c>
      <c r="I35" s="19">
        <v>28.64</v>
      </c>
      <c r="J35" s="19">
        <v>21.28</v>
      </c>
      <c r="K35" s="19">
        <v>12.76</v>
      </c>
      <c r="L35" s="19">
        <v>15.93</v>
      </c>
      <c r="M35" s="19">
        <v>6.19</v>
      </c>
      <c r="N35" s="18"/>
      <c r="O35" s="19">
        <v>6.9</v>
      </c>
      <c r="P35" s="19">
        <v>7.79</v>
      </c>
      <c r="Q35" s="19">
        <v>7.18</v>
      </c>
      <c r="R35" s="18"/>
      <c r="S35" s="19">
        <v>17.45</v>
      </c>
      <c r="T35" s="19">
        <v>10.05</v>
      </c>
      <c r="U35" s="19">
        <v>12.86</v>
      </c>
      <c r="V35" s="19">
        <v>3.39</v>
      </c>
      <c r="W35" s="19">
        <v>0.94</v>
      </c>
    </row>
    <row r="36" ht="15.0" customHeight="1">
      <c r="A36" s="14" t="s">
        <v>204</v>
      </c>
      <c r="B36" s="18"/>
      <c r="C36" s="19">
        <v>3.3</v>
      </c>
      <c r="D36" s="19">
        <v>25.9</v>
      </c>
      <c r="E36" s="19">
        <v>11.64</v>
      </c>
      <c r="F36" s="19">
        <v>3.28</v>
      </c>
      <c r="G36" s="19">
        <v>2.64</v>
      </c>
      <c r="H36" s="19">
        <v>2.74</v>
      </c>
      <c r="I36" s="19">
        <v>4.14</v>
      </c>
      <c r="J36" s="19">
        <v>1.64</v>
      </c>
      <c r="K36" s="19">
        <v>0.95</v>
      </c>
      <c r="L36" s="19">
        <v>2.03</v>
      </c>
      <c r="M36" s="19">
        <v>1.59</v>
      </c>
      <c r="N36" s="18"/>
      <c r="O36" s="19">
        <v>3.8</v>
      </c>
      <c r="P36" s="19">
        <v>1.52</v>
      </c>
      <c r="Q36" s="19">
        <v>1.5</v>
      </c>
      <c r="R36" s="18"/>
      <c r="S36" s="19">
        <v>0.68</v>
      </c>
      <c r="T36" s="18"/>
      <c r="U36" s="18"/>
      <c r="V36" s="18"/>
      <c r="W36" s="18"/>
    </row>
    <row r="37" ht="15.0" customHeight="1">
      <c r="A37" s="14" t="s">
        <v>205</v>
      </c>
      <c r="B37" s="18"/>
      <c r="C37" s="15">
        <v>179.51</v>
      </c>
      <c r="D37" s="15">
        <v>164.88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206</v>
      </c>
      <c r="B38" s="18"/>
      <c r="C38" s="18"/>
      <c r="D38" s="18"/>
      <c r="E38" s="15">
        <v>280.01</v>
      </c>
      <c r="F38" s="15">
        <v>168.39</v>
      </c>
      <c r="G38" s="19">
        <v>66.2</v>
      </c>
      <c r="H38" s="19">
        <v>11.93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207</v>
      </c>
      <c r="B39" s="18"/>
      <c r="C39" s="19">
        <v>38.11</v>
      </c>
      <c r="D39" s="19">
        <v>36.92</v>
      </c>
      <c r="E39" s="19">
        <v>31.8</v>
      </c>
      <c r="F39" s="19">
        <v>36.39</v>
      </c>
      <c r="G39" s="19">
        <v>19.66</v>
      </c>
      <c r="H39" s="19">
        <v>16.64</v>
      </c>
      <c r="I39" s="19">
        <v>21.36</v>
      </c>
      <c r="J39" s="19">
        <v>11.63</v>
      </c>
      <c r="K39" s="19">
        <v>15.27</v>
      </c>
      <c r="L39" s="19">
        <v>8.56</v>
      </c>
      <c r="M39" s="19">
        <v>6.93</v>
      </c>
      <c r="N39" s="19">
        <v>9.89</v>
      </c>
      <c r="O39" s="19">
        <v>9.15</v>
      </c>
      <c r="P39" s="19">
        <v>5.55</v>
      </c>
      <c r="Q39" s="19">
        <v>6.1</v>
      </c>
      <c r="R39" s="18"/>
      <c r="S39" s="19">
        <v>5.9</v>
      </c>
      <c r="T39" s="19">
        <v>5.58</v>
      </c>
      <c r="U39" s="19">
        <v>6.64</v>
      </c>
      <c r="V39" s="19">
        <v>6.86</v>
      </c>
      <c r="W39" s="19">
        <v>5.04</v>
      </c>
    </row>
    <row r="40" ht="15.0" customHeight="1">
      <c r="A40" s="14" t="s">
        <v>208</v>
      </c>
      <c r="B40" s="15">
        <v>400.21</v>
      </c>
      <c r="C40" s="15">
        <v>232.97</v>
      </c>
      <c r="D40" s="15">
        <v>311.03</v>
      </c>
      <c r="E40" s="15">
        <v>167.86</v>
      </c>
      <c r="F40" s="15">
        <v>336.97</v>
      </c>
      <c r="G40" s="15">
        <v>383.21</v>
      </c>
      <c r="H40" s="19">
        <v>77.16</v>
      </c>
      <c r="I40" s="19">
        <v>68.87</v>
      </c>
      <c r="J40" s="19">
        <v>53.18</v>
      </c>
      <c r="K40" s="15">
        <v>156.57</v>
      </c>
      <c r="L40" s="19">
        <v>43.14</v>
      </c>
      <c r="M40" s="19">
        <v>31.62</v>
      </c>
      <c r="N40" s="19">
        <v>26.17</v>
      </c>
      <c r="O40" s="19">
        <f>SUM(O41:O42)</f>
        <v>54.66</v>
      </c>
      <c r="P40" s="19">
        <v>45.96</v>
      </c>
      <c r="Q40" s="19">
        <v>7.95</v>
      </c>
      <c r="R40" s="19">
        <v>8.91</v>
      </c>
      <c r="S40" s="19">
        <v>14.8</v>
      </c>
      <c r="T40" s="19">
        <v>3.79</v>
      </c>
      <c r="U40" s="19">
        <v>1.8</v>
      </c>
      <c r="V40" s="19">
        <v>4.05</v>
      </c>
      <c r="W40" s="19">
        <v>3.34</v>
      </c>
    </row>
    <row r="41" ht="15.0" customHeight="1">
      <c r="A41" s="14" t="s">
        <v>209</v>
      </c>
      <c r="B41" s="18"/>
      <c r="C41" s="19">
        <v>0.01</v>
      </c>
      <c r="D41" s="19">
        <v>0.61</v>
      </c>
      <c r="E41" s="18">
        <v>0.0</v>
      </c>
      <c r="F41" s="18">
        <v>0.0</v>
      </c>
      <c r="G41" s="19">
        <v>0.01</v>
      </c>
      <c r="H41" s="18">
        <v>0.0</v>
      </c>
      <c r="I41" s="18">
        <v>0.0</v>
      </c>
      <c r="J41" s="19">
        <v>0.01</v>
      </c>
      <c r="K41" s="18">
        <v>0.0</v>
      </c>
      <c r="L41" s="19">
        <v>1.22</v>
      </c>
      <c r="M41" s="19">
        <v>1.12</v>
      </c>
      <c r="N41" s="18"/>
      <c r="O41" s="19">
        <v>2.17</v>
      </c>
      <c r="P41" s="19">
        <v>1.51</v>
      </c>
      <c r="Q41" s="19">
        <v>1.51</v>
      </c>
      <c r="R41" s="18"/>
      <c r="S41" s="19">
        <v>1.55</v>
      </c>
      <c r="T41" s="19">
        <v>0.31</v>
      </c>
      <c r="U41" s="19">
        <v>0.39</v>
      </c>
      <c r="V41" s="19">
        <v>0.36</v>
      </c>
      <c r="W41" s="18">
        <v>0.0</v>
      </c>
    </row>
    <row r="42" ht="15.0" customHeight="1">
      <c r="A42" s="14" t="s">
        <v>210</v>
      </c>
      <c r="B42" s="18"/>
      <c r="C42" s="15">
        <v>232.96</v>
      </c>
      <c r="D42" s="15">
        <v>310.41</v>
      </c>
      <c r="E42" s="15">
        <v>167.85</v>
      </c>
      <c r="F42" s="15">
        <v>336.96</v>
      </c>
      <c r="G42" s="15">
        <v>383.21</v>
      </c>
      <c r="H42" s="19">
        <v>77.16</v>
      </c>
      <c r="I42" s="19">
        <v>68.86</v>
      </c>
      <c r="J42" s="19">
        <v>53.18</v>
      </c>
      <c r="K42" s="15">
        <v>156.57</v>
      </c>
      <c r="L42" s="19">
        <v>41.92</v>
      </c>
      <c r="M42" s="19">
        <v>30.51</v>
      </c>
      <c r="N42" s="18"/>
      <c r="O42" s="19">
        <v>52.49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211</v>
      </c>
      <c r="B43" s="18"/>
      <c r="C43" s="19">
        <v>5.46</v>
      </c>
      <c r="D43" s="19">
        <v>7.95</v>
      </c>
      <c r="E43" s="19">
        <v>19.23</v>
      </c>
      <c r="F43" s="18">
        <v>0.0</v>
      </c>
      <c r="G43" s="19">
        <v>5.55</v>
      </c>
      <c r="H43" s="18"/>
      <c r="I43" s="18"/>
      <c r="J43" s="18"/>
      <c r="K43" s="18">
        <v>0.0</v>
      </c>
      <c r="L43" s="19">
        <v>0.61</v>
      </c>
      <c r="M43" s="18">
        <v>0.0</v>
      </c>
      <c r="N43" s="18">
        <v>0.0</v>
      </c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212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>
        <v>0.0</v>
      </c>
      <c r="W44" s="19">
        <v>0.13</v>
      </c>
    </row>
    <row r="45" ht="15.0" customHeight="1">
      <c r="A45" s="14" t="s">
        <v>213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>
        <v>0.0</v>
      </c>
      <c r="V45" s="19">
        <v>22.93</v>
      </c>
      <c r="W45" s="18">
        <v>0.0</v>
      </c>
    </row>
    <row r="46" ht="15.0" customHeight="1">
      <c r="A46" s="14" t="s">
        <v>214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>
        <v>0.0</v>
      </c>
      <c r="V46" s="19">
        <v>5.24</v>
      </c>
      <c r="W46" s="18">
        <v>0.0</v>
      </c>
    </row>
    <row r="47" ht="15.0" customHeight="1">
      <c r="A47" s="16" t="s">
        <v>215</v>
      </c>
      <c r="B47" s="17">
        <v>1725.49</v>
      </c>
      <c r="C47" s="17">
        <v>1540.27</v>
      </c>
      <c r="D47" s="17">
        <v>1680.23</v>
      </c>
      <c r="E47" s="17">
        <v>1622.56</v>
      </c>
      <c r="F47" s="17">
        <v>1619.26</v>
      </c>
      <c r="G47" s="17">
        <v>1212.24</v>
      </c>
      <c r="H47" s="17">
        <v>767.73</v>
      </c>
      <c r="I47" s="17">
        <v>842.56</v>
      </c>
      <c r="J47" s="17">
        <v>615.07</v>
      </c>
      <c r="K47" s="17">
        <v>566.54</v>
      </c>
      <c r="L47" s="17">
        <v>392.7</v>
      </c>
      <c r="M47" s="17">
        <v>327.09</v>
      </c>
      <c r="N47" s="17">
        <v>518.54</v>
      </c>
      <c r="O47" s="17">
        <v>525.51</v>
      </c>
      <c r="P47" s="17">
        <v>378.35</v>
      </c>
      <c r="Q47" s="17">
        <v>331.56</v>
      </c>
      <c r="R47" s="17">
        <v>323.38</v>
      </c>
      <c r="S47" s="17">
        <v>405.46</v>
      </c>
      <c r="T47" s="17">
        <v>392.88</v>
      </c>
      <c r="U47" s="17">
        <v>320.0</v>
      </c>
      <c r="V47" s="17">
        <v>203.76</v>
      </c>
      <c r="W47" s="17">
        <v>152.89</v>
      </c>
    </row>
    <row r="48" ht="15.0" customHeight="1">
      <c r="A48" s="14" t="s">
        <v>216</v>
      </c>
      <c r="B48" s="18"/>
      <c r="C48" s="18"/>
      <c r="D48" s="15">
        <v>1244.46</v>
      </c>
      <c r="E48" s="15">
        <v>973.46</v>
      </c>
      <c r="F48" s="15">
        <v>1010.23</v>
      </c>
      <c r="G48" s="15">
        <v>694.03</v>
      </c>
      <c r="H48" s="15">
        <v>582.05</v>
      </c>
      <c r="I48" s="15">
        <v>599.17</v>
      </c>
      <c r="J48" s="15">
        <v>514.21</v>
      </c>
      <c r="K48" s="18"/>
      <c r="L48" s="18"/>
      <c r="M48" s="18"/>
      <c r="N48" s="18"/>
      <c r="O48" s="15">
        <v>434.53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217</v>
      </c>
      <c r="B49" s="15">
        <v>1279.36</v>
      </c>
      <c r="C49" s="15">
        <v>1237.66</v>
      </c>
      <c r="D49" s="15">
        <v>1143.49</v>
      </c>
      <c r="E49" s="15">
        <v>911.22</v>
      </c>
      <c r="F49" s="15">
        <v>938.08</v>
      </c>
      <c r="G49" s="15">
        <v>654.14</v>
      </c>
      <c r="H49" s="15">
        <v>540.49</v>
      </c>
      <c r="I49" s="15">
        <v>561.28</v>
      </c>
      <c r="J49" s="15">
        <v>483.36</v>
      </c>
      <c r="K49" s="15">
        <v>458.93</v>
      </c>
      <c r="L49" s="15">
        <v>217.11</v>
      </c>
      <c r="M49" s="15">
        <v>163.28</v>
      </c>
      <c r="N49" s="15">
        <v>470.09</v>
      </c>
      <c r="O49" s="15">
        <v>428.65</v>
      </c>
      <c r="P49" s="15">
        <v>154.47</v>
      </c>
      <c r="Q49" s="15">
        <v>154.51</v>
      </c>
      <c r="R49" s="15">
        <v>169.75</v>
      </c>
      <c r="S49" s="15">
        <v>185.29</v>
      </c>
      <c r="T49" s="15">
        <v>167.39</v>
      </c>
      <c r="U49" s="15">
        <v>110.28</v>
      </c>
      <c r="V49" s="18"/>
      <c r="W49" s="18"/>
    </row>
    <row r="50" ht="15.0" customHeight="1">
      <c r="A50" s="14" t="s">
        <v>218</v>
      </c>
      <c r="B50" s="18"/>
      <c r="C50" s="15">
        <v>1237.76</v>
      </c>
      <c r="D50" s="15">
        <v>1145.26</v>
      </c>
      <c r="E50" s="15">
        <v>912.87</v>
      </c>
      <c r="F50" s="15">
        <v>939.77</v>
      </c>
      <c r="G50" s="15">
        <v>655.96</v>
      </c>
      <c r="H50" s="15">
        <v>542.13</v>
      </c>
      <c r="I50" s="15">
        <v>562.98</v>
      </c>
      <c r="J50" s="15">
        <v>485.09</v>
      </c>
      <c r="K50" s="15">
        <v>460.57</v>
      </c>
      <c r="L50" s="15">
        <v>218.93</v>
      </c>
      <c r="M50" s="15">
        <v>164.93</v>
      </c>
      <c r="N50" s="15">
        <v>471.72</v>
      </c>
      <c r="O50" s="15">
        <v>430.13</v>
      </c>
      <c r="P50" s="18"/>
      <c r="Q50" s="18"/>
      <c r="R50" s="18"/>
      <c r="S50" s="18"/>
      <c r="T50" s="18"/>
      <c r="U50" s="15">
        <v>132.9</v>
      </c>
      <c r="V50" s="19">
        <v>58.38</v>
      </c>
      <c r="W50" s="19">
        <v>42.65</v>
      </c>
    </row>
    <row r="51" ht="15.0" customHeight="1">
      <c r="A51" s="14" t="s">
        <v>219</v>
      </c>
      <c r="B51" s="18"/>
      <c r="C51" s="20">
        <v>-0.1</v>
      </c>
      <c r="D51" s="20">
        <v>-1.76</v>
      </c>
      <c r="E51" s="20">
        <v>-1.65</v>
      </c>
      <c r="F51" s="20">
        <v>-1.7</v>
      </c>
      <c r="G51" s="20">
        <v>-1.81</v>
      </c>
      <c r="H51" s="20">
        <v>-1.63</v>
      </c>
      <c r="I51" s="20">
        <v>-1.7</v>
      </c>
      <c r="J51" s="20">
        <v>-1.74</v>
      </c>
      <c r="K51" s="20">
        <v>-1.64</v>
      </c>
      <c r="L51" s="20">
        <v>-1.82</v>
      </c>
      <c r="M51" s="20">
        <v>-1.65</v>
      </c>
      <c r="N51" s="20">
        <v>-1.63</v>
      </c>
      <c r="O51" s="20">
        <v>-1.48</v>
      </c>
      <c r="P51" s="18"/>
      <c r="Q51" s="18"/>
      <c r="R51" s="18"/>
      <c r="S51" s="18"/>
      <c r="T51" s="18"/>
      <c r="U51" s="20">
        <v>-22.62</v>
      </c>
      <c r="V51" s="20">
        <v>-21.1</v>
      </c>
      <c r="W51" s="20">
        <v>-22.7</v>
      </c>
    </row>
    <row r="52" ht="15.0" customHeight="1">
      <c r="A52" s="14" t="s">
        <v>220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>
        <v>4.62</v>
      </c>
      <c r="Q52" s="19">
        <v>5.55</v>
      </c>
      <c r="R52" s="18"/>
      <c r="S52" s="18"/>
      <c r="T52" s="18"/>
      <c r="U52" s="18"/>
      <c r="V52" s="18"/>
      <c r="W52" s="18"/>
    </row>
    <row r="53" ht="15.0" customHeight="1">
      <c r="A53" s="14" t="s">
        <v>221</v>
      </c>
      <c r="B53" s="15">
        <v>181.52</v>
      </c>
      <c r="C53" s="15">
        <v>193.64</v>
      </c>
      <c r="D53" s="19">
        <v>95.47</v>
      </c>
      <c r="E53" s="19">
        <v>58.93</v>
      </c>
      <c r="F53" s="19">
        <v>70.09</v>
      </c>
      <c r="G53" s="19">
        <v>31.05</v>
      </c>
      <c r="H53" s="19">
        <v>30.34</v>
      </c>
      <c r="I53" s="19">
        <v>31.07</v>
      </c>
      <c r="J53" s="19">
        <v>30.85</v>
      </c>
      <c r="K53" s="19">
        <v>32.56</v>
      </c>
      <c r="L53" s="19">
        <v>16.78</v>
      </c>
      <c r="M53" s="19">
        <v>6.64</v>
      </c>
      <c r="N53" s="19">
        <v>8.28</v>
      </c>
      <c r="O53" s="19">
        <v>5.88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222</v>
      </c>
      <c r="B54" s="18"/>
      <c r="C54" s="15">
        <v>298.78</v>
      </c>
      <c r="D54" s="15">
        <v>173.73</v>
      </c>
      <c r="E54" s="15">
        <v>117.72</v>
      </c>
      <c r="F54" s="15">
        <v>116.97</v>
      </c>
      <c r="G54" s="19">
        <v>69.72</v>
      </c>
      <c r="H54" s="19">
        <v>60.87</v>
      </c>
      <c r="I54" s="19">
        <v>62.86</v>
      </c>
      <c r="J54" s="19">
        <v>57.28</v>
      </c>
      <c r="K54" s="19">
        <v>53.53</v>
      </c>
      <c r="L54" s="19">
        <v>36.0</v>
      </c>
      <c r="M54" s="19">
        <v>21.46</v>
      </c>
      <c r="N54" s="19">
        <v>20.68</v>
      </c>
      <c r="O54" s="19">
        <v>15.89</v>
      </c>
      <c r="P54" s="19">
        <v>12.68</v>
      </c>
      <c r="Q54" s="19">
        <v>11.7</v>
      </c>
      <c r="R54" s="18"/>
      <c r="S54" s="19">
        <v>11.97</v>
      </c>
      <c r="T54" s="19">
        <v>9.24</v>
      </c>
      <c r="U54" s="19">
        <v>3.61</v>
      </c>
      <c r="V54" s="18"/>
      <c r="W54" s="18"/>
    </row>
    <row r="55" ht="15.0" customHeight="1">
      <c r="A55" s="14" t="s">
        <v>223</v>
      </c>
      <c r="B55" s="18"/>
      <c r="C55" s="22">
        <v>-105.14</v>
      </c>
      <c r="D55" s="20">
        <v>-78.26</v>
      </c>
      <c r="E55" s="20">
        <v>-58.79</v>
      </c>
      <c r="F55" s="20">
        <v>-46.88</v>
      </c>
      <c r="G55" s="20">
        <v>-38.67</v>
      </c>
      <c r="H55" s="20">
        <v>-30.52</v>
      </c>
      <c r="I55" s="20">
        <v>-31.79</v>
      </c>
      <c r="J55" s="20">
        <v>-26.43</v>
      </c>
      <c r="K55" s="20">
        <v>-20.97</v>
      </c>
      <c r="L55" s="20">
        <v>-19.23</v>
      </c>
      <c r="M55" s="20">
        <v>-14.82</v>
      </c>
      <c r="N55" s="20">
        <v>-12.39</v>
      </c>
      <c r="O55" s="20">
        <v>-10.01</v>
      </c>
      <c r="P55" s="20">
        <v>-8.06</v>
      </c>
      <c r="Q55" s="20">
        <v>-6.15</v>
      </c>
      <c r="R55" s="18"/>
      <c r="S55" s="20">
        <v>-2.53</v>
      </c>
      <c r="T55" s="20">
        <v>-1.0</v>
      </c>
      <c r="U55" s="20">
        <v>-0.15</v>
      </c>
      <c r="V55" s="18">
        <v>0.0</v>
      </c>
      <c r="W55" s="18">
        <v>0.0</v>
      </c>
    </row>
    <row r="56" ht="15.0" customHeight="1">
      <c r="A56" s="14" t="s">
        <v>224</v>
      </c>
      <c r="B56" s="18"/>
      <c r="C56" s="19">
        <v>1.66</v>
      </c>
      <c r="D56" s="19">
        <v>5.5</v>
      </c>
      <c r="E56" s="19">
        <v>3.31</v>
      </c>
      <c r="F56" s="19">
        <v>2.06</v>
      </c>
      <c r="G56" s="19">
        <v>8.83</v>
      </c>
      <c r="H56" s="19">
        <v>11.21</v>
      </c>
      <c r="I56" s="19">
        <v>6.82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225</v>
      </c>
      <c r="B57" s="15">
        <f>729.34 - B73</f>
        <v>552.2</v>
      </c>
      <c r="C57" s="18">
        <f>SUM(C58,C61,C64,C67)</f>
        <v>740.11</v>
      </c>
      <c r="D57" s="15">
        <f> 852.25 - D73</f>
        <v>729.21</v>
      </c>
      <c r="E57" s="15">
        <f> 793.43 -E73</f>
        <v>675.08</v>
      </c>
      <c r="F57" s="15">
        <f>769.75-F73</f>
        <v>622.53</v>
      </c>
      <c r="G57" s="15">
        <f>687.12-G73</f>
        <v>571.19</v>
      </c>
      <c r="H57" s="15">
        <f>598.87-H73</f>
        <v>471.89</v>
      </c>
      <c r="I57" s="15">
        <v>502.13</v>
      </c>
      <c r="J57" s="15">
        <v>389.19</v>
      </c>
      <c r="K57" s="15">
        <v>369.58</v>
      </c>
      <c r="L57" s="15">
        <v>331.03</v>
      </c>
      <c r="M57" s="15">
        <v>322.28</v>
      </c>
      <c r="N57" s="15">
        <v>461.34</v>
      </c>
      <c r="O57" s="15">
        <v>465.19</v>
      </c>
      <c r="P57" s="18">
        <f t="shared" ref="P57:Q57" si="1">SUM(P58,P61,P65,P67)</f>
        <v>428.99</v>
      </c>
      <c r="Q57" s="18">
        <f t="shared" si="1"/>
        <v>223.82</v>
      </c>
      <c r="R57" s="18"/>
      <c r="S57" s="19">
        <f t="shared" ref="S57:W57" si="2">SUM(S59,S62,S65,S67,S69)</f>
        <v>517.96</v>
      </c>
      <c r="T57" s="19">
        <f t="shared" si="2"/>
        <v>432.51</v>
      </c>
      <c r="U57" s="19">
        <f t="shared" si="2"/>
        <v>393.4</v>
      </c>
      <c r="V57" s="19">
        <f t="shared" si="2"/>
        <v>315.54</v>
      </c>
      <c r="W57" s="19">
        <f t="shared" si="2"/>
        <v>360.52</v>
      </c>
    </row>
    <row r="58" ht="15.0" customHeight="1">
      <c r="A58" s="14" t="s">
        <v>226</v>
      </c>
      <c r="B58" s="18"/>
      <c r="C58" s="15">
        <v>411.77</v>
      </c>
      <c r="D58" s="15">
        <v>378.53</v>
      </c>
      <c r="E58" s="15">
        <v>366.08</v>
      </c>
      <c r="F58" s="15">
        <v>358.29</v>
      </c>
      <c r="G58" s="15">
        <v>350.72</v>
      </c>
      <c r="H58" s="15">
        <v>300.38</v>
      </c>
      <c r="I58" s="15">
        <v>292.73</v>
      </c>
      <c r="J58" s="15">
        <v>214.53</v>
      </c>
      <c r="K58" s="15">
        <v>208.82</v>
      </c>
      <c r="L58" s="15">
        <v>153.74</v>
      </c>
      <c r="M58" s="15">
        <v>158.29</v>
      </c>
      <c r="N58" s="15">
        <v>225.92</v>
      </c>
      <c r="O58" s="15">
        <v>258.04</v>
      </c>
      <c r="P58" s="18">
        <f>SUM(P59:P60)</f>
        <v>217.32</v>
      </c>
      <c r="Q58" s="19">
        <v>30.62</v>
      </c>
      <c r="R58" s="18"/>
      <c r="S58" s="15">
        <v>278.48</v>
      </c>
      <c r="T58" s="15">
        <v>219.94</v>
      </c>
      <c r="U58" s="19">
        <v>19.92</v>
      </c>
      <c r="V58" s="18"/>
      <c r="W58" s="18"/>
    </row>
    <row r="59" ht="15.0" customHeight="1">
      <c r="A59" s="14" t="s">
        <v>227</v>
      </c>
      <c r="B59" s="18"/>
      <c r="C59" s="15">
        <v>632.66</v>
      </c>
      <c r="D59" s="15">
        <v>590.66</v>
      </c>
      <c r="E59" s="15">
        <v>549.44</v>
      </c>
      <c r="F59" s="15">
        <v>525.82</v>
      </c>
      <c r="G59" s="15">
        <v>521.18</v>
      </c>
      <c r="H59" s="15">
        <v>442.12</v>
      </c>
      <c r="I59" s="15">
        <v>426.41</v>
      </c>
      <c r="J59" s="15">
        <v>338.48</v>
      </c>
      <c r="K59" s="15">
        <v>317.26</v>
      </c>
      <c r="L59" s="15">
        <v>264.69</v>
      </c>
      <c r="M59" s="15">
        <v>252.5</v>
      </c>
      <c r="N59" s="15">
        <v>367.14</v>
      </c>
      <c r="O59" s="15">
        <v>384.88</v>
      </c>
      <c r="P59" s="15">
        <v>291.72</v>
      </c>
      <c r="Q59" s="15">
        <v>282.9</v>
      </c>
      <c r="R59" s="18"/>
      <c r="S59" s="15">
        <v>353.2</v>
      </c>
      <c r="T59" s="15">
        <v>275.2</v>
      </c>
      <c r="U59" s="15">
        <v>199.82</v>
      </c>
      <c r="V59" s="15">
        <v>252.7</v>
      </c>
      <c r="W59" s="15">
        <v>260.06</v>
      </c>
    </row>
    <row r="60" ht="15.0" customHeight="1">
      <c r="A60" s="14" t="s">
        <v>228</v>
      </c>
      <c r="B60" s="18"/>
      <c r="C60" s="22">
        <v>-220.89</v>
      </c>
      <c r="D60" s="22">
        <v>-212.13</v>
      </c>
      <c r="E60" s="22">
        <v>-183.36</v>
      </c>
      <c r="F60" s="22">
        <v>-167.54</v>
      </c>
      <c r="G60" s="22">
        <v>-170.46</v>
      </c>
      <c r="H60" s="22">
        <v>-141.74</v>
      </c>
      <c r="I60" s="22">
        <v>-133.68</v>
      </c>
      <c r="J60" s="22">
        <v>-123.95</v>
      </c>
      <c r="K60" s="22">
        <v>-108.44</v>
      </c>
      <c r="L60" s="22">
        <v>-110.96</v>
      </c>
      <c r="M60" s="20">
        <v>-94.2</v>
      </c>
      <c r="N60" s="22">
        <v>-141.22</v>
      </c>
      <c r="O60" s="22">
        <v>-126.84</v>
      </c>
      <c r="P60" s="20">
        <v>-74.4</v>
      </c>
      <c r="Q60" s="20">
        <v>-63.2</v>
      </c>
      <c r="R60" s="18"/>
      <c r="S60" s="18"/>
      <c r="T60" s="18"/>
      <c r="U60" s="18"/>
      <c r="V60" s="18"/>
      <c r="W60" s="18"/>
    </row>
    <row r="61" ht="15.0" customHeight="1">
      <c r="A61" s="14" t="s">
        <v>229</v>
      </c>
      <c r="B61" s="18"/>
      <c r="C61" s="15">
        <v>250.16</v>
      </c>
      <c r="D61" s="15">
        <v>216.95</v>
      </c>
      <c r="E61" s="15">
        <v>205.16</v>
      </c>
      <c r="F61" s="15">
        <v>187.41</v>
      </c>
      <c r="G61" s="15">
        <v>171.58</v>
      </c>
      <c r="H61" s="15">
        <v>118.62</v>
      </c>
      <c r="I61" s="15">
        <v>157.55</v>
      </c>
      <c r="J61" s="15">
        <v>128.51</v>
      </c>
      <c r="K61" s="15">
        <v>134.19</v>
      </c>
      <c r="L61" s="15">
        <v>150.95</v>
      </c>
      <c r="M61" s="15">
        <v>140.17</v>
      </c>
      <c r="N61" s="15">
        <v>199.06</v>
      </c>
      <c r="O61" s="15">
        <v>184.51</v>
      </c>
      <c r="P61" s="15">
        <v>123.38</v>
      </c>
      <c r="Q61" s="15">
        <v>116.43</v>
      </c>
      <c r="R61" s="18"/>
      <c r="S61" s="18"/>
      <c r="T61" s="18"/>
      <c r="U61" s="18"/>
      <c r="V61" s="18"/>
      <c r="W61" s="18"/>
    </row>
    <row r="62" ht="15.0" customHeight="1">
      <c r="A62" s="14" t="s">
        <v>230</v>
      </c>
      <c r="B62" s="18"/>
      <c r="C62" s="15">
        <v>741.86</v>
      </c>
      <c r="D62" s="15">
        <v>665.33</v>
      </c>
      <c r="E62" s="15">
        <v>594.59</v>
      </c>
      <c r="F62" s="15">
        <v>571.68</v>
      </c>
      <c r="G62" s="15">
        <v>547.02</v>
      </c>
      <c r="H62" s="15">
        <v>445.72</v>
      </c>
      <c r="I62" s="15">
        <v>527.01</v>
      </c>
      <c r="J62" s="15">
        <v>486.59</v>
      </c>
      <c r="K62" s="15">
        <v>452.37</v>
      </c>
      <c r="L62" s="15">
        <v>471.26</v>
      </c>
      <c r="M62" s="15">
        <v>422.39</v>
      </c>
      <c r="N62" s="15">
        <v>889.09</v>
      </c>
      <c r="O62" s="15">
        <v>802.74</v>
      </c>
      <c r="P62" s="15">
        <v>470.84</v>
      </c>
      <c r="Q62" s="15">
        <v>408.95</v>
      </c>
      <c r="R62" s="18"/>
      <c r="S62" s="15">
        <v>540.88</v>
      </c>
      <c r="T62" s="15">
        <v>463.48</v>
      </c>
      <c r="U62" s="15">
        <v>330.75</v>
      </c>
      <c r="V62" s="15">
        <v>254.29</v>
      </c>
      <c r="W62" s="15">
        <v>238.36</v>
      </c>
    </row>
    <row r="63" ht="15.0" customHeight="1">
      <c r="A63" s="14" t="s">
        <v>231</v>
      </c>
      <c r="B63" s="18"/>
      <c r="C63" s="22">
        <v>-491.71</v>
      </c>
      <c r="D63" s="22">
        <v>-448.38</v>
      </c>
      <c r="E63" s="22">
        <v>-389.42</v>
      </c>
      <c r="F63" s="22">
        <v>-384.28</v>
      </c>
      <c r="G63" s="22">
        <v>-375.44</v>
      </c>
      <c r="H63" s="22">
        <v>-327.11</v>
      </c>
      <c r="I63" s="22">
        <v>-369.46</v>
      </c>
      <c r="J63" s="22">
        <v>-358.08</v>
      </c>
      <c r="K63" s="22">
        <v>-318.18</v>
      </c>
      <c r="L63" s="22">
        <v>-320.32</v>
      </c>
      <c r="M63" s="22">
        <v>-282.22</v>
      </c>
      <c r="N63" s="22">
        <v>-690.03</v>
      </c>
      <c r="O63" s="22">
        <v>-618.23</v>
      </c>
      <c r="P63" s="22">
        <v>-347.46</v>
      </c>
      <c r="Q63" s="22">
        <v>-292.52</v>
      </c>
      <c r="R63" s="18"/>
      <c r="S63" s="18"/>
      <c r="T63" s="18"/>
      <c r="U63" s="18"/>
      <c r="V63" s="18"/>
      <c r="W63" s="18"/>
    </row>
    <row r="64" ht="15.0" customHeight="1">
      <c r="A64" s="14" t="s">
        <v>232</v>
      </c>
      <c r="B64" s="18"/>
      <c r="C64" s="19">
        <v>55.92</v>
      </c>
      <c r="D64" s="19">
        <v>51.58</v>
      </c>
      <c r="E64" s="19">
        <v>51.81</v>
      </c>
      <c r="F64" s="19">
        <v>49.77</v>
      </c>
      <c r="G64" s="19">
        <v>33.97</v>
      </c>
      <c r="H64" s="19">
        <v>25.69</v>
      </c>
      <c r="I64" s="19">
        <v>25.77</v>
      </c>
      <c r="J64" s="19">
        <v>19.89</v>
      </c>
      <c r="K64" s="19">
        <v>21.33</v>
      </c>
      <c r="L64" s="19">
        <v>19.51</v>
      </c>
      <c r="M64" s="19">
        <v>19.67</v>
      </c>
      <c r="N64" s="19">
        <v>19.7</v>
      </c>
      <c r="O64" s="19">
        <v>16.96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233</v>
      </c>
      <c r="B65" s="18"/>
      <c r="C65" s="15">
        <v>215.19</v>
      </c>
      <c r="D65" s="15">
        <v>190.72</v>
      </c>
      <c r="E65" s="15">
        <v>173.88</v>
      </c>
      <c r="F65" s="15">
        <v>160.8</v>
      </c>
      <c r="G65" s="15">
        <v>144.61</v>
      </c>
      <c r="H65" s="15">
        <v>124.05</v>
      </c>
      <c r="I65" s="15">
        <v>118.46</v>
      </c>
      <c r="J65" s="15">
        <v>106.07</v>
      </c>
      <c r="K65" s="19">
        <v>98.25</v>
      </c>
      <c r="L65" s="19">
        <v>96.24</v>
      </c>
      <c r="M65" s="19">
        <v>90.55</v>
      </c>
      <c r="N65" s="15">
        <v>104.59</v>
      </c>
      <c r="O65" s="19">
        <v>93.38</v>
      </c>
      <c r="P65" s="19">
        <v>85.1</v>
      </c>
      <c r="Q65" s="19">
        <v>74.33</v>
      </c>
      <c r="R65" s="18"/>
      <c r="S65" s="19">
        <v>99.18</v>
      </c>
      <c r="T65" s="19">
        <v>86.8</v>
      </c>
      <c r="U65" s="15">
        <v>115.14</v>
      </c>
      <c r="V65" s="19">
        <v>39.37</v>
      </c>
      <c r="W65" s="19">
        <v>42.63</v>
      </c>
    </row>
    <row r="66" ht="15.0" customHeight="1">
      <c r="A66" s="14" t="s">
        <v>234</v>
      </c>
      <c r="B66" s="18"/>
      <c r="C66" s="22">
        <v>-159.27</v>
      </c>
      <c r="D66" s="22">
        <v>-139.14</v>
      </c>
      <c r="E66" s="22">
        <v>-122.07</v>
      </c>
      <c r="F66" s="22">
        <v>-111.03</v>
      </c>
      <c r="G66" s="22">
        <v>-110.64</v>
      </c>
      <c r="H66" s="20">
        <v>-98.36</v>
      </c>
      <c r="I66" s="20">
        <v>-92.69</v>
      </c>
      <c r="J66" s="20">
        <v>-86.18</v>
      </c>
      <c r="K66" s="20">
        <v>-76.92</v>
      </c>
      <c r="L66" s="20">
        <v>-76.73</v>
      </c>
      <c r="M66" s="20">
        <v>-70.88</v>
      </c>
      <c r="N66" s="20">
        <v>-84.89</v>
      </c>
      <c r="O66" s="20">
        <v>-76.41</v>
      </c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235</v>
      </c>
      <c r="B67" s="18"/>
      <c r="C67" s="19">
        <v>22.26</v>
      </c>
      <c r="D67" s="19">
        <v>82.15</v>
      </c>
      <c r="E67" s="19">
        <v>52.02</v>
      </c>
      <c r="F67" s="19">
        <v>27.07</v>
      </c>
      <c r="G67" s="19">
        <v>14.92</v>
      </c>
      <c r="H67" s="19">
        <v>27.2</v>
      </c>
      <c r="I67" s="19">
        <v>26.08</v>
      </c>
      <c r="J67" s="19">
        <v>26.26</v>
      </c>
      <c r="K67" s="19">
        <v>5.24</v>
      </c>
      <c r="L67" s="19">
        <v>6.83</v>
      </c>
      <c r="M67" s="19">
        <v>4.15</v>
      </c>
      <c r="N67" s="19">
        <v>16.66</v>
      </c>
      <c r="O67" s="19">
        <v>5.68</v>
      </c>
      <c r="P67" s="19">
        <v>3.19</v>
      </c>
      <c r="Q67" s="19">
        <v>2.44</v>
      </c>
      <c r="R67" s="18"/>
      <c r="S67" s="19">
        <v>9.92</v>
      </c>
      <c r="T67" s="19">
        <v>3.11</v>
      </c>
      <c r="U67" s="19">
        <v>66.39</v>
      </c>
      <c r="V67" s="19">
        <v>1.43</v>
      </c>
      <c r="W67" s="19">
        <v>24.61</v>
      </c>
    </row>
    <row r="68" ht="15.0" customHeight="1">
      <c r="A68" s="14" t="s">
        <v>236</v>
      </c>
      <c r="B68" s="18"/>
      <c r="C68" s="18">
        <v>0.0</v>
      </c>
      <c r="D68" s="19">
        <v>0.02</v>
      </c>
      <c r="E68" s="18">
        <v>0.0</v>
      </c>
      <c r="F68" s="19">
        <v>0.15</v>
      </c>
      <c r="G68" s="19">
        <v>0.32</v>
      </c>
      <c r="H68" s="18">
        <v>0.0</v>
      </c>
      <c r="I68" s="19">
        <v>0.05</v>
      </c>
      <c r="J68" s="19">
        <v>0.02</v>
      </c>
      <c r="K68" s="19">
        <v>0.02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92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2">
        <v>-489.74</v>
      </c>
      <c r="Q69" s="22">
        <v>-413.16</v>
      </c>
      <c r="R69" s="18"/>
      <c r="S69" s="22">
        <v>-485.22</v>
      </c>
      <c r="T69" s="22">
        <v>-396.08</v>
      </c>
      <c r="U69" s="22">
        <v>-318.7</v>
      </c>
      <c r="V69" s="22">
        <v>-232.25</v>
      </c>
      <c r="W69" s="22">
        <v>-205.14</v>
      </c>
    </row>
    <row r="70" ht="15.0" customHeight="1">
      <c r="A70" s="14" t="s">
        <v>237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>
        <v>0.0</v>
      </c>
      <c r="V70" s="19">
        <v>2.81</v>
      </c>
      <c r="W70" s="19">
        <v>2.88</v>
      </c>
    </row>
    <row r="71" ht="15.0" customHeight="1">
      <c r="A71" s="14" t="s">
        <v>238</v>
      </c>
      <c r="B71" s="19">
        <v>13.12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239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>
        <v>0.04</v>
      </c>
      <c r="P72" s="18"/>
      <c r="Q72" s="18"/>
      <c r="R72" s="18"/>
      <c r="S72" s="18"/>
      <c r="T72" s="18"/>
      <c r="U72" s="18"/>
      <c r="V72" s="18">
        <v>0.0</v>
      </c>
      <c r="W72" s="19">
        <v>20.69</v>
      </c>
    </row>
    <row r="73" ht="15.0" customHeight="1">
      <c r="A73" s="14" t="s">
        <v>240</v>
      </c>
      <c r="B73" s="15">
        <v>177.14</v>
      </c>
      <c r="C73" s="15">
        <v>152.66</v>
      </c>
      <c r="D73" s="15">
        <v>123.04</v>
      </c>
      <c r="E73" s="15">
        <v>118.35</v>
      </c>
      <c r="F73" s="15">
        <v>147.22</v>
      </c>
      <c r="G73" s="15">
        <v>115.93</v>
      </c>
      <c r="H73" s="15">
        <v>126.98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241</v>
      </c>
      <c r="B74" s="18"/>
      <c r="C74" s="19">
        <v>2.24</v>
      </c>
      <c r="D74" s="19">
        <v>1.82</v>
      </c>
      <c r="E74" s="19">
        <v>1.74</v>
      </c>
      <c r="F74" s="19">
        <v>1.86</v>
      </c>
      <c r="G74" s="19">
        <v>1.82</v>
      </c>
      <c r="H74" s="19">
        <v>1.54</v>
      </c>
      <c r="I74" s="19">
        <v>1.11</v>
      </c>
      <c r="J74" s="19">
        <v>1.0</v>
      </c>
      <c r="K74" s="19">
        <v>0.92</v>
      </c>
      <c r="L74" s="19">
        <v>0.66</v>
      </c>
      <c r="M74" s="19">
        <v>0.42</v>
      </c>
      <c r="N74" s="19">
        <v>0.04</v>
      </c>
      <c r="O74" s="19">
        <v>0.04</v>
      </c>
      <c r="P74" s="19">
        <v>0.08</v>
      </c>
      <c r="Q74" s="19">
        <v>0.07</v>
      </c>
      <c r="R74" s="18"/>
      <c r="S74" s="19">
        <v>0.32</v>
      </c>
      <c r="T74" s="19">
        <v>0.4</v>
      </c>
      <c r="U74" s="19">
        <v>0.64</v>
      </c>
      <c r="V74" s="19">
        <v>0.75</v>
      </c>
      <c r="W74" s="19">
        <v>5.28</v>
      </c>
    </row>
    <row r="75" ht="15.0" customHeight="1">
      <c r="A75" s="14" t="s">
        <v>197</v>
      </c>
      <c r="B75" s="18"/>
      <c r="C75" s="19">
        <v>20.79</v>
      </c>
      <c r="D75" s="19">
        <v>7.34</v>
      </c>
      <c r="E75" s="19">
        <v>2.58</v>
      </c>
      <c r="F75" s="19">
        <v>3.48</v>
      </c>
      <c r="G75" s="19">
        <v>0.78</v>
      </c>
      <c r="H75" s="19">
        <v>0.76</v>
      </c>
      <c r="I75" s="19">
        <v>0.75</v>
      </c>
      <c r="J75" s="19">
        <v>0.85</v>
      </c>
      <c r="K75" s="19">
        <v>1.27</v>
      </c>
      <c r="L75" s="19">
        <v>2.89</v>
      </c>
      <c r="M75" s="19">
        <v>4.5</v>
      </c>
      <c r="N75" s="19">
        <v>5.93</v>
      </c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242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0">
        <v>-30.62</v>
      </c>
      <c r="R76" s="18"/>
      <c r="S76" s="22">
        <v>-278.48</v>
      </c>
      <c r="T76" s="22">
        <v>-219.94</v>
      </c>
      <c r="U76" s="22">
        <v>-130.2</v>
      </c>
      <c r="V76" s="18"/>
      <c r="W76" s="18"/>
    </row>
    <row r="77" ht="15.0" customHeight="1">
      <c r="A77" s="14" t="s">
        <v>243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5">
        <v>444.05</v>
      </c>
      <c r="S77" s="18"/>
      <c r="T77" s="18"/>
      <c r="U77" s="18"/>
      <c r="V77" s="18"/>
      <c r="W77" s="18"/>
    </row>
    <row r="78" ht="15.0" customHeight="1">
      <c r="A78" s="16" t="s">
        <v>244</v>
      </c>
      <c r="B78" s="17">
        <v>2380.48</v>
      </c>
      <c r="C78" s="17">
        <v>2348.74</v>
      </c>
      <c r="D78" s="17">
        <v>2105.91</v>
      </c>
      <c r="E78" s="17">
        <v>1771.21</v>
      </c>
      <c r="F78" s="17">
        <v>1785.47</v>
      </c>
      <c r="G78" s="17">
        <v>1384.06</v>
      </c>
      <c r="H78" s="17">
        <v>1183.22</v>
      </c>
      <c r="I78" s="17">
        <v>1103.2</v>
      </c>
      <c r="J78" s="17">
        <v>905.27</v>
      </c>
      <c r="K78" s="17">
        <v>863.27</v>
      </c>
      <c r="L78" s="17">
        <v>568.46</v>
      </c>
      <c r="M78" s="17">
        <v>497.11</v>
      </c>
      <c r="N78" s="17">
        <v>945.69</v>
      </c>
      <c r="O78" s="17">
        <v>899.77</v>
      </c>
      <c r="P78" s="17">
        <v>520.28</v>
      </c>
      <c r="Q78" s="17">
        <v>546.2</v>
      </c>
      <c r="R78" s="17">
        <v>613.8</v>
      </c>
      <c r="S78" s="17">
        <v>991.48</v>
      </c>
      <c r="T78" s="17">
        <v>828.48</v>
      </c>
      <c r="U78" s="17">
        <v>637.98</v>
      </c>
      <c r="V78" s="17">
        <v>356.37</v>
      </c>
      <c r="W78" s="17">
        <v>409.33</v>
      </c>
    </row>
    <row r="79" ht="15.0" customHeight="1">
      <c r="A79" s="14" t="s">
        <v>214</v>
      </c>
      <c r="B79" s="18"/>
      <c r="C79" s="18"/>
      <c r="D79" s="18"/>
      <c r="E79" s="18"/>
      <c r="F79" s="18"/>
      <c r="G79" s="18"/>
      <c r="H79" s="18"/>
      <c r="I79" s="18">
        <v>0.0</v>
      </c>
      <c r="J79" s="19">
        <v>0.96</v>
      </c>
      <c r="K79" s="19">
        <v>1.26</v>
      </c>
      <c r="L79" s="19">
        <v>0.98</v>
      </c>
      <c r="M79" s="18">
        <v>0.0</v>
      </c>
      <c r="N79" s="18">
        <v>0.0</v>
      </c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6" t="s">
        <v>245</v>
      </c>
      <c r="B80" s="17">
        <v>4105.97</v>
      </c>
      <c r="C80" s="17">
        <v>3889.01</v>
      </c>
      <c r="D80" s="17">
        <v>3786.14</v>
      </c>
      <c r="E80" s="17">
        <v>3393.77</v>
      </c>
      <c r="F80" s="17">
        <v>3404.73</v>
      </c>
      <c r="G80" s="17">
        <v>2596.3</v>
      </c>
      <c r="H80" s="17">
        <v>1950.95</v>
      </c>
      <c r="I80" s="17">
        <v>1945.76</v>
      </c>
      <c r="J80" s="17">
        <v>1521.3</v>
      </c>
      <c r="K80" s="17">
        <v>1431.08</v>
      </c>
      <c r="L80" s="17">
        <v>962.14</v>
      </c>
      <c r="M80" s="17">
        <v>824.2</v>
      </c>
      <c r="N80" s="17">
        <v>1464.23</v>
      </c>
      <c r="O80" s="17">
        <v>1425.28</v>
      </c>
      <c r="P80" s="17">
        <v>898.63</v>
      </c>
      <c r="Q80" s="17">
        <v>847.14</v>
      </c>
      <c r="R80" s="17">
        <v>937.18</v>
      </c>
      <c r="S80" s="17">
        <v>1118.45</v>
      </c>
      <c r="T80" s="17">
        <v>1001.41</v>
      </c>
      <c r="U80" s="17">
        <v>827.78</v>
      </c>
      <c r="V80" s="17">
        <v>560.13</v>
      </c>
      <c r="W80" s="17">
        <v>562.23</v>
      </c>
    </row>
    <row r="81" ht="15.0" customHeight="1">
      <c r="A81" s="14" t="s">
        <v>246</v>
      </c>
      <c r="B81" s="15">
        <v>1012.55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211</v>
      </c>
      <c r="B82" s="18"/>
      <c r="C82" s="18"/>
      <c r="D82" s="18">
        <v>0.0</v>
      </c>
      <c r="E82" s="18">
        <v>0.0</v>
      </c>
      <c r="F82" s="19">
        <v>5.73</v>
      </c>
      <c r="G82" s="19">
        <v>13.76</v>
      </c>
      <c r="H82" s="19">
        <v>12.07</v>
      </c>
      <c r="I82" s="19">
        <v>14.76</v>
      </c>
      <c r="J82" s="19">
        <v>14.55</v>
      </c>
      <c r="K82" s="19">
        <v>16.26</v>
      </c>
      <c r="L82" s="19">
        <v>15.05</v>
      </c>
      <c r="M82" s="19">
        <v>16.17</v>
      </c>
      <c r="N82" s="19">
        <v>4.61</v>
      </c>
      <c r="O82" s="19">
        <v>10.93</v>
      </c>
      <c r="P82" s="19">
        <v>7.92</v>
      </c>
      <c r="Q82" s="19">
        <v>0.59</v>
      </c>
      <c r="R82" s="18"/>
      <c r="S82" s="18"/>
      <c r="T82" s="18"/>
      <c r="U82" s="18"/>
      <c r="V82" s="18"/>
      <c r="W82" s="18"/>
    </row>
    <row r="83" ht="15.0" customHeight="1">
      <c r="A83" s="14" t="s">
        <v>247</v>
      </c>
      <c r="B83" s="18"/>
      <c r="C83" s="15">
        <v>806.29</v>
      </c>
      <c r="D83" s="15">
        <v>850.63</v>
      </c>
      <c r="E83" s="15">
        <v>785.9</v>
      </c>
      <c r="F83" s="15">
        <v>841.43</v>
      </c>
      <c r="G83" s="15">
        <v>570.73</v>
      </c>
      <c r="H83" s="15">
        <v>364.27</v>
      </c>
      <c r="I83" s="15">
        <v>375.0</v>
      </c>
      <c r="J83" s="15">
        <v>342.01</v>
      </c>
      <c r="K83" s="15">
        <v>305.53</v>
      </c>
      <c r="L83" s="15">
        <v>191.4</v>
      </c>
      <c r="M83" s="15">
        <v>126.61</v>
      </c>
      <c r="N83" s="15">
        <v>211.37</v>
      </c>
      <c r="O83" s="15">
        <v>237.95</v>
      </c>
      <c r="P83" s="19">
        <v>74.81</v>
      </c>
      <c r="Q83" s="19">
        <v>80.74</v>
      </c>
      <c r="R83" s="18"/>
      <c r="S83" s="19">
        <v>54.48</v>
      </c>
      <c r="T83" s="15">
        <v>176.05</v>
      </c>
      <c r="U83" s="15">
        <v>151.63</v>
      </c>
      <c r="V83" s="19">
        <v>94.16</v>
      </c>
      <c r="W83" s="19">
        <v>77.7</v>
      </c>
    </row>
    <row r="84" ht="15.0" customHeight="1">
      <c r="A84" s="14" t="s">
        <v>248</v>
      </c>
      <c r="B84" s="18"/>
      <c r="C84" s="19">
        <v>98.04</v>
      </c>
      <c r="D84" s="19">
        <v>90.3</v>
      </c>
      <c r="E84" s="19">
        <v>39.82</v>
      </c>
      <c r="F84" s="19">
        <v>20.36</v>
      </c>
      <c r="G84" s="19">
        <v>5.52</v>
      </c>
      <c r="H84" s="19">
        <v>25.69</v>
      </c>
      <c r="I84" s="19">
        <v>15.99</v>
      </c>
      <c r="J84" s="19">
        <v>30.32</v>
      </c>
      <c r="K84" s="19">
        <v>5.33</v>
      </c>
      <c r="L84" s="19">
        <v>1.19</v>
      </c>
      <c r="M84" s="19">
        <v>2.77</v>
      </c>
      <c r="N84" s="18"/>
      <c r="O84" s="19">
        <v>59.35</v>
      </c>
      <c r="P84" s="19">
        <v>61.97</v>
      </c>
      <c r="Q84" s="19">
        <v>30.45</v>
      </c>
      <c r="R84" s="18"/>
      <c r="S84" s="19">
        <v>7.04</v>
      </c>
      <c r="T84" s="18"/>
      <c r="U84" s="18"/>
      <c r="V84" s="18"/>
      <c r="W84" s="18"/>
    </row>
    <row r="85" ht="15.0" customHeight="1">
      <c r="A85" s="14" t="s">
        <v>249</v>
      </c>
      <c r="B85" s="18"/>
      <c r="C85" s="15">
        <v>229.1</v>
      </c>
      <c r="D85" s="15">
        <v>233.24</v>
      </c>
      <c r="E85" s="15">
        <v>256.0</v>
      </c>
      <c r="F85" s="15">
        <v>272.5</v>
      </c>
      <c r="G85" s="15">
        <v>383.47</v>
      </c>
      <c r="H85" s="15">
        <v>212.8</v>
      </c>
      <c r="I85" s="15">
        <v>234.82</v>
      </c>
      <c r="J85" s="15">
        <v>204.23</v>
      </c>
      <c r="K85" s="15">
        <v>222.44</v>
      </c>
      <c r="L85" s="15">
        <v>114.39</v>
      </c>
      <c r="M85" s="19">
        <v>60.03</v>
      </c>
      <c r="N85" s="18"/>
      <c r="O85" s="19">
        <v>87.75</v>
      </c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250</v>
      </c>
      <c r="B86" s="18"/>
      <c r="C86" s="15">
        <v>136.32</v>
      </c>
      <c r="D86" s="15">
        <v>135.45</v>
      </c>
      <c r="E86" s="15">
        <v>118.32</v>
      </c>
      <c r="F86" s="15">
        <v>123.04</v>
      </c>
      <c r="G86" s="19">
        <v>89.31</v>
      </c>
      <c r="H86" s="19">
        <v>82.66</v>
      </c>
      <c r="I86" s="19">
        <v>81.38</v>
      </c>
      <c r="J86" s="19">
        <v>69.09</v>
      </c>
      <c r="K86" s="19">
        <v>53.99</v>
      </c>
      <c r="L86" s="19">
        <v>46.63</v>
      </c>
      <c r="M86" s="19">
        <v>46.14</v>
      </c>
      <c r="N86" s="18"/>
      <c r="O86" s="19">
        <v>57.14</v>
      </c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251</v>
      </c>
      <c r="B87" s="18"/>
      <c r="C87" s="19">
        <v>31.81</v>
      </c>
      <c r="D87" s="19">
        <v>41.43</v>
      </c>
      <c r="E87" s="19">
        <v>45.32</v>
      </c>
      <c r="F87" s="19">
        <v>38.19</v>
      </c>
      <c r="G87" s="19">
        <v>30.74</v>
      </c>
      <c r="H87" s="19">
        <v>14.26</v>
      </c>
      <c r="I87" s="19">
        <v>11.24</v>
      </c>
      <c r="J87" s="19">
        <v>14.78</v>
      </c>
      <c r="K87" s="19">
        <v>7.03</v>
      </c>
      <c r="L87" s="19">
        <v>6.55</v>
      </c>
      <c r="M87" s="19">
        <v>6.46</v>
      </c>
      <c r="N87" s="18"/>
      <c r="O87" s="19">
        <v>7.12</v>
      </c>
      <c r="P87" s="19">
        <v>24.22</v>
      </c>
      <c r="Q87" s="19">
        <v>27.9</v>
      </c>
      <c r="R87" s="18"/>
      <c r="S87" s="19">
        <v>30.97</v>
      </c>
      <c r="T87" s="18"/>
      <c r="U87" s="18"/>
      <c r="V87" s="18"/>
      <c r="W87" s="18"/>
    </row>
    <row r="88" ht="15.0" customHeight="1">
      <c r="A88" s="14" t="s">
        <v>252</v>
      </c>
      <c r="B88" s="18"/>
      <c r="C88" s="19">
        <v>84.62</v>
      </c>
      <c r="D88" s="19">
        <v>54.65</v>
      </c>
      <c r="E88" s="19">
        <v>53.86</v>
      </c>
      <c r="F88" s="19">
        <v>67.17</v>
      </c>
      <c r="G88" s="19">
        <v>61.7</v>
      </c>
      <c r="H88" s="19">
        <v>28.87</v>
      </c>
      <c r="I88" s="19">
        <v>31.57</v>
      </c>
      <c r="J88" s="19">
        <v>23.6</v>
      </c>
      <c r="K88" s="19">
        <v>16.73</v>
      </c>
      <c r="L88" s="19">
        <v>22.63</v>
      </c>
      <c r="M88" s="19">
        <v>11.22</v>
      </c>
      <c r="N88" s="18"/>
      <c r="O88" s="19">
        <v>15.66</v>
      </c>
      <c r="P88" s="19">
        <v>42.72</v>
      </c>
      <c r="Q88" s="19">
        <v>35.64</v>
      </c>
      <c r="R88" s="15">
        <v>354.7</v>
      </c>
      <c r="S88" s="19">
        <v>48.5</v>
      </c>
      <c r="T88" s="18"/>
      <c r="U88" s="18"/>
      <c r="V88" s="18"/>
      <c r="W88" s="18"/>
    </row>
    <row r="89" ht="15.0" customHeight="1">
      <c r="A89" s="14" t="s">
        <v>253</v>
      </c>
      <c r="B89" s="18"/>
      <c r="C89" s="15">
        <v>226.4</v>
      </c>
      <c r="D89" s="15">
        <v>295.56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254</v>
      </c>
      <c r="B90" s="18"/>
      <c r="C90" s="18"/>
      <c r="D90" s="18"/>
      <c r="E90" s="15">
        <v>272.58</v>
      </c>
      <c r="F90" s="15">
        <v>320.17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255</v>
      </c>
      <c r="B91" s="18"/>
      <c r="C91" s="19">
        <v>0.45</v>
      </c>
      <c r="D91" s="19">
        <v>5.38</v>
      </c>
      <c r="E91" s="19">
        <v>4.13</v>
      </c>
      <c r="F91" s="19">
        <v>44.65</v>
      </c>
      <c r="G91" s="19">
        <v>39.01</v>
      </c>
      <c r="H91" s="19">
        <v>9.4</v>
      </c>
      <c r="I91" s="19">
        <v>22.64</v>
      </c>
      <c r="J91" s="19">
        <v>3.34</v>
      </c>
      <c r="K91" s="19">
        <v>5.05</v>
      </c>
      <c r="L91" s="19">
        <v>14.0</v>
      </c>
      <c r="M91" s="19">
        <v>0.4</v>
      </c>
      <c r="N91" s="19">
        <v>14.34</v>
      </c>
      <c r="O91" s="19">
        <v>6.91</v>
      </c>
      <c r="P91" s="19">
        <v>7.0</v>
      </c>
      <c r="Q91" s="19">
        <v>5.81</v>
      </c>
      <c r="R91" s="18"/>
      <c r="S91" s="18">
        <v>0.0</v>
      </c>
      <c r="T91" s="19">
        <v>4.28</v>
      </c>
      <c r="U91" s="19">
        <v>12.44</v>
      </c>
      <c r="V91" s="19">
        <v>0.15</v>
      </c>
      <c r="W91" s="19">
        <v>2.46</v>
      </c>
    </row>
    <row r="92" ht="15.0" customHeight="1">
      <c r="A92" s="14" t="s">
        <v>256</v>
      </c>
      <c r="B92" s="18">
        <v>0.0</v>
      </c>
      <c r="C92" s="19">
        <v>18.38</v>
      </c>
      <c r="D92" s="19">
        <v>4.05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257</v>
      </c>
      <c r="B93" s="18"/>
      <c r="C93" s="19">
        <v>76.26</v>
      </c>
      <c r="D93" s="19">
        <v>48.19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257</v>
      </c>
      <c r="B94" s="18"/>
      <c r="C94" s="19">
        <v>57.89</v>
      </c>
      <c r="D94" s="19">
        <v>44.15</v>
      </c>
      <c r="E94" s="19">
        <v>97.74</v>
      </c>
      <c r="F94" s="15">
        <v>368.59</v>
      </c>
      <c r="G94" s="19">
        <v>44.31</v>
      </c>
      <c r="H94" s="15">
        <v>164.31</v>
      </c>
      <c r="I94" s="15">
        <v>286.12</v>
      </c>
      <c r="J94" s="15">
        <v>107.79</v>
      </c>
      <c r="K94" s="15">
        <v>226.32</v>
      </c>
      <c r="L94" s="15">
        <v>120.29</v>
      </c>
      <c r="M94" s="19">
        <v>99.56</v>
      </c>
      <c r="N94" s="15">
        <v>210.45</v>
      </c>
      <c r="O94" s="15">
        <v>232.53</v>
      </c>
      <c r="P94" s="19">
        <v>69.72</v>
      </c>
      <c r="Q94" s="19">
        <v>66.32</v>
      </c>
      <c r="R94" s="18"/>
      <c r="S94" s="15">
        <v>253.42</v>
      </c>
      <c r="T94" s="15">
        <v>151.82</v>
      </c>
      <c r="U94" s="19">
        <v>93.26</v>
      </c>
      <c r="V94" s="19">
        <v>5.8</v>
      </c>
      <c r="W94" s="19">
        <v>27.08</v>
      </c>
    </row>
    <row r="95" ht="15.0" customHeight="1">
      <c r="A95" s="14" t="s">
        <v>258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>
        <v>78.66</v>
      </c>
      <c r="P95" s="19">
        <v>47.57</v>
      </c>
      <c r="Q95" s="19">
        <v>25.18</v>
      </c>
      <c r="R95" s="18"/>
      <c r="S95" s="19">
        <v>36.99</v>
      </c>
      <c r="T95" s="19">
        <v>36.27</v>
      </c>
      <c r="U95" s="19">
        <v>26.72</v>
      </c>
      <c r="V95" s="19">
        <v>24.4</v>
      </c>
      <c r="W95" s="19">
        <v>9.74</v>
      </c>
    </row>
    <row r="96" ht="15.0" customHeight="1">
      <c r="A96" s="14" t="s">
        <v>259</v>
      </c>
      <c r="B96" s="18"/>
      <c r="C96" s="19">
        <v>3.2</v>
      </c>
      <c r="D96" s="19">
        <v>5.27</v>
      </c>
      <c r="E96" s="19">
        <v>0.21</v>
      </c>
      <c r="F96" s="19">
        <v>7.97</v>
      </c>
      <c r="G96" s="19">
        <v>2.0</v>
      </c>
      <c r="H96" s="18">
        <v>0.0</v>
      </c>
      <c r="I96" s="19">
        <v>0.02</v>
      </c>
      <c r="J96" s="19">
        <v>0.46</v>
      </c>
      <c r="K96" s="19">
        <v>0.06</v>
      </c>
      <c r="L96" s="19">
        <v>0.04</v>
      </c>
      <c r="M96" s="19">
        <v>0.26</v>
      </c>
      <c r="N96" s="19">
        <v>0.01</v>
      </c>
      <c r="O96" s="19">
        <v>0.11</v>
      </c>
      <c r="P96" s="19">
        <v>0.45</v>
      </c>
      <c r="Q96" s="19">
        <v>0.06</v>
      </c>
      <c r="R96" s="18"/>
      <c r="S96" s="19">
        <v>0.84</v>
      </c>
      <c r="T96" s="19">
        <v>1.02</v>
      </c>
      <c r="U96" s="19">
        <v>0.11</v>
      </c>
      <c r="V96" s="19">
        <v>1.71</v>
      </c>
      <c r="W96" s="19">
        <v>2.75</v>
      </c>
    </row>
    <row r="97" ht="15.0" customHeight="1">
      <c r="A97" s="14" t="s">
        <v>260</v>
      </c>
      <c r="B97" s="18"/>
      <c r="C97" s="19">
        <v>10.65</v>
      </c>
      <c r="D97" s="19">
        <v>5.79</v>
      </c>
      <c r="E97" s="19">
        <v>6.05</v>
      </c>
      <c r="F97" s="19">
        <v>4.72</v>
      </c>
      <c r="G97" s="19">
        <v>3.47</v>
      </c>
      <c r="H97" s="19">
        <v>3.77</v>
      </c>
      <c r="I97" s="19">
        <v>5.5</v>
      </c>
      <c r="J97" s="19">
        <v>10.05</v>
      </c>
      <c r="K97" s="19">
        <v>1.65</v>
      </c>
      <c r="L97" s="19">
        <v>2.31</v>
      </c>
      <c r="M97" s="18"/>
      <c r="N97" s="18"/>
      <c r="O97" s="18"/>
      <c r="P97" s="18"/>
      <c r="Q97" s="18"/>
      <c r="R97" s="18"/>
      <c r="S97" s="18"/>
      <c r="T97" s="18">
        <v>0.0</v>
      </c>
      <c r="U97" s="19">
        <v>15.0</v>
      </c>
      <c r="V97" s="19">
        <v>1.3</v>
      </c>
      <c r="W97" s="18"/>
    </row>
    <row r="98" ht="15.0" customHeight="1">
      <c r="A98" s="14" t="s">
        <v>261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9">
        <v>4.99</v>
      </c>
      <c r="W98" s="18"/>
    </row>
    <row r="99" ht="15.0" customHeight="1">
      <c r="A99" s="16" t="s">
        <v>262</v>
      </c>
      <c r="B99" s="17">
        <v>1012.55</v>
      </c>
      <c r="C99" s="17">
        <v>896.85</v>
      </c>
      <c r="D99" s="17">
        <v>915.27</v>
      </c>
      <c r="E99" s="17">
        <v>894.01</v>
      </c>
      <c r="F99" s="17">
        <v>1273.09</v>
      </c>
      <c r="G99" s="17">
        <v>673.29</v>
      </c>
      <c r="H99" s="17">
        <v>553.82</v>
      </c>
      <c r="I99" s="17">
        <v>704.03</v>
      </c>
      <c r="J99" s="17">
        <v>478.21</v>
      </c>
      <c r="K99" s="17">
        <v>554.88</v>
      </c>
      <c r="L99" s="17">
        <v>343.08</v>
      </c>
      <c r="M99" s="17">
        <v>242.99</v>
      </c>
      <c r="N99" s="17">
        <v>440.78</v>
      </c>
      <c r="O99" s="17">
        <v>556.15</v>
      </c>
      <c r="P99" s="17">
        <v>336.4</v>
      </c>
      <c r="Q99" s="17">
        <v>272.69</v>
      </c>
      <c r="R99" s="17">
        <v>354.7</v>
      </c>
      <c r="S99" s="17">
        <v>432.24</v>
      </c>
      <c r="T99" s="17">
        <v>369.45</v>
      </c>
      <c r="U99" s="17">
        <v>299.16</v>
      </c>
      <c r="V99" s="17">
        <v>132.51</v>
      </c>
      <c r="W99" s="17">
        <v>119.72</v>
      </c>
    </row>
    <row r="100" ht="15.0" customHeight="1">
      <c r="A100" s="14" t="s">
        <v>263</v>
      </c>
      <c r="B100" s="15">
        <v>1043.17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0.0</v>
      </c>
      <c r="Q100" s="19">
        <v>23.38</v>
      </c>
      <c r="R100" s="15">
        <v>266.6</v>
      </c>
      <c r="S100" s="19">
        <v>23.29</v>
      </c>
      <c r="T100" s="18">
        <v>0.0</v>
      </c>
      <c r="U100" s="19">
        <v>9.16</v>
      </c>
      <c r="V100" s="19">
        <v>8.31</v>
      </c>
      <c r="W100" s="19">
        <v>9.13</v>
      </c>
    </row>
    <row r="101" ht="15.0" customHeight="1">
      <c r="A101" s="14" t="s">
        <v>264</v>
      </c>
      <c r="B101" s="18"/>
      <c r="C101" s="19">
        <v>0.56</v>
      </c>
      <c r="D101" s="19">
        <v>20.22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265</v>
      </c>
      <c r="B102" s="18"/>
      <c r="C102" s="15">
        <v>1102.25</v>
      </c>
      <c r="D102" s="15">
        <v>1074.38</v>
      </c>
      <c r="E102" s="15">
        <v>947.22</v>
      </c>
      <c r="F102" s="15">
        <v>718.84</v>
      </c>
      <c r="G102" s="15">
        <v>731.96</v>
      </c>
      <c r="H102" s="15">
        <v>550.25</v>
      </c>
      <c r="I102" s="15">
        <v>479.93</v>
      </c>
      <c r="J102" s="15">
        <v>427.65</v>
      </c>
      <c r="K102" s="15">
        <v>427.8</v>
      </c>
      <c r="L102" s="15">
        <v>150.79</v>
      </c>
      <c r="M102" s="15">
        <v>205.74</v>
      </c>
      <c r="N102" s="15">
        <v>333.6</v>
      </c>
      <c r="O102" s="15">
        <v>225.92</v>
      </c>
      <c r="P102" s="19">
        <v>92.81</v>
      </c>
      <c r="Q102" s="15">
        <v>129.76</v>
      </c>
      <c r="R102" s="18"/>
      <c r="S102" s="15">
        <v>250.34</v>
      </c>
      <c r="T102" s="15">
        <v>271.74</v>
      </c>
      <c r="U102" s="15">
        <v>189.32</v>
      </c>
      <c r="V102" s="15">
        <v>161.81</v>
      </c>
      <c r="W102" s="15">
        <v>194.66</v>
      </c>
    </row>
    <row r="103" ht="15.0" customHeight="1">
      <c r="A103" s="14" t="s">
        <v>266</v>
      </c>
      <c r="B103" s="18"/>
      <c r="C103" s="15">
        <v>110.57</v>
      </c>
      <c r="D103" s="15">
        <v>104.23</v>
      </c>
      <c r="E103" s="15">
        <v>104.62</v>
      </c>
      <c r="F103" s="19">
        <v>99.68</v>
      </c>
      <c r="G103" s="19">
        <v>89.3</v>
      </c>
      <c r="H103" s="19">
        <v>89.62</v>
      </c>
      <c r="I103" s="19">
        <v>88.39</v>
      </c>
      <c r="J103" s="19">
        <v>71.17</v>
      </c>
      <c r="K103" s="19">
        <v>49.73</v>
      </c>
      <c r="L103" s="19">
        <v>29.32</v>
      </c>
      <c r="M103" s="19">
        <v>31.82</v>
      </c>
      <c r="N103" s="19">
        <v>78.08</v>
      </c>
      <c r="O103" s="19">
        <v>68.39</v>
      </c>
      <c r="P103" s="19">
        <v>33.56</v>
      </c>
      <c r="Q103" s="19">
        <v>31.24</v>
      </c>
      <c r="R103" s="18"/>
      <c r="S103" s="19">
        <v>36.09</v>
      </c>
      <c r="T103" s="19">
        <v>28.54</v>
      </c>
      <c r="U103" s="19">
        <v>23.75</v>
      </c>
      <c r="V103" s="19">
        <v>21.68</v>
      </c>
      <c r="W103" s="19">
        <v>23.29</v>
      </c>
    </row>
    <row r="104" ht="15.0" customHeight="1">
      <c r="A104" s="14" t="s">
        <v>267</v>
      </c>
      <c r="B104" s="18"/>
      <c r="C104" s="19">
        <v>10.88</v>
      </c>
      <c r="D104" s="19">
        <v>10.36</v>
      </c>
      <c r="E104" s="19">
        <v>7.56</v>
      </c>
      <c r="F104" s="19">
        <v>6.68</v>
      </c>
      <c r="G104" s="19">
        <v>4.33</v>
      </c>
      <c r="H104" s="19">
        <v>3.28</v>
      </c>
      <c r="I104" s="19">
        <v>4.26</v>
      </c>
      <c r="J104" s="19">
        <v>2.61</v>
      </c>
      <c r="K104" s="19">
        <v>8.26</v>
      </c>
      <c r="L104" s="19">
        <v>3.06</v>
      </c>
      <c r="M104" s="19">
        <v>2.9</v>
      </c>
      <c r="N104" s="19">
        <v>2.55</v>
      </c>
      <c r="O104" s="19">
        <v>3.37</v>
      </c>
      <c r="P104" s="19">
        <v>2.96</v>
      </c>
      <c r="Q104" s="19">
        <v>3.07</v>
      </c>
      <c r="R104" s="18"/>
      <c r="S104" s="19">
        <v>8.02</v>
      </c>
      <c r="T104" s="19">
        <v>7.18</v>
      </c>
      <c r="U104" s="19">
        <v>3.99</v>
      </c>
      <c r="V104" s="19">
        <v>2.36</v>
      </c>
      <c r="W104" s="19">
        <v>0.05</v>
      </c>
    </row>
    <row r="105" ht="15.0" customHeight="1">
      <c r="A105" s="14" t="s">
        <v>268</v>
      </c>
      <c r="B105" s="18"/>
      <c r="C105" s="19">
        <v>0.52</v>
      </c>
      <c r="D105" s="19">
        <v>0.55</v>
      </c>
      <c r="E105" s="19">
        <v>0.52</v>
      </c>
      <c r="F105" s="19">
        <v>0.66</v>
      </c>
      <c r="G105" s="19">
        <v>0.66</v>
      </c>
      <c r="H105" s="19">
        <v>0.64</v>
      </c>
      <c r="I105" s="19">
        <v>0.32</v>
      </c>
      <c r="J105" s="19">
        <v>0.8</v>
      </c>
      <c r="K105" s="19">
        <v>0.88</v>
      </c>
      <c r="L105" s="19">
        <v>1.1</v>
      </c>
      <c r="M105" s="19">
        <v>1.12</v>
      </c>
      <c r="N105" s="18"/>
      <c r="O105" s="19">
        <v>1.45</v>
      </c>
      <c r="P105" s="18"/>
      <c r="Q105" s="19">
        <v>2.33</v>
      </c>
      <c r="R105" s="18"/>
      <c r="S105" s="18"/>
      <c r="T105" s="18"/>
      <c r="U105" s="18"/>
      <c r="V105" s="18"/>
      <c r="W105" s="18"/>
    </row>
    <row r="106" ht="15.0" customHeight="1">
      <c r="A106" s="14" t="s">
        <v>269</v>
      </c>
      <c r="B106" s="18"/>
      <c r="C106" s="19">
        <v>10.36</v>
      </c>
      <c r="D106" s="19">
        <v>9.81</v>
      </c>
      <c r="E106" s="19">
        <v>7.04</v>
      </c>
      <c r="F106" s="19">
        <v>6.02</v>
      </c>
      <c r="G106" s="19">
        <v>3.66</v>
      </c>
      <c r="H106" s="19">
        <v>2.64</v>
      </c>
      <c r="I106" s="19">
        <v>3.94</v>
      </c>
      <c r="J106" s="19">
        <v>1.81</v>
      </c>
      <c r="K106" s="19">
        <v>7.37</v>
      </c>
      <c r="L106" s="19">
        <v>1.96</v>
      </c>
      <c r="M106" s="19">
        <v>1.78</v>
      </c>
      <c r="N106" s="18"/>
      <c r="O106" s="19">
        <v>1.92</v>
      </c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270</v>
      </c>
      <c r="B107" s="18"/>
      <c r="C107" s="18"/>
      <c r="D107" s="18"/>
      <c r="E107" s="18"/>
      <c r="F107" s="18"/>
      <c r="G107" s="18">
        <v>0.0</v>
      </c>
      <c r="H107" s="19">
        <v>3.96</v>
      </c>
      <c r="I107" s="18"/>
      <c r="J107" s="18"/>
      <c r="K107" s="18"/>
      <c r="L107" s="18"/>
      <c r="M107" s="18"/>
      <c r="N107" s="18"/>
      <c r="O107" s="15">
        <v>109.78</v>
      </c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6" t="s">
        <v>271</v>
      </c>
      <c r="B108" s="17">
        <v>1043.17</v>
      </c>
      <c r="C108" s="17">
        <v>1224.25</v>
      </c>
      <c r="D108" s="17">
        <v>1209.19</v>
      </c>
      <c r="E108" s="17">
        <v>1059.39</v>
      </c>
      <c r="F108" s="17">
        <v>825.19</v>
      </c>
      <c r="G108" s="17">
        <v>825.59</v>
      </c>
      <c r="H108" s="17">
        <v>647.1</v>
      </c>
      <c r="I108" s="17">
        <v>572.58</v>
      </c>
      <c r="J108" s="17">
        <v>501.44</v>
      </c>
      <c r="K108" s="17">
        <v>485.79</v>
      </c>
      <c r="L108" s="17">
        <v>183.17</v>
      </c>
      <c r="M108" s="17">
        <v>240.46</v>
      </c>
      <c r="N108" s="17">
        <v>414.23</v>
      </c>
      <c r="O108" s="17">
        <v>407.46</v>
      </c>
      <c r="P108" s="17">
        <v>129.32</v>
      </c>
      <c r="Q108" s="17">
        <v>187.45</v>
      </c>
      <c r="R108" s="17">
        <v>266.6</v>
      </c>
      <c r="S108" s="17">
        <v>317.74</v>
      </c>
      <c r="T108" s="17">
        <v>307.47</v>
      </c>
      <c r="U108" s="17">
        <v>226.21</v>
      </c>
      <c r="V108" s="17">
        <v>194.16</v>
      </c>
      <c r="W108" s="17">
        <v>227.13</v>
      </c>
    </row>
    <row r="109" ht="15.0" customHeight="1">
      <c r="A109" s="16" t="s">
        <v>272</v>
      </c>
      <c r="B109" s="17">
        <v>2055.72</v>
      </c>
      <c r="C109" s="17">
        <v>2121.1</v>
      </c>
      <c r="D109" s="17">
        <v>2124.46</v>
      </c>
      <c r="E109" s="17">
        <v>1953.41</v>
      </c>
      <c r="F109" s="17">
        <v>2098.28</v>
      </c>
      <c r="G109" s="17">
        <v>1498.87</v>
      </c>
      <c r="H109" s="17">
        <v>1200.93</v>
      </c>
      <c r="I109" s="17">
        <v>1276.62</v>
      </c>
      <c r="J109" s="17">
        <v>979.64</v>
      </c>
      <c r="K109" s="17">
        <v>1040.67</v>
      </c>
      <c r="L109" s="17">
        <v>526.24</v>
      </c>
      <c r="M109" s="17">
        <v>483.45</v>
      </c>
      <c r="N109" s="17">
        <v>855.01</v>
      </c>
      <c r="O109" s="17">
        <v>963.61</v>
      </c>
      <c r="P109" s="17">
        <v>465.72</v>
      </c>
      <c r="Q109" s="17">
        <v>460.14</v>
      </c>
      <c r="R109" s="17">
        <v>621.29</v>
      </c>
      <c r="S109" s="17">
        <v>749.98</v>
      </c>
      <c r="T109" s="17">
        <v>676.92</v>
      </c>
      <c r="U109" s="17">
        <v>525.38</v>
      </c>
      <c r="V109" s="17">
        <v>326.68</v>
      </c>
      <c r="W109" s="17">
        <v>346.85</v>
      </c>
    </row>
    <row r="110" ht="15.0" customHeight="1">
      <c r="A110" s="14" t="s">
        <v>273</v>
      </c>
      <c r="B110" s="18"/>
      <c r="C110" s="19">
        <v>38.32</v>
      </c>
      <c r="D110" s="19">
        <v>37.53</v>
      </c>
      <c r="E110" s="19">
        <v>34.41</v>
      </c>
      <c r="F110" s="19">
        <v>35.62</v>
      </c>
      <c r="G110" s="19">
        <v>38.17</v>
      </c>
      <c r="H110" s="19">
        <v>33.04</v>
      </c>
      <c r="I110" s="19">
        <v>34.38</v>
      </c>
      <c r="J110" s="19">
        <v>35.26</v>
      </c>
      <c r="K110" s="19">
        <v>33.41</v>
      </c>
      <c r="L110" s="19">
        <v>36.26</v>
      </c>
      <c r="M110" s="19">
        <v>33.21</v>
      </c>
      <c r="N110" s="19">
        <v>32.65</v>
      </c>
      <c r="O110" s="19">
        <v>29.66</v>
      </c>
      <c r="P110" s="19">
        <v>30.06</v>
      </c>
      <c r="Q110" s="19">
        <v>30.06</v>
      </c>
      <c r="R110" s="18"/>
      <c r="S110" s="19">
        <v>30.81</v>
      </c>
      <c r="T110" s="19">
        <v>29.07</v>
      </c>
      <c r="U110" s="19">
        <v>31.47</v>
      </c>
      <c r="V110" s="19">
        <v>30.19</v>
      </c>
      <c r="W110" s="19">
        <v>32.48</v>
      </c>
    </row>
    <row r="111" ht="15.0" customHeight="1">
      <c r="A111" s="14" t="s">
        <v>274</v>
      </c>
      <c r="B111" s="18"/>
      <c r="C111" s="15">
        <v>207.17</v>
      </c>
      <c r="D111" s="15">
        <v>184.96</v>
      </c>
      <c r="E111" s="15">
        <v>107.79</v>
      </c>
      <c r="F111" s="15">
        <v>111.57</v>
      </c>
      <c r="G111" s="15">
        <v>119.58</v>
      </c>
      <c r="H111" s="19">
        <v>43.13</v>
      </c>
      <c r="I111" s="19">
        <v>44.88</v>
      </c>
      <c r="J111" s="19">
        <v>26.01</v>
      </c>
      <c r="K111" s="19">
        <v>24.65</v>
      </c>
      <c r="L111" s="19">
        <v>18.59</v>
      </c>
      <c r="M111" s="19">
        <v>17.02</v>
      </c>
      <c r="N111" s="19">
        <v>19.09</v>
      </c>
      <c r="O111" s="19">
        <v>17.34</v>
      </c>
      <c r="P111" s="19">
        <v>15.83</v>
      </c>
      <c r="Q111" s="19">
        <v>15.83</v>
      </c>
      <c r="R111" s="18"/>
      <c r="S111" s="19">
        <v>16.22</v>
      </c>
      <c r="T111" s="19">
        <v>12.01</v>
      </c>
      <c r="U111" s="19">
        <v>7.6</v>
      </c>
      <c r="V111" s="19">
        <v>6.24</v>
      </c>
      <c r="W111" s="18"/>
    </row>
    <row r="112" ht="15.0" customHeight="1">
      <c r="A112" s="14" t="s">
        <v>275</v>
      </c>
      <c r="B112" s="18"/>
      <c r="C112" s="19">
        <v>62.71</v>
      </c>
      <c r="D112" s="19">
        <v>50.79</v>
      </c>
      <c r="E112" s="19">
        <v>68.86</v>
      </c>
      <c r="F112" s="19">
        <v>30.63</v>
      </c>
      <c r="G112" s="19">
        <v>11.57</v>
      </c>
      <c r="H112" s="19">
        <v>23.42</v>
      </c>
      <c r="I112" s="19">
        <v>17.67</v>
      </c>
      <c r="J112" s="19">
        <v>9.05</v>
      </c>
      <c r="K112" s="19">
        <v>6.02</v>
      </c>
      <c r="L112" s="19">
        <v>3.28</v>
      </c>
      <c r="M112" s="19">
        <v>2.88</v>
      </c>
      <c r="N112" s="20">
        <v>-1.87</v>
      </c>
      <c r="O112" s="20">
        <v>-10.31</v>
      </c>
      <c r="P112" s="20">
        <v>-4.94</v>
      </c>
      <c r="Q112" s="19">
        <v>0.2</v>
      </c>
      <c r="R112" s="18"/>
      <c r="S112" s="19">
        <v>10.1</v>
      </c>
      <c r="T112" s="19">
        <v>0.88</v>
      </c>
      <c r="U112" s="20">
        <v>-0.86</v>
      </c>
      <c r="V112" s="19">
        <v>0.7</v>
      </c>
      <c r="W112" s="18"/>
    </row>
    <row r="113" ht="15.0" customHeight="1">
      <c r="A113" s="14" t="s">
        <v>276</v>
      </c>
      <c r="B113" s="18"/>
      <c r="C113" s="19">
        <v>59.39</v>
      </c>
      <c r="D113" s="19">
        <v>45.23</v>
      </c>
      <c r="E113" s="19">
        <v>53.85</v>
      </c>
      <c r="F113" s="19">
        <v>34.84</v>
      </c>
      <c r="G113" s="19">
        <v>17.72</v>
      </c>
      <c r="H113" s="19">
        <v>32.64</v>
      </c>
      <c r="I113" s="19">
        <v>27.93</v>
      </c>
      <c r="J113" s="19">
        <v>20.11</v>
      </c>
      <c r="K113" s="19">
        <v>18.45</v>
      </c>
      <c r="L113" s="19">
        <v>14.09</v>
      </c>
      <c r="M113" s="19">
        <v>14.85</v>
      </c>
      <c r="N113" s="19">
        <v>0.68</v>
      </c>
      <c r="O113" s="20">
        <v>-2.62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277</v>
      </c>
      <c r="B114" s="18"/>
      <c r="C114" s="19">
        <v>3.32</v>
      </c>
      <c r="D114" s="19">
        <v>5.57</v>
      </c>
      <c r="E114" s="19">
        <v>15.0</v>
      </c>
      <c r="F114" s="20">
        <v>-4.21</v>
      </c>
      <c r="G114" s="20">
        <v>-6.15</v>
      </c>
      <c r="H114" s="20">
        <v>-9.22</v>
      </c>
      <c r="I114" s="20">
        <v>-10.26</v>
      </c>
      <c r="J114" s="20">
        <v>-11.06</v>
      </c>
      <c r="K114" s="20">
        <v>-12.42</v>
      </c>
      <c r="L114" s="20">
        <v>-10.82</v>
      </c>
      <c r="M114" s="20">
        <v>-11.96</v>
      </c>
      <c r="N114" s="20">
        <v>-2.55</v>
      </c>
      <c r="O114" s="20">
        <v>-7.69</v>
      </c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278</v>
      </c>
      <c r="B115" s="18"/>
      <c r="C115" s="15">
        <v>1459.71</v>
      </c>
      <c r="D115" s="15">
        <v>1388.4</v>
      </c>
      <c r="E115" s="15">
        <v>1229.3</v>
      </c>
      <c r="F115" s="15">
        <v>1128.62</v>
      </c>
      <c r="G115" s="15">
        <v>928.1</v>
      </c>
      <c r="H115" s="15">
        <v>650.44</v>
      </c>
      <c r="I115" s="15">
        <v>572.21</v>
      </c>
      <c r="J115" s="15">
        <v>471.34</v>
      </c>
      <c r="K115" s="15">
        <v>326.32</v>
      </c>
      <c r="L115" s="15">
        <v>377.77</v>
      </c>
      <c r="M115" s="15">
        <v>287.64</v>
      </c>
      <c r="N115" s="15">
        <v>559.35</v>
      </c>
      <c r="O115" s="15">
        <v>424.98</v>
      </c>
      <c r="P115" s="15">
        <v>391.95</v>
      </c>
      <c r="Q115" s="15">
        <v>340.91</v>
      </c>
      <c r="R115" s="18"/>
      <c r="S115" s="15">
        <v>311.34</v>
      </c>
      <c r="T115" s="15">
        <v>282.53</v>
      </c>
      <c r="U115" s="15">
        <v>264.2</v>
      </c>
      <c r="V115" s="15">
        <v>196.32</v>
      </c>
      <c r="W115" s="18"/>
    </row>
    <row r="116" ht="15.0" customHeight="1">
      <c r="A116" s="14" t="s">
        <v>279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9">
        <v>1.46</v>
      </c>
    </row>
    <row r="117" ht="15.0" customHeight="1">
      <c r="A117" s="14" t="s">
        <v>280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5">
        <v>181.44</v>
      </c>
    </row>
    <row r="118" ht="15.0" customHeight="1">
      <c r="A118" s="16" t="s">
        <v>281</v>
      </c>
      <c r="B118" s="17">
        <v>2050.25</v>
      </c>
      <c r="C118" s="17">
        <v>1767.91</v>
      </c>
      <c r="D118" s="17">
        <v>1661.68</v>
      </c>
      <c r="E118" s="17">
        <v>1440.36</v>
      </c>
      <c r="F118" s="17">
        <v>1306.45</v>
      </c>
      <c r="G118" s="17">
        <v>1097.42</v>
      </c>
      <c r="H118" s="17">
        <v>750.02</v>
      </c>
      <c r="I118" s="17">
        <v>669.15</v>
      </c>
      <c r="J118" s="17">
        <v>541.66</v>
      </c>
      <c r="K118" s="17">
        <v>390.4</v>
      </c>
      <c r="L118" s="17">
        <v>435.89</v>
      </c>
      <c r="M118" s="17">
        <v>340.75</v>
      </c>
      <c r="N118" s="17">
        <v>609.22</v>
      </c>
      <c r="O118" s="17">
        <v>461.67</v>
      </c>
      <c r="P118" s="17">
        <v>432.91</v>
      </c>
      <c r="Q118" s="17">
        <v>387.01</v>
      </c>
      <c r="R118" s="17">
        <v>315.89</v>
      </c>
      <c r="S118" s="17">
        <v>368.47</v>
      </c>
      <c r="T118" s="17">
        <v>324.5</v>
      </c>
      <c r="U118" s="17">
        <v>302.4</v>
      </c>
      <c r="V118" s="17">
        <v>233.46</v>
      </c>
      <c r="W118" s="17">
        <v>215.38</v>
      </c>
    </row>
    <row r="119" ht="15.0" customHeight="1">
      <c r="A119" s="16" t="s">
        <v>282</v>
      </c>
      <c r="B119" s="17">
        <v>2050.25</v>
      </c>
      <c r="C119" s="17">
        <v>1767.91</v>
      </c>
      <c r="D119" s="17">
        <v>1661.68</v>
      </c>
      <c r="E119" s="17">
        <v>1440.36</v>
      </c>
      <c r="F119" s="17">
        <v>1306.45</v>
      </c>
      <c r="G119" s="17">
        <v>1097.42</v>
      </c>
      <c r="H119" s="17">
        <v>750.02</v>
      </c>
      <c r="I119" s="17">
        <v>669.15</v>
      </c>
      <c r="J119" s="17">
        <v>541.66</v>
      </c>
      <c r="K119" s="17">
        <v>390.4</v>
      </c>
      <c r="L119" s="17">
        <v>435.89</v>
      </c>
      <c r="M119" s="17">
        <v>340.75</v>
      </c>
      <c r="N119" s="17">
        <v>609.22</v>
      </c>
      <c r="O119" s="17">
        <v>461.67</v>
      </c>
      <c r="P119" s="17">
        <v>432.91</v>
      </c>
      <c r="Q119" s="17">
        <v>387.01</v>
      </c>
      <c r="R119" s="17">
        <v>315.89</v>
      </c>
      <c r="S119" s="17">
        <v>368.47</v>
      </c>
      <c r="T119" s="17">
        <v>324.5</v>
      </c>
      <c r="U119" s="17">
        <v>302.4</v>
      </c>
      <c r="V119" s="17">
        <v>233.46</v>
      </c>
      <c r="W119" s="17">
        <v>215.38</v>
      </c>
    </row>
    <row r="120" ht="15.0" customHeight="1">
      <c r="A120" s="16" t="s">
        <v>283</v>
      </c>
      <c r="B120" s="17">
        <v>4105.97</v>
      </c>
      <c r="C120" s="17">
        <v>3889.01</v>
      </c>
      <c r="D120" s="17">
        <v>3786.14</v>
      </c>
      <c r="E120" s="17">
        <v>3393.77</v>
      </c>
      <c r="F120" s="17">
        <v>3404.73</v>
      </c>
      <c r="G120" s="17">
        <v>2596.3</v>
      </c>
      <c r="H120" s="17">
        <v>1950.95</v>
      </c>
      <c r="I120" s="17">
        <v>1945.76</v>
      </c>
      <c r="J120" s="17">
        <v>1521.3</v>
      </c>
      <c r="K120" s="17">
        <v>1431.08</v>
      </c>
      <c r="L120" s="17">
        <v>962.14</v>
      </c>
      <c r="M120" s="17">
        <v>824.2</v>
      </c>
      <c r="N120" s="17">
        <v>1464.23</v>
      </c>
      <c r="O120" s="17">
        <v>1425.28</v>
      </c>
      <c r="P120" s="17">
        <v>898.63</v>
      </c>
      <c r="Q120" s="17">
        <v>847.14</v>
      </c>
      <c r="R120" s="17">
        <v>937.18</v>
      </c>
      <c r="S120" s="17">
        <v>1118.45</v>
      </c>
      <c r="T120" s="17">
        <v>1001.41</v>
      </c>
      <c r="U120" s="17">
        <v>827.78</v>
      </c>
      <c r="V120" s="17">
        <v>560.13</v>
      </c>
      <c r="W120" s="17">
        <v>562.23</v>
      </c>
    </row>
    <row r="121" ht="15.0" customHeight="1">
      <c r="A121" s="14" t="s">
        <v>284</v>
      </c>
      <c r="B121" s="19">
        <v>59.64</v>
      </c>
      <c r="C121" s="19">
        <v>59.64</v>
      </c>
      <c r="D121" s="19">
        <v>59.64</v>
      </c>
      <c r="E121" s="19">
        <v>58.49</v>
      </c>
      <c r="F121" s="19">
        <v>58.49</v>
      </c>
      <c r="G121" s="19">
        <v>58.49</v>
      </c>
      <c r="H121" s="19">
        <v>56.37</v>
      </c>
      <c r="I121" s="19">
        <v>56.37</v>
      </c>
      <c r="J121" s="19">
        <v>56.37</v>
      </c>
      <c r="K121" s="19">
        <v>56.37</v>
      </c>
      <c r="L121" s="19">
        <v>55.43</v>
      </c>
      <c r="M121" s="19">
        <v>55.43</v>
      </c>
      <c r="N121" s="19">
        <v>55.43</v>
      </c>
      <c r="O121" s="19">
        <v>55.43</v>
      </c>
      <c r="P121" s="19">
        <v>39.83</v>
      </c>
      <c r="Q121" s="19">
        <v>39.83</v>
      </c>
      <c r="R121" s="19">
        <v>39.83</v>
      </c>
      <c r="S121" s="19">
        <v>39.83</v>
      </c>
      <c r="T121" s="19">
        <v>39.71</v>
      </c>
      <c r="U121" s="19">
        <v>39.71</v>
      </c>
      <c r="V121" s="19">
        <v>41.29</v>
      </c>
      <c r="W121" s="19">
        <v>41.29</v>
      </c>
    </row>
    <row r="122" ht="15.0" customHeight="1">
      <c r="A122" s="14" t="s">
        <v>285</v>
      </c>
      <c r="B122" s="19">
        <v>0.33</v>
      </c>
      <c r="C122" s="19">
        <v>0.33</v>
      </c>
      <c r="D122" s="19">
        <v>0.51</v>
      </c>
      <c r="E122" s="19">
        <v>0.51</v>
      </c>
      <c r="F122" s="19">
        <v>0.51</v>
      </c>
      <c r="G122" s="19">
        <v>0.51</v>
      </c>
      <c r="H122" s="19">
        <v>0.58</v>
      </c>
      <c r="I122" s="19">
        <v>0.58</v>
      </c>
      <c r="J122" s="19">
        <v>1.12</v>
      </c>
      <c r="K122" s="18">
        <v>0.0</v>
      </c>
      <c r="L122" s="19">
        <v>1.12</v>
      </c>
      <c r="M122" s="19">
        <v>1.12</v>
      </c>
      <c r="N122" s="19">
        <v>1.12</v>
      </c>
      <c r="O122" s="19">
        <v>1.12</v>
      </c>
      <c r="P122" s="19">
        <v>1.12</v>
      </c>
      <c r="Q122" s="19">
        <v>1.12</v>
      </c>
      <c r="R122" s="19">
        <v>1.12</v>
      </c>
      <c r="S122" s="19">
        <v>1.12</v>
      </c>
      <c r="T122" s="19">
        <v>1.36</v>
      </c>
      <c r="U122" s="19">
        <v>1.74</v>
      </c>
      <c r="V122" s="19">
        <v>3.32</v>
      </c>
      <c r="W122" s="19">
        <v>3.32</v>
      </c>
    </row>
    <row r="123" ht="15.0" customHeight="1">
      <c r="A123" s="14" t="s">
        <v>286</v>
      </c>
      <c r="B123" s="19">
        <v>59.31</v>
      </c>
      <c r="C123" s="19">
        <v>59.31</v>
      </c>
      <c r="D123" s="19">
        <v>59.13</v>
      </c>
      <c r="E123" s="19">
        <v>57.99</v>
      </c>
      <c r="F123" s="19">
        <v>57.99</v>
      </c>
      <c r="G123" s="19">
        <v>57.99</v>
      </c>
      <c r="H123" s="19">
        <v>55.79</v>
      </c>
      <c r="I123" s="19">
        <v>55.79</v>
      </c>
      <c r="J123" s="19">
        <v>55.25</v>
      </c>
      <c r="K123" s="19">
        <v>56.37</v>
      </c>
      <c r="L123" s="19">
        <v>54.31</v>
      </c>
      <c r="M123" s="19">
        <v>54.31</v>
      </c>
      <c r="N123" s="19">
        <v>54.31</v>
      </c>
      <c r="O123" s="19">
        <v>54.31</v>
      </c>
      <c r="P123" s="19">
        <v>54.31</v>
      </c>
      <c r="Q123" s="19">
        <v>54.31</v>
      </c>
      <c r="R123" s="19">
        <v>54.31</v>
      </c>
      <c r="S123" s="19">
        <v>54.31</v>
      </c>
      <c r="T123" s="19">
        <v>53.95</v>
      </c>
      <c r="U123" s="19">
        <v>53.57</v>
      </c>
      <c r="V123" s="19">
        <v>53.57</v>
      </c>
      <c r="W123" s="19">
        <v>53.57</v>
      </c>
    </row>
    <row r="124" ht="15.0" customHeight="1">
      <c r="A124" s="14" t="s">
        <v>287</v>
      </c>
      <c r="B124" s="18"/>
      <c r="C124" s="18"/>
      <c r="D124" s="18"/>
      <c r="E124" s="15">
        <v>114.92</v>
      </c>
      <c r="F124" s="15">
        <v>138.75</v>
      </c>
      <c r="G124" s="15">
        <v>102.59</v>
      </c>
      <c r="H124" s="15">
        <v>112.14</v>
      </c>
      <c r="I124" s="19">
        <v>49.03</v>
      </c>
      <c r="J124" s="19">
        <v>47.59</v>
      </c>
      <c r="K124" s="19">
        <v>54.9</v>
      </c>
      <c r="L124" s="19">
        <v>72.23</v>
      </c>
      <c r="M124" s="19">
        <v>58.48</v>
      </c>
      <c r="N124" s="18"/>
      <c r="O124" s="19">
        <v>60.88</v>
      </c>
      <c r="P124" s="19">
        <v>49.87</v>
      </c>
      <c r="Q124" s="19">
        <v>41.48</v>
      </c>
      <c r="R124" s="18"/>
      <c r="S124" s="19">
        <v>54.38</v>
      </c>
      <c r="T124" s="19">
        <v>44.15</v>
      </c>
      <c r="U124" s="19">
        <v>44.63</v>
      </c>
      <c r="V124" s="19">
        <v>44.83</v>
      </c>
      <c r="W124" s="19">
        <v>49.27</v>
      </c>
    </row>
    <row r="125" ht="15.0" customHeight="1">
      <c r="A125" s="14" t="s">
        <v>288</v>
      </c>
      <c r="B125" s="18"/>
      <c r="C125" s="19">
        <v>53.82</v>
      </c>
      <c r="D125" s="19">
        <v>42.35</v>
      </c>
      <c r="E125" s="19">
        <v>31.37</v>
      </c>
      <c r="F125" s="19">
        <v>34.84</v>
      </c>
      <c r="G125" s="19">
        <v>27.89</v>
      </c>
      <c r="H125" s="19">
        <v>30.76</v>
      </c>
      <c r="I125" s="19">
        <v>17.8</v>
      </c>
      <c r="J125" s="19">
        <v>14.43</v>
      </c>
      <c r="K125" s="19">
        <v>11.01</v>
      </c>
      <c r="L125" s="19">
        <v>13.28</v>
      </c>
      <c r="M125" s="19">
        <v>11.63</v>
      </c>
      <c r="N125" s="18"/>
      <c r="O125" s="19">
        <v>12.26</v>
      </c>
      <c r="P125" s="19">
        <v>11.26</v>
      </c>
      <c r="Q125" s="19">
        <v>8.21</v>
      </c>
      <c r="R125" s="18"/>
      <c r="S125" s="19">
        <v>12.43</v>
      </c>
      <c r="T125" s="19">
        <v>12.0</v>
      </c>
      <c r="U125" s="19">
        <v>12.8</v>
      </c>
      <c r="V125" s="19">
        <v>13.67</v>
      </c>
      <c r="W125" s="19">
        <v>12.33</v>
      </c>
    </row>
    <row r="126" ht="15.0" customHeight="1">
      <c r="A126" s="14" t="s">
        <v>289</v>
      </c>
      <c r="B126" s="18"/>
      <c r="C126" s="19">
        <v>86.33</v>
      </c>
      <c r="D126" s="19">
        <v>81.0</v>
      </c>
      <c r="E126" s="19">
        <v>80.97</v>
      </c>
      <c r="F126" s="19">
        <v>95.21</v>
      </c>
      <c r="G126" s="19">
        <v>56.33</v>
      </c>
      <c r="H126" s="19">
        <v>55.48</v>
      </c>
      <c r="I126" s="19">
        <v>31.14</v>
      </c>
      <c r="J126" s="19">
        <v>33.17</v>
      </c>
      <c r="K126" s="19">
        <v>39.42</v>
      </c>
      <c r="L126" s="19">
        <v>47.79</v>
      </c>
      <c r="M126" s="19">
        <v>35.98</v>
      </c>
      <c r="N126" s="18"/>
      <c r="O126" s="19">
        <v>36.54</v>
      </c>
      <c r="P126" s="19">
        <v>30.44</v>
      </c>
      <c r="Q126" s="19">
        <v>28.49</v>
      </c>
      <c r="R126" s="18"/>
      <c r="S126" s="19">
        <v>32.93</v>
      </c>
      <c r="T126" s="19">
        <v>25.27</v>
      </c>
      <c r="U126" s="19">
        <v>25.98</v>
      </c>
      <c r="V126" s="19">
        <v>27.83</v>
      </c>
      <c r="W126" s="19">
        <v>32.6</v>
      </c>
    </row>
    <row r="127" ht="15.0" customHeight="1">
      <c r="A127" s="14" t="s">
        <v>290</v>
      </c>
      <c r="B127" s="18"/>
      <c r="C127" s="19">
        <v>26.8</v>
      </c>
      <c r="D127" s="19">
        <v>0.03</v>
      </c>
      <c r="E127" s="19">
        <v>2.59</v>
      </c>
      <c r="F127" s="19">
        <v>8.7</v>
      </c>
      <c r="G127" s="19">
        <v>18.37</v>
      </c>
      <c r="H127" s="19">
        <v>25.9</v>
      </c>
      <c r="I127" s="19">
        <v>0.08</v>
      </c>
      <c r="J127" s="18">
        <v>0.0</v>
      </c>
      <c r="K127" s="19">
        <v>4.48</v>
      </c>
      <c r="L127" s="19">
        <v>11.16</v>
      </c>
      <c r="M127" s="19">
        <v>10.87</v>
      </c>
      <c r="N127" s="18"/>
      <c r="O127" s="19">
        <v>12.09</v>
      </c>
      <c r="P127" s="19">
        <v>8.17</v>
      </c>
      <c r="Q127" s="19">
        <v>4.78</v>
      </c>
      <c r="R127" s="18"/>
      <c r="S127" s="19">
        <v>9.03</v>
      </c>
      <c r="T127" s="19">
        <v>6.87</v>
      </c>
      <c r="U127" s="19">
        <v>5.85</v>
      </c>
      <c r="V127" s="19">
        <v>3.34</v>
      </c>
      <c r="W127" s="19">
        <v>4.34</v>
      </c>
    </row>
    <row r="128" ht="15.0" customHeight="1">
      <c r="A128" s="14" t="s">
        <v>291</v>
      </c>
      <c r="B128" s="15">
        <v>189.17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292</v>
      </c>
      <c r="B129" s="15">
        <v>800.42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293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5">
        <v>186.54</v>
      </c>
      <c r="Q130" s="15">
        <v>189.08</v>
      </c>
      <c r="R130" s="18"/>
      <c r="S130" s="18"/>
      <c r="T130" s="18"/>
      <c r="U130" s="18"/>
      <c r="V130" s="18"/>
      <c r="W130" s="18"/>
    </row>
    <row r="131" ht="15.0" customHeight="1">
      <c r="A131" s="14" t="s">
        <v>294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9">
        <v>8.02</v>
      </c>
      <c r="T131" s="19">
        <v>6.68</v>
      </c>
      <c r="U131" s="19">
        <v>7.88</v>
      </c>
      <c r="V131" s="18"/>
      <c r="W131" s="18"/>
    </row>
    <row r="132" ht="15.0" customHeight="1">
      <c r="A132" s="14" t="s">
        <v>295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>
        <v>44.11</v>
      </c>
      <c r="T132" s="19">
        <v>35.22</v>
      </c>
      <c r="U132" s="19">
        <v>31.63</v>
      </c>
      <c r="V132" s="18"/>
      <c r="W132" s="18"/>
    </row>
    <row r="133" ht="15.0" customHeight="1">
      <c r="A133" s="14" t="s">
        <v>296</v>
      </c>
      <c r="B133" s="18"/>
      <c r="C133" s="18"/>
      <c r="D133" s="18"/>
      <c r="E133" s="15">
        <v>1044.96</v>
      </c>
      <c r="F133" s="15">
        <v>1087.42</v>
      </c>
      <c r="G133" s="15">
        <v>776.27</v>
      </c>
      <c r="H133" s="15">
        <v>714.56</v>
      </c>
      <c r="I133" s="15">
        <v>766.05</v>
      </c>
      <c r="J133" s="15">
        <v>535.44</v>
      </c>
      <c r="K133" s="15">
        <v>654.13</v>
      </c>
      <c r="L133" s="15">
        <v>271.07</v>
      </c>
      <c r="M133" s="15">
        <v>305.29</v>
      </c>
      <c r="N133" s="18"/>
      <c r="O133" s="15">
        <v>335.7</v>
      </c>
      <c r="P133" s="19">
        <v>92.81</v>
      </c>
      <c r="Q133" s="15">
        <v>153.14</v>
      </c>
      <c r="R133" s="18"/>
      <c r="S133" s="15">
        <v>273.63</v>
      </c>
      <c r="T133" s="15">
        <v>271.74</v>
      </c>
      <c r="U133" s="15">
        <v>198.48</v>
      </c>
      <c r="V133" s="15">
        <v>170.13</v>
      </c>
      <c r="W133" s="15">
        <v>203.79</v>
      </c>
    </row>
    <row r="134" ht="15.0" customHeight="1">
      <c r="A134" s="14" t="s">
        <v>297</v>
      </c>
      <c r="B134" s="18"/>
      <c r="C134" s="19">
        <v>4.06</v>
      </c>
      <c r="D134" s="19">
        <v>1.8</v>
      </c>
      <c r="E134" s="19">
        <v>97.74</v>
      </c>
      <c r="F134" s="15">
        <v>368.59</v>
      </c>
      <c r="G134" s="19">
        <v>44.31</v>
      </c>
      <c r="H134" s="15">
        <v>164.31</v>
      </c>
      <c r="I134" s="15">
        <v>286.12</v>
      </c>
      <c r="J134" s="15">
        <v>107.79</v>
      </c>
      <c r="K134" s="15">
        <v>226.32</v>
      </c>
      <c r="L134" s="15">
        <v>120.29</v>
      </c>
      <c r="M134" s="19">
        <v>99.56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298</v>
      </c>
      <c r="B135" s="18"/>
      <c r="C135" s="15">
        <v>944.62</v>
      </c>
      <c r="D135" s="15">
        <v>955.24</v>
      </c>
      <c r="E135" s="15">
        <v>898.66</v>
      </c>
      <c r="F135" s="15">
        <v>607.95</v>
      </c>
      <c r="G135" s="15">
        <v>624.78</v>
      </c>
      <c r="H135" s="18"/>
      <c r="I135" s="15">
        <v>251.21</v>
      </c>
      <c r="J135" s="15">
        <v>203.43</v>
      </c>
      <c r="K135" s="15">
        <v>145.5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299</v>
      </c>
      <c r="B136" s="18"/>
      <c r="C136" s="19">
        <v>27.94</v>
      </c>
      <c r="D136" s="19">
        <v>20.1</v>
      </c>
      <c r="E136" s="19">
        <v>29.64</v>
      </c>
      <c r="F136" s="19">
        <v>67.55</v>
      </c>
      <c r="G136" s="19">
        <v>46.72</v>
      </c>
      <c r="H136" s="18"/>
      <c r="I136" s="15">
        <v>181.7</v>
      </c>
      <c r="J136" s="15">
        <v>179.57</v>
      </c>
      <c r="K136" s="15">
        <v>245.88</v>
      </c>
      <c r="L136" s="15">
        <v>137.66</v>
      </c>
      <c r="M136" s="15">
        <v>192.51</v>
      </c>
      <c r="N136" s="18"/>
      <c r="O136" s="15">
        <v>323.61</v>
      </c>
      <c r="P136" s="19">
        <v>84.64</v>
      </c>
      <c r="Q136" s="15">
        <v>146.36</v>
      </c>
      <c r="R136" s="18"/>
      <c r="S136" s="15">
        <v>250.93</v>
      </c>
      <c r="T136" s="15">
        <v>244.56</v>
      </c>
      <c r="U136" s="15">
        <v>182.66</v>
      </c>
      <c r="V136" s="15">
        <v>155.72</v>
      </c>
      <c r="W136" s="15">
        <v>186.54</v>
      </c>
    </row>
    <row r="137" ht="15.0" customHeight="1">
      <c r="A137" s="14" t="s">
        <v>300</v>
      </c>
      <c r="B137" s="18"/>
      <c r="C137" s="19">
        <v>16.56</v>
      </c>
      <c r="D137" s="19">
        <v>18.01</v>
      </c>
      <c r="E137" s="19">
        <v>18.92</v>
      </c>
      <c r="F137" s="19">
        <v>43.33</v>
      </c>
      <c r="G137" s="19">
        <v>60.46</v>
      </c>
      <c r="H137" s="15">
        <v>550.25</v>
      </c>
      <c r="I137" s="19">
        <v>47.02</v>
      </c>
      <c r="J137" s="19">
        <v>44.66</v>
      </c>
      <c r="K137" s="19">
        <v>36.42</v>
      </c>
      <c r="L137" s="19">
        <v>13.13</v>
      </c>
      <c r="M137" s="19">
        <v>13.23</v>
      </c>
      <c r="N137" s="18"/>
      <c r="O137" s="19">
        <v>12.09</v>
      </c>
      <c r="P137" s="19">
        <v>8.17</v>
      </c>
      <c r="Q137" s="19">
        <v>6.78</v>
      </c>
      <c r="R137" s="18"/>
      <c r="S137" s="19">
        <v>22.7</v>
      </c>
      <c r="T137" s="19">
        <v>27.18</v>
      </c>
      <c r="U137" s="19">
        <v>15.82</v>
      </c>
      <c r="V137" s="19">
        <v>14.4</v>
      </c>
      <c r="W137" s="19">
        <v>17.25</v>
      </c>
    </row>
    <row r="138" ht="15.0" customHeight="1">
      <c r="A138" s="14" t="s">
        <v>301</v>
      </c>
      <c r="B138" s="19">
        <v>0.25</v>
      </c>
      <c r="C138" s="19">
        <v>0.25</v>
      </c>
      <c r="D138" s="19">
        <v>0.25</v>
      </c>
      <c r="E138" s="19">
        <v>0.25</v>
      </c>
      <c r="F138" s="19">
        <v>0.25</v>
      </c>
      <c r="G138" s="19">
        <v>0.25</v>
      </c>
      <c r="H138" s="19">
        <v>0.26</v>
      </c>
      <c r="I138" s="19">
        <v>0.26</v>
      </c>
      <c r="J138" s="19">
        <v>0.26</v>
      </c>
      <c r="K138" s="19">
        <v>0.26</v>
      </c>
      <c r="L138" s="19">
        <v>0.29</v>
      </c>
      <c r="M138" s="19">
        <v>0.29</v>
      </c>
      <c r="N138" s="19">
        <v>0.29</v>
      </c>
      <c r="O138" s="19">
        <v>0.29</v>
      </c>
      <c r="P138" s="19">
        <v>0.29</v>
      </c>
      <c r="Q138" s="19">
        <v>0.29</v>
      </c>
      <c r="R138" s="19">
        <v>0.29</v>
      </c>
      <c r="S138" s="19">
        <v>0.29</v>
      </c>
      <c r="T138" s="19">
        <v>0.29</v>
      </c>
      <c r="U138" s="19">
        <v>0.29</v>
      </c>
      <c r="V138" s="19">
        <v>0.29</v>
      </c>
      <c r="W138" s="19">
        <v>0.29</v>
      </c>
    </row>
    <row r="139" ht="15.0" customHeight="1">
      <c r="A139" s="14" t="s">
        <v>302</v>
      </c>
      <c r="B139" s="19">
        <v>14.58</v>
      </c>
      <c r="C139" s="19">
        <v>14.58</v>
      </c>
      <c r="D139" s="19">
        <v>14.58</v>
      </c>
      <c r="E139" s="19">
        <v>14.58</v>
      </c>
      <c r="F139" s="19">
        <v>7.29</v>
      </c>
      <c r="G139" s="19">
        <v>7.29</v>
      </c>
      <c r="H139" s="19">
        <v>7.29</v>
      </c>
      <c r="I139" s="19">
        <v>3.64</v>
      </c>
      <c r="J139" s="19">
        <v>3.64</v>
      </c>
      <c r="K139" s="19">
        <v>1.82</v>
      </c>
      <c r="L139" s="19">
        <v>1.95</v>
      </c>
      <c r="M139" s="19">
        <v>1.95</v>
      </c>
      <c r="N139" s="19">
        <v>1.95</v>
      </c>
      <c r="O139" s="19">
        <v>1.95</v>
      </c>
      <c r="P139" s="19">
        <v>1.95</v>
      </c>
      <c r="Q139" s="19">
        <v>1.95</v>
      </c>
      <c r="R139" s="19">
        <v>1.95</v>
      </c>
      <c r="S139" s="19">
        <v>1.95</v>
      </c>
      <c r="T139" s="19">
        <v>1.95</v>
      </c>
      <c r="U139" s="19">
        <v>1.95</v>
      </c>
      <c r="V139" s="19">
        <v>1.95</v>
      </c>
      <c r="W139" s="19">
        <v>1.95</v>
      </c>
    </row>
    <row r="140" ht="15.0" customHeight="1">
      <c r="A140" s="14" t="s">
        <v>303</v>
      </c>
      <c r="B140" s="19">
        <v>14.58</v>
      </c>
      <c r="C140" s="19">
        <v>14.58</v>
      </c>
      <c r="D140" s="19">
        <v>14.58</v>
      </c>
      <c r="E140" s="19">
        <v>14.58</v>
      </c>
      <c r="F140" s="19">
        <v>7.29</v>
      </c>
      <c r="G140" s="19">
        <v>7.29</v>
      </c>
      <c r="H140" s="19">
        <v>7.29</v>
      </c>
      <c r="I140" s="19">
        <v>3.64</v>
      </c>
      <c r="J140" s="19">
        <v>3.64</v>
      </c>
      <c r="K140" s="19">
        <v>1.82</v>
      </c>
      <c r="L140" s="19">
        <v>1.95</v>
      </c>
      <c r="M140" s="19">
        <v>1.95</v>
      </c>
      <c r="N140" s="19">
        <v>1.95</v>
      </c>
      <c r="O140" s="19">
        <v>1.95</v>
      </c>
      <c r="P140" s="19">
        <v>1.95</v>
      </c>
      <c r="Q140" s="19">
        <v>1.95</v>
      </c>
      <c r="R140" s="19">
        <v>1.95</v>
      </c>
      <c r="S140" s="19">
        <v>1.95</v>
      </c>
      <c r="T140" s="19">
        <v>1.95</v>
      </c>
      <c r="U140" s="19">
        <v>1.95</v>
      </c>
      <c r="V140" s="19">
        <v>1.95</v>
      </c>
      <c r="W140" s="19">
        <v>1.95</v>
      </c>
    </row>
    <row r="141" ht="15.0" customHeight="1">
      <c r="A141" s="14" t="s">
        <v>301</v>
      </c>
      <c r="B141" s="19">
        <v>0.75</v>
      </c>
      <c r="C141" s="19">
        <v>0.75</v>
      </c>
      <c r="D141" s="19">
        <v>0.75</v>
      </c>
      <c r="E141" s="19">
        <v>0.75</v>
      </c>
      <c r="F141" s="19">
        <v>0.75</v>
      </c>
      <c r="G141" s="19">
        <v>0.75</v>
      </c>
      <c r="H141" s="19">
        <v>0.74</v>
      </c>
      <c r="I141" s="19">
        <v>0.74</v>
      </c>
      <c r="J141" s="19">
        <v>0.74</v>
      </c>
      <c r="K141" s="19">
        <v>0.74</v>
      </c>
      <c r="L141" s="19">
        <v>0.71</v>
      </c>
      <c r="M141" s="19">
        <v>0.71</v>
      </c>
      <c r="N141" s="19">
        <v>0.71</v>
      </c>
      <c r="O141" s="19">
        <v>0.71</v>
      </c>
      <c r="P141" s="19">
        <v>0.71</v>
      </c>
      <c r="Q141" s="19">
        <v>0.71</v>
      </c>
      <c r="R141" s="19">
        <v>0.71</v>
      </c>
      <c r="S141" s="19">
        <v>0.71</v>
      </c>
      <c r="T141" s="19">
        <v>0.71</v>
      </c>
      <c r="U141" s="19">
        <v>0.71</v>
      </c>
      <c r="V141" s="19">
        <v>0.71</v>
      </c>
      <c r="W141" s="19">
        <v>0.71</v>
      </c>
    </row>
    <row r="142" ht="15.0" customHeight="1">
      <c r="A142" s="14" t="s">
        <v>304</v>
      </c>
      <c r="B142" s="19">
        <v>45.06</v>
      </c>
      <c r="C142" s="19">
        <v>45.06</v>
      </c>
      <c r="D142" s="19">
        <v>45.06</v>
      </c>
      <c r="E142" s="19">
        <v>43.92</v>
      </c>
      <c r="F142" s="19">
        <v>43.92</v>
      </c>
      <c r="G142" s="19">
        <v>43.92</v>
      </c>
      <c r="H142" s="19">
        <v>41.8</v>
      </c>
      <c r="I142" s="19">
        <v>41.8</v>
      </c>
      <c r="J142" s="19">
        <v>41.8</v>
      </c>
      <c r="K142" s="19">
        <v>41.8</v>
      </c>
      <c r="L142" s="19">
        <v>39.83</v>
      </c>
      <c r="M142" s="19">
        <v>39.83</v>
      </c>
      <c r="N142" s="19">
        <v>39.83</v>
      </c>
      <c r="O142" s="19">
        <v>39.83</v>
      </c>
      <c r="P142" s="19">
        <v>39.83</v>
      </c>
      <c r="Q142" s="19">
        <v>39.83</v>
      </c>
      <c r="R142" s="19">
        <v>39.83</v>
      </c>
      <c r="S142" s="19">
        <v>39.83</v>
      </c>
      <c r="T142" s="19">
        <v>39.71</v>
      </c>
      <c r="U142" s="19">
        <v>39.71</v>
      </c>
      <c r="V142" s="19">
        <v>41.29</v>
      </c>
      <c r="W142" s="19">
        <v>41.29</v>
      </c>
    </row>
    <row r="143" ht="15.0" customHeight="1">
      <c r="A143" s="14" t="s">
        <v>305</v>
      </c>
      <c r="B143" s="19">
        <v>44.73</v>
      </c>
      <c r="C143" s="19">
        <v>44.73</v>
      </c>
      <c r="D143" s="19">
        <v>44.55</v>
      </c>
      <c r="E143" s="19">
        <v>43.41</v>
      </c>
      <c r="F143" s="19">
        <v>43.41</v>
      </c>
      <c r="G143" s="19">
        <v>43.41</v>
      </c>
      <c r="H143" s="19">
        <v>41.21</v>
      </c>
      <c r="I143" s="19">
        <v>41.21</v>
      </c>
      <c r="J143" s="19">
        <v>40.68</v>
      </c>
      <c r="K143" s="19">
        <v>41.8</v>
      </c>
      <c r="L143" s="19">
        <v>38.71</v>
      </c>
      <c r="M143" s="19">
        <v>38.71</v>
      </c>
      <c r="N143" s="19">
        <v>38.71</v>
      </c>
      <c r="O143" s="19">
        <v>38.71</v>
      </c>
      <c r="P143" s="19">
        <v>38.71</v>
      </c>
      <c r="Q143" s="19">
        <v>38.71</v>
      </c>
      <c r="R143" s="19">
        <v>38.71</v>
      </c>
      <c r="S143" s="19">
        <v>38.71</v>
      </c>
      <c r="T143" s="19">
        <v>38.35</v>
      </c>
      <c r="U143" s="19">
        <v>37.97</v>
      </c>
      <c r="V143" s="19">
        <v>37.97</v>
      </c>
      <c r="W143" s="19">
        <v>37.97</v>
      </c>
    </row>
    <row r="144" ht="15.0" customHeight="1">
      <c r="A144" s="14" t="s">
        <v>306</v>
      </c>
      <c r="B144" s="19">
        <v>0.33</v>
      </c>
      <c r="C144" s="19">
        <v>0.33</v>
      </c>
      <c r="D144" s="19">
        <v>0.51</v>
      </c>
      <c r="E144" s="19">
        <v>0.51</v>
      </c>
      <c r="F144" s="19">
        <v>0.51</v>
      </c>
      <c r="G144" s="19">
        <v>0.51</v>
      </c>
      <c r="H144" s="19">
        <v>0.58</v>
      </c>
      <c r="I144" s="19">
        <v>0.58</v>
      </c>
      <c r="J144" s="19">
        <v>1.12</v>
      </c>
      <c r="K144" s="18">
        <v>0.0</v>
      </c>
      <c r="L144" s="19">
        <v>1.12</v>
      </c>
      <c r="M144" s="19">
        <v>1.12</v>
      </c>
      <c r="N144" s="19">
        <v>1.12</v>
      </c>
      <c r="O144" s="19">
        <v>1.12</v>
      </c>
      <c r="P144" s="19">
        <v>1.12</v>
      </c>
      <c r="Q144" s="19">
        <v>1.12</v>
      </c>
      <c r="R144" s="19">
        <v>1.12</v>
      </c>
      <c r="S144" s="19">
        <v>1.12</v>
      </c>
      <c r="T144" s="19">
        <v>1.36</v>
      </c>
      <c r="U144" s="19">
        <v>1.74</v>
      </c>
      <c r="V144" s="19">
        <v>3.32</v>
      </c>
      <c r="W144" s="19">
        <v>3.32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46094.6939994907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39629.0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310</v>
      </c>
      <c r="B20" s="19">
        <v>34.95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0">
        <v>-0.44</v>
      </c>
      <c r="T20" s="20">
        <v>-4.33</v>
      </c>
      <c r="U20" s="20">
        <v>-22.49</v>
      </c>
      <c r="V20" s="19">
        <v>1.82</v>
      </c>
      <c r="W20" s="19">
        <v>4.88</v>
      </c>
    </row>
    <row r="21" ht="15.0" customHeight="1">
      <c r="A21" s="14" t="s">
        <v>311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>
        <v>0.0</v>
      </c>
      <c r="Q21" s="20">
        <v>-1.21</v>
      </c>
      <c r="R21" s="18">
        <v>0.0</v>
      </c>
      <c r="S21" s="18"/>
      <c r="T21" s="18"/>
      <c r="U21" s="18"/>
      <c r="V21" s="18"/>
      <c r="W21" s="18"/>
    </row>
    <row r="22" ht="15.0" customHeight="1">
      <c r="A22" s="14" t="s">
        <v>312</v>
      </c>
      <c r="B22" s="18"/>
      <c r="C22" s="15">
        <v>200.64</v>
      </c>
      <c r="D22" s="15">
        <v>318.54</v>
      </c>
      <c r="E22" s="15">
        <v>318.99</v>
      </c>
      <c r="F22" s="15">
        <v>473.28</v>
      </c>
      <c r="G22" s="15">
        <v>325.51</v>
      </c>
      <c r="H22" s="15">
        <v>214.52</v>
      </c>
      <c r="I22" s="15">
        <v>246.76</v>
      </c>
      <c r="J22" s="15">
        <v>226.79</v>
      </c>
      <c r="K22" s="15">
        <v>108.8</v>
      </c>
      <c r="L22" s="15">
        <v>118.54</v>
      </c>
      <c r="M22" s="15">
        <v>101.62</v>
      </c>
      <c r="N22" s="15">
        <v>156.47</v>
      </c>
      <c r="O22" s="19">
        <v>95.32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313</v>
      </c>
      <c r="B23" s="15">
        <v>337.87</v>
      </c>
      <c r="C23" s="15">
        <v>185.99</v>
      </c>
      <c r="D23" s="15">
        <v>299.66</v>
      </c>
      <c r="E23" s="15">
        <v>324.22</v>
      </c>
      <c r="F23" s="15">
        <v>453.93</v>
      </c>
      <c r="G23" s="15">
        <v>280.05</v>
      </c>
      <c r="H23" s="15">
        <v>213.52</v>
      </c>
      <c r="I23" s="15">
        <v>221.22</v>
      </c>
      <c r="J23" s="15">
        <v>213.38</v>
      </c>
      <c r="K23" s="19">
        <v>93.83</v>
      </c>
      <c r="L23" s="15">
        <v>103.71</v>
      </c>
      <c r="M23" s="19">
        <v>88.25</v>
      </c>
      <c r="N23" s="15">
        <v>157.45</v>
      </c>
      <c r="O23" s="19">
        <v>80.58</v>
      </c>
      <c r="P23" s="15">
        <v>101.0</v>
      </c>
      <c r="Q23" s="19">
        <v>88.9</v>
      </c>
      <c r="R23" s="19">
        <v>5.7</v>
      </c>
      <c r="S23" s="19">
        <v>80.17</v>
      </c>
      <c r="T23" s="15">
        <v>109.21</v>
      </c>
      <c r="U23" s="19">
        <v>90.07</v>
      </c>
      <c r="V23" s="19">
        <v>46.83</v>
      </c>
      <c r="W23" s="19">
        <v>26.52</v>
      </c>
    </row>
    <row r="24" ht="15.0" customHeight="1">
      <c r="A24" s="14" t="s">
        <v>314</v>
      </c>
      <c r="B24" s="18"/>
      <c r="C24" s="15">
        <v>172.14</v>
      </c>
      <c r="D24" s="15">
        <v>138.94</v>
      </c>
      <c r="E24" s="15">
        <v>119.8</v>
      </c>
      <c r="F24" s="15">
        <v>103.84</v>
      </c>
      <c r="G24" s="19">
        <v>88.12</v>
      </c>
      <c r="H24" s="19">
        <v>78.04</v>
      </c>
      <c r="I24" s="19">
        <v>60.2</v>
      </c>
      <c r="J24" s="19">
        <v>50.57</v>
      </c>
      <c r="K24" s="19">
        <v>46.06</v>
      </c>
      <c r="L24" s="19">
        <v>46.13</v>
      </c>
      <c r="M24" s="19">
        <v>48.23</v>
      </c>
      <c r="N24" s="19">
        <v>61.85</v>
      </c>
      <c r="O24" s="19">
        <v>48.29</v>
      </c>
      <c r="P24" s="19">
        <v>43.38</v>
      </c>
      <c r="Q24" s="19">
        <v>53.05</v>
      </c>
      <c r="R24" s="19">
        <v>58.14</v>
      </c>
      <c r="S24" s="19">
        <v>59.08</v>
      </c>
      <c r="T24" s="18"/>
      <c r="U24" s="19">
        <v>38.34</v>
      </c>
      <c r="V24" s="19">
        <v>34.25</v>
      </c>
      <c r="W24" s="19">
        <v>39.63</v>
      </c>
    </row>
    <row r="25" ht="15.0" customHeight="1">
      <c r="A25" s="14" t="s">
        <v>315</v>
      </c>
      <c r="B25" s="18"/>
      <c r="C25" s="20">
        <v>-68.53</v>
      </c>
      <c r="D25" s="20">
        <v>-0.24</v>
      </c>
      <c r="E25" s="19">
        <v>1.67</v>
      </c>
      <c r="F25" s="20">
        <v>-1.03</v>
      </c>
      <c r="G25" s="20">
        <v>-0.08</v>
      </c>
      <c r="H25" s="20">
        <v>-0.23</v>
      </c>
      <c r="I25" s="20">
        <v>-0.82</v>
      </c>
      <c r="J25" s="19">
        <v>0.1</v>
      </c>
      <c r="K25" s="20">
        <v>-0.19</v>
      </c>
      <c r="L25" s="20">
        <v>-10.79</v>
      </c>
      <c r="M25" s="20">
        <v>-0.54</v>
      </c>
      <c r="N25" s="20">
        <v>-15.79</v>
      </c>
      <c r="O25" s="19">
        <v>3.12</v>
      </c>
      <c r="P25" s="20">
        <v>-1.22</v>
      </c>
      <c r="Q25" s="20">
        <v>-10.16</v>
      </c>
      <c r="R25" s="20">
        <v>-0.68</v>
      </c>
      <c r="S25" s="18"/>
      <c r="T25" s="18"/>
      <c r="U25" s="18"/>
      <c r="V25" s="18"/>
      <c r="W25" s="18"/>
    </row>
    <row r="26" ht="15.0" customHeight="1">
      <c r="A26" s="14" t="s">
        <v>316</v>
      </c>
      <c r="B26" s="18"/>
      <c r="C26" s="18"/>
      <c r="D26" s="18"/>
      <c r="E26" s="18"/>
      <c r="F26" s="18"/>
      <c r="G26" s="18"/>
      <c r="H26" s="18"/>
      <c r="I26" s="18"/>
      <c r="J26" s="18"/>
      <c r="K26" s="18">
        <v>0.0</v>
      </c>
      <c r="L26" s="20">
        <v>-3.05</v>
      </c>
      <c r="M26" s="18">
        <v>0.0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317</v>
      </c>
      <c r="B27" s="18"/>
      <c r="C27" s="18"/>
      <c r="D27" s="18"/>
      <c r="E27" s="18"/>
      <c r="F27" s="18"/>
      <c r="G27" s="18"/>
      <c r="H27" s="18"/>
      <c r="I27" s="19">
        <v>3.86</v>
      </c>
      <c r="J27" s="19">
        <v>0.82</v>
      </c>
      <c r="K27" s="19">
        <v>2.07</v>
      </c>
      <c r="L27" s="19">
        <v>1.35</v>
      </c>
      <c r="M27" s="19">
        <v>1.8</v>
      </c>
      <c r="N27" s="19">
        <v>1.48</v>
      </c>
      <c r="O27" s="20">
        <v>-0.77</v>
      </c>
      <c r="P27" s="19">
        <v>2.81</v>
      </c>
      <c r="Q27" s="19">
        <v>2.92</v>
      </c>
      <c r="R27" s="19">
        <v>6.71</v>
      </c>
      <c r="S27" s="18"/>
      <c r="T27" s="18"/>
      <c r="U27" s="18"/>
      <c r="V27" s="18"/>
      <c r="W27" s="18"/>
    </row>
    <row r="28" ht="15.0" customHeight="1">
      <c r="A28" s="14" t="s">
        <v>318</v>
      </c>
      <c r="B28" s="18"/>
      <c r="C28" s="20">
        <v>-7.03</v>
      </c>
      <c r="D28" s="19">
        <v>4.58</v>
      </c>
      <c r="E28" s="19">
        <v>1.21</v>
      </c>
      <c r="F28" s="19">
        <v>6.58</v>
      </c>
      <c r="G28" s="19">
        <v>6.5</v>
      </c>
      <c r="H28" s="20">
        <v>-0.24</v>
      </c>
      <c r="I28" s="19">
        <v>2.54</v>
      </c>
      <c r="J28" s="19">
        <v>0.96</v>
      </c>
      <c r="K28" s="19">
        <v>1.17</v>
      </c>
      <c r="L28" s="20">
        <v>-0.22</v>
      </c>
      <c r="M28" s="18">
        <v>0.0</v>
      </c>
      <c r="N28" s="20">
        <v>-0.07</v>
      </c>
      <c r="O28" s="19">
        <v>1.1</v>
      </c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319</v>
      </c>
      <c r="B29" s="18"/>
      <c r="C29" s="20">
        <v>-79.32</v>
      </c>
      <c r="D29" s="20">
        <v>-66.66</v>
      </c>
      <c r="E29" s="20">
        <v>-27.84</v>
      </c>
      <c r="F29" s="20">
        <v>-17.89</v>
      </c>
      <c r="G29" s="20">
        <v>-15.13</v>
      </c>
      <c r="H29" s="20">
        <v>-16.48</v>
      </c>
      <c r="I29" s="20">
        <v>-14.9</v>
      </c>
      <c r="J29" s="20">
        <v>-16.15</v>
      </c>
      <c r="K29" s="20">
        <v>-8.92</v>
      </c>
      <c r="L29" s="20">
        <v>-10.52</v>
      </c>
      <c r="M29" s="20">
        <v>-13.09</v>
      </c>
      <c r="N29" s="20">
        <v>-20.79</v>
      </c>
      <c r="O29" s="20">
        <v>-9.87</v>
      </c>
      <c r="P29" s="20">
        <v>-9.37</v>
      </c>
      <c r="Q29" s="20">
        <v>-13.31</v>
      </c>
      <c r="R29" s="20">
        <v>-17.75</v>
      </c>
      <c r="S29" s="20">
        <v>-25.73</v>
      </c>
      <c r="T29" s="18"/>
      <c r="U29" s="18"/>
      <c r="V29" s="18"/>
      <c r="W29" s="18"/>
    </row>
    <row r="30" ht="15.0" customHeight="1">
      <c r="A30" s="14" t="s">
        <v>320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0">
        <v>-10.62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321</v>
      </c>
      <c r="B31" s="18"/>
      <c r="C31" s="19">
        <v>10.72</v>
      </c>
      <c r="D31" s="19">
        <v>11.57</v>
      </c>
      <c r="E31" s="19">
        <v>1.75</v>
      </c>
      <c r="F31" s="19">
        <v>0.58</v>
      </c>
      <c r="G31" s="18"/>
      <c r="H31" s="18"/>
      <c r="I31" s="18"/>
      <c r="J31" s="18"/>
      <c r="K31" s="18"/>
      <c r="L31" s="18"/>
      <c r="M31" s="18"/>
      <c r="N31" s="18"/>
      <c r="O31" s="19">
        <v>0.75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322</v>
      </c>
      <c r="B32" s="18"/>
      <c r="C32" s="20">
        <v>-51.9</v>
      </c>
      <c r="D32" s="20">
        <v>-70.94</v>
      </c>
      <c r="E32" s="22">
        <v>-106.17</v>
      </c>
      <c r="F32" s="20">
        <v>-73.87</v>
      </c>
      <c r="G32" s="20">
        <v>-38.08</v>
      </c>
      <c r="H32" s="20">
        <v>-58.03</v>
      </c>
      <c r="I32" s="20">
        <v>-25.33</v>
      </c>
      <c r="J32" s="20">
        <v>-22.89</v>
      </c>
      <c r="K32" s="20">
        <v>-25.23</v>
      </c>
      <c r="L32" s="20">
        <v>-8.07</v>
      </c>
      <c r="M32" s="20">
        <v>-23.04</v>
      </c>
      <c r="N32" s="20">
        <v>-27.66</v>
      </c>
      <c r="O32" s="20">
        <v>-27.12</v>
      </c>
      <c r="P32" s="20">
        <v>-16.15</v>
      </c>
      <c r="Q32" s="20">
        <v>-8.12</v>
      </c>
      <c r="R32" s="19">
        <v>4.74</v>
      </c>
      <c r="S32" s="20">
        <v>-33.95</v>
      </c>
      <c r="T32" s="18"/>
      <c r="U32" s="20">
        <v>-13.46</v>
      </c>
      <c r="V32" s="20">
        <v>-12.72</v>
      </c>
      <c r="W32" s="20">
        <v>-12.41</v>
      </c>
    </row>
    <row r="33" ht="15.0" customHeight="1">
      <c r="A33" s="14" t="s">
        <v>323</v>
      </c>
      <c r="B33" s="18"/>
      <c r="C33" s="18"/>
      <c r="D33" s="19">
        <v>1.62</v>
      </c>
      <c r="E33" s="19">
        <v>4.35</v>
      </c>
      <c r="F33" s="19">
        <v>1.14</v>
      </c>
      <c r="G33" s="19">
        <v>4.12</v>
      </c>
      <c r="H33" s="20">
        <v>-2.06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324</v>
      </c>
      <c r="B34" s="15">
        <v>103.8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0">
        <v>-45.07</v>
      </c>
      <c r="U34" s="18"/>
      <c r="V34" s="18"/>
      <c r="W34" s="18"/>
    </row>
    <row r="35" ht="15.0" customHeight="1">
      <c r="A35" s="14" t="s">
        <v>325</v>
      </c>
      <c r="B35" s="18"/>
      <c r="C35" s="19">
        <v>17.94</v>
      </c>
      <c r="D35" s="19">
        <v>64.03</v>
      </c>
      <c r="E35" s="20">
        <v>-76.44</v>
      </c>
      <c r="F35" s="22">
        <v>-107.95</v>
      </c>
      <c r="G35" s="19">
        <v>2.2</v>
      </c>
      <c r="H35" s="20">
        <v>-16.75</v>
      </c>
      <c r="I35" s="20">
        <v>-18.87</v>
      </c>
      <c r="J35" s="20">
        <v>-29.92</v>
      </c>
      <c r="K35" s="20">
        <v>-7.07</v>
      </c>
      <c r="L35" s="20">
        <v>-23.0</v>
      </c>
      <c r="M35" s="19">
        <v>7.35</v>
      </c>
      <c r="N35" s="19">
        <v>3.93</v>
      </c>
      <c r="O35" s="20">
        <v>-12.26</v>
      </c>
      <c r="P35" s="20">
        <v>-1.75</v>
      </c>
      <c r="Q35" s="20">
        <v>-28.91</v>
      </c>
      <c r="R35" s="19">
        <v>44.38</v>
      </c>
      <c r="S35" s="19">
        <v>2.06</v>
      </c>
      <c r="T35" s="18"/>
      <c r="U35" s="20">
        <v>-18.57</v>
      </c>
      <c r="V35" s="20">
        <v>-5.24</v>
      </c>
      <c r="W35" s="20">
        <v>-9.58</v>
      </c>
    </row>
    <row r="36" ht="15.0" customHeight="1">
      <c r="A36" s="14" t="s">
        <v>326</v>
      </c>
      <c r="B36" s="18"/>
      <c r="C36" s="15">
        <v>122.78</v>
      </c>
      <c r="D36" s="15">
        <v>149.24</v>
      </c>
      <c r="E36" s="20">
        <v>-55.08</v>
      </c>
      <c r="F36" s="22">
        <v>-244.48</v>
      </c>
      <c r="G36" s="20">
        <v>-68.85</v>
      </c>
      <c r="H36" s="15">
        <v>101.98</v>
      </c>
      <c r="I36" s="20">
        <v>-69.54</v>
      </c>
      <c r="J36" s="22">
        <v>-105.22</v>
      </c>
      <c r="K36" s="19">
        <v>29.26</v>
      </c>
      <c r="L36" s="20">
        <v>-0.19</v>
      </c>
      <c r="M36" s="20">
        <v>-38.37</v>
      </c>
      <c r="N36" s="19">
        <v>14.81</v>
      </c>
      <c r="O36" s="19">
        <v>11.05</v>
      </c>
      <c r="P36" s="20">
        <v>-1.8</v>
      </c>
      <c r="Q36" s="20">
        <v>-37.11</v>
      </c>
      <c r="R36" s="20">
        <v>-9.46</v>
      </c>
      <c r="S36" s="19">
        <v>38.94</v>
      </c>
      <c r="T36" s="18"/>
      <c r="U36" s="19">
        <v>28.58</v>
      </c>
      <c r="V36" s="19">
        <v>1.99</v>
      </c>
      <c r="W36" s="20">
        <v>-34.46</v>
      </c>
    </row>
    <row r="37" ht="15.0" customHeight="1">
      <c r="A37" s="14" t="s">
        <v>327</v>
      </c>
      <c r="B37" s="18"/>
      <c r="C37" s="22">
        <v>-165.59</v>
      </c>
      <c r="D37" s="20">
        <v>-19.79</v>
      </c>
      <c r="E37" s="20">
        <v>-63.04</v>
      </c>
      <c r="F37" s="15">
        <v>233.42</v>
      </c>
      <c r="G37" s="15">
        <v>154.71</v>
      </c>
      <c r="H37" s="20">
        <v>-9.18</v>
      </c>
      <c r="I37" s="20">
        <v>-19.32</v>
      </c>
      <c r="J37" s="19">
        <v>28.7</v>
      </c>
      <c r="K37" s="20">
        <v>-6.68</v>
      </c>
      <c r="L37" s="19">
        <v>56.16</v>
      </c>
      <c r="M37" s="19">
        <v>14.36</v>
      </c>
      <c r="N37" s="20">
        <v>-30.13</v>
      </c>
      <c r="O37" s="20">
        <v>-31.53</v>
      </c>
      <c r="P37" s="19">
        <v>25.48</v>
      </c>
      <c r="Q37" s="19">
        <v>59.4</v>
      </c>
      <c r="R37" s="19">
        <v>10.79</v>
      </c>
      <c r="S37" s="20">
        <v>-54.03</v>
      </c>
      <c r="T37" s="18"/>
      <c r="U37" s="20">
        <v>-5.68</v>
      </c>
      <c r="V37" s="20">
        <v>-5.05</v>
      </c>
      <c r="W37" s="19">
        <v>51.2</v>
      </c>
    </row>
    <row r="38" ht="15.0" customHeight="1">
      <c r="A38" s="14" t="s">
        <v>328</v>
      </c>
      <c r="B38" s="18"/>
      <c r="C38" s="20">
        <v>-0.63</v>
      </c>
      <c r="D38" s="19">
        <v>4.73</v>
      </c>
      <c r="E38" s="20">
        <v>-2.4</v>
      </c>
      <c r="F38" s="20">
        <v>-0.32</v>
      </c>
      <c r="G38" s="20">
        <v>-2.04</v>
      </c>
      <c r="H38" s="20">
        <v>-4.26</v>
      </c>
      <c r="I38" s="19">
        <v>1.11</v>
      </c>
      <c r="J38" s="20">
        <v>-6.49</v>
      </c>
      <c r="K38" s="19">
        <v>1.24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329</v>
      </c>
      <c r="B39" s="18"/>
      <c r="C39" s="19">
        <v>38.57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6" t="s">
        <v>330</v>
      </c>
      <c r="B40" s="17">
        <v>476.62</v>
      </c>
      <c r="C40" s="17">
        <v>175.13</v>
      </c>
      <c r="D40" s="17">
        <v>516.74</v>
      </c>
      <c r="E40" s="17">
        <v>122.03</v>
      </c>
      <c r="F40" s="17">
        <v>353.95</v>
      </c>
      <c r="G40" s="17">
        <v>411.53</v>
      </c>
      <c r="H40" s="17">
        <v>286.3</v>
      </c>
      <c r="I40" s="17">
        <v>140.15</v>
      </c>
      <c r="J40" s="17">
        <v>113.87</v>
      </c>
      <c r="K40" s="17">
        <v>125.55</v>
      </c>
      <c r="L40" s="17">
        <v>151.51</v>
      </c>
      <c r="M40" s="21">
        <v>84.96</v>
      </c>
      <c r="N40" s="17">
        <v>145.09</v>
      </c>
      <c r="O40" s="21">
        <v>62.58</v>
      </c>
      <c r="P40" s="17">
        <v>142.4</v>
      </c>
      <c r="Q40" s="17">
        <v>105.44</v>
      </c>
      <c r="R40" s="17">
        <v>102.58</v>
      </c>
      <c r="S40" s="21">
        <v>66.1</v>
      </c>
      <c r="T40" s="21">
        <v>59.81</v>
      </c>
      <c r="U40" s="21">
        <v>96.77</v>
      </c>
      <c r="V40" s="21">
        <v>61.89</v>
      </c>
      <c r="W40" s="21">
        <v>65.77</v>
      </c>
    </row>
    <row r="41" ht="15.0" customHeight="1">
      <c r="A41" s="14" t="s">
        <v>331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22">
        <v>-188.08</v>
      </c>
      <c r="U41" s="18"/>
      <c r="V41" s="18"/>
      <c r="W41" s="18"/>
    </row>
    <row r="42" ht="15.0" customHeight="1">
      <c r="A42" s="14" t="s">
        <v>332</v>
      </c>
      <c r="B42" s="18"/>
      <c r="C42" s="20">
        <v>-20.82</v>
      </c>
      <c r="D42" s="20">
        <v>-6.04</v>
      </c>
      <c r="E42" s="20">
        <v>-3.74</v>
      </c>
      <c r="F42" s="20">
        <v>-1.94</v>
      </c>
      <c r="G42" s="20">
        <v>-4.47</v>
      </c>
      <c r="H42" s="20">
        <v>-10.76</v>
      </c>
      <c r="I42" s="20">
        <v>-6.48</v>
      </c>
      <c r="J42" s="20">
        <v>-3.26</v>
      </c>
      <c r="K42" s="20">
        <v>-1.54</v>
      </c>
      <c r="L42" s="20">
        <v>-0.26</v>
      </c>
      <c r="M42" s="20">
        <v>-0.23</v>
      </c>
      <c r="N42" s="20">
        <v>-3.33</v>
      </c>
      <c r="O42" s="20">
        <v>-2.84</v>
      </c>
      <c r="P42" s="20">
        <v>-0.98</v>
      </c>
      <c r="Q42" s="18">
        <v>0.0</v>
      </c>
      <c r="R42" s="20">
        <v>-0.35</v>
      </c>
      <c r="S42" s="20">
        <v>-2.34</v>
      </c>
      <c r="T42" s="18"/>
      <c r="U42" s="20">
        <v>-0.54</v>
      </c>
      <c r="V42" s="18">
        <v>0.0</v>
      </c>
      <c r="W42" s="18"/>
    </row>
    <row r="43" ht="15.0" customHeight="1">
      <c r="A43" s="14" t="s">
        <v>333</v>
      </c>
      <c r="B43" s="18"/>
      <c r="C43" s="20">
        <v>-80.41</v>
      </c>
      <c r="D43" s="20">
        <v>-88.71</v>
      </c>
      <c r="E43" s="22">
        <v>-131.21</v>
      </c>
      <c r="F43" s="20">
        <v>-87.7</v>
      </c>
      <c r="G43" s="20">
        <v>-73.86</v>
      </c>
      <c r="H43" s="20">
        <v>-82.83</v>
      </c>
      <c r="I43" s="20">
        <v>-71.05</v>
      </c>
      <c r="J43" s="20">
        <v>-42.17</v>
      </c>
      <c r="K43" s="20">
        <v>-45.02</v>
      </c>
      <c r="L43" s="20">
        <v>-19.65</v>
      </c>
      <c r="M43" s="20">
        <v>-42.93</v>
      </c>
      <c r="N43" s="20">
        <v>-42.76</v>
      </c>
      <c r="O43" s="20">
        <v>-26.31</v>
      </c>
      <c r="P43" s="20">
        <v>-22.47</v>
      </c>
      <c r="Q43" s="20">
        <v>-22.43</v>
      </c>
      <c r="R43" s="20">
        <v>-17.32</v>
      </c>
      <c r="S43" s="20">
        <v>-50.42</v>
      </c>
      <c r="T43" s="18"/>
      <c r="U43" s="20">
        <v>-93.42</v>
      </c>
      <c r="V43" s="20">
        <v>-27.13</v>
      </c>
      <c r="W43" s="20">
        <v>-33.58</v>
      </c>
    </row>
    <row r="44" ht="15.0" customHeight="1">
      <c r="A44" s="14" t="s">
        <v>334</v>
      </c>
      <c r="B44" s="18"/>
      <c r="C44" s="19">
        <v>2.25</v>
      </c>
      <c r="D44" s="19">
        <v>0.19</v>
      </c>
      <c r="E44" s="19">
        <v>0.87</v>
      </c>
      <c r="F44" s="19">
        <v>1.13</v>
      </c>
      <c r="G44" s="19">
        <v>0.72</v>
      </c>
      <c r="H44" s="19">
        <v>0.39</v>
      </c>
      <c r="I44" s="19">
        <v>1.48</v>
      </c>
      <c r="J44" s="19">
        <v>0.28</v>
      </c>
      <c r="K44" s="19">
        <v>1.14</v>
      </c>
      <c r="L44" s="19">
        <v>1.81</v>
      </c>
      <c r="M44" s="19">
        <v>1.61</v>
      </c>
      <c r="N44" s="19">
        <v>66.03</v>
      </c>
      <c r="O44" s="19">
        <v>2.49</v>
      </c>
      <c r="P44" s="19">
        <v>1.77</v>
      </c>
      <c r="Q44" s="19">
        <v>0.62</v>
      </c>
      <c r="R44" s="19">
        <v>2.74</v>
      </c>
      <c r="S44" s="19">
        <v>1.83</v>
      </c>
      <c r="T44" s="18"/>
      <c r="U44" s="19">
        <v>1.18</v>
      </c>
      <c r="V44" s="19">
        <v>5.04</v>
      </c>
      <c r="W44" s="18"/>
    </row>
    <row r="45" ht="15.0" customHeight="1">
      <c r="A45" s="14" t="s">
        <v>335</v>
      </c>
      <c r="B45" s="18"/>
      <c r="C45" s="20">
        <v>-98.08</v>
      </c>
      <c r="D45" s="22">
        <v>-212.26</v>
      </c>
      <c r="E45" s="18">
        <v>0.0</v>
      </c>
      <c r="F45" s="18">
        <v>0.0</v>
      </c>
      <c r="G45" s="20">
        <v>-0.36</v>
      </c>
      <c r="H45" s="18">
        <v>0.0</v>
      </c>
      <c r="I45" s="20">
        <v>-0.06</v>
      </c>
      <c r="J45" s="18">
        <v>0.0</v>
      </c>
      <c r="K45" s="20">
        <v>-0.02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335</v>
      </c>
      <c r="B46" s="18"/>
      <c r="C46" s="18"/>
      <c r="D46" s="18"/>
      <c r="E46" s="18"/>
      <c r="F46" s="22">
        <v>-468.35</v>
      </c>
      <c r="G46" s="20">
        <v>-68.98</v>
      </c>
      <c r="H46" s="20">
        <v>-7.6</v>
      </c>
      <c r="I46" s="22">
        <v>-151.71</v>
      </c>
      <c r="J46" s="18"/>
      <c r="K46" s="22">
        <v>-267.38</v>
      </c>
      <c r="L46" s="20">
        <v>-49.89</v>
      </c>
      <c r="M46" s="20">
        <v>-36.39</v>
      </c>
      <c r="N46" s="19">
        <v>0.27</v>
      </c>
      <c r="O46" s="22">
        <v>-355.33</v>
      </c>
      <c r="P46" s="20">
        <v>-12.91</v>
      </c>
      <c r="Q46" s="20">
        <v>-2.7</v>
      </c>
      <c r="R46" s="18">
        <v>0.0</v>
      </c>
      <c r="S46" s="20">
        <v>-32.94</v>
      </c>
      <c r="T46" s="18"/>
      <c r="U46" s="22">
        <v>-152.74</v>
      </c>
      <c r="V46" s="20">
        <v>-32.27</v>
      </c>
      <c r="W46" s="18"/>
    </row>
    <row r="47" ht="15.0" customHeight="1">
      <c r="A47" s="14" t="s">
        <v>336</v>
      </c>
      <c r="B47" s="19">
        <v>43.43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337</v>
      </c>
      <c r="B48" s="18"/>
      <c r="C48" s="19">
        <v>72.82</v>
      </c>
      <c r="D48" s="18"/>
      <c r="E48" s="18"/>
      <c r="F48" s="18"/>
      <c r="G48" s="18"/>
      <c r="H48" s="18"/>
      <c r="I48" s="18"/>
      <c r="J48" s="19">
        <v>3.71</v>
      </c>
      <c r="K48" s="18">
        <v>0.0</v>
      </c>
      <c r="L48" s="19">
        <v>11.96</v>
      </c>
      <c r="M48" s="18">
        <v>0.0</v>
      </c>
      <c r="N48" s="19">
        <v>2.76</v>
      </c>
      <c r="O48" s="19">
        <v>11.48</v>
      </c>
      <c r="P48" s="20">
        <v>-1.32</v>
      </c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338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20">
        <v>-1.04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339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9">
        <v>50.01</v>
      </c>
      <c r="R50" s="18">
        <v>0.0</v>
      </c>
      <c r="S50" s="19">
        <v>5.09</v>
      </c>
      <c r="T50" s="18"/>
      <c r="U50" s="19">
        <v>26.08</v>
      </c>
      <c r="V50" s="19">
        <v>17.43</v>
      </c>
      <c r="W50" s="18"/>
    </row>
    <row r="51" ht="15.0" customHeight="1">
      <c r="A51" s="14" t="s">
        <v>340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6">
        <v>0.0</v>
      </c>
      <c r="T51" s="18"/>
      <c r="U51" s="18"/>
      <c r="V51" s="18"/>
      <c r="W51" s="18"/>
    </row>
    <row r="52" ht="15.0" customHeight="1">
      <c r="A52" s="14" t="s">
        <v>341</v>
      </c>
      <c r="B52" s="18"/>
      <c r="C52" s="20">
        <v>-11.91</v>
      </c>
      <c r="D52" s="20">
        <v>-4.98</v>
      </c>
      <c r="E52" s="19">
        <v>1.05</v>
      </c>
      <c r="F52" s="20">
        <v>-2.96</v>
      </c>
      <c r="G52" s="20">
        <v>-0.06</v>
      </c>
      <c r="H52" s="20">
        <v>-0.09</v>
      </c>
      <c r="I52" s="19">
        <v>0.35</v>
      </c>
      <c r="J52" s="19">
        <v>0.62</v>
      </c>
      <c r="K52" s="20">
        <v>-0.36</v>
      </c>
      <c r="L52" s="18">
        <v>0.0</v>
      </c>
      <c r="M52" s="19">
        <v>1.51</v>
      </c>
      <c r="N52" s="18">
        <v>0.0</v>
      </c>
      <c r="O52" s="19">
        <v>0.04</v>
      </c>
      <c r="P52" s="18"/>
      <c r="Q52" s="18"/>
      <c r="R52" s="18"/>
      <c r="S52" s="19">
        <v>0.11</v>
      </c>
      <c r="T52" s="18"/>
      <c r="U52" s="18"/>
      <c r="V52" s="18"/>
      <c r="W52" s="18"/>
    </row>
    <row r="53" ht="15.0" customHeight="1">
      <c r="A53" s="14" t="s">
        <v>318</v>
      </c>
      <c r="B53" s="20">
        <v>-73.08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9">
        <v>0.16</v>
      </c>
      <c r="V53" s="19">
        <v>0.48</v>
      </c>
      <c r="W53" s="20">
        <v>-0.32</v>
      </c>
    </row>
    <row r="54" ht="15.0" customHeight="1">
      <c r="A54" s="14" t="s">
        <v>342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9">
        <v>0.1</v>
      </c>
    </row>
    <row r="55" ht="15.0" customHeight="1">
      <c r="A55" s="14" t="s">
        <v>343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20">
        <v>-13.61</v>
      </c>
    </row>
    <row r="56" ht="15.0" customHeight="1">
      <c r="A56" s="16" t="s">
        <v>344</v>
      </c>
      <c r="B56" s="23">
        <v>-29.66</v>
      </c>
      <c r="C56" s="27">
        <v>-136.15</v>
      </c>
      <c r="D56" s="27">
        <v>-311.8</v>
      </c>
      <c r="E56" s="27">
        <v>-133.03</v>
      </c>
      <c r="F56" s="27">
        <v>-559.83</v>
      </c>
      <c r="G56" s="27">
        <v>-147.01</v>
      </c>
      <c r="H56" s="27">
        <v>-100.88</v>
      </c>
      <c r="I56" s="27">
        <v>-227.47</v>
      </c>
      <c r="J56" s="23">
        <v>-40.82</v>
      </c>
      <c r="K56" s="27">
        <v>-313.18</v>
      </c>
      <c r="L56" s="23">
        <v>-56.03</v>
      </c>
      <c r="M56" s="23">
        <v>-77.47</v>
      </c>
      <c r="N56" s="21">
        <v>22.97</v>
      </c>
      <c r="O56" s="27">
        <v>-370.45</v>
      </c>
      <c r="P56" s="23">
        <v>-35.92</v>
      </c>
      <c r="Q56" s="21">
        <v>25.49</v>
      </c>
      <c r="R56" s="23">
        <v>-14.93</v>
      </c>
      <c r="S56" s="23">
        <v>-78.67</v>
      </c>
      <c r="T56" s="27">
        <v>-188.08</v>
      </c>
      <c r="U56" s="27">
        <v>-219.3</v>
      </c>
      <c r="V56" s="23">
        <v>-36.46</v>
      </c>
      <c r="W56" s="23">
        <v>-47.41</v>
      </c>
    </row>
    <row r="57" ht="15.0" customHeight="1">
      <c r="A57" s="14" t="s">
        <v>345</v>
      </c>
      <c r="B57" s="18">
        <v>0.0</v>
      </c>
      <c r="C57" s="20">
        <v>-60.32</v>
      </c>
      <c r="D57" s="22">
        <v>-101.85</v>
      </c>
      <c r="E57" s="20">
        <v>-96.41</v>
      </c>
      <c r="F57" s="20">
        <v>-72.64</v>
      </c>
      <c r="G57" s="18">
        <v>0.0</v>
      </c>
      <c r="H57" s="20">
        <v>-51.92</v>
      </c>
      <c r="I57" s="20">
        <v>-52.24</v>
      </c>
      <c r="J57" s="20">
        <v>-30.1</v>
      </c>
      <c r="K57" s="20">
        <v>-30.0</v>
      </c>
      <c r="L57" s="20">
        <v>-16.23</v>
      </c>
      <c r="M57" s="20">
        <v>-24.95</v>
      </c>
      <c r="N57" s="20">
        <v>-21.44</v>
      </c>
      <c r="O57" s="20">
        <v>-20.42</v>
      </c>
      <c r="P57" s="20">
        <v>-20.52</v>
      </c>
      <c r="Q57" s="20">
        <v>-8.55</v>
      </c>
      <c r="R57" s="20">
        <v>-8.38</v>
      </c>
      <c r="S57" s="20">
        <v>-20.19</v>
      </c>
      <c r="T57" s="18"/>
      <c r="U57" s="20">
        <v>-20.39</v>
      </c>
      <c r="V57" s="20">
        <v>-7.23</v>
      </c>
      <c r="W57" s="20">
        <v>-12.29</v>
      </c>
    </row>
    <row r="58" ht="15.0" customHeight="1">
      <c r="A58" s="14" t="s">
        <v>346</v>
      </c>
      <c r="B58" s="22">
        <v>-277.5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5">
        <v>130.88</v>
      </c>
      <c r="U58" s="18"/>
      <c r="V58" s="18"/>
      <c r="W58" s="18"/>
    </row>
    <row r="59" ht="15.0" customHeight="1">
      <c r="A59" s="14" t="s">
        <v>347</v>
      </c>
      <c r="B59" s="18"/>
      <c r="C59" s="18"/>
      <c r="D59" s="18"/>
      <c r="E59" s="18"/>
      <c r="F59" s="18"/>
      <c r="G59" s="18"/>
      <c r="H59" s="18"/>
      <c r="I59" s="18"/>
      <c r="J59" s="18">
        <v>0.0</v>
      </c>
      <c r="K59" s="20">
        <v>-79.97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348</v>
      </c>
      <c r="B60" s="18"/>
      <c r="C60" s="18"/>
      <c r="D60" s="18"/>
      <c r="E60" s="18"/>
      <c r="F60" s="18">
        <v>0.0</v>
      </c>
      <c r="G60" s="19">
        <v>5.12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349</v>
      </c>
      <c r="B61" s="18"/>
      <c r="C61" s="19">
        <v>67.02</v>
      </c>
      <c r="D61" s="15">
        <v>240.24</v>
      </c>
      <c r="E61" s="15">
        <v>906.06</v>
      </c>
      <c r="F61" s="15">
        <v>338.47</v>
      </c>
      <c r="G61" s="15">
        <v>163.34</v>
      </c>
      <c r="H61" s="15">
        <v>288.26</v>
      </c>
      <c r="I61" s="15">
        <v>127.74</v>
      </c>
      <c r="J61" s="15">
        <v>175.26</v>
      </c>
      <c r="K61" s="15">
        <v>360.12</v>
      </c>
      <c r="L61" s="18">
        <v>0.0</v>
      </c>
      <c r="M61" s="19">
        <v>4.47</v>
      </c>
      <c r="N61" s="18">
        <v>0.0</v>
      </c>
      <c r="O61" s="15">
        <v>163.29</v>
      </c>
      <c r="P61" s="19">
        <v>1.84</v>
      </c>
      <c r="Q61" s="19">
        <v>1.18</v>
      </c>
      <c r="R61" s="18">
        <v>0.0</v>
      </c>
      <c r="S61" s="18"/>
      <c r="T61" s="18"/>
      <c r="U61" s="18"/>
      <c r="V61" s="18"/>
      <c r="W61" s="18"/>
    </row>
    <row r="62" ht="15.0" customHeight="1">
      <c r="A62" s="14" t="s">
        <v>350</v>
      </c>
      <c r="B62" s="18"/>
      <c r="C62" s="20">
        <v>-49.71</v>
      </c>
      <c r="D62" s="20">
        <v>-39.56</v>
      </c>
      <c r="E62" s="20">
        <v>-32.61</v>
      </c>
      <c r="F62" s="20">
        <v>-23.26</v>
      </c>
      <c r="G62" s="20">
        <v>-61.1</v>
      </c>
      <c r="H62" s="22">
        <v>-297.67</v>
      </c>
      <c r="I62" s="22">
        <v>-113.94</v>
      </c>
      <c r="J62" s="22">
        <v>-204.1</v>
      </c>
      <c r="K62" s="20">
        <v>-27.79</v>
      </c>
      <c r="L62" s="20">
        <v>-14.81</v>
      </c>
      <c r="M62" s="20">
        <v>-27.74</v>
      </c>
      <c r="N62" s="20">
        <v>-53.05</v>
      </c>
      <c r="O62" s="20">
        <v>-22.65</v>
      </c>
      <c r="P62" s="20">
        <v>-32.98</v>
      </c>
      <c r="Q62" s="20">
        <v>-66.49</v>
      </c>
      <c r="R62" s="20">
        <v>-33.22</v>
      </c>
      <c r="S62" s="20">
        <v>-38.08</v>
      </c>
      <c r="T62" s="18"/>
      <c r="U62" s="20">
        <v>-12.8</v>
      </c>
      <c r="V62" s="20">
        <v>-14.67</v>
      </c>
      <c r="W62" s="20">
        <v>-52.26</v>
      </c>
    </row>
    <row r="63" ht="15.0" customHeight="1">
      <c r="A63" s="14" t="s">
        <v>351</v>
      </c>
      <c r="B63" s="18"/>
      <c r="C63" s="22">
        <v>-130.21</v>
      </c>
      <c r="D63" s="22">
        <v>-169.36</v>
      </c>
      <c r="E63" s="22">
        <v>-938.46</v>
      </c>
      <c r="F63" s="20">
        <v>-62.17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352</v>
      </c>
      <c r="B64" s="18"/>
      <c r="C64" s="19">
        <v>33.99</v>
      </c>
      <c r="D64" s="19">
        <v>0.98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353</v>
      </c>
      <c r="B65" s="18"/>
      <c r="C65" s="18"/>
      <c r="D65" s="18"/>
      <c r="E65" s="18"/>
      <c r="F65" s="18"/>
      <c r="G65" s="18"/>
      <c r="H65" s="18"/>
      <c r="I65" s="18"/>
      <c r="J65" s="18"/>
      <c r="K65" s="18">
        <v>0.0</v>
      </c>
      <c r="L65" s="20">
        <v>-0.68</v>
      </c>
      <c r="M65" s="20">
        <v>-1.64</v>
      </c>
      <c r="N65" s="20">
        <v>-2.28</v>
      </c>
      <c r="O65" s="20">
        <v>-1.46</v>
      </c>
      <c r="P65" s="20">
        <v>-0.08</v>
      </c>
      <c r="Q65" s="20">
        <v>-1.55</v>
      </c>
      <c r="R65" s="20">
        <v>-0.11</v>
      </c>
      <c r="S65" s="18"/>
      <c r="T65" s="18"/>
      <c r="U65" s="18"/>
      <c r="V65" s="18"/>
      <c r="W65" s="18"/>
    </row>
    <row r="66" ht="15.0" customHeight="1">
      <c r="A66" s="14" t="s">
        <v>354</v>
      </c>
      <c r="B66" s="18"/>
      <c r="C66" s="18"/>
      <c r="D66" s="18"/>
      <c r="E66" s="18"/>
      <c r="F66" s="18"/>
      <c r="G66" s="18"/>
      <c r="H66" s="18"/>
      <c r="I66" s="19">
        <v>21.13</v>
      </c>
      <c r="J66" s="19">
        <v>54.43</v>
      </c>
      <c r="K66" s="15">
        <v>106.01</v>
      </c>
      <c r="L66" s="18">
        <v>0.0</v>
      </c>
      <c r="M66" s="19">
        <v>5.62</v>
      </c>
      <c r="N66" s="19">
        <v>1.7</v>
      </c>
      <c r="O66" s="19">
        <v>35.39</v>
      </c>
      <c r="P66" s="19">
        <v>2.94</v>
      </c>
      <c r="Q66" s="19">
        <v>0.13</v>
      </c>
      <c r="R66" s="18"/>
      <c r="S66" s="18"/>
      <c r="T66" s="18"/>
      <c r="U66" s="18"/>
      <c r="V66" s="18"/>
      <c r="W66" s="18"/>
    </row>
    <row r="67" ht="15.0" customHeight="1">
      <c r="A67" s="14" t="s">
        <v>355</v>
      </c>
      <c r="B67" s="18"/>
      <c r="C67" s="18"/>
      <c r="D67" s="18"/>
      <c r="E67" s="18"/>
      <c r="F67" s="18"/>
      <c r="G67" s="18"/>
      <c r="H67" s="18"/>
      <c r="I67" s="20">
        <v>-30.3</v>
      </c>
      <c r="J67" s="22">
        <v>-152.19</v>
      </c>
      <c r="K67" s="20">
        <v>-52.24</v>
      </c>
      <c r="L67" s="20">
        <v>-3.08</v>
      </c>
      <c r="M67" s="20">
        <v>-0.44</v>
      </c>
      <c r="N67" s="20">
        <v>-28.96</v>
      </c>
      <c r="O67" s="20">
        <v>-26.56</v>
      </c>
      <c r="P67" s="20">
        <v>-1.76</v>
      </c>
      <c r="Q67" s="20">
        <v>-3.63</v>
      </c>
      <c r="R67" s="18"/>
      <c r="S67" s="18"/>
      <c r="T67" s="18"/>
      <c r="U67" s="18"/>
      <c r="V67" s="18"/>
      <c r="W67" s="18"/>
    </row>
    <row r="68" ht="15.0" customHeight="1">
      <c r="A68" s="14" t="s">
        <v>352</v>
      </c>
      <c r="B68" s="18"/>
      <c r="C68" s="18"/>
      <c r="D68" s="18"/>
      <c r="E68" s="18"/>
      <c r="F68" s="18">
        <v>0.0</v>
      </c>
      <c r="G68" s="20">
        <v>-63.81</v>
      </c>
      <c r="H68" s="22">
        <v>-118.28</v>
      </c>
      <c r="I68" s="15">
        <v>150.13</v>
      </c>
      <c r="J68" s="20">
        <v>-26.88</v>
      </c>
      <c r="K68" s="19">
        <v>33.09</v>
      </c>
      <c r="L68" s="20">
        <v>-51.73</v>
      </c>
      <c r="M68" s="19">
        <v>37.73</v>
      </c>
      <c r="N68" s="20">
        <v>-97.62</v>
      </c>
      <c r="O68" s="15">
        <v>188.59</v>
      </c>
      <c r="P68" s="20">
        <v>-18.5</v>
      </c>
      <c r="Q68" s="20">
        <v>-51.91</v>
      </c>
      <c r="R68" s="18"/>
      <c r="S68" s="18"/>
      <c r="T68" s="18"/>
      <c r="U68" s="18"/>
      <c r="V68" s="18"/>
      <c r="W68" s="18"/>
    </row>
    <row r="69" ht="15.0" customHeight="1">
      <c r="A69" s="14" t="s">
        <v>356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0">
        <v>-43.23</v>
      </c>
      <c r="Q69" s="18">
        <v>0.0</v>
      </c>
      <c r="R69" s="20">
        <v>-51.69</v>
      </c>
      <c r="S69" s="19">
        <v>89.13</v>
      </c>
      <c r="T69" s="18"/>
      <c r="U69" s="15">
        <v>151.46</v>
      </c>
      <c r="V69" s="20">
        <v>-0.98</v>
      </c>
      <c r="W69" s="19">
        <v>30.64</v>
      </c>
    </row>
    <row r="70" ht="15.0" customHeight="1">
      <c r="A70" s="14" t="s">
        <v>357</v>
      </c>
      <c r="B70" s="18"/>
      <c r="C70" s="18"/>
      <c r="D70" s="18"/>
      <c r="E70" s="18"/>
      <c r="F70" s="18">
        <v>0.0</v>
      </c>
      <c r="G70" s="20">
        <v>-4.32</v>
      </c>
      <c r="H70" s="19">
        <v>3.93</v>
      </c>
      <c r="I70" s="18"/>
      <c r="J70" s="18"/>
      <c r="K70" s="18"/>
      <c r="L70" s="18"/>
      <c r="M70" s="18"/>
      <c r="N70" s="18"/>
      <c r="O70" s="18"/>
      <c r="P70" s="19">
        <v>43.23</v>
      </c>
      <c r="Q70" s="18">
        <v>0.0</v>
      </c>
      <c r="R70" s="18"/>
      <c r="S70" s="18"/>
      <c r="T70" s="18"/>
      <c r="U70" s="18"/>
      <c r="V70" s="18"/>
      <c r="W70" s="18"/>
    </row>
    <row r="71" ht="15.0" customHeight="1">
      <c r="A71" s="14" t="s">
        <v>358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>
        <v>0.0</v>
      </c>
      <c r="R71" s="19">
        <v>0.07</v>
      </c>
      <c r="S71" s="20">
        <v>-6.57</v>
      </c>
      <c r="T71" s="18"/>
      <c r="U71" s="18"/>
      <c r="V71" s="18"/>
      <c r="W71" s="18"/>
    </row>
    <row r="72" ht="15.0" customHeight="1">
      <c r="A72" s="14" t="s">
        <v>359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>
        <v>2.18</v>
      </c>
      <c r="T72" s="18"/>
      <c r="U72" s="18"/>
      <c r="V72" s="18"/>
      <c r="W72" s="18"/>
    </row>
    <row r="73" ht="15.0" customHeight="1">
      <c r="A73" s="14" t="s">
        <v>360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20">
        <v>-2.34</v>
      </c>
      <c r="T73" s="18"/>
      <c r="U73" s="19">
        <v>1.83</v>
      </c>
      <c r="V73" s="20">
        <v>-1.24</v>
      </c>
      <c r="W73" s="20">
        <v>-0.35</v>
      </c>
    </row>
    <row r="74" ht="15.0" customHeight="1">
      <c r="A74" s="16" t="s">
        <v>361</v>
      </c>
      <c r="B74" s="27">
        <v>-277.5</v>
      </c>
      <c r="C74" s="27">
        <v>-139.23</v>
      </c>
      <c r="D74" s="23">
        <v>-69.56</v>
      </c>
      <c r="E74" s="27">
        <v>-161.42</v>
      </c>
      <c r="F74" s="17">
        <v>180.4</v>
      </c>
      <c r="G74" s="21">
        <v>39.23</v>
      </c>
      <c r="H74" s="27">
        <v>-175.67</v>
      </c>
      <c r="I74" s="17">
        <v>102.52</v>
      </c>
      <c r="J74" s="27">
        <v>-183.56</v>
      </c>
      <c r="K74" s="17">
        <v>309.23</v>
      </c>
      <c r="L74" s="23">
        <v>-86.52</v>
      </c>
      <c r="M74" s="23">
        <v>-6.96</v>
      </c>
      <c r="N74" s="27">
        <v>-201.66</v>
      </c>
      <c r="O74" s="17">
        <v>316.18</v>
      </c>
      <c r="P74" s="23">
        <v>-69.05</v>
      </c>
      <c r="Q74" s="27">
        <v>-130.82</v>
      </c>
      <c r="R74" s="23">
        <v>-93.32</v>
      </c>
      <c r="S74" s="21">
        <v>24.13</v>
      </c>
      <c r="T74" s="17">
        <v>130.88</v>
      </c>
      <c r="U74" s="17">
        <v>120.09</v>
      </c>
      <c r="V74" s="23">
        <v>-24.11</v>
      </c>
      <c r="W74" s="23">
        <v>-34.26</v>
      </c>
    </row>
    <row r="75" ht="15.0" customHeight="1">
      <c r="A75" s="14" t="s">
        <v>362</v>
      </c>
      <c r="B75" s="15">
        <v>169.47</v>
      </c>
      <c r="C75" s="22">
        <v>-100.25</v>
      </c>
      <c r="D75" s="15">
        <v>135.39</v>
      </c>
      <c r="E75" s="22">
        <v>-172.42</v>
      </c>
      <c r="F75" s="20">
        <v>-25.48</v>
      </c>
      <c r="G75" s="15">
        <v>303.76</v>
      </c>
      <c r="H75" s="19">
        <v>9.75</v>
      </c>
      <c r="I75" s="19">
        <v>15.19</v>
      </c>
      <c r="J75" s="22">
        <v>-110.51</v>
      </c>
      <c r="K75" s="15">
        <v>121.6</v>
      </c>
      <c r="L75" s="18"/>
      <c r="M75" s="18"/>
      <c r="N75" s="18"/>
      <c r="O75" s="19">
        <v>8.3</v>
      </c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363</v>
      </c>
      <c r="B76" s="15">
        <v>248.22</v>
      </c>
      <c r="C76" s="15">
        <v>317.62</v>
      </c>
      <c r="D76" s="15">
        <v>179.54</v>
      </c>
      <c r="E76" s="15">
        <v>325.55</v>
      </c>
      <c r="F76" s="15">
        <v>357.55</v>
      </c>
      <c r="G76" s="19">
        <v>85.93</v>
      </c>
      <c r="H76" s="19">
        <v>66.17</v>
      </c>
      <c r="I76" s="19">
        <v>51.86</v>
      </c>
      <c r="J76" s="15">
        <v>165.21</v>
      </c>
      <c r="K76" s="19">
        <v>39.09</v>
      </c>
      <c r="L76" s="19">
        <v>34.53</v>
      </c>
      <c r="M76" s="19">
        <v>26.61</v>
      </c>
      <c r="N76" s="19">
        <v>60.18</v>
      </c>
      <c r="O76" s="19">
        <v>46.83</v>
      </c>
      <c r="P76" s="19">
        <v>9.46</v>
      </c>
      <c r="Q76" s="19">
        <v>9.55</v>
      </c>
      <c r="R76" s="19">
        <v>14.88</v>
      </c>
      <c r="S76" s="19">
        <v>4.34</v>
      </c>
      <c r="T76" s="18"/>
      <c r="U76" s="19">
        <v>4.73</v>
      </c>
      <c r="V76" s="19">
        <v>3.11</v>
      </c>
      <c r="W76" s="19">
        <v>19.17</v>
      </c>
    </row>
    <row r="77" ht="15.0" customHeight="1">
      <c r="A77" s="14" t="s">
        <v>364</v>
      </c>
      <c r="B77" s="20">
        <v>-22.24</v>
      </c>
      <c r="C77" s="19">
        <v>16.52</v>
      </c>
      <c r="D77" s="20">
        <v>-5.4</v>
      </c>
      <c r="E77" s="19">
        <v>13.25</v>
      </c>
      <c r="F77" s="19">
        <v>4.3</v>
      </c>
      <c r="G77" s="20">
        <v>-12.37</v>
      </c>
      <c r="H77" s="19">
        <v>1.16</v>
      </c>
      <c r="I77" s="19">
        <v>1.12</v>
      </c>
      <c r="J77" s="19">
        <v>2.09</v>
      </c>
      <c r="K77" s="19">
        <v>0.05</v>
      </c>
      <c r="L77" s="20">
        <v>-1.09</v>
      </c>
      <c r="M77" s="19">
        <v>4.27</v>
      </c>
      <c r="N77" s="19">
        <v>1.03</v>
      </c>
      <c r="O77" s="20">
        <v>-0.45</v>
      </c>
      <c r="P77" s="19">
        <v>0.41</v>
      </c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365</v>
      </c>
      <c r="B78" s="15">
        <v>400.21</v>
      </c>
      <c r="C78" s="15">
        <v>232.97</v>
      </c>
      <c r="D78" s="15">
        <v>311.03</v>
      </c>
      <c r="E78" s="15">
        <v>167.86</v>
      </c>
      <c r="F78" s="15">
        <v>336.97</v>
      </c>
      <c r="G78" s="15">
        <v>383.21</v>
      </c>
      <c r="H78" s="19">
        <v>77.16</v>
      </c>
      <c r="I78" s="19">
        <v>68.87</v>
      </c>
      <c r="J78" s="19">
        <v>53.18</v>
      </c>
      <c r="K78" s="15">
        <v>156.57</v>
      </c>
      <c r="L78" s="19">
        <v>43.14</v>
      </c>
      <c r="M78" s="19">
        <v>31.62</v>
      </c>
      <c r="N78" s="19">
        <v>26.17</v>
      </c>
      <c r="O78" s="19">
        <v>54.66</v>
      </c>
      <c r="P78" s="19">
        <v>47.47</v>
      </c>
      <c r="Q78" s="19">
        <v>9.46</v>
      </c>
      <c r="R78" s="19">
        <v>8.91</v>
      </c>
      <c r="S78" s="19">
        <v>16.35</v>
      </c>
      <c r="T78" s="18"/>
      <c r="U78" s="19">
        <v>2.19</v>
      </c>
      <c r="V78" s="19">
        <v>4.41</v>
      </c>
      <c r="W78" s="19">
        <v>3.35</v>
      </c>
    </row>
    <row r="79" ht="15.0" customHeight="1">
      <c r="A79" s="16" t="s">
        <v>366</v>
      </c>
      <c r="B79" s="17">
        <v>147.22</v>
      </c>
      <c r="C79" s="23">
        <v>-83.73</v>
      </c>
      <c r="D79" s="17">
        <v>129.99</v>
      </c>
      <c r="E79" s="27">
        <v>-159.18</v>
      </c>
      <c r="F79" s="23">
        <v>-21.18</v>
      </c>
      <c r="G79" s="17">
        <v>291.38</v>
      </c>
      <c r="H79" s="21">
        <v>10.91</v>
      </c>
      <c r="I79" s="21">
        <v>16.32</v>
      </c>
      <c r="J79" s="27">
        <v>-108.42</v>
      </c>
      <c r="K79" s="17">
        <v>121.66</v>
      </c>
      <c r="L79" s="21">
        <v>7.86</v>
      </c>
      <c r="M79" s="21">
        <v>4.8</v>
      </c>
      <c r="N79" s="23">
        <v>-32.57</v>
      </c>
      <c r="O79" s="21">
        <v>7.86</v>
      </c>
      <c r="P79" s="21">
        <v>37.84</v>
      </c>
      <c r="Q79" s="21">
        <v>0.11</v>
      </c>
      <c r="R79" s="23">
        <v>-5.68</v>
      </c>
      <c r="S79" s="21">
        <v>11.56</v>
      </c>
      <c r="T79" s="21">
        <v>2.6</v>
      </c>
      <c r="U79" s="23">
        <v>-2.43</v>
      </c>
      <c r="V79" s="21">
        <v>1.32</v>
      </c>
      <c r="W79" s="23">
        <v>-15.89</v>
      </c>
    </row>
    <row r="80" ht="15.0" customHeight="1">
      <c r="A80" s="14" t="s">
        <v>320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0">
        <v>-11.21</v>
      </c>
      <c r="Q80" s="20">
        <v>-15.53</v>
      </c>
      <c r="R80" s="20">
        <v>-20.43</v>
      </c>
      <c r="S80" s="20">
        <v>-27.07</v>
      </c>
      <c r="T80" s="18"/>
      <c r="U80" s="20">
        <v>-9.65</v>
      </c>
      <c r="V80" s="20">
        <v>-9.64</v>
      </c>
      <c r="W80" s="20">
        <v>-11.09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46094.6939997801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368</v>
      </c>
      <c r="X11" s="7" t="s">
        <v>369</v>
      </c>
      <c r="Y11" s="7" t="s">
        <v>370</v>
      </c>
      <c r="Z11" s="7" t="s">
        <v>371</v>
      </c>
      <c r="AA11" s="7" t="s">
        <v>372</v>
      </c>
      <c r="AB11" s="7" t="s">
        <v>373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40816.0</v>
      </c>
      <c r="Q13" s="9">
        <v>40543.0</v>
      </c>
      <c r="R13" s="9">
        <v>39813.0</v>
      </c>
      <c r="S13" s="9">
        <v>39447.0</v>
      </c>
      <c r="T13" s="9">
        <v>39629.0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8">
      <c r="A18" s="12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  <c r="AB19" s="13" t="s">
        <v>380</v>
      </c>
    </row>
    <row r="20" ht="15.0" customHeight="1">
      <c r="A20" s="28" t="s">
        <v>381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381</v>
      </c>
      <c r="B21" s="31">
        <v>4391.5</v>
      </c>
      <c r="C21" s="31">
        <v>5398.89</v>
      </c>
      <c r="D21" s="31">
        <v>6988.6</v>
      </c>
      <c r="E21" s="31">
        <v>8857.31</v>
      </c>
      <c r="F21" s="31">
        <v>3711.8</v>
      </c>
      <c r="G21" s="31">
        <v>3241.78</v>
      </c>
      <c r="H21" s="31">
        <v>2393.33</v>
      </c>
      <c r="I21" s="31">
        <v>2184.55</v>
      </c>
      <c r="J21" s="31">
        <v>1580.78</v>
      </c>
      <c r="K21" s="31">
        <v>1077.89</v>
      </c>
      <c r="L21" s="31">
        <v>794.3</v>
      </c>
      <c r="M21" s="31">
        <v>1119.54</v>
      </c>
      <c r="N21" s="31">
        <v>833.32</v>
      </c>
      <c r="O21" s="31">
        <v>352.9</v>
      </c>
      <c r="P21" s="31">
        <v>404.97</v>
      </c>
      <c r="Q21" s="31">
        <v>112.63</v>
      </c>
      <c r="R21" s="31">
        <v>597.14</v>
      </c>
      <c r="S21" s="31">
        <v>720.51</v>
      </c>
      <c r="T21" s="31">
        <v>593.18</v>
      </c>
      <c r="U21" s="31">
        <v>349.34</v>
      </c>
      <c r="V21" s="31">
        <v>449.13</v>
      </c>
      <c r="W21" s="31">
        <v>569.13</v>
      </c>
      <c r="X21" s="31">
        <v>482.26</v>
      </c>
      <c r="Y21" s="31">
        <v>561.38</v>
      </c>
      <c r="Z21" s="31">
        <v>504.74</v>
      </c>
      <c r="AA21" s="31">
        <v>494.48</v>
      </c>
      <c r="AB21" s="31">
        <v>467.19</v>
      </c>
    </row>
    <row r="22" ht="15.0" customHeight="1">
      <c r="A22" s="30" t="s">
        <v>382</v>
      </c>
      <c r="B22" s="31">
        <v>6107.84</v>
      </c>
      <c r="C22" s="31">
        <v>5817.17</v>
      </c>
      <c r="D22" s="31">
        <v>4890.88</v>
      </c>
      <c r="E22" s="31">
        <v>4041.07</v>
      </c>
      <c r="F22" s="31">
        <v>2780.62</v>
      </c>
      <c r="G22" s="31">
        <v>2023.45</v>
      </c>
      <c r="H22" s="31">
        <v>1592.84</v>
      </c>
      <c r="I22" s="31">
        <v>1380.21</v>
      </c>
      <c r="J22" s="31">
        <v>1078.6</v>
      </c>
      <c r="K22" s="31">
        <v>926.56</v>
      </c>
      <c r="L22" s="31">
        <v>740.63</v>
      </c>
      <c r="M22" s="31">
        <v>598.27</v>
      </c>
      <c r="N22" s="31">
        <v>455.01</v>
      </c>
      <c r="O22" s="31">
        <v>440.95</v>
      </c>
      <c r="P22" s="31">
        <v>483.4</v>
      </c>
      <c r="Q22" s="31">
        <v>441.83</v>
      </c>
      <c r="R22" s="31">
        <v>548.27</v>
      </c>
      <c r="S22" s="31">
        <v>508.84</v>
      </c>
      <c r="T22" s="31">
        <v>504.93</v>
      </c>
      <c r="U22" s="31">
        <v>471.62</v>
      </c>
      <c r="V22" s="31">
        <v>531.11</v>
      </c>
      <c r="W22" s="31">
        <v>545.21</v>
      </c>
      <c r="X22" s="31">
        <v>450.66</v>
      </c>
      <c r="Y22" s="32"/>
      <c r="Z22" s="32"/>
      <c r="AA22" s="32"/>
      <c r="AB22" s="32"/>
    </row>
    <row r="23" ht="15.0" customHeight="1">
      <c r="A23" s="28" t="s">
        <v>383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383</v>
      </c>
      <c r="B24" s="31">
        <v>3445.96</v>
      </c>
      <c r="C24" s="31">
        <v>4587.34</v>
      </c>
      <c r="D24" s="31">
        <v>6111.5</v>
      </c>
      <c r="E24" s="31">
        <v>8106.86</v>
      </c>
      <c r="F24" s="31">
        <v>3318.75</v>
      </c>
      <c r="G24" s="31">
        <v>2600.43</v>
      </c>
      <c r="H24" s="31">
        <v>1696.15</v>
      </c>
      <c r="I24" s="31">
        <v>1702.29</v>
      </c>
      <c r="J24" s="31">
        <v>1083.23</v>
      </c>
      <c r="K24" s="31">
        <v>849.95</v>
      </c>
      <c r="L24" s="31">
        <v>520.62</v>
      </c>
      <c r="M24" s="31">
        <v>601.66</v>
      </c>
      <c r="N24" s="31">
        <v>241.1</v>
      </c>
      <c r="O24" s="31">
        <v>190.27</v>
      </c>
      <c r="P24" s="31">
        <v>193.17</v>
      </c>
      <c r="Q24" s="31">
        <v>121.54</v>
      </c>
      <c r="R24" s="33">
        <v>72.75</v>
      </c>
      <c r="S24" s="31">
        <v>264.78</v>
      </c>
      <c r="T24" s="31">
        <v>286.06</v>
      </c>
      <c r="U24" s="31">
        <v>161.73</v>
      </c>
      <c r="V24" s="31">
        <v>221.01</v>
      </c>
      <c r="W24" s="31">
        <v>188.18</v>
      </c>
      <c r="X24" s="31">
        <v>130.92</v>
      </c>
      <c r="Y24" s="31">
        <v>173.79</v>
      </c>
      <c r="Z24" s="31">
        <v>181.32</v>
      </c>
      <c r="AA24" s="31">
        <v>204.33</v>
      </c>
      <c r="AB24" s="31">
        <v>164.72</v>
      </c>
    </row>
    <row r="25" ht="15.0" customHeight="1">
      <c r="A25" s="30" t="s">
        <v>384</v>
      </c>
      <c r="B25" s="31">
        <v>5325.6</v>
      </c>
      <c r="C25" s="31">
        <v>5098.63</v>
      </c>
      <c r="D25" s="31">
        <v>4236.34</v>
      </c>
      <c r="E25" s="31">
        <v>3451.24</v>
      </c>
      <c r="F25" s="31">
        <v>2199.74</v>
      </c>
      <c r="G25" s="31">
        <v>1531.58</v>
      </c>
      <c r="H25" s="31">
        <v>1158.71</v>
      </c>
      <c r="I25" s="31">
        <v>968.05</v>
      </c>
      <c r="J25" s="31">
        <v>648.19</v>
      </c>
      <c r="K25" s="31">
        <v>522.16</v>
      </c>
      <c r="L25" s="31">
        <v>365.21</v>
      </c>
      <c r="M25" s="31">
        <v>285.03</v>
      </c>
      <c r="N25" s="31">
        <v>163.6</v>
      </c>
      <c r="O25" s="31">
        <v>171.59</v>
      </c>
      <c r="P25" s="31">
        <v>188.05</v>
      </c>
      <c r="Q25" s="31">
        <v>170.16</v>
      </c>
      <c r="R25" s="31">
        <v>203.32</v>
      </c>
      <c r="S25" s="31">
        <v>212.68</v>
      </c>
      <c r="T25" s="31">
        <v>202.8</v>
      </c>
      <c r="U25" s="31">
        <v>170.24</v>
      </c>
      <c r="V25" s="31">
        <v>183.88</v>
      </c>
      <c r="W25" s="31">
        <v>181.99</v>
      </c>
      <c r="X25" s="31">
        <v>152.23</v>
      </c>
      <c r="Y25" s="32"/>
      <c r="Z25" s="32"/>
      <c r="AA25" s="32"/>
      <c r="AB25" s="32"/>
    </row>
    <row r="26" ht="15.0" customHeight="1">
      <c r="A26" s="28" t="s">
        <v>385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386</v>
      </c>
      <c r="B27" s="33">
        <v>57.78</v>
      </c>
      <c r="C27" s="33">
        <v>76.92</v>
      </c>
      <c r="D27" s="31">
        <v>104.48</v>
      </c>
      <c r="E27" s="31">
        <v>158.32</v>
      </c>
      <c r="F27" s="33">
        <v>67.61</v>
      </c>
      <c r="G27" s="33">
        <v>52.98</v>
      </c>
      <c r="H27" s="33">
        <v>37.33</v>
      </c>
      <c r="I27" s="33">
        <v>37.46</v>
      </c>
      <c r="J27" s="33">
        <v>24.83</v>
      </c>
      <c r="K27" s="33">
        <v>20.34</v>
      </c>
      <c r="L27" s="33">
        <v>12.46</v>
      </c>
      <c r="M27" s="33">
        <v>15.1</v>
      </c>
      <c r="N27" s="33">
        <v>6.05</v>
      </c>
      <c r="O27" s="33">
        <v>4.78</v>
      </c>
      <c r="P27" s="33">
        <v>4.85</v>
      </c>
      <c r="Q27" s="33">
        <v>3.05</v>
      </c>
      <c r="R27" s="33">
        <v>1.83</v>
      </c>
      <c r="S27" s="33">
        <v>6.67</v>
      </c>
      <c r="T27" s="33">
        <v>7.2</v>
      </c>
      <c r="U27" s="33">
        <v>3.92</v>
      </c>
      <c r="V27" s="33">
        <v>2.71</v>
      </c>
      <c r="W27" s="33">
        <v>2.3</v>
      </c>
      <c r="X27" s="33">
        <v>1.6</v>
      </c>
      <c r="Y27" s="33">
        <v>2.13</v>
      </c>
      <c r="Z27" s="33">
        <v>2.22</v>
      </c>
      <c r="AA27" s="33">
        <v>2.5</v>
      </c>
      <c r="AB27" s="33">
        <v>2.02</v>
      </c>
    </row>
    <row r="28" ht="15.0" customHeight="1">
      <c r="A28" s="30" t="s">
        <v>387</v>
      </c>
      <c r="B28" s="33">
        <v>96.82</v>
      </c>
      <c r="C28" s="33">
        <v>94.87</v>
      </c>
      <c r="D28" s="33">
        <v>81.51</v>
      </c>
      <c r="E28" s="33">
        <v>70.04</v>
      </c>
      <c r="F28" s="33">
        <v>46.6</v>
      </c>
      <c r="G28" s="33">
        <v>33.35</v>
      </c>
      <c r="H28" s="33">
        <v>26.21</v>
      </c>
      <c r="I28" s="33">
        <v>22.43</v>
      </c>
      <c r="J28" s="33">
        <v>15.5</v>
      </c>
      <c r="K28" s="33">
        <v>12.78</v>
      </c>
      <c r="L28" s="33">
        <v>9.05</v>
      </c>
      <c r="M28" s="33">
        <v>7.16</v>
      </c>
      <c r="N28" s="33">
        <v>4.11</v>
      </c>
      <c r="O28" s="33">
        <v>4.31</v>
      </c>
      <c r="P28" s="33">
        <v>4.73</v>
      </c>
      <c r="Q28" s="33">
        <v>4.25</v>
      </c>
      <c r="R28" s="33">
        <v>4.53</v>
      </c>
      <c r="S28" s="33">
        <v>4.36</v>
      </c>
      <c r="T28" s="33">
        <v>3.64</v>
      </c>
      <c r="U28" s="33">
        <v>2.47</v>
      </c>
      <c r="V28" s="33">
        <v>2.25</v>
      </c>
      <c r="W28" s="33">
        <v>2.23</v>
      </c>
      <c r="X28" s="33">
        <v>1.86</v>
      </c>
      <c r="Y28" s="32"/>
      <c r="Z28" s="32"/>
      <c r="AA28" s="32"/>
      <c r="AB28" s="32"/>
    </row>
    <row r="29" ht="15.0" customHeight="1">
      <c r="A29" s="28" t="s">
        <v>388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389</v>
      </c>
      <c r="B30" s="34">
        <v>2.18</v>
      </c>
      <c r="C30" s="34">
        <v>9.39</v>
      </c>
      <c r="D30" s="35">
        <v>-0.21</v>
      </c>
      <c r="E30" s="34">
        <v>2.74</v>
      </c>
      <c r="F30" s="34">
        <v>8.63</v>
      </c>
      <c r="G30" s="34">
        <v>6.31</v>
      </c>
      <c r="H30" s="34">
        <v>3.01</v>
      </c>
      <c r="I30" s="34">
        <v>3.28</v>
      </c>
      <c r="J30" s="34">
        <v>5.28</v>
      </c>
      <c r="K30" s="34">
        <v>12.0</v>
      </c>
      <c r="L30" s="34">
        <v>6.01</v>
      </c>
      <c r="M30" s="34">
        <v>12.11</v>
      </c>
      <c r="N30" s="34">
        <v>9.77</v>
      </c>
      <c r="O30" s="34">
        <v>44.61</v>
      </c>
      <c r="P30" s="34">
        <v>31.54</v>
      </c>
      <c r="Q30" s="34">
        <v>50.37</v>
      </c>
      <c r="R30" s="34">
        <v>13.66</v>
      </c>
      <c r="S30" s="34">
        <v>15.71</v>
      </c>
      <c r="T30" s="34">
        <v>0.74</v>
      </c>
      <c r="U30" s="34">
        <v>16.06</v>
      </c>
      <c r="V30" s="34">
        <v>22.11</v>
      </c>
      <c r="W30" s="34">
        <v>57.57</v>
      </c>
      <c r="X30" s="34">
        <v>89.46</v>
      </c>
      <c r="Y30" s="34">
        <v>38.74</v>
      </c>
      <c r="Z30" s="34">
        <v>52.0</v>
      </c>
      <c r="AA30" s="34">
        <v>66.81</v>
      </c>
      <c r="AB30" s="34">
        <v>48.9</v>
      </c>
    </row>
    <row r="31" ht="15.0" customHeight="1">
      <c r="A31" s="30" t="s">
        <v>390</v>
      </c>
      <c r="B31" s="34">
        <v>3.87</v>
      </c>
      <c r="C31" s="34">
        <v>4.36</v>
      </c>
      <c r="D31" s="34">
        <v>3.36</v>
      </c>
      <c r="E31" s="34">
        <v>4.45</v>
      </c>
      <c r="F31" s="34">
        <v>5.79</v>
      </c>
      <c r="G31" s="34">
        <v>5.43</v>
      </c>
      <c r="H31" s="34">
        <v>5.12</v>
      </c>
      <c r="I31" s="34">
        <v>6.84</v>
      </c>
      <c r="J31" s="34">
        <v>8.72</v>
      </c>
      <c r="K31" s="34">
        <v>13.44</v>
      </c>
      <c r="L31" s="34">
        <v>16.17</v>
      </c>
      <c r="M31" s="34">
        <v>23.05</v>
      </c>
      <c r="N31" s="34">
        <v>29.55</v>
      </c>
      <c r="O31" s="34">
        <v>30.76</v>
      </c>
      <c r="P31" s="34">
        <v>19.25</v>
      </c>
      <c r="Q31" s="34">
        <v>16.08</v>
      </c>
      <c r="R31" s="34">
        <v>11.7</v>
      </c>
      <c r="S31" s="34">
        <v>15.95</v>
      </c>
      <c r="T31" s="34">
        <v>23.43</v>
      </c>
      <c r="U31" s="34">
        <v>38.38</v>
      </c>
      <c r="V31" s="34">
        <v>49.37</v>
      </c>
      <c r="W31" s="34">
        <v>59.94</v>
      </c>
      <c r="X31" s="34">
        <v>58.42</v>
      </c>
      <c r="Y31" s="34"/>
      <c r="Z31" s="34"/>
      <c r="AA31" s="34"/>
      <c r="AB31" s="34"/>
    </row>
    <row r="32" ht="15.0" customHeight="1">
      <c r="A32" s="28" t="s">
        <v>391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392</v>
      </c>
      <c r="B33" s="34">
        <v>1.25</v>
      </c>
      <c r="C33" s="34">
        <v>1.6</v>
      </c>
      <c r="D33" s="34">
        <v>1.1</v>
      </c>
      <c r="E33" s="34">
        <v>0.54</v>
      </c>
      <c r="F33" s="34">
        <v>0.0</v>
      </c>
      <c r="G33" s="34">
        <v>1.24</v>
      </c>
      <c r="H33" s="34">
        <v>1.83</v>
      </c>
      <c r="I33" s="34">
        <v>1.05</v>
      </c>
      <c r="J33" s="34">
        <v>1.5</v>
      </c>
      <c r="K33" s="34">
        <v>1.13</v>
      </c>
      <c r="L33" s="34">
        <v>2.69</v>
      </c>
      <c r="M33" s="34">
        <v>1.91</v>
      </c>
      <c r="N33" s="34">
        <v>4.33</v>
      </c>
      <c r="O33" s="34">
        <v>5.56</v>
      </c>
      <c r="P33" s="34">
        <v>2.35</v>
      </c>
      <c r="Q33" s="34">
        <v>3.48</v>
      </c>
      <c r="R33" s="34">
        <v>14.91</v>
      </c>
      <c r="S33" s="34">
        <v>2.21</v>
      </c>
      <c r="T33" s="34">
        <v>3.87</v>
      </c>
      <c r="U33" s="34">
        <v>3.39</v>
      </c>
      <c r="V33" s="34">
        <v>4.27</v>
      </c>
      <c r="W33" s="34">
        <v>4.58</v>
      </c>
      <c r="X33" s="34">
        <v>5.66</v>
      </c>
      <c r="Y33" s="34">
        <v>4.58</v>
      </c>
      <c r="Z33" s="34">
        <v>4.24</v>
      </c>
      <c r="AA33" s="34">
        <v>2.97</v>
      </c>
      <c r="AB33" s="34">
        <v>3.44</v>
      </c>
    </row>
    <row r="34" ht="15.0" customHeight="1">
      <c r="A34" s="30" t="s">
        <v>393</v>
      </c>
      <c r="B34" s="34">
        <v>0.85</v>
      </c>
      <c r="C34" s="34">
        <v>0.85</v>
      </c>
      <c r="D34" s="34">
        <v>0.81</v>
      </c>
      <c r="E34" s="34">
        <v>0.74</v>
      </c>
      <c r="F34" s="34">
        <v>0.98</v>
      </c>
      <c r="G34" s="34">
        <v>1.35</v>
      </c>
      <c r="H34" s="34">
        <v>1.53</v>
      </c>
      <c r="I34" s="34">
        <v>1.48</v>
      </c>
      <c r="J34" s="34">
        <v>1.93</v>
      </c>
      <c r="K34" s="34">
        <v>2.44</v>
      </c>
      <c r="L34" s="34">
        <v>2.97</v>
      </c>
      <c r="M34" s="34">
        <v>3.11</v>
      </c>
      <c r="N34" s="34">
        <v>4.92</v>
      </c>
      <c r="O34" s="34">
        <v>4.23</v>
      </c>
      <c r="P34" s="34">
        <v>3.85</v>
      </c>
      <c r="Q34" s="34">
        <v>4.09</v>
      </c>
      <c r="R34" s="34">
        <v>4.2</v>
      </c>
      <c r="S34" s="34">
        <v>3.39</v>
      </c>
      <c r="T34" s="34">
        <v>4.09</v>
      </c>
      <c r="U34" s="34">
        <v>4.29</v>
      </c>
      <c r="V34" s="34">
        <v>4.61</v>
      </c>
      <c r="W34" s="34">
        <v>4.34</v>
      </c>
      <c r="X34" s="34">
        <v>4.12</v>
      </c>
      <c r="Y34" s="34"/>
      <c r="Z34" s="34"/>
      <c r="AA34" s="34"/>
      <c r="AB34" s="34"/>
    </row>
    <row r="35" ht="15.0" customHeight="1">
      <c r="A35" s="30" t="s">
        <v>394</v>
      </c>
      <c r="B35" s="34">
        <v>1.78</v>
      </c>
      <c r="C35" s="34">
        <v>2.29</v>
      </c>
      <c r="D35" s="34">
        <v>1.58</v>
      </c>
      <c r="E35" s="34">
        <v>0.77</v>
      </c>
      <c r="F35" s="34">
        <v>0.0</v>
      </c>
      <c r="G35" s="34">
        <v>1.77</v>
      </c>
      <c r="H35" s="34">
        <v>2.61</v>
      </c>
      <c r="I35" s="34">
        <v>1.5</v>
      </c>
      <c r="J35" s="34">
        <v>2.15</v>
      </c>
      <c r="K35" s="34">
        <v>1.61</v>
      </c>
      <c r="L35" s="34">
        <v>3.85</v>
      </c>
      <c r="M35" s="34">
        <v>2.73</v>
      </c>
      <c r="N35" s="34">
        <v>6.19</v>
      </c>
      <c r="O35" s="34">
        <v>7.95</v>
      </c>
      <c r="P35" s="34">
        <v>3.35</v>
      </c>
      <c r="Q35" s="34">
        <v>4.97</v>
      </c>
      <c r="R35" s="34">
        <v>21.3</v>
      </c>
      <c r="S35" s="34">
        <v>3.15</v>
      </c>
      <c r="T35" s="34">
        <v>5.53</v>
      </c>
      <c r="U35" s="34">
        <v>3.39</v>
      </c>
      <c r="V35" s="34">
        <v>4.27</v>
      </c>
      <c r="W35" s="34">
        <v>4.58</v>
      </c>
      <c r="X35" s="34">
        <v>5.66</v>
      </c>
      <c r="Y35" s="34">
        <v>4.58</v>
      </c>
      <c r="Z35" s="34">
        <v>4.24</v>
      </c>
      <c r="AA35" s="34">
        <v>2.97</v>
      </c>
      <c r="AB35" s="34">
        <v>3.44</v>
      </c>
    </row>
    <row r="36" ht="15.0" customHeight="1">
      <c r="A36" s="30" t="s">
        <v>395</v>
      </c>
      <c r="B36" s="34">
        <v>1.22</v>
      </c>
      <c r="C36" s="34">
        <v>1.22</v>
      </c>
      <c r="D36" s="34">
        <v>1.15</v>
      </c>
      <c r="E36" s="34">
        <v>1.06</v>
      </c>
      <c r="F36" s="34">
        <v>1.4</v>
      </c>
      <c r="G36" s="34">
        <v>1.93</v>
      </c>
      <c r="H36" s="34">
        <v>2.19</v>
      </c>
      <c r="I36" s="34">
        <v>2.12</v>
      </c>
      <c r="J36" s="34">
        <v>2.75</v>
      </c>
      <c r="K36" s="34">
        <v>3.48</v>
      </c>
      <c r="L36" s="34">
        <v>4.24</v>
      </c>
      <c r="M36" s="34">
        <v>4.45</v>
      </c>
      <c r="N36" s="34">
        <v>7.03</v>
      </c>
      <c r="O36" s="34">
        <v>6.04</v>
      </c>
      <c r="P36" s="34">
        <v>5.5</v>
      </c>
      <c r="Q36" s="34">
        <v>5.59</v>
      </c>
      <c r="R36" s="34">
        <v>5.53</v>
      </c>
      <c r="S36" s="34">
        <v>4.18</v>
      </c>
      <c r="T36" s="34">
        <v>4.74</v>
      </c>
      <c r="U36" s="34">
        <v>4.29</v>
      </c>
      <c r="V36" s="34">
        <v>4.61</v>
      </c>
      <c r="W36" s="34">
        <v>4.34</v>
      </c>
      <c r="X36" s="34">
        <v>4.12</v>
      </c>
      <c r="Y36" s="34"/>
      <c r="Z36" s="34"/>
      <c r="AA36" s="34"/>
      <c r="AB36" s="34"/>
    </row>
    <row r="37" ht="15.0" customHeight="1">
      <c r="A37" s="28" t="s">
        <v>396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397</v>
      </c>
      <c r="B38" s="33">
        <v>1.94</v>
      </c>
      <c r="C38" s="33">
        <v>2.74</v>
      </c>
      <c r="D38" s="33">
        <v>4.21</v>
      </c>
      <c r="E38" s="33">
        <v>7.03</v>
      </c>
      <c r="F38" s="33">
        <v>3.57</v>
      </c>
      <c r="G38" s="33">
        <v>3.94</v>
      </c>
      <c r="H38" s="33">
        <v>3.11</v>
      </c>
      <c r="I38" s="33">
        <v>3.82</v>
      </c>
      <c r="J38" s="33">
        <v>3.59</v>
      </c>
      <c r="K38" s="33">
        <v>2.53</v>
      </c>
      <c r="L38" s="33">
        <v>1.99</v>
      </c>
      <c r="M38" s="33">
        <v>1.35</v>
      </c>
      <c r="N38" s="33">
        <v>0.71</v>
      </c>
      <c r="O38" s="33">
        <v>0.6</v>
      </c>
      <c r="P38" s="33">
        <v>0.68</v>
      </c>
      <c r="Q38" s="33">
        <v>0.52</v>
      </c>
      <c r="R38" s="33">
        <v>0.27</v>
      </c>
      <c r="S38" s="33">
        <v>1.11</v>
      </c>
      <c r="T38" s="33">
        <v>1.28</v>
      </c>
      <c r="U38" s="33">
        <v>0.9</v>
      </c>
      <c r="V38" s="33">
        <v>0.67</v>
      </c>
      <c r="W38" s="33">
        <v>0.48</v>
      </c>
      <c r="X38" s="33">
        <v>0.39</v>
      </c>
      <c r="Y38" s="33">
        <v>0.53</v>
      </c>
      <c r="Z38" s="33">
        <v>0.6</v>
      </c>
      <c r="AA38" s="33">
        <v>0.82</v>
      </c>
      <c r="AB38" s="33">
        <v>0.83</v>
      </c>
    </row>
    <row r="39" ht="15.0" customHeight="1">
      <c r="A39" s="30" t="s">
        <v>398</v>
      </c>
      <c r="B39" s="33">
        <v>3.78</v>
      </c>
      <c r="C39" s="33">
        <v>4.29</v>
      </c>
      <c r="D39" s="33">
        <v>4.59</v>
      </c>
      <c r="E39" s="33">
        <v>4.63</v>
      </c>
      <c r="F39" s="33">
        <v>3.61</v>
      </c>
      <c r="G39" s="33">
        <v>3.46</v>
      </c>
      <c r="H39" s="33">
        <v>3.08</v>
      </c>
      <c r="I39" s="33">
        <v>2.59</v>
      </c>
      <c r="J39" s="33">
        <v>1.89</v>
      </c>
      <c r="K39" s="33">
        <v>1.35</v>
      </c>
      <c r="L39" s="33">
        <v>1.03</v>
      </c>
      <c r="M39" s="33">
        <v>0.82</v>
      </c>
      <c r="N39" s="33">
        <v>0.57</v>
      </c>
      <c r="O39" s="33">
        <v>0.63</v>
      </c>
      <c r="P39" s="33">
        <v>0.75</v>
      </c>
      <c r="Q39" s="33">
        <v>0.79</v>
      </c>
      <c r="R39" s="33">
        <v>0.83</v>
      </c>
      <c r="S39" s="33">
        <v>0.92</v>
      </c>
      <c r="T39" s="33">
        <v>0.77</v>
      </c>
      <c r="U39" s="33">
        <v>0.59</v>
      </c>
      <c r="V39" s="33">
        <v>0.53</v>
      </c>
      <c r="W39" s="33">
        <v>0.54</v>
      </c>
      <c r="X39" s="33">
        <v>0.6</v>
      </c>
      <c r="Y39" s="32"/>
      <c r="Z39" s="32"/>
      <c r="AA39" s="32"/>
      <c r="AB39" s="32"/>
    </row>
    <row r="40" ht="15.0" customHeight="1">
      <c r="A40" s="28" t="s">
        <v>399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400</v>
      </c>
      <c r="B41" s="33">
        <v>10.23</v>
      </c>
      <c r="C41" s="33">
        <v>7.7</v>
      </c>
      <c r="D41" s="33">
        <v>10.36</v>
      </c>
      <c r="E41" s="33">
        <v>22.22</v>
      </c>
      <c r="F41" s="33">
        <v>8.29</v>
      </c>
      <c r="G41" s="33">
        <v>12.92</v>
      </c>
      <c r="H41" s="33">
        <v>15.68</v>
      </c>
      <c r="I41" s="33">
        <v>75.42</v>
      </c>
      <c r="J41" s="32"/>
      <c r="K41" s="33">
        <v>5.47</v>
      </c>
      <c r="L41" s="33">
        <v>3.96</v>
      </c>
      <c r="M41" s="33">
        <v>6.27</v>
      </c>
      <c r="N41" s="33">
        <v>12.11</v>
      </c>
      <c r="O41" s="33">
        <v>0.95</v>
      </c>
      <c r="P41" s="33">
        <v>1.16</v>
      </c>
      <c r="Q41" s="33">
        <v>1.13</v>
      </c>
      <c r="R41" s="33">
        <v>0.57</v>
      </c>
      <c r="S41" s="33">
        <v>2.42</v>
      </c>
      <c r="T41" s="33">
        <v>4.92</v>
      </c>
      <c r="U41" s="33">
        <v>1.07</v>
      </c>
      <c r="V41" s="33">
        <v>0.74</v>
      </c>
      <c r="W41" s="33">
        <v>0.41</v>
      </c>
      <c r="X41" s="33">
        <v>0.34</v>
      </c>
      <c r="Y41" s="33">
        <v>0.47</v>
      </c>
      <c r="Z41" s="33">
        <v>0.57</v>
      </c>
      <c r="AA41" s="33">
        <v>0.83</v>
      </c>
      <c r="AB41" s="33">
        <v>0.88</v>
      </c>
    </row>
    <row r="42" ht="15.0" customHeight="1">
      <c r="A42" s="30" t="s">
        <v>401</v>
      </c>
      <c r="B42" s="33">
        <v>11.41</v>
      </c>
      <c r="C42" s="33">
        <v>11.74</v>
      </c>
      <c r="D42" s="33">
        <v>13.26</v>
      </c>
      <c r="E42" s="33">
        <v>16.02</v>
      </c>
      <c r="F42" s="33">
        <v>16.86</v>
      </c>
      <c r="G42" s="33">
        <v>19.81</v>
      </c>
      <c r="H42" s="33">
        <v>17.04</v>
      </c>
      <c r="I42" s="33">
        <v>14.02</v>
      </c>
      <c r="J42" s="33">
        <v>10.11</v>
      </c>
      <c r="K42" s="33">
        <v>3.87</v>
      </c>
      <c r="L42" s="33">
        <v>2.77</v>
      </c>
      <c r="M42" s="33">
        <v>2.22</v>
      </c>
      <c r="N42" s="33">
        <v>1.32</v>
      </c>
      <c r="O42" s="33">
        <v>1.19</v>
      </c>
      <c r="P42" s="33">
        <v>1.64</v>
      </c>
      <c r="Q42" s="33">
        <v>1.63</v>
      </c>
      <c r="R42" s="33">
        <v>1.52</v>
      </c>
      <c r="S42" s="33">
        <v>1.34</v>
      </c>
      <c r="T42" s="33">
        <v>0.91</v>
      </c>
      <c r="U42" s="33">
        <v>0.57</v>
      </c>
      <c r="V42" s="33">
        <v>0.48</v>
      </c>
      <c r="W42" s="33">
        <v>0.49</v>
      </c>
      <c r="X42" s="33">
        <v>0.56</v>
      </c>
      <c r="Y42" s="32"/>
      <c r="Z42" s="32"/>
      <c r="AA42" s="32"/>
      <c r="AB42" s="32"/>
    </row>
    <row r="43" ht="15.0" customHeight="1">
      <c r="A43" s="28" t="s">
        <v>402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403</v>
      </c>
      <c r="B44" s="33">
        <v>1.01</v>
      </c>
      <c r="C44" s="33">
        <v>1.32</v>
      </c>
      <c r="D44" s="33">
        <v>1.87</v>
      </c>
      <c r="E44" s="33">
        <v>3.05</v>
      </c>
      <c r="F44" s="33">
        <v>1.69</v>
      </c>
      <c r="G44" s="33">
        <v>1.54</v>
      </c>
      <c r="H44" s="33">
        <v>1.09</v>
      </c>
      <c r="I44" s="33">
        <v>1.3</v>
      </c>
      <c r="J44" s="33">
        <v>1.45</v>
      </c>
      <c r="K44" s="33">
        <v>1.09</v>
      </c>
      <c r="L44" s="33">
        <v>0.76</v>
      </c>
      <c r="M44" s="33">
        <v>0.92</v>
      </c>
      <c r="N44" s="33">
        <v>0.34</v>
      </c>
      <c r="O44" s="33">
        <v>0.27</v>
      </c>
      <c r="P44" s="33">
        <v>0.27</v>
      </c>
      <c r="Q44" s="33">
        <v>0.25</v>
      </c>
      <c r="R44" s="33">
        <v>0.08</v>
      </c>
      <c r="S44" s="33">
        <v>0.32</v>
      </c>
      <c r="T44" s="33">
        <v>0.5</v>
      </c>
      <c r="U44" s="33">
        <v>0.48</v>
      </c>
      <c r="V44" s="33">
        <v>0.41</v>
      </c>
      <c r="W44" s="33">
        <v>0.1</v>
      </c>
      <c r="X44" s="33">
        <v>0.08</v>
      </c>
      <c r="Y44" s="33">
        <v>0.1</v>
      </c>
      <c r="Z44" s="33">
        <v>0.11</v>
      </c>
      <c r="AA44" s="33">
        <v>0.13</v>
      </c>
      <c r="AB44" s="33">
        <v>0.12</v>
      </c>
    </row>
    <row r="45" ht="15.0" customHeight="1">
      <c r="A45" s="30" t="s">
        <v>404</v>
      </c>
      <c r="B45" s="33">
        <v>1.78</v>
      </c>
      <c r="C45" s="33">
        <v>1.92</v>
      </c>
      <c r="D45" s="33">
        <v>1.94</v>
      </c>
      <c r="E45" s="33">
        <v>1.87</v>
      </c>
      <c r="F45" s="33">
        <v>1.42</v>
      </c>
      <c r="G45" s="33">
        <v>1.3</v>
      </c>
      <c r="H45" s="33">
        <v>1.15</v>
      </c>
      <c r="I45" s="33">
        <v>1.13</v>
      </c>
      <c r="J45" s="33">
        <v>0.9</v>
      </c>
      <c r="K45" s="33">
        <v>0.65</v>
      </c>
      <c r="L45" s="33">
        <v>0.49</v>
      </c>
      <c r="M45" s="33">
        <v>0.4</v>
      </c>
      <c r="N45" s="33">
        <v>0.23</v>
      </c>
      <c r="O45" s="33">
        <v>0.23</v>
      </c>
      <c r="P45" s="33">
        <v>0.27</v>
      </c>
      <c r="Q45" s="33">
        <v>0.29</v>
      </c>
      <c r="R45" s="33">
        <v>0.31</v>
      </c>
      <c r="S45" s="33">
        <v>0.31</v>
      </c>
      <c r="T45" s="33">
        <v>0.24</v>
      </c>
      <c r="U45" s="33">
        <v>0.16</v>
      </c>
      <c r="V45" s="33">
        <v>0.12</v>
      </c>
      <c r="W45" s="33">
        <v>0.1</v>
      </c>
      <c r="X45" s="33">
        <v>0.11</v>
      </c>
      <c r="Y45" s="32"/>
      <c r="Z45" s="32"/>
      <c r="AA45" s="32"/>
      <c r="AB45" s="32"/>
    </row>
    <row r="46" ht="15.0" customHeight="1">
      <c r="A46" s="28" t="s">
        <v>405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406</v>
      </c>
      <c r="B47" s="33">
        <v>45.9</v>
      </c>
      <c r="C47" s="33">
        <v>10.65</v>
      </c>
      <c r="D47" s="33">
        <v>51.28</v>
      </c>
      <c r="E47" s="33">
        <v>36.44</v>
      </c>
      <c r="F47" s="33">
        <v>11.59</v>
      </c>
      <c r="G47" s="33">
        <v>15.84</v>
      </c>
      <c r="H47" s="33">
        <v>33.22</v>
      </c>
      <c r="I47" s="33">
        <v>30.47</v>
      </c>
      <c r="J47" s="33">
        <v>18.94</v>
      </c>
      <c r="K47" s="33">
        <v>8.33</v>
      </c>
      <c r="L47" s="33">
        <v>16.63</v>
      </c>
      <c r="M47" s="33">
        <v>8.26</v>
      </c>
      <c r="N47" s="33">
        <v>10.23</v>
      </c>
      <c r="O47" s="33">
        <v>2.24</v>
      </c>
      <c r="P47" s="33">
        <v>3.17</v>
      </c>
      <c r="Q47" s="33">
        <v>1.99</v>
      </c>
      <c r="R47" s="33">
        <v>7.32</v>
      </c>
      <c r="S47" s="33">
        <v>6.37</v>
      </c>
      <c r="T47" s="31">
        <v>135.08</v>
      </c>
      <c r="U47" s="33">
        <v>6.23</v>
      </c>
      <c r="V47" s="33">
        <v>4.52</v>
      </c>
      <c r="W47" s="33">
        <v>1.74</v>
      </c>
      <c r="X47" s="33">
        <v>1.12</v>
      </c>
      <c r="Y47" s="33">
        <v>2.58</v>
      </c>
      <c r="Z47" s="33">
        <v>1.92</v>
      </c>
      <c r="AA47" s="33">
        <v>1.5</v>
      </c>
      <c r="AB47" s="33">
        <v>2.05</v>
      </c>
    </row>
    <row r="48" ht="15.0" customHeight="1">
      <c r="A48" s="30" t="s">
        <v>407</v>
      </c>
      <c r="B48" s="33">
        <v>25.86</v>
      </c>
      <c r="C48" s="33">
        <v>22.92</v>
      </c>
      <c r="D48" s="33">
        <v>29.79</v>
      </c>
      <c r="E48" s="33">
        <v>22.48</v>
      </c>
      <c r="F48" s="33">
        <v>17.28</v>
      </c>
      <c r="G48" s="33">
        <v>18.4</v>
      </c>
      <c r="H48" s="33">
        <v>19.53</v>
      </c>
      <c r="I48" s="33">
        <v>14.62</v>
      </c>
      <c r="J48" s="33">
        <v>11.46</v>
      </c>
      <c r="K48" s="33">
        <v>7.44</v>
      </c>
      <c r="L48" s="33">
        <v>6.18</v>
      </c>
      <c r="M48" s="33">
        <v>4.34</v>
      </c>
      <c r="N48" s="33">
        <v>3.38</v>
      </c>
      <c r="O48" s="33">
        <v>3.25</v>
      </c>
      <c r="P48" s="33">
        <v>5.19</v>
      </c>
      <c r="Q48" s="33">
        <v>6.22</v>
      </c>
      <c r="R48" s="33">
        <v>8.55</v>
      </c>
      <c r="S48" s="33">
        <v>6.27</v>
      </c>
      <c r="T48" s="33">
        <v>4.27</v>
      </c>
      <c r="U48" s="33">
        <v>2.61</v>
      </c>
      <c r="V48" s="33">
        <v>2.03</v>
      </c>
      <c r="W48" s="33">
        <v>1.67</v>
      </c>
      <c r="X48" s="33">
        <v>1.71</v>
      </c>
      <c r="Y48" s="32"/>
      <c r="Z48" s="32"/>
      <c r="AA48" s="32"/>
      <c r="AB48" s="32"/>
    </row>
    <row r="49" ht="15.0" customHeight="1">
      <c r="A49" s="28" t="s">
        <v>408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409</v>
      </c>
      <c r="B50" s="33">
        <v>12.91</v>
      </c>
      <c r="C50" s="33">
        <v>14.34</v>
      </c>
      <c r="D50" s="33">
        <v>17.5</v>
      </c>
      <c r="E50" s="33">
        <v>21.56</v>
      </c>
      <c r="F50" s="33">
        <v>13.42</v>
      </c>
      <c r="G50" s="33">
        <v>13.28</v>
      </c>
      <c r="H50" s="33">
        <v>9.39</v>
      </c>
      <c r="I50" s="33">
        <v>10.21</v>
      </c>
      <c r="J50" s="33">
        <v>13.05</v>
      </c>
      <c r="K50" s="33">
        <v>10.1</v>
      </c>
      <c r="L50" s="33">
        <v>7.91</v>
      </c>
      <c r="M50" s="33">
        <v>7.37</v>
      </c>
      <c r="N50" s="33">
        <v>3.23</v>
      </c>
      <c r="O50" s="33">
        <v>2.37</v>
      </c>
      <c r="P50" s="33">
        <v>2.61</v>
      </c>
      <c r="Q50" s="33">
        <v>2.84</v>
      </c>
      <c r="R50" s="33">
        <v>1.0</v>
      </c>
      <c r="S50" s="33">
        <v>3.21</v>
      </c>
      <c r="T50" s="33">
        <v>4.07</v>
      </c>
      <c r="U50" s="33">
        <v>3.5</v>
      </c>
      <c r="V50" s="33">
        <v>2.46</v>
      </c>
      <c r="W50" s="33">
        <v>1.31</v>
      </c>
      <c r="X50" s="33">
        <v>1.18</v>
      </c>
      <c r="Y50" s="33">
        <v>1.23</v>
      </c>
      <c r="Z50" s="33">
        <v>1.19</v>
      </c>
      <c r="AA50" s="33">
        <v>1.44</v>
      </c>
      <c r="AB50" s="33">
        <v>1.49</v>
      </c>
    </row>
    <row r="51" ht="15.0" customHeight="1">
      <c r="A51" s="30" t="s">
        <v>410</v>
      </c>
      <c r="B51" s="33">
        <v>16.59</v>
      </c>
      <c r="C51" s="33">
        <v>16.66</v>
      </c>
      <c r="D51" s="33">
        <v>16.02</v>
      </c>
      <c r="E51" s="33">
        <v>14.76</v>
      </c>
      <c r="F51" s="33">
        <v>11.85</v>
      </c>
      <c r="G51" s="33">
        <v>11.17</v>
      </c>
      <c r="H51" s="33">
        <v>10.09</v>
      </c>
      <c r="I51" s="33">
        <v>9.82</v>
      </c>
      <c r="J51" s="33">
        <v>8.22</v>
      </c>
      <c r="K51" s="33">
        <v>5.95</v>
      </c>
      <c r="L51" s="33">
        <v>4.5</v>
      </c>
      <c r="M51" s="33">
        <v>3.74</v>
      </c>
      <c r="N51" s="33">
        <v>2.39</v>
      </c>
      <c r="O51" s="33">
        <v>2.41</v>
      </c>
      <c r="P51" s="33">
        <v>2.74</v>
      </c>
      <c r="Q51" s="33">
        <v>2.88</v>
      </c>
      <c r="R51" s="33">
        <v>2.83</v>
      </c>
      <c r="S51" s="33">
        <v>2.93</v>
      </c>
      <c r="T51" s="33">
        <v>2.48</v>
      </c>
      <c r="U51" s="33">
        <v>1.79</v>
      </c>
      <c r="V51" s="33">
        <v>1.4</v>
      </c>
      <c r="W51" s="33">
        <v>1.27</v>
      </c>
      <c r="X51" s="33">
        <v>1.29</v>
      </c>
      <c r="Y51" s="32"/>
      <c r="Z51" s="32"/>
      <c r="AA51" s="32"/>
      <c r="AB51" s="32"/>
    </row>
    <row r="52" ht="15.0" customHeight="1">
      <c r="A52" s="28" t="s">
        <v>411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412</v>
      </c>
      <c r="B53" s="33">
        <v>33.14</v>
      </c>
      <c r="C53" s="33">
        <v>25.23</v>
      </c>
      <c r="D53" s="33">
        <v>25.96</v>
      </c>
      <c r="E53" s="33">
        <v>27.81</v>
      </c>
      <c r="F53" s="33">
        <v>19.15</v>
      </c>
      <c r="G53" s="33">
        <v>19.83</v>
      </c>
      <c r="H53" s="33">
        <v>12.8</v>
      </c>
      <c r="I53" s="33">
        <v>13.44</v>
      </c>
      <c r="J53" s="33">
        <v>21.27</v>
      </c>
      <c r="K53" s="33">
        <v>17.27</v>
      </c>
      <c r="L53" s="33">
        <v>17.01</v>
      </c>
      <c r="M53" s="33">
        <v>16.23</v>
      </c>
      <c r="N53" s="33">
        <v>5.82</v>
      </c>
      <c r="O53" s="33">
        <v>3.85</v>
      </c>
      <c r="P53" s="33">
        <v>5.5</v>
      </c>
      <c r="Q53" s="31">
        <v>129.28</v>
      </c>
      <c r="R53" s="33">
        <v>2.52</v>
      </c>
      <c r="S53" s="33">
        <v>6.05</v>
      </c>
      <c r="T53" s="33">
        <v>6.92</v>
      </c>
      <c r="U53" s="33">
        <v>7.86</v>
      </c>
      <c r="V53" s="33">
        <v>7.47</v>
      </c>
      <c r="W53" s="33">
        <v>3.74</v>
      </c>
      <c r="X53" s="33">
        <v>3.26</v>
      </c>
      <c r="Y53" s="33">
        <v>2.34</v>
      </c>
      <c r="Z53" s="33">
        <v>2.22</v>
      </c>
      <c r="AA53" s="33">
        <v>2.72</v>
      </c>
      <c r="AB53" s="33">
        <v>2.94</v>
      </c>
    </row>
    <row r="54" ht="15.0" customHeight="1">
      <c r="A54" s="30" t="s">
        <v>413</v>
      </c>
      <c r="B54" s="33">
        <v>25.83</v>
      </c>
      <c r="C54" s="33">
        <v>24.31</v>
      </c>
      <c r="D54" s="33">
        <v>22.39</v>
      </c>
      <c r="E54" s="33">
        <v>20.14</v>
      </c>
      <c r="F54" s="33">
        <v>16.86</v>
      </c>
      <c r="G54" s="33">
        <v>16.2</v>
      </c>
      <c r="H54" s="33">
        <v>15.1</v>
      </c>
      <c r="I54" s="33">
        <v>16.26</v>
      </c>
      <c r="J54" s="33">
        <v>15.35</v>
      </c>
      <c r="K54" s="33">
        <v>11.05</v>
      </c>
      <c r="L54" s="33">
        <v>8.72</v>
      </c>
      <c r="M54" s="33">
        <v>8.11</v>
      </c>
      <c r="N54" s="33">
        <v>5.32</v>
      </c>
      <c r="O54" s="33">
        <v>5.4</v>
      </c>
      <c r="P54" s="33">
        <v>6.32</v>
      </c>
      <c r="Q54" s="33">
        <v>6.77</v>
      </c>
      <c r="R54" s="33">
        <v>5.99</v>
      </c>
      <c r="S54" s="33">
        <v>6.31</v>
      </c>
      <c r="T54" s="33">
        <v>5.86</v>
      </c>
      <c r="U54" s="33">
        <v>4.38</v>
      </c>
      <c r="V54" s="33">
        <v>3.23</v>
      </c>
      <c r="W54" s="33">
        <v>2.74</v>
      </c>
      <c r="X54" s="33">
        <v>2.62</v>
      </c>
      <c r="Y54" s="32"/>
      <c r="Z54" s="32"/>
      <c r="AA54" s="32"/>
      <c r="AB54" s="32"/>
    </row>
    <row r="55" ht="15.0" customHeight="1">
      <c r="A55" s="28" t="s">
        <v>414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415</v>
      </c>
      <c r="B56" s="33">
        <v>56.86</v>
      </c>
      <c r="C56" s="33">
        <v>25.76</v>
      </c>
      <c r="D56" s="33">
        <v>26.35</v>
      </c>
      <c r="E56" s="33">
        <v>28.09</v>
      </c>
      <c r="F56" s="33">
        <v>19.34</v>
      </c>
      <c r="G56" s="33">
        <v>20.12</v>
      </c>
      <c r="H56" s="33">
        <v>12.98</v>
      </c>
      <c r="I56" s="33">
        <v>13.63</v>
      </c>
      <c r="J56" s="33">
        <v>21.83</v>
      </c>
      <c r="K56" s="33">
        <v>17.56</v>
      </c>
      <c r="L56" s="33">
        <v>17.54</v>
      </c>
      <c r="M56" s="33">
        <v>16.63</v>
      </c>
      <c r="N56" s="33">
        <v>5.48</v>
      </c>
      <c r="O56" s="33">
        <v>3.85</v>
      </c>
      <c r="P56" s="33">
        <v>5.5</v>
      </c>
      <c r="Q56" s="31">
        <v>129.28</v>
      </c>
      <c r="R56" s="33">
        <v>2.52</v>
      </c>
      <c r="S56" s="33">
        <v>6.05</v>
      </c>
      <c r="T56" s="33">
        <v>6.92</v>
      </c>
      <c r="U56" s="33">
        <v>7.86</v>
      </c>
      <c r="V56" s="33">
        <v>7.47</v>
      </c>
      <c r="W56" s="33">
        <v>2.84</v>
      </c>
      <c r="X56" s="33">
        <v>2.84</v>
      </c>
      <c r="Y56" s="33">
        <v>1.92</v>
      </c>
      <c r="Z56" s="33">
        <v>2.96</v>
      </c>
      <c r="AA56" s="33">
        <v>2.72</v>
      </c>
      <c r="AB56" s="33">
        <v>2.67</v>
      </c>
    </row>
    <row r="57" ht="15.0" customHeight="1">
      <c r="A57" s="30" t="s">
        <v>416</v>
      </c>
      <c r="B57" s="33">
        <v>3.78</v>
      </c>
      <c r="C57" s="33">
        <v>4.29</v>
      </c>
      <c r="D57" s="33">
        <v>4.59</v>
      </c>
      <c r="E57" s="33">
        <v>4.63</v>
      </c>
      <c r="F57" s="33">
        <v>3.61</v>
      </c>
      <c r="G57" s="33">
        <v>3.46</v>
      </c>
      <c r="H57" s="33">
        <v>3.08</v>
      </c>
      <c r="I57" s="33">
        <v>2.59</v>
      </c>
      <c r="J57" s="33">
        <v>1.89</v>
      </c>
      <c r="K57" s="33">
        <v>1.35</v>
      </c>
      <c r="L57" s="33">
        <v>1.03</v>
      </c>
      <c r="M57" s="33">
        <v>0.82</v>
      </c>
      <c r="N57" s="33">
        <v>0.57</v>
      </c>
      <c r="O57" s="33">
        <v>0.63</v>
      </c>
      <c r="P57" s="33">
        <v>0.75</v>
      </c>
      <c r="Q57" s="33">
        <v>0.79</v>
      </c>
      <c r="R57" s="33">
        <v>0.83</v>
      </c>
      <c r="S57" s="33">
        <v>0.88</v>
      </c>
      <c r="T57" s="33">
        <v>0.69</v>
      </c>
      <c r="U57" s="33">
        <v>0.51</v>
      </c>
      <c r="V57" s="33">
        <v>0.43</v>
      </c>
      <c r="W57" s="33">
        <v>0.43</v>
      </c>
      <c r="X57" s="33">
        <v>0.47</v>
      </c>
      <c r="Y57" s="32"/>
      <c r="Z57" s="32"/>
      <c r="AA57" s="32"/>
      <c r="AB57" s="32"/>
    </row>
    <row r="58" ht="15.0" customHeight="1">
      <c r="A58" s="28" t="s">
        <v>417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418</v>
      </c>
      <c r="B59" s="36">
        <v>-0.75</v>
      </c>
      <c r="C59" s="36">
        <v>-0.86</v>
      </c>
      <c r="D59" s="36">
        <v>-0.97</v>
      </c>
      <c r="E59" s="33">
        <v>0.38</v>
      </c>
      <c r="F59" s="33">
        <v>1.02</v>
      </c>
      <c r="G59" s="36">
        <v>-4.26</v>
      </c>
      <c r="H59" s="33">
        <v>1.76</v>
      </c>
      <c r="I59" s="33">
        <v>0.11</v>
      </c>
      <c r="J59" s="33">
        <v>2.27</v>
      </c>
      <c r="K59" s="33">
        <v>0.37</v>
      </c>
      <c r="L59" s="36">
        <v>-0.75</v>
      </c>
      <c r="M59" s="36">
        <v>-0.87</v>
      </c>
      <c r="N59" s="36">
        <v>-0.38</v>
      </c>
      <c r="O59" s="33">
        <v>0.09</v>
      </c>
      <c r="P59" s="32">
        <v>0.0</v>
      </c>
      <c r="Q59" s="36">
        <v>-1.34</v>
      </c>
      <c r="R59" s="36">
        <v>-0.07</v>
      </c>
      <c r="S59" s="33">
        <v>0.41</v>
      </c>
      <c r="T59" s="33">
        <v>0.07</v>
      </c>
      <c r="U59" s="33">
        <v>0.16</v>
      </c>
      <c r="V59" s="36">
        <v>-0.19</v>
      </c>
      <c r="W59" s="33">
        <v>0.48</v>
      </c>
      <c r="X59" s="36">
        <v>-0.08</v>
      </c>
      <c r="Y59" s="36">
        <v>-2.02</v>
      </c>
      <c r="Z59" s="33">
        <v>0.22</v>
      </c>
      <c r="AA59" s="33">
        <v>0.08</v>
      </c>
      <c r="AB59" s="32"/>
    </row>
    <row r="60" ht="15.0" customHeight="1">
      <c r="A60" s="30" t="s">
        <v>419</v>
      </c>
      <c r="B60" s="36">
        <v>-2.62</v>
      </c>
      <c r="C60" s="33">
        <v>88.85</v>
      </c>
      <c r="D60" s="33">
        <v>2.5</v>
      </c>
      <c r="E60" s="33">
        <v>0.55</v>
      </c>
      <c r="F60" s="33">
        <v>0.69</v>
      </c>
      <c r="G60" s="33">
        <v>0.54</v>
      </c>
      <c r="H60" s="33">
        <v>0.61</v>
      </c>
      <c r="I60" s="33">
        <v>0.9</v>
      </c>
      <c r="J60" s="36">
        <v>-5.17</v>
      </c>
      <c r="K60" s="33">
        <v>5.36</v>
      </c>
      <c r="L60" s="33">
        <v>0.09</v>
      </c>
      <c r="M60" s="33">
        <v>2.05</v>
      </c>
      <c r="N60" s="36">
        <v>-3.5</v>
      </c>
      <c r="O60" s="33">
        <v>1.18</v>
      </c>
      <c r="P60" s="33">
        <v>0.54</v>
      </c>
      <c r="Q60" s="36">
        <v>-0.17</v>
      </c>
      <c r="R60" s="33">
        <v>1.45</v>
      </c>
      <c r="S60" s="33">
        <v>0.39</v>
      </c>
      <c r="T60" s="33">
        <v>3.93</v>
      </c>
      <c r="U60" s="36">
        <v>-0.38</v>
      </c>
      <c r="V60" s="36">
        <v>-0.2</v>
      </c>
      <c r="W60" s="36">
        <v>-1.46</v>
      </c>
      <c r="X60" s="32"/>
      <c r="Y60" s="32"/>
      <c r="Z60" s="32"/>
      <c r="AA60" s="32"/>
      <c r="AB60" s="32"/>
    </row>
    <row r="61" ht="15.0" customHeight="1">
      <c r="A61" s="28" t="s">
        <v>420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421</v>
      </c>
      <c r="B62" s="33">
        <v>1.29</v>
      </c>
      <c r="C62" s="33">
        <v>1.56</v>
      </c>
      <c r="D62" s="33">
        <v>2.12</v>
      </c>
      <c r="E62" s="33">
        <v>2.88</v>
      </c>
      <c r="F62" s="33">
        <v>1.59</v>
      </c>
      <c r="G62" s="33">
        <v>1.62</v>
      </c>
      <c r="H62" s="33">
        <v>1.2</v>
      </c>
      <c r="I62" s="33">
        <v>1.31</v>
      </c>
      <c r="J62" s="33">
        <v>1.59</v>
      </c>
      <c r="K62" s="33">
        <v>0.98</v>
      </c>
      <c r="L62" s="33">
        <v>0.83</v>
      </c>
      <c r="M62" s="33">
        <v>1.2</v>
      </c>
      <c r="N62" s="33">
        <v>0.83</v>
      </c>
      <c r="O62" s="33">
        <v>0.35</v>
      </c>
      <c r="P62" s="33">
        <v>0.4</v>
      </c>
      <c r="Q62" s="33">
        <v>0.17</v>
      </c>
      <c r="R62" s="33">
        <v>0.48</v>
      </c>
      <c r="S62" s="33">
        <v>0.63</v>
      </c>
      <c r="T62" s="33">
        <v>0.75</v>
      </c>
      <c r="U62" s="33">
        <v>0.78</v>
      </c>
      <c r="V62" s="33">
        <v>1.28</v>
      </c>
      <c r="W62" s="33">
        <v>0.44</v>
      </c>
      <c r="X62" s="33">
        <v>0.44</v>
      </c>
      <c r="Y62" s="33">
        <v>0.48</v>
      </c>
      <c r="Z62" s="33">
        <v>0.42</v>
      </c>
      <c r="AA62" s="33">
        <v>0.46</v>
      </c>
      <c r="AB62" s="33">
        <v>0.47</v>
      </c>
    </row>
    <row r="63" ht="15.0" customHeight="1">
      <c r="A63" s="30" t="s">
        <v>422</v>
      </c>
      <c r="B63" s="33">
        <v>1.9</v>
      </c>
      <c r="C63" s="33">
        <v>2.0</v>
      </c>
      <c r="D63" s="33">
        <v>1.99</v>
      </c>
      <c r="E63" s="33">
        <v>1.85</v>
      </c>
      <c r="F63" s="33">
        <v>1.46</v>
      </c>
      <c r="G63" s="33">
        <v>1.36</v>
      </c>
      <c r="H63" s="33">
        <v>1.2</v>
      </c>
      <c r="I63" s="33">
        <v>1.2</v>
      </c>
      <c r="J63" s="33">
        <v>1.08</v>
      </c>
      <c r="K63" s="33">
        <v>0.82</v>
      </c>
      <c r="L63" s="33">
        <v>0.7</v>
      </c>
      <c r="M63" s="33">
        <v>0.6</v>
      </c>
      <c r="N63" s="33">
        <v>0.46</v>
      </c>
      <c r="O63" s="33">
        <v>0.43</v>
      </c>
      <c r="P63" s="33">
        <v>0.49</v>
      </c>
      <c r="Q63" s="33">
        <v>0.55</v>
      </c>
      <c r="R63" s="33">
        <v>0.68</v>
      </c>
      <c r="S63" s="33">
        <v>0.67</v>
      </c>
      <c r="T63" s="33">
        <v>0.61</v>
      </c>
      <c r="U63" s="33">
        <v>0.55</v>
      </c>
      <c r="V63" s="33">
        <v>0.5</v>
      </c>
      <c r="W63" s="33">
        <v>0.45</v>
      </c>
      <c r="X63" s="33">
        <v>0.45</v>
      </c>
      <c r="Y63" s="32"/>
      <c r="Z63" s="32"/>
      <c r="AA63" s="32"/>
      <c r="AB63" s="32"/>
    </row>
    <row r="64" ht="15.0" customHeight="1">
      <c r="A64" s="28" t="s">
        <v>423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424</v>
      </c>
      <c r="B65" s="33">
        <v>14.87</v>
      </c>
      <c r="C65" s="33">
        <v>12.27</v>
      </c>
      <c r="D65" s="33">
        <v>16.03</v>
      </c>
      <c r="E65" s="33">
        <v>16.39</v>
      </c>
      <c r="F65" s="33">
        <v>9.72</v>
      </c>
      <c r="G65" s="33">
        <v>11.08</v>
      </c>
      <c r="H65" s="33">
        <v>8.25</v>
      </c>
      <c r="I65" s="33">
        <v>7.96</v>
      </c>
      <c r="J65" s="33">
        <v>11.89</v>
      </c>
      <c r="K65" s="33">
        <v>7.3</v>
      </c>
      <c r="L65" s="33">
        <v>6.88</v>
      </c>
      <c r="M65" s="33">
        <v>7.83</v>
      </c>
      <c r="N65" s="33">
        <v>6.6</v>
      </c>
      <c r="O65" s="33">
        <v>2.47</v>
      </c>
      <c r="P65" s="33">
        <v>3.05</v>
      </c>
      <c r="Q65" s="33">
        <v>1.63</v>
      </c>
      <c r="R65" s="33">
        <v>4.12</v>
      </c>
      <c r="S65" s="33">
        <v>4.49</v>
      </c>
      <c r="T65" s="33">
        <v>4.75</v>
      </c>
      <c r="U65" s="33">
        <v>4.73</v>
      </c>
      <c r="V65" s="33">
        <v>6.31</v>
      </c>
      <c r="W65" s="33">
        <v>4.68</v>
      </c>
      <c r="X65" s="33">
        <v>5.07</v>
      </c>
      <c r="Y65" s="33">
        <v>4.74</v>
      </c>
      <c r="Z65" s="33">
        <v>3.54</v>
      </c>
      <c r="AA65" s="32"/>
      <c r="AB65" s="32"/>
    </row>
    <row r="66" ht="15.0" customHeight="1">
      <c r="A66" s="30" t="s">
        <v>425</v>
      </c>
      <c r="B66" s="33">
        <v>14.09</v>
      </c>
      <c r="C66" s="33">
        <v>13.55</v>
      </c>
      <c r="D66" s="33">
        <v>13.04</v>
      </c>
      <c r="E66" s="33">
        <v>11.5</v>
      </c>
      <c r="F66" s="33">
        <v>9.58</v>
      </c>
      <c r="G66" s="33">
        <v>9.26</v>
      </c>
      <c r="H66" s="33">
        <v>8.38</v>
      </c>
      <c r="I66" s="33">
        <v>8.33</v>
      </c>
      <c r="J66" s="33">
        <v>8.11</v>
      </c>
      <c r="K66" s="33">
        <v>6.1</v>
      </c>
      <c r="L66" s="33">
        <v>5.24</v>
      </c>
      <c r="M66" s="33">
        <v>4.52</v>
      </c>
      <c r="N66" s="33">
        <v>3.72</v>
      </c>
      <c r="O66" s="33">
        <v>3.36</v>
      </c>
      <c r="P66" s="33">
        <v>3.82</v>
      </c>
      <c r="Q66" s="33">
        <v>4.12</v>
      </c>
      <c r="R66" s="33">
        <v>4.7</v>
      </c>
      <c r="S66" s="33">
        <v>4.85</v>
      </c>
      <c r="T66" s="33">
        <v>5.02</v>
      </c>
      <c r="U66" s="33">
        <v>5.02</v>
      </c>
      <c r="V66" s="33">
        <v>4.69</v>
      </c>
      <c r="W66" s="32"/>
      <c r="X66" s="32"/>
      <c r="Y66" s="32"/>
      <c r="Z66" s="32"/>
      <c r="AA66" s="32"/>
      <c r="AB66" s="32"/>
    </row>
    <row r="67" ht="15.0" customHeight="1">
      <c r="A67" s="28" t="s">
        <v>426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427</v>
      </c>
      <c r="B68" s="33">
        <v>24.81</v>
      </c>
      <c r="C68" s="33">
        <v>10.33</v>
      </c>
      <c r="D68" s="33">
        <v>57.81</v>
      </c>
      <c r="E68" s="33">
        <v>25.74</v>
      </c>
      <c r="F68" s="33">
        <v>8.84</v>
      </c>
      <c r="G68" s="33">
        <v>11.24</v>
      </c>
      <c r="H68" s="33">
        <v>16.39</v>
      </c>
      <c r="I68" s="33">
        <v>18.56</v>
      </c>
      <c r="J68" s="33">
        <v>13.04</v>
      </c>
      <c r="K68" s="33">
        <v>6.5</v>
      </c>
      <c r="L68" s="33">
        <v>8.96</v>
      </c>
      <c r="M68" s="33">
        <v>7.39</v>
      </c>
      <c r="N68" s="33">
        <v>13.37</v>
      </c>
      <c r="O68" s="33">
        <v>2.47</v>
      </c>
      <c r="P68" s="33">
        <v>3.72</v>
      </c>
      <c r="Q68" s="33">
        <v>1.12</v>
      </c>
      <c r="R68" s="33">
        <v>8.69</v>
      </c>
      <c r="S68" s="33">
        <v>12.42</v>
      </c>
      <c r="T68" s="33">
        <v>5.86</v>
      </c>
      <c r="U68" s="33">
        <v>5.74</v>
      </c>
      <c r="V68" s="33">
        <v>6.86</v>
      </c>
      <c r="W68" s="33">
        <v>7.88</v>
      </c>
      <c r="X68" s="33">
        <v>5.91</v>
      </c>
      <c r="Y68" s="33">
        <v>11.7</v>
      </c>
      <c r="Z68" s="33">
        <v>7.59</v>
      </c>
      <c r="AA68" s="33">
        <v>5.16</v>
      </c>
      <c r="AB68" s="33">
        <v>7.7</v>
      </c>
    </row>
    <row r="69" ht="15.0" customHeight="1">
      <c r="A69" s="30" t="s">
        <v>428</v>
      </c>
      <c r="B69" s="33">
        <v>18.86</v>
      </c>
      <c r="C69" s="33">
        <v>16.89</v>
      </c>
      <c r="D69" s="33">
        <v>19.37</v>
      </c>
      <c r="E69" s="33">
        <v>15.59</v>
      </c>
      <c r="F69" s="33">
        <v>12.05</v>
      </c>
      <c r="G69" s="33">
        <v>12.53</v>
      </c>
      <c r="H69" s="33">
        <v>12.63</v>
      </c>
      <c r="I69" s="33">
        <v>10.49</v>
      </c>
      <c r="J69" s="33">
        <v>9.29</v>
      </c>
      <c r="K69" s="33">
        <v>6.82</v>
      </c>
      <c r="L69" s="33">
        <v>6.27</v>
      </c>
      <c r="M69" s="33">
        <v>4.89</v>
      </c>
      <c r="N69" s="33">
        <v>4.7</v>
      </c>
      <c r="O69" s="33">
        <v>4.53</v>
      </c>
      <c r="P69" s="33">
        <v>5.49</v>
      </c>
      <c r="Q69" s="33">
        <v>6.02</v>
      </c>
      <c r="R69" s="33">
        <v>7.69</v>
      </c>
      <c r="S69" s="33">
        <v>7.54</v>
      </c>
      <c r="T69" s="33">
        <v>6.38</v>
      </c>
      <c r="U69" s="33">
        <v>7.32</v>
      </c>
      <c r="V69" s="33">
        <v>7.67</v>
      </c>
      <c r="W69" s="33">
        <v>7.18</v>
      </c>
      <c r="X69" s="33">
        <v>7.13</v>
      </c>
      <c r="Y69" s="32"/>
      <c r="Z69" s="32"/>
      <c r="AA69" s="32"/>
      <c r="AB69" s="32"/>
    </row>
    <row r="70" ht="15.0" customHeight="1">
      <c r="A70" s="28" t="s">
        <v>429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430</v>
      </c>
      <c r="B71" s="33">
        <v>58.78</v>
      </c>
      <c r="C71" s="33">
        <v>12.65</v>
      </c>
      <c r="D71" s="33">
        <v>36.52</v>
      </c>
      <c r="E71" s="33">
        <v>34.47</v>
      </c>
      <c r="F71" s="33">
        <v>10.92</v>
      </c>
      <c r="G71" s="33">
        <v>16.69</v>
      </c>
      <c r="H71" s="33">
        <v>36.68</v>
      </c>
      <c r="I71" s="33">
        <v>30.89</v>
      </c>
      <c r="J71" s="33">
        <v>20.72</v>
      </c>
      <c r="K71" s="33">
        <v>7.48</v>
      </c>
      <c r="L71" s="33">
        <v>18.21</v>
      </c>
      <c r="M71" s="33">
        <v>10.83</v>
      </c>
      <c r="N71" s="33">
        <v>25.03</v>
      </c>
      <c r="O71" s="33">
        <v>2.95</v>
      </c>
      <c r="P71" s="33">
        <v>4.72</v>
      </c>
      <c r="Q71" s="33">
        <v>1.35</v>
      </c>
      <c r="R71" s="33">
        <v>43.04</v>
      </c>
      <c r="S71" s="33">
        <v>12.42</v>
      </c>
      <c r="T71" s="31">
        <v>201.88</v>
      </c>
      <c r="U71" s="33">
        <v>10.22</v>
      </c>
      <c r="V71" s="33">
        <v>14.01</v>
      </c>
      <c r="W71" s="33">
        <v>7.88</v>
      </c>
      <c r="X71" s="33">
        <v>5.91</v>
      </c>
      <c r="Y71" s="33">
        <v>11.97</v>
      </c>
      <c r="Z71" s="33">
        <v>7.68</v>
      </c>
      <c r="AA71" s="33">
        <v>5.2</v>
      </c>
      <c r="AB71" s="33">
        <v>8.33</v>
      </c>
    </row>
    <row r="72" ht="15.0" customHeight="1">
      <c r="A72" s="30" t="s">
        <v>431</v>
      </c>
      <c r="B72" s="33">
        <v>27.7</v>
      </c>
      <c r="C72" s="33">
        <v>23.94</v>
      </c>
      <c r="D72" s="33">
        <v>30.58</v>
      </c>
      <c r="E72" s="33">
        <v>22.21</v>
      </c>
      <c r="F72" s="33">
        <v>17.74</v>
      </c>
      <c r="G72" s="33">
        <v>19.17</v>
      </c>
      <c r="H72" s="33">
        <v>20.35</v>
      </c>
      <c r="I72" s="33">
        <v>15.53</v>
      </c>
      <c r="J72" s="33">
        <v>13.8</v>
      </c>
      <c r="K72" s="33">
        <v>9.43</v>
      </c>
      <c r="L72" s="33">
        <v>8.97</v>
      </c>
      <c r="M72" s="33">
        <v>6.5</v>
      </c>
      <c r="N72" s="33">
        <v>6.74</v>
      </c>
      <c r="O72" s="33">
        <v>5.99</v>
      </c>
      <c r="P72" s="33">
        <v>9.61</v>
      </c>
      <c r="Q72" s="33">
        <v>11.81</v>
      </c>
      <c r="R72" s="33">
        <v>18.89</v>
      </c>
      <c r="S72" s="33">
        <v>13.42</v>
      </c>
      <c r="T72" s="33">
        <v>10.72</v>
      </c>
      <c r="U72" s="33">
        <v>8.95</v>
      </c>
      <c r="V72" s="33">
        <v>8.54</v>
      </c>
      <c r="W72" s="33">
        <v>7.24</v>
      </c>
      <c r="X72" s="33">
        <v>7.27</v>
      </c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2026-03-13T16:39:24Z</dcterms:created>
</cp:coreProperties>
</file>