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y9OkGuEfN6JS5MkjFBpAjaymD4oSYlsSd863y5+ZrM="/>
    </ext>
  </extLst>
</workbook>
</file>

<file path=xl/sharedStrings.xml><?xml version="1.0" encoding="utf-8"?>
<sst xmlns="http://schemas.openxmlformats.org/spreadsheetml/2006/main" count="830" uniqueCount="416">
  <si>
    <t>Company Fundamentals - Income Statement</t>
  </si>
  <si>
    <t>Company Name</t>
  </si>
  <si>
    <t>Biogaia AB (BIOGb.ST)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</si>
  <si>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</si>
  <si>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</si>
  <si>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</si>
  <si>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</si>
  <si>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</si>
  <si>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</si>
  <si>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</si>
  <si>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</si>
  <si>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</si>
  <si>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</si>
  <si>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</si>
  <si>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</si>
  <si>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</si>
  <si>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</si>
  <si>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</si>
  <si>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</si>
  <si>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</si>
  <si>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</si>
  <si>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</si>
  <si>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</si>
  <si>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</si>
  <si>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</si>
  <si>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</si>
  <si>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</si>
  <si>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</si>
  <si>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</si>
  <si>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</si>
  <si>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</si>
  <si>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</si>
  <si>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</si>
  <si>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</si>
  <si>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</si>
  <si>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</si>
  <si>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</si>
  <si>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</si>
  <si>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</si>
  <si>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</si>
  <si>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</si>
  <si>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</si>
  <si>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</si>
  <si>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</si>
  <si>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</si>
  <si>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</si>
  <si>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</si>
  <si>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</si>
  <si>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</si>
  <si>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</si>
  <si>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</si>
  <si>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</si>
  <si>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</si>
  <si>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</si>
  <si>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</si>
  <si>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</si>
  <si>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</si>
  <si>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</si>
  <si>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</si>
  <si>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</si>
  <si>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</si>
  <si>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</si>
  <si>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</si>
  <si>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</si>
  <si>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</si>
  <si>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</si>
  <si>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</si>
  <si>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</si>
  <si>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</si>
  <si>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</si>
  <si>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</si>
  <si>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</si>
  <si>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</si>
  <si>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Net sale s</t>
  </si>
  <si>
    <t>Royalties revenue</t>
  </si>
  <si>
    <t>License Revenue</t>
  </si>
  <si>
    <t>Total Revenue</t>
  </si>
  <si>
    <t>Cost of sales</t>
  </si>
  <si>
    <t>Cost Of Goods Sold</t>
  </si>
  <si>
    <t>Depreciation in COR/COGS</t>
  </si>
  <si>
    <t>Cost of revenues/COGS</t>
  </si>
  <si>
    <t>Gross pr ofit</t>
  </si>
  <si>
    <t>Selling expenses</t>
  </si>
  <si>
    <t>Depreciation in Selling expenses</t>
  </si>
  <si>
    <t>Selling Expenses</t>
  </si>
  <si>
    <t>Administrative expenses</t>
  </si>
  <si>
    <t>Depreciation in Administrative expenses</t>
  </si>
  <si>
    <t>Research and development expenses</t>
  </si>
  <si>
    <t>Depreciation in R&amp;D</t>
  </si>
  <si>
    <t>Research and development expenses - Balancing value</t>
  </si>
  <si>
    <t>Amortization of R &amp; D</t>
  </si>
  <si>
    <t>Depreciation</t>
  </si>
  <si>
    <t>Share of profit of associates</t>
  </si>
  <si>
    <t>Other operating income/ expense</t>
  </si>
  <si>
    <t>Foreign Exchange Gain/Loss - Non-Business</t>
  </si>
  <si>
    <t>Other operating income/expenses</t>
  </si>
  <si>
    <t>Other operating income</t>
  </si>
  <si>
    <t>Exchange gains on operating receivables and liabilities, net</t>
  </si>
  <si>
    <t>Government subsidy</t>
  </si>
  <si>
    <t>Other operating income - Balancing value</t>
  </si>
  <si>
    <t>Sale of Asset</t>
  </si>
  <si>
    <t>Balancing Item - Operating Expenses</t>
  </si>
  <si>
    <t>Revaluation of former associate shareholding</t>
  </si>
  <si>
    <t>Operatin g profit</t>
  </si>
  <si>
    <t>Balancing Item - Income from Operations, net</t>
  </si>
  <si>
    <t>Operating profit</t>
  </si>
  <si>
    <t>Share/Group Company</t>
  </si>
  <si>
    <t>Financial income</t>
  </si>
  <si>
    <t>Fair Value Adjustments - Financial Investments</t>
  </si>
  <si>
    <t>Gains/Loss on Foreign Exchange</t>
  </si>
  <si>
    <t>Total Financial Expense</t>
  </si>
  <si>
    <t>Financial expenses</t>
  </si>
  <si>
    <t>Interest Expense on Financial Lease Liabilities</t>
  </si>
  <si>
    <t>Financial expenses - Balancing value</t>
  </si>
  <si>
    <t>Interest expenses and other financial expenses</t>
  </si>
  <si>
    <t>Value adjustment of financial liabilities and assets</t>
  </si>
  <si>
    <t>Foreign exchange gains/losses, forward exchange contracts</t>
  </si>
  <si>
    <t>Other Total Financial Expense</t>
  </si>
  <si>
    <t>Interest Expenses</t>
  </si>
  <si>
    <t>Financial income - Balancing value</t>
  </si>
  <si>
    <t>Net fnancial items</t>
  </si>
  <si>
    <t>Non-operating Income</t>
  </si>
  <si>
    <t>Balancing Item - Pretax Income</t>
  </si>
  <si>
    <t>Profit before tax</t>
  </si>
  <si>
    <t>Tax expense</t>
  </si>
  <si>
    <t>Current tax</t>
  </si>
  <si>
    <t>Deferred tax</t>
  </si>
  <si>
    <t>Reported Current Tax - Total</t>
  </si>
  <si>
    <t>Income Taxes - Total</t>
  </si>
  <si>
    <t>PROFIT FOR THE PERIOD</t>
  </si>
  <si>
    <t>PROFIT FOR THE YEAR FROM CONTINUING OPERATIONS</t>
  </si>
  <si>
    <t>Discontinued operations (distribution of IBT) RESULT FROM DISCONTINUED OPERATIONS</t>
  </si>
  <si>
    <t>Extraordinary Items (after Tax)</t>
  </si>
  <si>
    <t>Non-controlling interests</t>
  </si>
  <si>
    <t>Minority interests</t>
  </si>
  <si>
    <t>owners of the Parent Company</t>
  </si>
  <si>
    <t>Comprehensive income for the period</t>
  </si>
  <si>
    <t>Balancing Item - Net income before extraordinary items applicable to Common</t>
  </si>
  <si>
    <t>Profit for the period</t>
  </si>
  <si>
    <t>Comprehensive income for the period attributable to owners of the Parent Company</t>
  </si>
  <si>
    <t>Gains/losses arising on translation of the statements of foreign operations</t>
  </si>
  <si>
    <t>Total Other Comprehensive Income - Net of Tax</t>
  </si>
  <si>
    <t>Comprehensive income for the period Earnings per share</t>
  </si>
  <si>
    <t>Earnings per share (SEK)</t>
  </si>
  <si>
    <t>Basic EPS Excluding Extra Ordinary Items</t>
  </si>
  <si>
    <t>Number of shares (thousands)</t>
  </si>
  <si>
    <t>Average number of shares (thousands)</t>
  </si>
  <si>
    <t>Depreciation of Financial Lease Right-of-Use Assets - Supplemental</t>
  </si>
  <si>
    <t>Diluted Net Income</t>
  </si>
  <si>
    <t>Diluted EPS Excluding Extra Ordinary Items</t>
  </si>
  <si>
    <t>Diluted Net Income excluding Extra Items applicable to Common - (Company Level)</t>
  </si>
  <si>
    <t>Net financing income/expense</t>
  </si>
  <si>
    <t>Depreciation &amp; Amortization</t>
  </si>
  <si>
    <t>Amortization of Other Intangibles excluding Goodwill - Supplemental</t>
  </si>
  <si>
    <t>Short-Term Lease Cost</t>
  </si>
  <si>
    <t>Amortization of Intangibles</t>
  </si>
  <si>
    <t>Leasing Expenses</t>
  </si>
  <si>
    <t>Rental Expenses</t>
  </si>
  <si>
    <t>Share of Associates</t>
  </si>
  <si>
    <t>Audit Fees</t>
  </si>
  <si>
    <t>Audit Related Fees</t>
  </si>
  <si>
    <t>Audit Advice</t>
  </si>
  <si>
    <t>Tax Fees</t>
  </si>
  <si>
    <t>Other Fees</t>
  </si>
  <si>
    <t>Selling, General &amp; Admin</t>
  </si>
  <si>
    <t>STAFF EXPENSES</t>
  </si>
  <si>
    <t>EQUITY A/C PROFITS</t>
  </si>
  <si>
    <t>Royalty Income</t>
  </si>
  <si>
    <t>Interest Expense on Financial Lease Liabilities - Supplemental</t>
  </si>
  <si>
    <t>Total Depreciation of Fixed Assets</t>
  </si>
  <si>
    <t>Auditor Fees - Total</t>
  </si>
  <si>
    <t>Total Depreciation &amp; Amortization (Combined)</t>
  </si>
  <si>
    <t>Total Amortization of Intangible Assets (Including Goodwill)</t>
  </si>
  <si>
    <t>Total Amortization of Intangible Assets (Excluding Goodwill)</t>
  </si>
  <si>
    <t>Impairment of Fixed Assets</t>
  </si>
  <si>
    <t>Acquisition Cost of Group Companies</t>
  </si>
  <si>
    <t>Impairment - ROU</t>
  </si>
  <si>
    <t>Impairment - Intangibles excluding Goodwill</t>
  </si>
  <si>
    <t>Impairment - Goodwill</t>
  </si>
  <si>
    <t>Restructuring Charges &amp; Provisions</t>
  </si>
  <si>
    <t>Items affecting comparability</t>
  </si>
  <si>
    <t>Non-GAAP Income from Operations</t>
  </si>
  <si>
    <t>Operating margin</t>
  </si>
  <si>
    <t>Average number of shares before dilution,</t>
  </si>
  <si>
    <t>Average number of shares after dilution,</t>
  </si>
  <si>
    <t>Basic EPS - Net Inc Including Extra Items Applicable to Common - (Instrument Level)</t>
  </si>
  <si>
    <t>Diluted EPS - Net Inc Including Extra Items Applicable to Common - (Instrument Level)</t>
  </si>
  <si>
    <t>Diluted EPS - Net Income Excluding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</si>
  <si>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</si>
  <si>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</si>
  <si>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Diluted Net Income excluding Extra Items applicable to Common - (Instrument Level)</t>
  </si>
  <si>
    <t>Basic EPS -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</si>
  <si>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</si>
  <si>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</si>
  <si>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</si>
  <si>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</si>
  <si>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</si>
  <si>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</si>
  <si>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Current assets excl cash and cash equivalents</t>
  </si>
  <si>
    <t>Inventories</t>
  </si>
  <si>
    <t>Raw materials and consumables</t>
  </si>
  <si>
    <t>Finished goods and goods for resale</t>
  </si>
  <si>
    <t>Accounts receivable</t>
  </si>
  <si>
    <t>Accounts receivables</t>
  </si>
  <si>
    <t>Provision Doubtful Account</t>
  </si>
  <si>
    <t>Trade receivables - Balancing value</t>
  </si>
  <si>
    <t>Other receivables</t>
  </si>
  <si>
    <t>Current tax assets</t>
  </si>
  <si>
    <t>VAT refund</t>
  </si>
  <si>
    <t>Deferred expenses and accrued income</t>
  </si>
  <si>
    <t>Accrued Income</t>
  </si>
  <si>
    <t>Prepaid rents</t>
  </si>
  <si>
    <t>Other deferred expenses</t>
  </si>
  <si>
    <t>Deferred expenses and accrued income - Balancing value</t>
  </si>
  <si>
    <t>Short-term investments</t>
  </si>
  <si>
    <t>Cash and cash equivalents</t>
  </si>
  <si>
    <t>Receivables, Associates</t>
  </si>
  <si>
    <t>Balancing Item - Current Assets</t>
  </si>
  <si>
    <t>Total current assets</t>
  </si>
  <si>
    <t>Shares in associates</t>
  </si>
  <si>
    <t>L/T Receivable</t>
  </si>
  <si>
    <t>Acc Amortization /Imp Intangible Assets - Total</t>
  </si>
  <si>
    <t>Total Intangible Assets, Gross</t>
  </si>
  <si>
    <t>Intangible assets</t>
  </si>
  <si>
    <t>Capitalized development Expenditure, Gross</t>
  </si>
  <si>
    <t>Acc Amortization /Imp Capitalized development Expenditure</t>
  </si>
  <si>
    <t>Research and development project in progress</t>
  </si>
  <si>
    <t>Goodwill</t>
  </si>
  <si>
    <t>Deposits</t>
  </si>
  <si>
    <t>Total Property/Plant/Equipment, Gross</t>
  </si>
  <si>
    <t>Acc Depreciation /Imp of Property/Plant/Equipment</t>
  </si>
  <si>
    <t>Property, Plant and equipment</t>
  </si>
  <si>
    <t>Land and buildings - Net</t>
  </si>
  <si>
    <t>Land and buildings - Gross</t>
  </si>
  <si>
    <t>Land and buildings - Accumulated Depreciation</t>
  </si>
  <si>
    <t>Land and buildings - Net - Balancing value</t>
  </si>
  <si>
    <t>Land &amp; Buildings - Balancing value</t>
  </si>
  <si>
    <t>Production Equip</t>
  </si>
  <si>
    <t>Acc Depreciation /Imp Plant/Machinery/Equipment</t>
  </si>
  <si>
    <t>Plant/Machinery/Equipment, Net - Balancing value</t>
  </si>
  <si>
    <t>Work in Progress</t>
  </si>
  <si>
    <t>Office Equipment Gross</t>
  </si>
  <si>
    <t>Acc Depreciation /Imp Office Equipment</t>
  </si>
  <si>
    <t>Plant &amp; Machinery , Net</t>
  </si>
  <si>
    <t>Property, Plant and equipment - Balancing value</t>
  </si>
  <si>
    <t>Financial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</si>
  <si>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</si>
  <si>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</si>
  <si>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</si>
  <si>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</si>
  <si>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Research/Development</t>
  </si>
  <si>
    <t>Deferred tax assets</t>
  </si>
  <si>
    <t>Total Tangible Assets, Net</t>
  </si>
  <si>
    <t>Total Intangible Assets, Net</t>
  </si>
  <si>
    <t>Total non-current assets</t>
  </si>
  <si>
    <t>Balancing Item - Assets</t>
  </si>
  <si>
    <t>Total Assets</t>
  </si>
  <si>
    <t>Prepayments from customers</t>
  </si>
  <si>
    <t>Accounts payable</t>
  </si>
  <si>
    <t>Other liabilities</t>
  </si>
  <si>
    <t>Capitalized Leases - Current Portion</t>
  </si>
  <si>
    <t>Interest-free current liabilities - Balancing value</t>
  </si>
  <si>
    <t>Adjustment</t>
  </si>
  <si>
    <t>Current liabilities</t>
  </si>
  <si>
    <t>Accrued expenses and deferred income</t>
  </si>
  <si>
    <t>Accrued holiday pay</t>
  </si>
  <si>
    <t>Accrued social security expenses</t>
  </si>
  <si>
    <t>Other Provisions</t>
  </si>
  <si>
    <t>Current tax liabilities</t>
  </si>
  <si>
    <t>Bank Loans</t>
  </si>
  <si>
    <t>Associate Company</t>
  </si>
  <si>
    <t>Total current liabilities</t>
  </si>
  <si>
    <t>LT Overdrafts</t>
  </si>
  <si>
    <t>Deferred tax liability</t>
  </si>
  <si>
    <t>Non-current liabilities</t>
  </si>
  <si>
    <t>Non-Current Liability related to acquisition of MetaboGen</t>
  </si>
  <si>
    <t>Non-current liabilities - Balancing value</t>
  </si>
  <si>
    <t>Balancing Item - Liabilities</t>
  </si>
  <si>
    <t>Total non-current liabilities Total current assets</t>
  </si>
  <si>
    <t>Total liabilities</t>
  </si>
  <si>
    <t>Share Capital</t>
  </si>
  <si>
    <t>Foreign currency translation reserve</t>
  </si>
  <si>
    <t>Other contributed capital</t>
  </si>
  <si>
    <t>Statutory Reserves</t>
  </si>
  <si>
    <t>Retained earnings</t>
  </si>
  <si>
    <t>Contributed capital other</t>
  </si>
  <si>
    <t>Retained earnings - Balancing value</t>
  </si>
  <si>
    <t>Profit for the year attributable to owners of the Parent Company</t>
  </si>
  <si>
    <t>Balancing Item - Shareholders Equity</t>
  </si>
  <si>
    <t>Equity attributable to owners of the Parent Company</t>
  </si>
  <si>
    <t>Non-controlling Interests</t>
  </si>
  <si>
    <t>Balancing Item - Total Equity</t>
  </si>
  <si>
    <t>Total non-controlling interests</t>
  </si>
  <si>
    <t>Total equity</t>
  </si>
  <si>
    <t>Balancing Item - Total Liability and Equity</t>
  </si>
  <si>
    <t>Total liabilities and equity</t>
  </si>
  <si>
    <t>Common Shares Issued - (Company Level)</t>
  </si>
  <si>
    <t>Total Equivalent No of Common Shares O/S</t>
  </si>
  <si>
    <t>Reported Total LT Debt, Supplemental</t>
  </si>
  <si>
    <t>Debt due within 1-5 years</t>
  </si>
  <si>
    <t>Debt due within 1 year</t>
  </si>
  <si>
    <t>S/O-Ordinary Shares B</t>
  </si>
  <si>
    <t>Asset Allocation Factor - (Instrument Level)</t>
  </si>
  <si>
    <t>Common Shares Issued - (Instrument Level)</t>
  </si>
  <si>
    <t>S/O-Ordinary Shares A</t>
  </si>
  <si>
    <t>Company Fundamentals - Cash Flow</t>
  </si>
  <si>
    <t>Industrial - Indirect</t>
  </si>
  <si>
    <t>Cash Flow - Company Specific (Currency: Norwegian Krone)</t>
  </si>
  <si>
    <t>Impairment - Property, Plant &amp; Equipment including Intangible Assets - Cash Flow - to Reconcile</t>
  </si>
  <si>
    <t>Forward exchange contracts</t>
  </si>
  <si>
    <t>Revaluation of former associate shareholding in MetaboGen</t>
  </si>
  <si>
    <t>Provisions</t>
  </si>
  <si>
    <t>Realized Forward Exchange Contracts</t>
  </si>
  <si>
    <t>Cash flow from operating activities before changes in working capital</t>
  </si>
  <si>
    <t>Depreci ation/amortization</t>
  </si>
  <si>
    <t>Other non-cash items</t>
  </si>
  <si>
    <t>Share in profit of associates</t>
  </si>
  <si>
    <t>Interest received and paid</t>
  </si>
  <si>
    <t>Interest Received</t>
  </si>
  <si>
    <t>Interest Paid</t>
  </si>
  <si>
    <t>Taxes paid</t>
  </si>
  <si>
    <t>Research and development expenses Share of profit of asociates</t>
  </si>
  <si>
    <t>Capital gains/losses on the sale of non-current assets</t>
  </si>
  <si>
    <t>Capital gains/losses on the sale of shares</t>
  </si>
  <si>
    <t>Changes in working capital</t>
  </si>
  <si>
    <t>Current receivables</t>
  </si>
  <si>
    <t>Current interest-free operating liabilities</t>
  </si>
  <si>
    <t>Cash flow from operating activities Investing activities</t>
  </si>
  <si>
    <t>Cash flow from investing activities</t>
  </si>
  <si>
    <t>Purchase of intangible assets</t>
  </si>
  <si>
    <t>Sale of equipment</t>
  </si>
  <si>
    <t>Acquisition of property, plant and equipment</t>
  </si>
  <si>
    <t>Acquisitions of subsidiaries</t>
  </si>
  <si>
    <t>Sale of property, plant and equipment</t>
  </si>
  <si>
    <t>Reduction of long-term receivables</t>
  </si>
  <si>
    <t>Acquisition of fnancial assets</t>
  </si>
  <si>
    <t>ST Investments</t>
  </si>
  <si>
    <t>Cash flow from investing activities Financing activities</t>
  </si>
  <si>
    <t>Distribution of shares in IBT</t>
  </si>
  <si>
    <t>Provision to Foundation</t>
  </si>
  <si>
    <t>Dividend</t>
  </si>
  <si>
    <t>Repayment of lease liability</t>
  </si>
  <si>
    <t>Formation of Biogaia Pharma</t>
  </si>
  <si>
    <t>New share issue</t>
  </si>
  <si>
    <t>Repurchase of warrants</t>
  </si>
  <si>
    <t>Repayment of loans from subsidiaries</t>
  </si>
  <si>
    <t>Cash flow from financing activities</t>
  </si>
  <si>
    <t>Cash and cash equivalents at the beginning of the period</t>
  </si>
  <si>
    <t>Cash and cash equivalents at the end of the period</t>
  </si>
  <si>
    <t>Exchange difference in cash and cash equivalents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</si>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</sst>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46092.4045942361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40359.0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>
        <v>324.85</v>
      </c>
      <c r="N20" s="16">
        <v>281.56</v>
      </c>
      <c r="O20" s="16">
        <v>241.05</v>
      </c>
      <c r="P20" s="16">
        <v>261.1</v>
      </c>
      <c r="Q20" s="16">
        <v>192.31</v>
      </c>
      <c r="R20" s="16">
        <v>167.45</v>
      </c>
      <c r="S20" s="16">
        <v>124.18</v>
      </c>
      <c r="T20" s="17">
        <v>92.38</v>
      </c>
      <c r="U20" s="17">
        <v>75.52</v>
      </c>
      <c r="V20" s="17">
        <v>51.48</v>
      </c>
      <c r="W20" s="17">
        <v>37.11</v>
      </c>
    </row>
    <row r="21" ht="15.0" customHeight="1">
      <c r="A21" s="14" t="s">
        <v>73</v>
      </c>
      <c r="B21" s="16">
        <v>1629.17</v>
      </c>
      <c r="C21" s="16">
        <v>1446.9</v>
      </c>
      <c r="D21" s="16">
        <v>1290.38</v>
      </c>
      <c r="E21" s="16">
        <v>1048.92</v>
      </c>
      <c r="F21" s="16">
        <v>786.84</v>
      </c>
      <c r="G21" s="16">
        <v>764.62</v>
      </c>
      <c r="H21" s="16">
        <v>715.01</v>
      </c>
      <c r="I21" s="16">
        <v>694.74</v>
      </c>
      <c r="J21" s="16">
        <v>595.54</v>
      </c>
      <c r="K21" s="16">
        <v>449.53</v>
      </c>
      <c r="L21" s="16">
        <v>423.14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7">
        <v>75.52</v>
      </c>
      <c r="L22" s="17">
        <v>38.89</v>
      </c>
      <c r="M22" s="17">
        <v>30.1</v>
      </c>
      <c r="N22" s="17">
        <v>3.53</v>
      </c>
      <c r="O22" s="17">
        <v>7.53</v>
      </c>
      <c r="P22" s="17">
        <v>10.95</v>
      </c>
      <c r="Q22" s="17">
        <v>5.91</v>
      </c>
      <c r="R22" s="15"/>
      <c r="S22" s="15"/>
      <c r="T22" s="15"/>
      <c r="U22" s="15"/>
      <c r="V22" s="15"/>
      <c r="W22" s="15"/>
    </row>
    <row r="23" ht="15.0" customHeight="1">
      <c r="A23" s="14" t="s">
        <v>75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7">
        <v>87.63</v>
      </c>
      <c r="N23" s="15">
        <v>0.0</v>
      </c>
      <c r="O23" s="16">
        <v>305.96</v>
      </c>
      <c r="P23" s="15">
        <v>0.0</v>
      </c>
      <c r="Q23" s="15"/>
      <c r="R23" s="15"/>
      <c r="S23" s="15"/>
      <c r="T23" s="15"/>
      <c r="U23" s="15"/>
      <c r="V23" s="15"/>
      <c r="W23" s="15"/>
    </row>
    <row r="24" ht="15.0" customHeight="1">
      <c r="A24" s="18" t="s">
        <v>76</v>
      </c>
      <c r="B24" s="19">
        <v>1629.17</v>
      </c>
      <c r="C24" s="19">
        <v>1446.9</v>
      </c>
      <c r="D24" s="19">
        <v>1290.38</v>
      </c>
      <c r="E24" s="19">
        <v>1048.92</v>
      </c>
      <c r="F24" s="19">
        <v>786.84</v>
      </c>
      <c r="G24" s="19">
        <v>764.62</v>
      </c>
      <c r="H24" s="19">
        <v>715.01</v>
      </c>
      <c r="I24" s="19">
        <v>694.74</v>
      </c>
      <c r="J24" s="19">
        <v>595.54</v>
      </c>
      <c r="K24" s="19">
        <v>525.05</v>
      </c>
      <c r="L24" s="19">
        <v>462.03</v>
      </c>
      <c r="M24" s="19">
        <v>442.57</v>
      </c>
      <c r="N24" s="19">
        <v>285.08</v>
      </c>
      <c r="O24" s="19">
        <v>554.54</v>
      </c>
      <c r="P24" s="19">
        <v>272.06</v>
      </c>
      <c r="Q24" s="19">
        <v>198.22</v>
      </c>
      <c r="R24" s="19">
        <v>167.45</v>
      </c>
      <c r="S24" s="19">
        <v>124.18</v>
      </c>
      <c r="T24" s="20">
        <v>92.38</v>
      </c>
      <c r="U24" s="20">
        <v>75.52</v>
      </c>
      <c r="V24" s="20">
        <v>51.48</v>
      </c>
      <c r="W24" s="20">
        <v>37.11</v>
      </c>
    </row>
    <row r="25" ht="15.0" customHeight="1">
      <c r="A25" s="14" t="s">
        <v>77</v>
      </c>
      <c r="B25" s="16">
        <v>433.82</v>
      </c>
      <c r="C25" s="16">
        <v>398.64</v>
      </c>
      <c r="D25" s="16">
        <v>344.68</v>
      </c>
      <c r="E25" s="16">
        <v>286.97</v>
      </c>
      <c r="F25" s="16">
        <v>202.61</v>
      </c>
      <c r="G25" s="16">
        <v>204.86</v>
      </c>
      <c r="H25" s="16">
        <v>190.16</v>
      </c>
      <c r="I25" s="16">
        <v>174.14</v>
      </c>
      <c r="J25" s="16">
        <v>146.85</v>
      </c>
      <c r="K25" s="16">
        <v>144.24</v>
      </c>
      <c r="L25" s="16">
        <v>140.22</v>
      </c>
      <c r="M25" s="16">
        <v>120.64</v>
      </c>
      <c r="N25" s="17">
        <v>91.8</v>
      </c>
      <c r="O25" s="17">
        <v>75.78</v>
      </c>
      <c r="P25" s="17">
        <v>85.27</v>
      </c>
      <c r="Q25" s="17">
        <v>64.79</v>
      </c>
      <c r="R25" s="17">
        <v>56.09</v>
      </c>
      <c r="S25" s="17">
        <v>41.26</v>
      </c>
      <c r="T25" s="17">
        <v>30.44</v>
      </c>
      <c r="U25" s="17">
        <v>24.05</v>
      </c>
      <c r="V25" s="17">
        <v>18.05</v>
      </c>
      <c r="W25" s="17">
        <v>14.35</v>
      </c>
    </row>
    <row r="26" ht="15.0" customHeight="1">
      <c r="A26" s="14" t="s">
        <v>78</v>
      </c>
      <c r="B26" s="15"/>
      <c r="C26" s="16">
        <v>388.62</v>
      </c>
      <c r="D26" s="16">
        <v>336.43</v>
      </c>
      <c r="E26" s="16">
        <v>278.4</v>
      </c>
      <c r="F26" s="16">
        <v>193.7</v>
      </c>
      <c r="G26" s="16">
        <v>197.73</v>
      </c>
      <c r="H26" s="16">
        <v>184.8</v>
      </c>
      <c r="I26" s="16">
        <v>168.9</v>
      </c>
      <c r="J26" s="16">
        <v>142.09</v>
      </c>
      <c r="K26" s="16">
        <v>139.19</v>
      </c>
      <c r="L26" s="16">
        <v>136.17</v>
      </c>
      <c r="M26" s="16">
        <v>117.62</v>
      </c>
      <c r="N26" s="17">
        <v>89.08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7">
        <v>10.01</v>
      </c>
      <c r="D27" s="17">
        <v>8.25</v>
      </c>
      <c r="E27" s="17">
        <v>8.57</v>
      </c>
      <c r="F27" s="17">
        <v>8.91</v>
      </c>
      <c r="G27" s="17">
        <v>7.13</v>
      </c>
      <c r="H27" s="17">
        <v>5.36</v>
      </c>
      <c r="I27" s="17">
        <v>5.25</v>
      </c>
      <c r="J27" s="17">
        <v>4.76</v>
      </c>
      <c r="K27" s="17">
        <v>5.05</v>
      </c>
      <c r="L27" s="17">
        <v>4.05</v>
      </c>
      <c r="M27" s="17">
        <v>3.03</v>
      </c>
      <c r="N27" s="17">
        <v>2.71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8" t="s">
        <v>80</v>
      </c>
      <c r="B28" s="19">
        <v>433.82</v>
      </c>
      <c r="C28" s="19">
        <v>398.64</v>
      </c>
      <c r="D28" s="19">
        <v>344.68</v>
      </c>
      <c r="E28" s="19">
        <v>286.97</v>
      </c>
      <c r="F28" s="19">
        <v>202.61</v>
      </c>
      <c r="G28" s="19">
        <v>204.86</v>
      </c>
      <c r="H28" s="19">
        <v>190.16</v>
      </c>
      <c r="I28" s="19">
        <v>174.14</v>
      </c>
      <c r="J28" s="19">
        <v>146.85</v>
      </c>
      <c r="K28" s="19">
        <v>144.24</v>
      </c>
      <c r="L28" s="19">
        <v>140.22</v>
      </c>
      <c r="M28" s="19">
        <v>120.64</v>
      </c>
      <c r="N28" s="20">
        <v>91.8</v>
      </c>
      <c r="O28" s="20">
        <v>75.78</v>
      </c>
      <c r="P28" s="20">
        <v>85.27</v>
      </c>
      <c r="Q28" s="21"/>
      <c r="R28" s="21"/>
      <c r="S28" s="21"/>
      <c r="T28" s="21"/>
      <c r="U28" s="21"/>
      <c r="V28" s="21"/>
      <c r="W28" s="21"/>
    </row>
    <row r="29" ht="15.0" customHeight="1">
      <c r="A29" s="18" t="s">
        <v>81</v>
      </c>
      <c r="B29" s="19">
        <v>1195.35</v>
      </c>
      <c r="C29" s="19">
        <v>1048.26</v>
      </c>
      <c r="D29" s="19">
        <v>945.7</v>
      </c>
      <c r="E29" s="19">
        <v>761.95</v>
      </c>
      <c r="F29" s="19">
        <v>584.24</v>
      </c>
      <c r="G29" s="19">
        <v>559.76</v>
      </c>
      <c r="H29" s="19">
        <v>524.85</v>
      </c>
      <c r="I29" s="19">
        <v>520.6</v>
      </c>
      <c r="J29" s="19">
        <v>448.68</v>
      </c>
      <c r="K29" s="19">
        <v>380.81</v>
      </c>
      <c r="L29" s="19">
        <v>321.81</v>
      </c>
      <c r="M29" s="19">
        <v>321.93</v>
      </c>
      <c r="N29" s="19">
        <v>193.29</v>
      </c>
      <c r="O29" s="19">
        <v>478.76</v>
      </c>
      <c r="P29" s="19">
        <v>186.79</v>
      </c>
      <c r="Q29" s="21"/>
      <c r="R29" s="21"/>
      <c r="S29" s="21"/>
      <c r="T29" s="21"/>
      <c r="U29" s="21"/>
      <c r="V29" s="21"/>
      <c r="W29" s="21"/>
    </row>
    <row r="30" ht="15.0" customHeight="1">
      <c r="A30" s="14" t="s">
        <v>82</v>
      </c>
      <c r="B30" s="16">
        <v>543.6</v>
      </c>
      <c r="C30" s="16">
        <v>429.84</v>
      </c>
      <c r="D30" s="16">
        <v>361.54</v>
      </c>
      <c r="E30" s="16">
        <v>304.8</v>
      </c>
      <c r="F30" s="16">
        <v>192.86</v>
      </c>
      <c r="G30" s="16">
        <v>175.66</v>
      </c>
      <c r="H30" s="16">
        <v>171.53</v>
      </c>
      <c r="I30" s="16">
        <v>143.38</v>
      </c>
      <c r="J30" s="16">
        <v>123.09</v>
      </c>
      <c r="K30" s="16">
        <v>106.16</v>
      </c>
      <c r="L30" s="17">
        <v>89.62</v>
      </c>
      <c r="M30" s="17">
        <v>82.45</v>
      </c>
      <c r="N30" s="17">
        <v>71.66</v>
      </c>
      <c r="O30" s="17">
        <v>66.49</v>
      </c>
      <c r="P30" s="17">
        <v>57.07</v>
      </c>
      <c r="Q30" s="17">
        <v>50.5</v>
      </c>
      <c r="R30" s="17">
        <v>43.54</v>
      </c>
      <c r="S30" s="17">
        <v>37.31</v>
      </c>
      <c r="T30" s="17">
        <v>32.71</v>
      </c>
      <c r="U30" s="17">
        <v>26.88</v>
      </c>
      <c r="V30" s="17">
        <v>23.36</v>
      </c>
      <c r="W30" s="17">
        <v>26.45</v>
      </c>
    </row>
    <row r="31" ht="15.0" customHeight="1">
      <c r="A31" s="14" t="s">
        <v>83</v>
      </c>
      <c r="B31" s="15"/>
      <c r="C31" s="17">
        <v>2.89</v>
      </c>
      <c r="D31" s="17">
        <v>3.09</v>
      </c>
      <c r="E31" s="17">
        <v>1.61</v>
      </c>
      <c r="F31" s="17">
        <v>1.1</v>
      </c>
      <c r="G31" s="17">
        <v>0.98</v>
      </c>
      <c r="H31" s="17">
        <v>1.4</v>
      </c>
      <c r="I31" s="17">
        <v>0.47</v>
      </c>
      <c r="J31" s="17">
        <v>0.94</v>
      </c>
      <c r="K31" s="17">
        <v>1.2</v>
      </c>
      <c r="L31" s="17">
        <v>1.21</v>
      </c>
      <c r="M31" s="17">
        <v>1.44</v>
      </c>
      <c r="N31" s="17">
        <v>1.69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6">
        <v>426.95</v>
      </c>
      <c r="D32" s="16">
        <v>358.45</v>
      </c>
      <c r="E32" s="16">
        <v>303.19</v>
      </c>
      <c r="F32" s="16">
        <v>191.76</v>
      </c>
      <c r="G32" s="16">
        <v>174.68</v>
      </c>
      <c r="H32" s="16">
        <v>170.13</v>
      </c>
      <c r="I32" s="16">
        <v>142.91</v>
      </c>
      <c r="J32" s="16">
        <v>122.15</v>
      </c>
      <c r="K32" s="16">
        <v>104.95</v>
      </c>
      <c r="L32" s="17">
        <v>88.41</v>
      </c>
      <c r="M32" s="17">
        <v>81.01</v>
      </c>
      <c r="N32" s="17">
        <v>69.97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7">
        <v>50.47</v>
      </c>
      <c r="C33" s="17">
        <v>42.33</v>
      </c>
      <c r="D33" s="17">
        <v>39.06</v>
      </c>
      <c r="E33" s="17">
        <v>37.83</v>
      </c>
      <c r="F33" s="17">
        <v>42.64</v>
      </c>
      <c r="G33" s="17">
        <v>26.74</v>
      </c>
      <c r="H33" s="17">
        <v>22.9</v>
      </c>
      <c r="I33" s="17">
        <v>25.9</v>
      </c>
      <c r="J33" s="17">
        <v>21.36</v>
      </c>
      <c r="K33" s="17">
        <v>20.52</v>
      </c>
      <c r="L33" s="17">
        <v>17.66</v>
      </c>
      <c r="M33" s="17">
        <v>16.23</v>
      </c>
      <c r="N33" s="17">
        <v>12.96</v>
      </c>
      <c r="O33" s="17">
        <v>11.54</v>
      </c>
      <c r="P33" s="17">
        <v>11.24</v>
      </c>
      <c r="Q33" s="17">
        <v>8.13</v>
      </c>
      <c r="R33" s="17">
        <v>7.4</v>
      </c>
      <c r="S33" s="17">
        <v>7.01</v>
      </c>
      <c r="T33" s="17">
        <v>6.49</v>
      </c>
      <c r="U33" s="17">
        <v>5.96</v>
      </c>
      <c r="V33" s="17">
        <v>6.67</v>
      </c>
      <c r="W33" s="17">
        <v>7.29</v>
      </c>
    </row>
    <row r="34" ht="15.0" customHeight="1">
      <c r="A34" s="14" t="s">
        <v>86</v>
      </c>
      <c r="B34" s="15"/>
      <c r="C34" s="17">
        <v>0.71</v>
      </c>
      <c r="D34" s="17">
        <v>0.73</v>
      </c>
      <c r="E34" s="17">
        <v>0.63</v>
      </c>
      <c r="F34" s="17">
        <v>0.66</v>
      </c>
      <c r="G34" s="17">
        <v>0.53</v>
      </c>
      <c r="H34" s="17">
        <v>0.35</v>
      </c>
      <c r="I34" s="17">
        <v>0.44</v>
      </c>
      <c r="J34" s="17">
        <v>0.41</v>
      </c>
      <c r="K34" s="17">
        <v>0.44</v>
      </c>
      <c r="L34" s="17">
        <v>0.48</v>
      </c>
      <c r="M34" s="17">
        <v>0.48</v>
      </c>
      <c r="N34" s="17">
        <v>0.34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17">
        <v>41.62</v>
      </c>
      <c r="D35" s="17">
        <v>38.33</v>
      </c>
      <c r="E35" s="17">
        <v>37.2</v>
      </c>
      <c r="F35" s="17">
        <v>41.98</v>
      </c>
      <c r="G35" s="17">
        <v>26.21</v>
      </c>
      <c r="H35" s="17">
        <v>22.55</v>
      </c>
      <c r="I35" s="17">
        <v>25.45</v>
      </c>
      <c r="J35" s="17">
        <v>20.96</v>
      </c>
      <c r="K35" s="17">
        <v>20.08</v>
      </c>
      <c r="L35" s="17">
        <v>17.18</v>
      </c>
      <c r="M35" s="17">
        <v>16.7</v>
      </c>
      <c r="N35" s="17">
        <v>12.62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22">
        <v>-0.95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6">
        <v>122.57</v>
      </c>
      <c r="C37" s="16">
        <v>159.77</v>
      </c>
      <c r="D37" s="16">
        <v>106.27</v>
      </c>
      <c r="E37" s="16">
        <v>101.48</v>
      </c>
      <c r="F37" s="16">
        <v>105.7</v>
      </c>
      <c r="G37" s="16">
        <v>107.12</v>
      </c>
      <c r="H37" s="17">
        <v>97.76</v>
      </c>
      <c r="I37" s="17">
        <v>93.41</v>
      </c>
      <c r="J37" s="17">
        <v>73.3</v>
      </c>
      <c r="K37" s="17">
        <v>62.64</v>
      </c>
      <c r="L37" s="17">
        <v>50.94</v>
      </c>
      <c r="M37" s="17">
        <v>49.48</v>
      </c>
      <c r="N37" s="17">
        <v>36.6</v>
      </c>
      <c r="O37" s="17">
        <v>30.76</v>
      </c>
      <c r="P37" s="17">
        <v>29.64</v>
      </c>
      <c r="Q37" s="17">
        <v>23.46</v>
      </c>
      <c r="R37" s="17">
        <v>22.22</v>
      </c>
      <c r="S37" s="17">
        <v>19.7</v>
      </c>
      <c r="T37" s="17">
        <v>15.55</v>
      </c>
      <c r="U37" s="17">
        <v>16.32</v>
      </c>
      <c r="V37" s="17">
        <v>21.15</v>
      </c>
      <c r="W37" s="17">
        <v>14.95</v>
      </c>
    </row>
    <row r="38" ht="15.0" customHeight="1">
      <c r="A38" s="14" t="s">
        <v>88</v>
      </c>
      <c r="B38" s="15"/>
      <c r="C38" s="17">
        <v>3.33</v>
      </c>
      <c r="D38" s="17">
        <v>2.38</v>
      </c>
      <c r="E38" s="17">
        <v>2.69</v>
      </c>
      <c r="F38" s="17">
        <v>2.61</v>
      </c>
      <c r="G38" s="17">
        <v>1.87</v>
      </c>
      <c r="H38" s="17">
        <v>1.76</v>
      </c>
      <c r="I38" s="17">
        <v>0.9</v>
      </c>
      <c r="J38" s="17">
        <v>0.36</v>
      </c>
      <c r="K38" s="17">
        <v>0.26</v>
      </c>
      <c r="L38" s="17">
        <v>0.51</v>
      </c>
      <c r="M38" s="17">
        <v>0.25</v>
      </c>
      <c r="N38" s="17">
        <v>0.27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89</v>
      </c>
      <c r="B39" s="15"/>
      <c r="C39" s="16">
        <v>156.44</v>
      </c>
      <c r="D39" s="16">
        <v>103.9</v>
      </c>
      <c r="E39" s="17">
        <v>98.79</v>
      </c>
      <c r="F39" s="16">
        <v>103.09</v>
      </c>
      <c r="G39" s="16">
        <v>105.25</v>
      </c>
      <c r="H39" s="17">
        <v>96.0</v>
      </c>
      <c r="I39" s="17">
        <v>92.5</v>
      </c>
      <c r="J39" s="17">
        <v>72.94</v>
      </c>
      <c r="K39" s="17">
        <v>62.39</v>
      </c>
      <c r="L39" s="17">
        <v>50.43</v>
      </c>
      <c r="M39" s="17">
        <v>49.23</v>
      </c>
      <c r="N39" s="17">
        <v>36.34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7">
        <v>0.93</v>
      </c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7">
        <v>1.45</v>
      </c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5"/>
      <c r="D42" s="15"/>
      <c r="E42" s="15"/>
      <c r="F42" s="15"/>
      <c r="G42" s="15"/>
      <c r="H42" s="15">
        <v>0.0</v>
      </c>
      <c r="I42" s="17">
        <v>0.47</v>
      </c>
      <c r="J42" s="17">
        <v>0.79</v>
      </c>
      <c r="K42" s="17">
        <v>1.16</v>
      </c>
      <c r="L42" s="17">
        <v>0.06</v>
      </c>
      <c r="M42" s="15"/>
      <c r="N42" s="15"/>
      <c r="O42" s="15"/>
      <c r="P42" s="15"/>
      <c r="Q42" s="22">
        <v>-1.01</v>
      </c>
      <c r="R42" s="22">
        <v>-0.49</v>
      </c>
      <c r="S42" s="17">
        <v>0.29</v>
      </c>
      <c r="T42" s="17">
        <v>0.96</v>
      </c>
      <c r="U42" s="17">
        <v>0.6</v>
      </c>
      <c r="V42" s="17">
        <v>0.83</v>
      </c>
      <c r="W42" s="17">
        <v>0.74</v>
      </c>
    </row>
    <row r="43" ht="15.0" customHeight="1">
      <c r="A43" s="14" t="s">
        <v>93</v>
      </c>
      <c r="B43" s="17">
        <v>41.84</v>
      </c>
      <c r="C43" s="17">
        <v>0.16</v>
      </c>
      <c r="D43" s="17">
        <v>0.03</v>
      </c>
      <c r="E43" s="17">
        <v>0.51</v>
      </c>
      <c r="F43" s="17">
        <v>0.37</v>
      </c>
      <c r="G43" s="17">
        <v>17.84</v>
      </c>
      <c r="H43" s="17">
        <v>6.98</v>
      </c>
      <c r="I43" s="17">
        <v>4.27</v>
      </c>
      <c r="J43" s="17">
        <v>3.7</v>
      </c>
      <c r="K43" s="15"/>
      <c r="L43" s="15"/>
      <c r="M43" s="15"/>
      <c r="N43" s="15"/>
      <c r="O43" s="15"/>
      <c r="P43" s="15"/>
      <c r="Q43" s="17">
        <v>2.72</v>
      </c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7">
        <v>0.16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>
        <v>0.0</v>
      </c>
      <c r="O45" s="17">
        <v>2.09</v>
      </c>
      <c r="P45" s="15">
        <v>0.0</v>
      </c>
      <c r="Q45" s="15"/>
      <c r="R45" s="15">
        <v>0.0</v>
      </c>
      <c r="S45" s="15"/>
      <c r="T45" s="15">
        <v>0.0</v>
      </c>
      <c r="U45" s="17">
        <v>0.38</v>
      </c>
      <c r="V45" s="15">
        <v>0.0</v>
      </c>
      <c r="W45" s="17">
        <v>0.27</v>
      </c>
    </row>
    <row r="46" ht="15.0" customHeight="1">
      <c r="A46" s="14" t="s">
        <v>96</v>
      </c>
      <c r="B46" s="15"/>
      <c r="C46" s="22">
        <v>-14.41</v>
      </c>
      <c r="D46" s="22">
        <v>-2.21</v>
      </c>
      <c r="E46" s="22">
        <v>-26.12</v>
      </c>
      <c r="F46" s="22">
        <v>-11.63</v>
      </c>
      <c r="G46" s="22">
        <v>-1.11</v>
      </c>
      <c r="H46" s="15"/>
      <c r="I46" s="15"/>
      <c r="J46" s="15">
        <v>0.0</v>
      </c>
      <c r="K46" s="22">
        <v>-5.51</v>
      </c>
      <c r="L46" s="22">
        <v>-1.7</v>
      </c>
      <c r="M46" s="22">
        <v>-7.08</v>
      </c>
      <c r="N46" s="22">
        <v>-1.62</v>
      </c>
      <c r="O46" s="15">
        <v>0.0</v>
      </c>
      <c r="P46" s="22">
        <v>-0.26</v>
      </c>
      <c r="Q46" s="15">
        <v>0.0</v>
      </c>
      <c r="R46" s="15"/>
      <c r="S46" s="22">
        <v>-3.47</v>
      </c>
      <c r="T46" s="22">
        <v>-1.47</v>
      </c>
      <c r="U46" s="22">
        <v>-0.02</v>
      </c>
      <c r="V46" s="22">
        <v>-0.7</v>
      </c>
      <c r="W46" s="22">
        <v>-0.53</v>
      </c>
    </row>
    <row r="47" ht="15.0" customHeight="1">
      <c r="A47" s="14" t="s">
        <v>97</v>
      </c>
      <c r="B47" s="15"/>
      <c r="C47" s="22">
        <v>-14.29</v>
      </c>
      <c r="D47" s="22">
        <v>-1.84</v>
      </c>
      <c r="E47" s="22">
        <v>-25.46</v>
      </c>
      <c r="F47" s="22">
        <v>-11.53</v>
      </c>
      <c r="G47" s="15"/>
      <c r="H47" s="15"/>
      <c r="I47" s="15"/>
      <c r="J47" s="15"/>
      <c r="K47" s="22">
        <v>-5.51</v>
      </c>
      <c r="L47" s="22">
        <v>-1.7</v>
      </c>
      <c r="M47" s="22">
        <v>-7.08</v>
      </c>
      <c r="N47" s="22">
        <v>-1.62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22">
        <v>-0.15</v>
      </c>
      <c r="F48" s="22">
        <v>-0.1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22">
        <v>-0.12</v>
      </c>
      <c r="D49" s="22">
        <v>-0.38</v>
      </c>
      <c r="E49" s="22">
        <v>-0.51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>
        <v>0.0</v>
      </c>
      <c r="U50" s="22">
        <v>-0.13</v>
      </c>
      <c r="V50" s="15"/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22">
        <v>-5.03</v>
      </c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>
        <v>0.0</v>
      </c>
      <c r="I52" s="22">
        <v>-6.56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8" t="s">
        <v>103</v>
      </c>
      <c r="B53" s="19">
        <v>758.48</v>
      </c>
      <c r="C53" s="19">
        <v>617.7</v>
      </c>
      <c r="D53" s="19">
        <v>504.69</v>
      </c>
      <c r="E53" s="19">
        <v>418.51</v>
      </c>
      <c r="F53" s="19">
        <v>329.94</v>
      </c>
      <c r="G53" s="19">
        <v>326.25</v>
      </c>
      <c r="H53" s="19">
        <v>299.17</v>
      </c>
      <c r="I53" s="19">
        <v>260.86</v>
      </c>
      <c r="J53" s="19">
        <v>222.25</v>
      </c>
      <c r="K53" s="19">
        <v>184.97</v>
      </c>
      <c r="L53" s="19">
        <v>156.6</v>
      </c>
      <c r="M53" s="19">
        <v>141.08</v>
      </c>
      <c r="N53" s="19">
        <v>119.59</v>
      </c>
      <c r="O53" s="19">
        <v>110.87</v>
      </c>
      <c r="P53" s="20">
        <v>97.69</v>
      </c>
      <c r="Q53" s="23">
        <v>-47.26</v>
      </c>
      <c r="R53" s="19">
        <v>123.74</v>
      </c>
      <c r="S53" s="23">
        <v>-22.1</v>
      </c>
      <c r="T53" s="23">
        <v>-7.7</v>
      </c>
      <c r="U53" s="23">
        <v>-1.49</v>
      </c>
      <c r="V53" s="20">
        <v>17.88</v>
      </c>
      <c r="W53" s="20">
        <v>26.41</v>
      </c>
    </row>
    <row r="54" ht="15.0" customHeight="1">
      <c r="A54" s="14" t="s">
        <v>104</v>
      </c>
      <c r="B54" s="15">
        <v>0.0</v>
      </c>
      <c r="C54" s="15"/>
      <c r="D54" s="15"/>
      <c r="E54" s="15"/>
      <c r="F54" s="24">
        <v>0.0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8" t="s">
        <v>105</v>
      </c>
      <c r="B55" s="19">
        <v>436.87</v>
      </c>
      <c r="C55" s="19">
        <v>430.57</v>
      </c>
      <c r="D55" s="19">
        <v>441.01</v>
      </c>
      <c r="E55" s="19">
        <v>343.44</v>
      </c>
      <c r="F55" s="19">
        <v>254.3</v>
      </c>
      <c r="G55" s="19">
        <v>233.51</v>
      </c>
      <c r="H55" s="19">
        <v>225.68</v>
      </c>
      <c r="I55" s="19">
        <v>259.74</v>
      </c>
      <c r="J55" s="19">
        <v>226.43</v>
      </c>
      <c r="K55" s="19">
        <v>195.84</v>
      </c>
      <c r="L55" s="19">
        <v>165.21</v>
      </c>
      <c r="M55" s="19">
        <v>180.85</v>
      </c>
      <c r="N55" s="20">
        <v>73.69</v>
      </c>
      <c r="O55" s="19">
        <v>367.89</v>
      </c>
      <c r="P55" s="20">
        <v>89.1</v>
      </c>
      <c r="Q55" s="20">
        <v>47.17</v>
      </c>
      <c r="R55" s="20">
        <v>43.71</v>
      </c>
      <c r="S55" s="20">
        <v>18.21</v>
      </c>
      <c r="T55" s="20">
        <v>7.63</v>
      </c>
      <c r="U55" s="20">
        <v>1.31</v>
      </c>
      <c r="V55" s="23">
        <v>-18.08</v>
      </c>
      <c r="W55" s="23">
        <v>-22.93</v>
      </c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>
        <v>0.0</v>
      </c>
      <c r="W56" s="22">
        <v>-3.67</v>
      </c>
    </row>
    <row r="57" ht="15.0" customHeight="1">
      <c r="A57" s="14" t="s">
        <v>107</v>
      </c>
      <c r="B57" s="15"/>
      <c r="C57" s="17">
        <v>40.04</v>
      </c>
      <c r="D57" s="17">
        <v>41.34</v>
      </c>
      <c r="E57" s="17">
        <v>86.98</v>
      </c>
      <c r="F57" s="17">
        <v>0.11</v>
      </c>
      <c r="G57" s="15"/>
      <c r="H57" s="17">
        <v>0.39</v>
      </c>
      <c r="I57" s="17">
        <v>0.6</v>
      </c>
      <c r="J57" s="17">
        <v>0.11</v>
      </c>
      <c r="K57" s="17">
        <v>1.4</v>
      </c>
      <c r="L57" s="17">
        <v>5.2</v>
      </c>
      <c r="M57" s="17">
        <v>2.19</v>
      </c>
      <c r="N57" s="17">
        <v>4.59</v>
      </c>
      <c r="O57" s="17">
        <v>12.24</v>
      </c>
      <c r="P57" s="17">
        <v>5.0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107</v>
      </c>
      <c r="B58" s="17">
        <v>18.22</v>
      </c>
      <c r="C58" s="17">
        <v>40.04</v>
      </c>
      <c r="D58" s="17">
        <v>41.34</v>
      </c>
      <c r="E58" s="17">
        <v>7.57</v>
      </c>
      <c r="F58" s="17">
        <v>0.11</v>
      </c>
      <c r="G58" s="17">
        <v>0.16</v>
      </c>
      <c r="H58" s="17">
        <v>0.39</v>
      </c>
      <c r="I58" s="17">
        <v>0.6</v>
      </c>
      <c r="J58" s="17">
        <v>0.11</v>
      </c>
      <c r="K58" s="17">
        <v>1.4</v>
      </c>
      <c r="L58" s="17">
        <v>0.32</v>
      </c>
      <c r="M58" s="17">
        <v>2.19</v>
      </c>
      <c r="N58" s="17">
        <v>4.59</v>
      </c>
      <c r="O58" s="17">
        <v>7.36</v>
      </c>
      <c r="P58" s="17">
        <v>2.82</v>
      </c>
      <c r="Q58" s="17">
        <v>0.92</v>
      </c>
      <c r="R58" s="15"/>
      <c r="S58" s="17">
        <v>2.35</v>
      </c>
      <c r="T58" s="17">
        <v>1.63</v>
      </c>
      <c r="U58" s="17">
        <v>1.09</v>
      </c>
      <c r="V58" s="17">
        <v>0.96</v>
      </c>
      <c r="W58" s="17">
        <v>1.61</v>
      </c>
    </row>
    <row r="59" ht="15.0" customHeight="1">
      <c r="A59" s="14" t="s">
        <v>108</v>
      </c>
      <c r="B59" s="15"/>
      <c r="C59" s="15"/>
      <c r="D59" s="15">
        <v>0.0</v>
      </c>
      <c r="E59" s="17">
        <v>79.41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15"/>
      <c r="E60" s="15"/>
      <c r="F60" s="15"/>
      <c r="G60" s="15"/>
      <c r="H60" s="15"/>
      <c r="I60" s="15"/>
      <c r="J60" s="15"/>
      <c r="K60" s="15">
        <v>0.0</v>
      </c>
      <c r="L60" s="17">
        <v>4.88</v>
      </c>
      <c r="M60" s="15"/>
      <c r="N60" s="15">
        <v>0.0</v>
      </c>
      <c r="O60" s="17">
        <v>4.88</v>
      </c>
      <c r="P60" s="17">
        <v>2.18</v>
      </c>
      <c r="Q60" s="17">
        <v>10.44</v>
      </c>
      <c r="R60" s="15"/>
      <c r="S60" s="15">
        <v>0.0</v>
      </c>
      <c r="T60" s="15"/>
      <c r="U60" s="15"/>
      <c r="V60" s="15"/>
      <c r="W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2">
        <v>-0.07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111</v>
      </c>
      <c r="B62" s="22">
        <v>-8.95</v>
      </c>
      <c r="C62" s="22">
        <v>-15.18</v>
      </c>
      <c r="D62" s="22">
        <v>-15.73</v>
      </c>
      <c r="E62" s="22">
        <v>-5.12</v>
      </c>
      <c r="F62" s="22">
        <v>-1.13</v>
      </c>
      <c r="G62" s="22">
        <v>-0.74</v>
      </c>
      <c r="H62" s="22">
        <v>-0.62</v>
      </c>
      <c r="I62" s="22">
        <v>-0.38</v>
      </c>
      <c r="J62" s="22">
        <v>-1.0</v>
      </c>
      <c r="K62" s="22">
        <v>-4.72</v>
      </c>
      <c r="L62" s="22">
        <v>-0.25</v>
      </c>
      <c r="M62" s="22">
        <v>-6.19</v>
      </c>
      <c r="N62" s="22">
        <v>-2.68</v>
      </c>
      <c r="O62" s="15"/>
      <c r="P62" s="22">
        <v>-0.07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15"/>
      <c r="C63" s="15"/>
      <c r="D63" s="15"/>
      <c r="E63" s="22">
        <v>-0.54</v>
      </c>
      <c r="F63" s="22">
        <v>-0.74</v>
      </c>
      <c r="G63" s="22">
        <v>-0.59</v>
      </c>
      <c r="H63" s="22">
        <v>-0.59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15"/>
      <c r="C64" s="15"/>
      <c r="D64" s="15"/>
      <c r="E64" s="22">
        <v>-4.58</v>
      </c>
      <c r="F64" s="22">
        <v>-0.39</v>
      </c>
      <c r="G64" s="22">
        <v>-0.15</v>
      </c>
      <c r="H64" s="22">
        <v>-0.03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114</v>
      </c>
      <c r="B65" s="15"/>
      <c r="C65" s="22">
        <v>-1.47</v>
      </c>
      <c r="D65" s="22">
        <v>-0.81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115</v>
      </c>
      <c r="B66" s="22">
        <v>-2.53</v>
      </c>
      <c r="C66" s="22">
        <v>-13.71</v>
      </c>
      <c r="D66" s="22">
        <v>-14.92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113</v>
      </c>
      <c r="B67" s="22">
        <v>-6.42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111</v>
      </c>
      <c r="B68" s="15"/>
      <c r="C68" s="15"/>
      <c r="D68" s="15"/>
      <c r="E68" s="15"/>
      <c r="F68" s="15"/>
      <c r="G68" s="15"/>
      <c r="H68" s="15"/>
      <c r="I68" s="22">
        <v>-0.38</v>
      </c>
      <c r="J68" s="22">
        <v>-0.19</v>
      </c>
      <c r="K68" s="22">
        <v>-0.12</v>
      </c>
      <c r="L68" s="22">
        <v>-0.25</v>
      </c>
      <c r="M68" s="22">
        <v>-0.14</v>
      </c>
      <c r="N68" s="22">
        <v>-0.08</v>
      </c>
      <c r="O68" s="22">
        <v>-0.06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116</v>
      </c>
      <c r="B69" s="15"/>
      <c r="C69" s="15"/>
      <c r="D69" s="15"/>
      <c r="E69" s="15"/>
      <c r="F69" s="15"/>
      <c r="G69" s="15"/>
      <c r="H69" s="15"/>
      <c r="I69" s="15"/>
      <c r="J69" s="22">
        <v>-0.82</v>
      </c>
      <c r="K69" s="22">
        <v>-4.6</v>
      </c>
      <c r="L69" s="15">
        <v>0.0</v>
      </c>
      <c r="M69" s="22">
        <v>-6.06</v>
      </c>
      <c r="N69" s="22">
        <v>-2.6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>
        <v>0.0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7">
        <v>0.08</v>
      </c>
      <c r="R71" s="15"/>
      <c r="S71" s="17">
        <v>3.9</v>
      </c>
      <c r="T71" s="17">
        <v>0.06</v>
      </c>
      <c r="U71" s="17">
        <v>0.04</v>
      </c>
      <c r="V71" s="17">
        <v>0.04</v>
      </c>
      <c r="W71" s="17">
        <v>0.02</v>
      </c>
    </row>
    <row r="72" ht="15.0" customHeight="1">
      <c r="A72" s="14" t="s">
        <v>118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>
        <v>0.0</v>
      </c>
      <c r="T72" s="17">
        <v>0.01</v>
      </c>
      <c r="U72" s="17">
        <v>0.14</v>
      </c>
      <c r="V72" s="17">
        <v>0.16</v>
      </c>
      <c r="W72" s="17">
        <v>0.18</v>
      </c>
    </row>
    <row r="73" ht="15.0" customHeight="1">
      <c r="A73" s="14" t="s">
        <v>107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22">
        <v>-11.35</v>
      </c>
      <c r="R73" s="15"/>
      <c r="S73" s="22">
        <v>-2.35</v>
      </c>
      <c r="T73" s="22">
        <v>-1.63</v>
      </c>
      <c r="U73" s="22">
        <v>-1.09</v>
      </c>
      <c r="V73" s="22">
        <v>-0.96</v>
      </c>
      <c r="W73" s="22">
        <v>-5.28</v>
      </c>
    </row>
    <row r="74" ht="15.0" customHeight="1">
      <c r="A74" s="14" t="s">
        <v>119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2">
        <v>-22.7</v>
      </c>
      <c r="R74" s="15"/>
      <c r="S74" s="22">
        <v>-4.69</v>
      </c>
      <c r="T74" s="22">
        <v>-3.26</v>
      </c>
      <c r="U74" s="22">
        <v>-2.17</v>
      </c>
      <c r="V74" s="22">
        <v>-1.92</v>
      </c>
      <c r="W74" s="22">
        <v>-6.9</v>
      </c>
    </row>
    <row r="75" ht="15.0" customHeight="1">
      <c r="A75" s="18" t="s">
        <v>120</v>
      </c>
      <c r="B75" s="20">
        <v>9.27</v>
      </c>
      <c r="C75" s="20">
        <v>24.86</v>
      </c>
      <c r="D75" s="20">
        <v>25.61</v>
      </c>
      <c r="E75" s="20">
        <v>81.86</v>
      </c>
      <c r="F75" s="23">
        <v>-1.03</v>
      </c>
      <c r="G75" s="23">
        <v>-0.58</v>
      </c>
      <c r="H75" s="23">
        <v>-0.23</v>
      </c>
      <c r="I75" s="20">
        <v>0.22</v>
      </c>
      <c r="J75" s="23">
        <v>-0.89</v>
      </c>
      <c r="K75" s="23">
        <v>-3.32</v>
      </c>
      <c r="L75" s="20">
        <v>4.95</v>
      </c>
      <c r="M75" s="23">
        <v>-4.0</v>
      </c>
      <c r="N75" s="20">
        <v>1.9</v>
      </c>
      <c r="O75" s="20">
        <v>12.18</v>
      </c>
      <c r="P75" s="20">
        <v>4.93</v>
      </c>
      <c r="Q75" s="21"/>
      <c r="R75" s="21"/>
      <c r="S75" s="21"/>
      <c r="T75" s="21"/>
      <c r="U75" s="21"/>
      <c r="V75" s="21"/>
      <c r="W75" s="21"/>
    </row>
    <row r="76" ht="15.0" customHeight="1">
      <c r="A76" s="18" t="s">
        <v>121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3">
        <v>-11.35</v>
      </c>
      <c r="R76" s="21"/>
      <c r="S76" s="23">
        <v>-2.35</v>
      </c>
      <c r="T76" s="23">
        <v>-1.63</v>
      </c>
      <c r="U76" s="23">
        <v>-1.09</v>
      </c>
      <c r="V76" s="23">
        <v>-0.96</v>
      </c>
      <c r="W76" s="23">
        <v>-5.28</v>
      </c>
    </row>
    <row r="77" ht="15.0" customHeight="1">
      <c r="A77" s="14" t="s">
        <v>122</v>
      </c>
      <c r="B77" s="15">
        <v>0.0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7">
        <v>22.7</v>
      </c>
      <c r="R77" s="15"/>
      <c r="S77" s="17">
        <v>4.69</v>
      </c>
      <c r="T77" s="17">
        <v>3.26</v>
      </c>
      <c r="U77" s="17">
        <v>2.17</v>
      </c>
      <c r="V77" s="17">
        <v>1.92</v>
      </c>
      <c r="W77" s="17">
        <v>6.9</v>
      </c>
    </row>
    <row r="78" ht="15.0" customHeight="1">
      <c r="A78" s="18" t="s">
        <v>123</v>
      </c>
      <c r="B78" s="19">
        <v>446.14</v>
      </c>
      <c r="C78" s="19">
        <v>455.43</v>
      </c>
      <c r="D78" s="19">
        <v>466.62</v>
      </c>
      <c r="E78" s="19">
        <v>425.3</v>
      </c>
      <c r="F78" s="19">
        <v>253.27</v>
      </c>
      <c r="G78" s="19">
        <v>232.93</v>
      </c>
      <c r="H78" s="19">
        <v>225.44</v>
      </c>
      <c r="I78" s="19">
        <v>259.96</v>
      </c>
      <c r="J78" s="19">
        <v>225.54</v>
      </c>
      <c r="K78" s="19">
        <v>192.52</v>
      </c>
      <c r="L78" s="19">
        <v>170.16</v>
      </c>
      <c r="M78" s="19">
        <v>176.85</v>
      </c>
      <c r="N78" s="20">
        <v>75.59</v>
      </c>
      <c r="O78" s="19">
        <v>380.07</v>
      </c>
      <c r="P78" s="20">
        <v>94.03</v>
      </c>
      <c r="Q78" s="20">
        <v>58.52</v>
      </c>
      <c r="R78" s="20">
        <v>43.71</v>
      </c>
      <c r="S78" s="20">
        <v>20.55</v>
      </c>
      <c r="T78" s="20">
        <v>9.26</v>
      </c>
      <c r="U78" s="20">
        <v>2.4</v>
      </c>
      <c r="V78" s="23">
        <v>-17.12</v>
      </c>
      <c r="W78" s="23">
        <v>-21.32</v>
      </c>
    </row>
    <row r="79" ht="15.0" customHeight="1">
      <c r="A79" s="14" t="s">
        <v>124</v>
      </c>
      <c r="B79" s="17">
        <v>93.69</v>
      </c>
      <c r="C79" s="17">
        <v>98.07</v>
      </c>
      <c r="D79" s="16">
        <v>102.99</v>
      </c>
      <c r="E79" s="17">
        <v>70.16</v>
      </c>
      <c r="F79" s="17">
        <v>56.56</v>
      </c>
      <c r="G79" s="17">
        <v>48.98</v>
      </c>
      <c r="H79" s="17">
        <v>51.18</v>
      </c>
      <c r="I79" s="17">
        <v>59.34</v>
      </c>
      <c r="J79" s="17">
        <v>50.69</v>
      </c>
      <c r="K79" s="17">
        <v>36.05</v>
      </c>
      <c r="L79" s="17">
        <v>38.81</v>
      </c>
      <c r="M79" s="17">
        <v>40.91</v>
      </c>
      <c r="N79" s="17">
        <v>17.66</v>
      </c>
      <c r="O79" s="17">
        <v>96.57</v>
      </c>
      <c r="P79" s="17">
        <v>25.35</v>
      </c>
      <c r="Q79" s="17">
        <v>18.91</v>
      </c>
      <c r="R79" s="17">
        <v>14.05</v>
      </c>
      <c r="S79" s="22">
        <v>-10.34</v>
      </c>
      <c r="T79" s="22">
        <v>-7.77</v>
      </c>
      <c r="U79" s="17">
        <v>0.03</v>
      </c>
      <c r="V79" s="17">
        <v>0.01</v>
      </c>
      <c r="W79" s="17">
        <v>0.01</v>
      </c>
    </row>
    <row r="80" ht="15.0" customHeight="1">
      <c r="A80" s="14" t="s">
        <v>125</v>
      </c>
      <c r="B80" s="15"/>
      <c r="C80" s="16">
        <v>114.09</v>
      </c>
      <c r="D80" s="17">
        <v>90.91</v>
      </c>
      <c r="E80" s="17">
        <v>83.7</v>
      </c>
      <c r="F80" s="17">
        <v>53.73</v>
      </c>
      <c r="G80" s="17">
        <v>46.71</v>
      </c>
      <c r="H80" s="17">
        <v>46.35</v>
      </c>
      <c r="I80" s="17">
        <v>58.49</v>
      </c>
      <c r="J80" s="17">
        <v>49.63</v>
      </c>
      <c r="K80" s="17">
        <v>46.27</v>
      </c>
      <c r="L80" s="17">
        <v>38.66</v>
      </c>
      <c r="M80" s="17">
        <v>41.01</v>
      </c>
      <c r="N80" s="17">
        <v>39.89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126</v>
      </c>
      <c r="B81" s="15"/>
      <c r="C81" s="22">
        <v>-16.02</v>
      </c>
      <c r="D81" s="17">
        <v>12.09</v>
      </c>
      <c r="E81" s="22">
        <v>-13.55</v>
      </c>
      <c r="F81" s="17">
        <v>2.84</v>
      </c>
      <c r="G81" s="17">
        <v>2.26</v>
      </c>
      <c r="H81" s="17">
        <v>4.83</v>
      </c>
      <c r="I81" s="17">
        <v>0.85</v>
      </c>
      <c r="J81" s="17">
        <v>1.06</v>
      </c>
      <c r="K81" s="22">
        <v>-10.23</v>
      </c>
      <c r="L81" s="17">
        <v>0.15</v>
      </c>
      <c r="M81" s="22">
        <v>-0.1</v>
      </c>
      <c r="N81" s="22">
        <v>-22.22</v>
      </c>
      <c r="O81" s="17">
        <v>21.08</v>
      </c>
      <c r="P81" s="17">
        <v>0.16</v>
      </c>
      <c r="Q81" s="17">
        <v>3.44</v>
      </c>
      <c r="R81" s="15"/>
      <c r="S81" s="22">
        <v>-10.35</v>
      </c>
      <c r="T81" s="22">
        <v>-7.8</v>
      </c>
      <c r="U81" s="15">
        <v>0.0</v>
      </c>
      <c r="V81" s="15">
        <v>0.0</v>
      </c>
      <c r="W81" s="15">
        <v>0.0</v>
      </c>
    </row>
    <row r="82" ht="15.0" customHeight="1">
      <c r="A82" s="14" t="s">
        <v>127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7">
        <v>75.5</v>
      </c>
      <c r="P82" s="17">
        <v>25.19</v>
      </c>
      <c r="Q82" s="17">
        <v>15.47</v>
      </c>
      <c r="R82" s="15"/>
      <c r="S82" s="17">
        <v>0.01</v>
      </c>
      <c r="T82" s="17">
        <v>0.03</v>
      </c>
      <c r="U82" s="17">
        <v>0.03</v>
      </c>
      <c r="V82" s="17">
        <v>0.01</v>
      </c>
      <c r="W82" s="17">
        <v>0.01</v>
      </c>
    </row>
    <row r="83" ht="15.0" customHeight="1">
      <c r="A83" s="18" t="s">
        <v>128</v>
      </c>
      <c r="B83" s="20">
        <v>93.69</v>
      </c>
      <c r="C83" s="20">
        <v>98.07</v>
      </c>
      <c r="D83" s="19">
        <v>102.99</v>
      </c>
      <c r="E83" s="20">
        <v>70.16</v>
      </c>
      <c r="F83" s="20">
        <v>56.56</v>
      </c>
      <c r="G83" s="20">
        <v>48.98</v>
      </c>
      <c r="H83" s="20">
        <v>51.18</v>
      </c>
      <c r="I83" s="20">
        <v>59.34</v>
      </c>
      <c r="J83" s="20">
        <v>50.69</v>
      </c>
      <c r="K83" s="20">
        <v>36.05</v>
      </c>
      <c r="L83" s="20">
        <v>38.81</v>
      </c>
      <c r="M83" s="20">
        <v>40.91</v>
      </c>
      <c r="N83" s="20">
        <v>17.66</v>
      </c>
      <c r="O83" s="20">
        <v>96.57</v>
      </c>
      <c r="P83" s="20">
        <v>25.35</v>
      </c>
      <c r="Q83" s="20">
        <v>18.91</v>
      </c>
      <c r="R83" s="20">
        <v>14.05</v>
      </c>
      <c r="S83" s="23">
        <v>-10.34</v>
      </c>
      <c r="T83" s="23">
        <v>-7.77</v>
      </c>
      <c r="U83" s="20">
        <v>0.03</v>
      </c>
      <c r="V83" s="20">
        <v>0.01</v>
      </c>
      <c r="W83" s="20">
        <v>0.01</v>
      </c>
    </row>
    <row r="84" ht="15.0" customHeight="1">
      <c r="A84" s="18" t="s">
        <v>129</v>
      </c>
      <c r="B84" s="19">
        <v>352.45</v>
      </c>
      <c r="C84" s="19">
        <v>357.36</v>
      </c>
      <c r="D84" s="19">
        <v>363.63</v>
      </c>
      <c r="E84" s="19">
        <v>355.14</v>
      </c>
      <c r="F84" s="19">
        <v>196.71</v>
      </c>
      <c r="G84" s="19">
        <v>183.95</v>
      </c>
      <c r="H84" s="19">
        <v>174.26</v>
      </c>
      <c r="I84" s="19">
        <v>200.62</v>
      </c>
      <c r="J84" s="19">
        <v>174.85</v>
      </c>
      <c r="K84" s="19">
        <v>156.47</v>
      </c>
      <c r="L84" s="19">
        <v>131.35</v>
      </c>
      <c r="M84" s="19">
        <v>135.94</v>
      </c>
      <c r="N84" s="20">
        <v>57.93</v>
      </c>
      <c r="O84" s="19">
        <v>283.5</v>
      </c>
      <c r="P84" s="20">
        <v>68.68</v>
      </c>
      <c r="Q84" s="20">
        <v>39.61</v>
      </c>
      <c r="R84" s="20">
        <v>29.67</v>
      </c>
      <c r="S84" s="20">
        <v>30.89</v>
      </c>
      <c r="T84" s="20">
        <v>17.04</v>
      </c>
      <c r="U84" s="20">
        <v>2.37</v>
      </c>
      <c r="V84" s="23">
        <v>-17.12</v>
      </c>
      <c r="W84" s="23">
        <v>-21.33</v>
      </c>
    </row>
    <row r="85" ht="15.0" customHeight="1">
      <c r="A85" s="18" t="s">
        <v>130</v>
      </c>
      <c r="B85" s="19">
        <v>352.45</v>
      </c>
      <c r="C85" s="19">
        <v>357.36</v>
      </c>
      <c r="D85" s="19">
        <v>363.63</v>
      </c>
      <c r="E85" s="19">
        <v>355.14</v>
      </c>
      <c r="F85" s="19">
        <v>196.71</v>
      </c>
      <c r="G85" s="19">
        <v>183.95</v>
      </c>
      <c r="H85" s="19">
        <v>174.26</v>
      </c>
      <c r="I85" s="19">
        <v>200.62</v>
      </c>
      <c r="J85" s="19">
        <v>174.85</v>
      </c>
      <c r="K85" s="19">
        <v>156.47</v>
      </c>
      <c r="L85" s="19">
        <v>131.35</v>
      </c>
      <c r="M85" s="19">
        <v>135.94</v>
      </c>
      <c r="N85" s="20">
        <v>57.93</v>
      </c>
      <c r="O85" s="19">
        <v>283.5</v>
      </c>
      <c r="P85" s="20">
        <v>68.68</v>
      </c>
      <c r="Q85" s="20">
        <v>39.61</v>
      </c>
      <c r="R85" s="20">
        <v>29.67</v>
      </c>
      <c r="S85" s="20">
        <v>30.89</v>
      </c>
      <c r="T85" s="20">
        <v>17.04</v>
      </c>
      <c r="U85" s="20">
        <v>2.37</v>
      </c>
      <c r="V85" s="23">
        <v>-17.12</v>
      </c>
      <c r="W85" s="23">
        <v>-21.33</v>
      </c>
    </row>
    <row r="86" ht="15.0" customHeight="1">
      <c r="A86" s="14" t="s">
        <v>131</v>
      </c>
      <c r="B86" s="15"/>
      <c r="C86" s="15"/>
      <c r="D86" s="15"/>
      <c r="E86" s="15"/>
      <c r="F86" s="15"/>
      <c r="G86" s="15"/>
      <c r="H86" s="15"/>
      <c r="I86" s="15"/>
      <c r="J86" s="15">
        <v>0.0</v>
      </c>
      <c r="K86" s="17">
        <v>66.71</v>
      </c>
      <c r="L86" s="22">
        <v>-15.39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8" t="s">
        <v>132</v>
      </c>
      <c r="B87" s="21"/>
      <c r="C87" s="21"/>
      <c r="D87" s="21"/>
      <c r="E87" s="21"/>
      <c r="F87" s="21"/>
      <c r="G87" s="21"/>
      <c r="H87" s="21"/>
      <c r="I87" s="21"/>
      <c r="J87" s="21">
        <v>0.0</v>
      </c>
      <c r="K87" s="20">
        <v>66.71</v>
      </c>
      <c r="L87" s="23">
        <v>-15.39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ht="15.0" customHeight="1">
      <c r="A88" s="14" t="s">
        <v>133</v>
      </c>
      <c r="B88" s="15"/>
      <c r="C88" s="15">
        <v>0.0</v>
      </c>
      <c r="D88" s="15">
        <v>0.0</v>
      </c>
      <c r="E88" s="15">
        <v>0.0</v>
      </c>
      <c r="F88" s="15">
        <v>0.0</v>
      </c>
      <c r="G88" s="15">
        <v>0.0</v>
      </c>
      <c r="H88" s="22">
        <v>-0.08</v>
      </c>
      <c r="I88" s="22">
        <v>-0.62</v>
      </c>
      <c r="J88" s="15">
        <v>0.0</v>
      </c>
      <c r="K88" s="22">
        <v>-0.28</v>
      </c>
      <c r="L88" s="22">
        <v>-0.11</v>
      </c>
      <c r="M88" s="17">
        <v>0.54</v>
      </c>
      <c r="N88" s="17">
        <v>2.23</v>
      </c>
      <c r="O88" s="17">
        <v>2.49</v>
      </c>
      <c r="P88" s="17">
        <v>2.72</v>
      </c>
      <c r="Q88" s="22">
        <v>-0.07</v>
      </c>
      <c r="R88" s="22">
        <v>-0.22</v>
      </c>
      <c r="S88" s="15">
        <v>0.0</v>
      </c>
      <c r="T88" s="15"/>
      <c r="U88" s="15"/>
      <c r="V88" s="15"/>
      <c r="W88" s="15"/>
    </row>
    <row r="89" ht="15.0" customHeight="1">
      <c r="A89" s="18" t="s">
        <v>134</v>
      </c>
      <c r="B89" s="21"/>
      <c r="C89" s="21">
        <v>0.0</v>
      </c>
      <c r="D89" s="21">
        <v>0.0</v>
      </c>
      <c r="E89" s="21">
        <v>0.0</v>
      </c>
      <c r="F89" s="21">
        <v>0.0</v>
      </c>
      <c r="G89" s="21">
        <v>0.0</v>
      </c>
      <c r="H89" s="23">
        <v>-0.08</v>
      </c>
      <c r="I89" s="23">
        <v>-0.62</v>
      </c>
      <c r="J89" s="21">
        <v>0.0</v>
      </c>
      <c r="K89" s="23">
        <v>-0.28</v>
      </c>
      <c r="L89" s="23">
        <v>-0.11</v>
      </c>
      <c r="M89" s="20">
        <v>0.54</v>
      </c>
      <c r="N89" s="20">
        <v>2.23</v>
      </c>
      <c r="O89" s="20">
        <v>2.49</v>
      </c>
      <c r="P89" s="20">
        <v>2.72</v>
      </c>
      <c r="Q89" s="23">
        <v>-0.07</v>
      </c>
      <c r="R89" s="23">
        <v>-0.22</v>
      </c>
      <c r="S89" s="21">
        <v>0.0</v>
      </c>
      <c r="T89" s="21"/>
      <c r="U89" s="21"/>
      <c r="V89" s="21"/>
      <c r="W89" s="21"/>
    </row>
    <row r="90" ht="15.0" customHeight="1">
      <c r="A90" s="18" t="s">
        <v>135</v>
      </c>
      <c r="B90" s="19">
        <v>352.45</v>
      </c>
      <c r="C90" s="19">
        <v>357.36</v>
      </c>
      <c r="D90" s="19">
        <v>363.63</v>
      </c>
      <c r="E90" s="19">
        <v>355.14</v>
      </c>
      <c r="F90" s="19">
        <v>196.71</v>
      </c>
      <c r="G90" s="19">
        <v>183.95</v>
      </c>
      <c r="H90" s="19">
        <v>174.34</v>
      </c>
      <c r="I90" s="19">
        <v>201.24</v>
      </c>
      <c r="J90" s="19">
        <v>174.85</v>
      </c>
      <c r="K90" s="19">
        <v>223.46</v>
      </c>
      <c r="L90" s="19">
        <v>116.08</v>
      </c>
      <c r="M90" s="19">
        <v>135.4</v>
      </c>
      <c r="N90" s="20">
        <v>55.71</v>
      </c>
      <c r="O90" s="19">
        <v>281.0</v>
      </c>
      <c r="P90" s="20">
        <v>65.96</v>
      </c>
      <c r="Q90" s="20">
        <v>39.68</v>
      </c>
      <c r="R90" s="20">
        <v>29.88</v>
      </c>
      <c r="S90" s="20">
        <v>30.89</v>
      </c>
      <c r="T90" s="20">
        <v>17.04</v>
      </c>
      <c r="U90" s="20">
        <v>2.37</v>
      </c>
      <c r="V90" s="23">
        <v>-17.12</v>
      </c>
      <c r="W90" s="23">
        <v>-21.33</v>
      </c>
    </row>
    <row r="91" ht="15.0" customHeight="1">
      <c r="A91" s="18" t="s">
        <v>136</v>
      </c>
      <c r="B91" s="19">
        <v>352.45</v>
      </c>
      <c r="C91" s="19">
        <v>357.36</v>
      </c>
      <c r="D91" s="19">
        <v>363.63</v>
      </c>
      <c r="E91" s="19">
        <v>355.14</v>
      </c>
      <c r="F91" s="19">
        <v>196.71</v>
      </c>
      <c r="G91" s="19">
        <v>183.95</v>
      </c>
      <c r="H91" s="19">
        <v>174.34</v>
      </c>
      <c r="I91" s="19">
        <v>201.24</v>
      </c>
      <c r="J91" s="19">
        <v>174.85</v>
      </c>
      <c r="K91" s="19">
        <v>223.46</v>
      </c>
      <c r="L91" s="19">
        <v>116.08</v>
      </c>
      <c r="M91" s="19">
        <v>135.4</v>
      </c>
      <c r="N91" s="20">
        <v>55.71</v>
      </c>
      <c r="O91" s="19">
        <v>281.0</v>
      </c>
      <c r="P91" s="20">
        <v>65.96</v>
      </c>
      <c r="Q91" s="20">
        <v>39.68</v>
      </c>
      <c r="R91" s="20">
        <v>29.88</v>
      </c>
      <c r="S91" s="20">
        <v>30.89</v>
      </c>
      <c r="T91" s="20">
        <v>17.04</v>
      </c>
      <c r="U91" s="20">
        <v>2.37</v>
      </c>
      <c r="V91" s="23">
        <v>-17.12</v>
      </c>
      <c r="W91" s="23">
        <v>-21.33</v>
      </c>
    </row>
    <row r="92" ht="15.0" customHeight="1">
      <c r="A92" s="14" t="s">
        <v>137</v>
      </c>
      <c r="B92" s="24">
        <v>0.0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8" t="s">
        <v>138</v>
      </c>
      <c r="B93" s="19">
        <v>352.45</v>
      </c>
      <c r="C93" s="19">
        <v>357.36</v>
      </c>
      <c r="D93" s="19">
        <v>363.63</v>
      </c>
      <c r="E93" s="19">
        <v>355.14</v>
      </c>
      <c r="F93" s="19">
        <v>196.71</v>
      </c>
      <c r="G93" s="19">
        <v>183.95</v>
      </c>
      <c r="H93" s="19">
        <v>174.34</v>
      </c>
      <c r="I93" s="19">
        <v>201.24</v>
      </c>
      <c r="J93" s="19">
        <v>174.85</v>
      </c>
      <c r="K93" s="19">
        <v>156.75</v>
      </c>
      <c r="L93" s="19">
        <v>131.46</v>
      </c>
      <c r="M93" s="19">
        <v>135.4</v>
      </c>
      <c r="N93" s="20">
        <v>55.71</v>
      </c>
      <c r="O93" s="19">
        <v>281.0</v>
      </c>
      <c r="P93" s="20">
        <v>65.96</v>
      </c>
      <c r="Q93" s="20">
        <v>39.68</v>
      </c>
      <c r="R93" s="20">
        <v>29.88</v>
      </c>
      <c r="S93" s="20">
        <v>30.89</v>
      </c>
      <c r="T93" s="20">
        <v>17.04</v>
      </c>
      <c r="U93" s="20">
        <v>2.37</v>
      </c>
      <c r="V93" s="23">
        <v>-17.12</v>
      </c>
      <c r="W93" s="23">
        <v>-21.33</v>
      </c>
    </row>
    <row r="94" ht="15.0" customHeight="1">
      <c r="A94" s="14" t="s">
        <v>139</v>
      </c>
      <c r="B94" s="15"/>
      <c r="C94" s="16">
        <v>357.36</v>
      </c>
      <c r="D94" s="16">
        <v>363.63</v>
      </c>
      <c r="E94" s="16">
        <v>355.14</v>
      </c>
      <c r="F94" s="16">
        <v>196.71</v>
      </c>
      <c r="G94" s="16">
        <v>183.95</v>
      </c>
      <c r="H94" s="16">
        <v>174.26</v>
      </c>
      <c r="I94" s="16">
        <v>200.62</v>
      </c>
      <c r="J94" s="16">
        <v>174.85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140</v>
      </c>
      <c r="B95" s="15"/>
      <c r="C95" s="17">
        <v>22.95</v>
      </c>
      <c r="D95" s="22">
        <v>-9.72</v>
      </c>
      <c r="E95" s="17">
        <v>24.44</v>
      </c>
      <c r="F95" s="17">
        <v>2.0</v>
      </c>
      <c r="G95" s="22">
        <v>-4.15</v>
      </c>
      <c r="H95" s="17">
        <v>0.39</v>
      </c>
      <c r="I95" s="22">
        <v>-0.18</v>
      </c>
      <c r="J95" s="17">
        <v>0.55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8" t="s">
        <v>141</v>
      </c>
      <c r="B96" s="21"/>
      <c r="C96" s="20">
        <v>22.95</v>
      </c>
      <c r="D96" s="23">
        <v>-9.72</v>
      </c>
      <c r="E96" s="20">
        <v>24.44</v>
      </c>
      <c r="F96" s="20">
        <v>2.0</v>
      </c>
      <c r="G96" s="23">
        <v>-4.15</v>
      </c>
      <c r="H96" s="20">
        <v>0.39</v>
      </c>
      <c r="I96" s="23">
        <v>-0.18</v>
      </c>
      <c r="J96" s="20">
        <v>0.55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0" customHeight="1">
      <c r="A97" s="14" t="s">
        <v>136</v>
      </c>
      <c r="B97" s="15"/>
      <c r="C97" s="16">
        <v>380.31</v>
      </c>
      <c r="D97" s="16">
        <v>353.91</v>
      </c>
      <c r="E97" s="16">
        <v>379.58</v>
      </c>
      <c r="F97" s="16">
        <v>198.7</v>
      </c>
      <c r="G97" s="16">
        <v>179.8</v>
      </c>
      <c r="H97" s="16">
        <v>174.73</v>
      </c>
      <c r="I97" s="16">
        <v>201.06</v>
      </c>
      <c r="J97" s="16">
        <v>175.4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133</v>
      </c>
      <c r="B98" s="15"/>
      <c r="C98" s="15">
        <v>0.0</v>
      </c>
      <c r="D98" s="15">
        <v>0.0</v>
      </c>
      <c r="E98" s="15"/>
      <c r="F98" s="15"/>
      <c r="G98" s="15"/>
      <c r="H98" s="15"/>
      <c r="I98" s="22">
        <v>-0.62</v>
      </c>
      <c r="J98" s="15">
        <v>0.0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8" t="s">
        <v>142</v>
      </c>
      <c r="B99" s="21"/>
      <c r="C99" s="19">
        <v>380.31</v>
      </c>
      <c r="D99" s="19">
        <v>353.91</v>
      </c>
      <c r="E99" s="19">
        <v>379.58</v>
      </c>
      <c r="F99" s="19">
        <v>198.7</v>
      </c>
      <c r="G99" s="19">
        <v>179.8</v>
      </c>
      <c r="H99" s="19">
        <v>174.65</v>
      </c>
      <c r="I99" s="19">
        <v>200.45</v>
      </c>
      <c r="J99" s="19">
        <v>175.4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ht="15.0" customHeight="1">
      <c r="A100" s="14" t="s">
        <v>143</v>
      </c>
      <c r="B100" s="17">
        <v>3.48</v>
      </c>
      <c r="C100" s="17">
        <v>3.54</v>
      </c>
      <c r="D100" s="17">
        <v>3.6</v>
      </c>
      <c r="E100" s="17">
        <v>3.52</v>
      </c>
      <c r="F100" s="17">
        <v>1.95</v>
      </c>
      <c r="G100" s="17">
        <v>2.06</v>
      </c>
      <c r="H100" s="17">
        <v>2.01</v>
      </c>
      <c r="I100" s="17">
        <v>2.32</v>
      </c>
      <c r="J100" s="17">
        <v>2.02</v>
      </c>
      <c r="K100" s="17">
        <v>2.58</v>
      </c>
      <c r="L100" s="17">
        <v>1.34</v>
      </c>
      <c r="M100" s="17">
        <v>1.57</v>
      </c>
      <c r="N100" s="17">
        <v>0.64</v>
      </c>
      <c r="O100" s="17">
        <v>3.25</v>
      </c>
      <c r="P100" s="17">
        <v>0.76</v>
      </c>
      <c r="Q100" s="17">
        <v>0.46</v>
      </c>
      <c r="R100" s="17">
        <v>0.49</v>
      </c>
      <c r="S100" s="17">
        <v>0.36</v>
      </c>
      <c r="T100" s="17">
        <v>0.2</v>
      </c>
      <c r="U100" s="17">
        <v>0.03</v>
      </c>
      <c r="V100" s="22">
        <v>-0.2</v>
      </c>
      <c r="W100" s="22">
        <v>-0.25</v>
      </c>
    </row>
    <row r="101" ht="15.0" customHeight="1">
      <c r="A101" s="14" t="s">
        <v>144</v>
      </c>
      <c r="B101" s="17">
        <v>3.48</v>
      </c>
      <c r="C101" s="17">
        <v>3.54</v>
      </c>
      <c r="D101" s="17">
        <v>3.6</v>
      </c>
      <c r="E101" s="17">
        <v>3.52</v>
      </c>
      <c r="F101" s="17">
        <v>1.95</v>
      </c>
      <c r="G101" s="17">
        <v>2.06</v>
      </c>
      <c r="H101" s="17">
        <v>2.01</v>
      </c>
      <c r="I101" s="17">
        <v>2.32</v>
      </c>
      <c r="J101" s="17">
        <v>2.02</v>
      </c>
      <c r="K101" s="17">
        <v>1.81</v>
      </c>
      <c r="L101" s="17">
        <v>1.52</v>
      </c>
      <c r="M101" s="17">
        <v>1.57</v>
      </c>
      <c r="N101" s="17">
        <v>0.64</v>
      </c>
      <c r="O101" s="17">
        <v>3.25</v>
      </c>
      <c r="P101" s="17">
        <v>0.76</v>
      </c>
      <c r="Q101" s="17">
        <v>0.46</v>
      </c>
      <c r="R101" s="17">
        <v>0.35</v>
      </c>
      <c r="S101" s="17">
        <v>0.36</v>
      </c>
      <c r="T101" s="17">
        <v>0.2</v>
      </c>
      <c r="U101" s="17">
        <v>0.03</v>
      </c>
      <c r="V101" s="22">
        <v>-0.2</v>
      </c>
      <c r="W101" s="22">
        <v>-0.25</v>
      </c>
    </row>
    <row r="102" ht="15.0" customHeight="1">
      <c r="A102" s="14" t="s">
        <v>145</v>
      </c>
      <c r="B102" s="16">
        <v>101.16</v>
      </c>
      <c r="C102" s="16">
        <v>101.07</v>
      </c>
      <c r="D102" s="16">
        <v>100.98</v>
      </c>
      <c r="E102" s="16">
        <v>100.98</v>
      </c>
      <c r="F102" s="16">
        <v>100.96</v>
      </c>
      <c r="G102" s="17">
        <v>89.24</v>
      </c>
      <c r="H102" s="17">
        <v>86.68</v>
      </c>
      <c r="I102" s="17">
        <v>86.68</v>
      </c>
      <c r="J102" s="17">
        <v>86.68</v>
      </c>
      <c r="K102" s="17">
        <v>86.68</v>
      </c>
      <c r="L102" s="17">
        <v>86.55</v>
      </c>
      <c r="M102" s="17">
        <v>86.36</v>
      </c>
      <c r="N102" s="17">
        <v>86.36</v>
      </c>
      <c r="O102" s="17">
        <v>86.36</v>
      </c>
      <c r="P102" s="17">
        <v>86.36</v>
      </c>
      <c r="Q102" s="17">
        <v>86.15</v>
      </c>
      <c r="R102" s="17">
        <v>86.04</v>
      </c>
      <c r="S102" s="17">
        <v>86.04</v>
      </c>
      <c r="T102" s="17">
        <v>86.04</v>
      </c>
      <c r="U102" s="17">
        <v>86.04</v>
      </c>
      <c r="V102" s="17">
        <v>86.04</v>
      </c>
      <c r="W102" s="17">
        <v>85.94</v>
      </c>
    </row>
    <row r="103" ht="15.0" customHeight="1">
      <c r="A103" s="14" t="s">
        <v>146</v>
      </c>
      <c r="B103" s="16">
        <v>101.16</v>
      </c>
      <c r="C103" s="16">
        <v>101.07</v>
      </c>
      <c r="D103" s="16">
        <v>100.98</v>
      </c>
      <c r="E103" s="16">
        <v>100.98</v>
      </c>
      <c r="F103" s="16">
        <v>100.96</v>
      </c>
      <c r="G103" s="17">
        <v>89.24</v>
      </c>
      <c r="H103" s="17">
        <v>86.68</v>
      </c>
      <c r="I103" s="17">
        <v>86.68</v>
      </c>
      <c r="J103" s="17">
        <v>86.68</v>
      </c>
      <c r="K103" s="17">
        <v>86.68</v>
      </c>
      <c r="L103" s="17">
        <v>86.55</v>
      </c>
      <c r="M103" s="17">
        <v>86.36</v>
      </c>
      <c r="N103" s="17">
        <v>86.79</v>
      </c>
      <c r="O103" s="17">
        <v>86.36</v>
      </c>
      <c r="P103" s="17">
        <v>86.36</v>
      </c>
      <c r="Q103" s="17">
        <v>86.36</v>
      </c>
      <c r="R103" s="17">
        <v>86.69</v>
      </c>
      <c r="S103" s="17">
        <v>86.04</v>
      </c>
      <c r="T103" s="17">
        <v>86.04</v>
      </c>
      <c r="U103" s="17">
        <v>86.04</v>
      </c>
      <c r="V103" s="17">
        <v>86.04</v>
      </c>
      <c r="W103" s="17">
        <v>85.94</v>
      </c>
    </row>
    <row r="104" ht="15.0" customHeight="1">
      <c r="A104" s="14" t="s">
        <v>147</v>
      </c>
      <c r="B104" s="15"/>
      <c r="C104" s="15"/>
      <c r="D104" s="15"/>
      <c r="E104" s="17">
        <v>7.08</v>
      </c>
      <c r="F104" s="17">
        <v>11.78</v>
      </c>
      <c r="G104" s="17">
        <v>7.81</v>
      </c>
      <c r="H104" s="17">
        <v>5.61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148</v>
      </c>
      <c r="B105" s="16">
        <v>352.45</v>
      </c>
      <c r="C105" s="16">
        <v>357.36</v>
      </c>
      <c r="D105" s="16">
        <v>363.63</v>
      </c>
      <c r="E105" s="16">
        <v>355.14</v>
      </c>
      <c r="F105" s="16">
        <v>196.71</v>
      </c>
      <c r="G105" s="16">
        <v>183.95</v>
      </c>
      <c r="H105" s="16">
        <v>174.34</v>
      </c>
      <c r="I105" s="16">
        <v>201.24</v>
      </c>
      <c r="J105" s="16">
        <v>174.85</v>
      </c>
      <c r="K105" s="16">
        <v>223.46</v>
      </c>
      <c r="L105" s="16">
        <v>116.08</v>
      </c>
      <c r="M105" s="16">
        <v>135.4</v>
      </c>
      <c r="N105" s="17">
        <v>55.71</v>
      </c>
      <c r="O105" s="16">
        <v>281.0</v>
      </c>
      <c r="P105" s="17">
        <v>65.96</v>
      </c>
      <c r="Q105" s="17">
        <v>39.68</v>
      </c>
      <c r="R105" s="17">
        <v>29.88</v>
      </c>
      <c r="S105" s="17">
        <v>30.89</v>
      </c>
      <c r="T105" s="17">
        <v>17.04</v>
      </c>
      <c r="U105" s="17">
        <v>2.37</v>
      </c>
      <c r="V105" s="22">
        <v>-17.12</v>
      </c>
      <c r="W105" s="22">
        <v>-21.33</v>
      </c>
    </row>
    <row r="106" ht="15.0" customHeight="1">
      <c r="A106" s="14" t="s">
        <v>143</v>
      </c>
      <c r="B106" s="17">
        <v>3.48</v>
      </c>
      <c r="C106" s="17">
        <v>3.54</v>
      </c>
      <c r="D106" s="17">
        <v>3.6</v>
      </c>
      <c r="E106" s="17">
        <v>3.52</v>
      </c>
      <c r="F106" s="17">
        <v>1.95</v>
      </c>
      <c r="G106" s="17">
        <v>2.06</v>
      </c>
      <c r="H106" s="17">
        <v>2.01</v>
      </c>
      <c r="I106" s="17">
        <v>2.32</v>
      </c>
      <c r="J106" s="17">
        <v>2.02</v>
      </c>
      <c r="K106" s="17">
        <v>2.58</v>
      </c>
      <c r="L106" s="17">
        <v>1.34</v>
      </c>
      <c r="M106" s="17">
        <v>1.57</v>
      </c>
      <c r="N106" s="17">
        <v>0.64</v>
      </c>
      <c r="O106" s="17">
        <v>3.25</v>
      </c>
      <c r="P106" s="17">
        <v>0.76</v>
      </c>
      <c r="Q106" s="17">
        <v>0.46</v>
      </c>
      <c r="R106" s="17">
        <v>0.48</v>
      </c>
      <c r="S106" s="17">
        <v>0.36</v>
      </c>
      <c r="T106" s="17">
        <v>0.2</v>
      </c>
      <c r="U106" s="17">
        <v>0.03</v>
      </c>
      <c r="V106" s="22">
        <v>-0.2</v>
      </c>
      <c r="W106" s="22">
        <v>-0.25</v>
      </c>
    </row>
    <row r="107" ht="15.0" customHeight="1">
      <c r="A107" s="14" t="s">
        <v>149</v>
      </c>
      <c r="B107" s="17">
        <v>3.48</v>
      </c>
      <c r="C107" s="17">
        <v>3.54</v>
      </c>
      <c r="D107" s="17">
        <v>3.6</v>
      </c>
      <c r="E107" s="17">
        <v>3.52</v>
      </c>
      <c r="F107" s="17">
        <v>1.95</v>
      </c>
      <c r="G107" s="17">
        <v>2.06</v>
      </c>
      <c r="H107" s="17">
        <v>2.01</v>
      </c>
      <c r="I107" s="17">
        <v>2.32</v>
      </c>
      <c r="J107" s="17">
        <v>2.02</v>
      </c>
      <c r="K107" s="17">
        <v>1.81</v>
      </c>
      <c r="L107" s="17">
        <v>1.52</v>
      </c>
      <c r="M107" s="17">
        <v>1.57</v>
      </c>
      <c r="N107" s="17">
        <v>0.64</v>
      </c>
      <c r="O107" s="17">
        <v>3.25</v>
      </c>
      <c r="P107" s="17">
        <v>0.76</v>
      </c>
      <c r="Q107" s="17">
        <v>0.46</v>
      </c>
      <c r="R107" s="17">
        <v>0.34</v>
      </c>
      <c r="S107" s="17">
        <v>0.36</v>
      </c>
      <c r="T107" s="17">
        <v>0.2</v>
      </c>
      <c r="U107" s="17">
        <v>0.03</v>
      </c>
      <c r="V107" s="22">
        <v>-0.2</v>
      </c>
      <c r="W107" s="22">
        <v>-0.25</v>
      </c>
    </row>
    <row r="108" ht="15.0" customHeight="1">
      <c r="A108" s="14" t="s">
        <v>150</v>
      </c>
      <c r="B108" s="16">
        <v>352.45</v>
      </c>
      <c r="C108" s="16">
        <v>357.36</v>
      </c>
      <c r="D108" s="16">
        <v>363.63</v>
      </c>
      <c r="E108" s="16">
        <v>355.14</v>
      </c>
      <c r="F108" s="16">
        <v>196.71</v>
      </c>
      <c r="G108" s="16">
        <v>183.95</v>
      </c>
      <c r="H108" s="16">
        <v>174.34</v>
      </c>
      <c r="I108" s="16">
        <v>201.24</v>
      </c>
      <c r="J108" s="16">
        <v>174.85</v>
      </c>
      <c r="K108" s="16">
        <v>156.75</v>
      </c>
      <c r="L108" s="16">
        <v>131.46</v>
      </c>
      <c r="M108" s="16">
        <v>135.4</v>
      </c>
      <c r="N108" s="17">
        <v>55.71</v>
      </c>
      <c r="O108" s="16">
        <v>281.0</v>
      </c>
      <c r="P108" s="17">
        <v>65.96</v>
      </c>
      <c r="Q108" s="17">
        <v>39.68</v>
      </c>
      <c r="R108" s="17">
        <v>29.88</v>
      </c>
      <c r="S108" s="17">
        <v>30.89</v>
      </c>
      <c r="T108" s="17">
        <v>17.04</v>
      </c>
      <c r="U108" s="17">
        <v>2.37</v>
      </c>
      <c r="V108" s="22">
        <v>-17.12</v>
      </c>
      <c r="W108" s="22">
        <v>-21.33</v>
      </c>
    </row>
    <row r="109" ht="15.0" customHeight="1">
      <c r="A109" s="14" t="s">
        <v>110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7">
        <v>0.08</v>
      </c>
      <c r="R109" s="15"/>
      <c r="S109" s="17">
        <v>3.9</v>
      </c>
      <c r="T109" s="17">
        <v>0.07</v>
      </c>
      <c r="U109" s="17">
        <v>0.18</v>
      </c>
      <c r="V109" s="17">
        <v>0.2</v>
      </c>
      <c r="W109" s="17">
        <v>0.19</v>
      </c>
    </row>
    <row r="110" ht="15.0" customHeight="1">
      <c r="A110" s="14" t="s">
        <v>151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2">
        <v>-11.27</v>
      </c>
      <c r="R110" s="15"/>
      <c r="S110" s="17">
        <v>1.55</v>
      </c>
      <c r="T110" s="22">
        <v>-1.57</v>
      </c>
      <c r="U110" s="22">
        <v>-0.9</v>
      </c>
      <c r="V110" s="22">
        <v>-0.76</v>
      </c>
      <c r="W110" s="22">
        <v>-5.09</v>
      </c>
    </row>
    <row r="111" ht="15.0" customHeight="1">
      <c r="A111" s="14" t="s">
        <v>152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7">
        <v>3.91</v>
      </c>
      <c r="P111" s="17">
        <v>4.69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147</v>
      </c>
      <c r="B112" s="15"/>
      <c r="C112" s="17">
        <v>9.04</v>
      </c>
      <c r="D112" s="17">
        <v>10.7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91</v>
      </c>
      <c r="B113" s="15"/>
      <c r="C113" s="17">
        <v>16.96</v>
      </c>
      <c r="D113" s="17">
        <v>14.46</v>
      </c>
      <c r="E113" s="17">
        <v>13.49</v>
      </c>
      <c r="F113" s="17">
        <v>13.28</v>
      </c>
      <c r="G113" s="17">
        <v>10.84</v>
      </c>
      <c r="H113" s="15"/>
      <c r="I113" s="15"/>
      <c r="J113" s="15"/>
      <c r="K113" s="15"/>
      <c r="L113" s="17">
        <v>6.08</v>
      </c>
      <c r="M113" s="17">
        <v>5.2</v>
      </c>
      <c r="N113" s="17">
        <v>5.03</v>
      </c>
      <c r="O113" s="17">
        <v>3.68</v>
      </c>
      <c r="P113" s="17">
        <v>3.24</v>
      </c>
      <c r="Q113" s="17">
        <v>1.45</v>
      </c>
      <c r="R113" s="17">
        <v>3.41</v>
      </c>
      <c r="S113" s="17">
        <v>0.96</v>
      </c>
      <c r="T113" s="17">
        <v>0.66</v>
      </c>
      <c r="U113" s="17">
        <v>0.56</v>
      </c>
      <c r="V113" s="17">
        <v>3.63</v>
      </c>
      <c r="W113" s="17">
        <v>2.67</v>
      </c>
    </row>
    <row r="114" ht="15.0" customHeight="1">
      <c r="A114" s="14" t="s">
        <v>153</v>
      </c>
      <c r="B114" s="15"/>
      <c r="C114" s="15">
        <v>0.0</v>
      </c>
      <c r="D114" s="17">
        <v>2.23</v>
      </c>
      <c r="E114" s="17">
        <v>2.12</v>
      </c>
      <c r="F114" s="17">
        <v>2.24</v>
      </c>
      <c r="G114" s="17">
        <v>2.29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154</v>
      </c>
      <c r="B115" s="15"/>
      <c r="C115" s="17">
        <v>2.71</v>
      </c>
      <c r="D115" s="17">
        <v>6.31</v>
      </c>
      <c r="E115" s="17">
        <v>3.76</v>
      </c>
      <c r="F115" s="17">
        <v>3.77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155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7">
        <v>0.23</v>
      </c>
      <c r="P116" s="17">
        <v>0.79</v>
      </c>
      <c r="Q116" s="15"/>
      <c r="R116" s="15"/>
      <c r="S116" s="17">
        <v>2.69</v>
      </c>
      <c r="T116" s="17">
        <v>2.79</v>
      </c>
      <c r="U116" s="17">
        <v>3.18</v>
      </c>
      <c r="V116" s="17">
        <v>3.03</v>
      </c>
      <c r="W116" s="17">
        <v>1.82</v>
      </c>
    </row>
    <row r="117" ht="15.0" customHeight="1">
      <c r="A117" s="14" t="s">
        <v>156</v>
      </c>
      <c r="B117" s="15"/>
      <c r="C117" s="15">
        <v>0.0</v>
      </c>
      <c r="D117" s="17">
        <v>0.5</v>
      </c>
      <c r="E117" s="17">
        <v>0.48</v>
      </c>
      <c r="F117" s="17">
        <v>0.6</v>
      </c>
      <c r="G117" s="17">
        <v>0.72</v>
      </c>
      <c r="H117" s="17">
        <v>0.65</v>
      </c>
      <c r="I117" s="17">
        <v>0.37</v>
      </c>
      <c r="J117" s="17">
        <v>0.11</v>
      </c>
      <c r="K117" s="17">
        <v>0.17</v>
      </c>
      <c r="L117" s="17">
        <v>0.17</v>
      </c>
      <c r="M117" s="17">
        <v>0.15</v>
      </c>
      <c r="N117" s="17">
        <v>0.17</v>
      </c>
      <c r="O117" s="17">
        <v>0.16</v>
      </c>
      <c r="P117" s="17">
        <v>0.17</v>
      </c>
      <c r="Q117" s="17">
        <v>0.15</v>
      </c>
      <c r="R117" s="15"/>
      <c r="S117" s="17">
        <v>0.11</v>
      </c>
      <c r="T117" s="17">
        <v>0.17</v>
      </c>
      <c r="U117" s="17">
        <v>0.1</v>
      </c>
      <c r="V117" s="15"/>
      <c r="W117" s="15"/>
    </row>
    <row r="118" ht="15.0" customHeight="1">
      <c r="A118" s="14" t="s">
        <v>157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7">
        <v>6.19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158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22">
        <v>-1.01</v>
      </c>
      <c r="R119" s="22">
        <v>-0.49</v>
      </c>
      <c r="S119" s="17">
        <v>0.29</v>
      </c>
      <c r="T119" s="17">
        <v>0.96</v>
      </c>
      <c r="U119" s="17">
        <v>0.6</v>
      </c>
      <c r="V119" s="17">
        <v>0.83</v>
      </c>
      <c r="W119" s="15"/>
    </row>
    <row r="120" ht="15.0" customHeight="1">
      <c r="A120" s="14" t="s">
        <v>159</v>
      </c>
      <c r="B120" s="15"/>
      <c r="C120" s="17">
        <v>1.71</v>
      </c>
      <c r="D120" s="17">
        <v>1.49</v>
      </c>
      <c r="E120" s="17">
        <v>1.4</v>
      </c>
      <c r="F120" s="17">
        <v>1.13</v>
      </c>
      <c r="G120" s="17">
        <v>0.72</v>
      </c>
      <c r="H120" s="17">
        <v>0.56</v>
      </c>
      <c r="I120" s="17">
        <v>0.51</v>
      </c>
      <c r="J120" s="17">
        <v>0.54</v>
      </c>
      <c r="K120" s="17">
        <v>0.55</v>
      </c>
      <c r="L120" s="17">
        <v>0.65</v>
      </c>
      <c r="M120" s="17">
        <v>0.51</v>
      </c>
      <c r="N120" s="17">
        <v>0.5</v>
      </c>
      <c r="O120" s="17">
        <v>0.4</v>
      </c>
      <c r="P120" s="17">
        <v>0.42</v>
      </c>
      <c r="Q120" s="17">
        <v>0.48</v>
      </c>
      <c r="R120" s="15"/>
      <c r="S120" s="17">
        <v>0.44</v>
      </c>
      <c r="T120" s="17">
        <v>0.37</v>
      </c>
      <c r="U120" s="17">
        <v>0.25</v>
      </c>
      <c r="V120" s="15"/>
      <c r="W120" s="15"/>
    </row>
    <row r="121" ht="15.0" customHeight="1">
      <c r="A121" s="14" t="s">
        <v>160</v>
      </c>
      <c r="B121" s="15"/>
      <c r="C121" s="17">
        <v>0.08</v>
      </c>
      <c r="D121" s="15">
        <v>0.0</v>
      </c>
      <c r="E121" s="17">
        <v>0.12</v>
      </c>
      <c r="F121" s="15">
        <v>0.0</v>
      </c>
      <c r="G121" s="17">
        <v>0.14</v>
      </c>
      <c r="H121" s="17">
        <v>0.09</v>
      </c>
      <c r="I121" s="17">
        <v>0.2</v>
      </c>
      <c r="J121" s="17">
        <v>0.2</v>
      </c>
      <c r="K121" s="17">
        <v>0.02</v>
      </c>
      <c r="L121" s="17">
        <v>0.15</v>
      </c>
      <c r="M121" s="17">
        <v>0.13</v>
      </c>
      <c r="N121" s="17">
        <v>0.16</v>
      </c>
      <c r="O121" s="17">
        <v>0.1</v>
      </c>
      <c r="P121" s="17">
        <v>0.1</v>
      </c>
      <c r="Q121" s="17">
        <v>0.1</v>
      </c>
      <c r="R121" s="15"/>
      <c r="S121" s="15"/>
      <c r="T121" s="15"/>
      <c r="U121" s="15"/>
      <c r="V121" s="15"/>
      <c r="W121" s="15"/>
    </row>
    <row r="122" ht="15.0" customHeight="1">
      <c r="A122" s="14" t="s">
        <v>161</v>
      </c>
      <c r="B122" s="15"/>
      <c r="C122" s="15"/>
      <c r="D122" s="15"/>
      <c r="E122" s="15"/>
      <c r="F122" s="15">
        <v>0.0</v>
      </c>
      <c r="G122" s="15">
        <v>0.0</v>
      </c>
      <c r="H122" s="15">
        <v>0.0</v>
      </c>
      <c r="I122" s="17">
        <v>0.03</v>
      </c>
      <c r="J122" s="17">
        <v>0.03</v>
      </c>
      <c r="K122" s="15">
        <v>0.0</v>
      </c>
      <c r="L122" s="17">
        <v>0.04</v>
      </c>
      <c r="M122" s="17">
        <v>0.11</v>
      </c>
      <c r="N122" s="17">
        <v>0.09</v>
      </c>
      <c r="O122" s="17">
        <v>0.06</v>
      </c>
      <c r="P122" s="15">
        <v>0.0</v>
      </c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162</v>
      </c>
      <c r="B123" s="15"/>
      <c r="C123" s="15"/>
      <c r="D123" s="15"/>
      <c r="E123" s="15"/>
      <c r="F123" s="15"/>
      <c r="G123" s="15"/>
      <c r="H123" s="15"/>
      <c r="I123" s="15"/>
      <c r="J123" s="15">
        <v>0.0</v>
      </c>
      <c r="K123" s="17">
        <v>0.04</v>
      </c>
      <c r="L123" s="17">
        <v>0.02</v>
      </c>
      <c r="M123" s="17">
        <v>0.01</v>
      </c>
      <c r="N123" s="17">
        <v>0.09</v>
      </c>
      <c r="O123" s="17">
        <v>0.04</v>
      </c>
      <c r="P123" s="17">
        <v>0.02</v>
      </c>
      <c r="Q123" s="17">
        <v>0.03</v>
      </c>
      <c r="R123" s="15"/>
      <c r="S123" s="15"/>
      <c r="T123" s="15"/>
      <c r="U123" s="15"/>
      <c r="V123" s="15"/>
      <c r="W123" s="15"/>
    </row>
    <row r="124" ht="15.0" customHeight="1">
      <c r="A124" s="14" t="s">
        <v>163</v>
      </c>
      <c r="B124" s="15"/>
      <c r="C124" s="17">
        <v>0.03</v>
      </c>
      <c r="D124" s="17">
        <v>0.02</v>
      </c>
      <c r="E124" s="15"/>
      <c r="F124" s="15">
        <v>0.0</v>
      </c>
      <c r="G124" s="15">
        <v>0.0</v>
      </c>
      <c r="H124" s="15">
        <v>0.0</v>
      </c>
      <c r="I124" s="17">
        <v>0.2</v>
      </c>
      <c r="J124" s="17">
        <v>0.27</v>
      </c>
      <c r="K124" s="17">
        <v>0.27</v>
      </c>
      <c r="L124" s="17">
        <v>0.19</v>
      </c>
      <c r="M124" s="17">
        <v>0.13</v>
      </c>
      <c r="N124" s="17">
        <v>0.12</v>
      </c>
      <c r="O124" s="17">
        <v>0.12</v>
      </c>
      <c r="P124" s="17">
        <v>0.12</v>
      </c>
      <c r="Q124" s="17">
        <v>0.12</v>
      </c>
      <c r="R124" s="15"/>
      <c r="S124" s="17">
        <v>0.2</v>
      </c>
      <c r="T124" s="15"/>
      <c r="U124" s="15"/>
      <c r="V124" s="15"/>
      <c r="W124" s="15"/>
    </row>
    <row r="125" ht="15.0" customHeight="1">
      <c r="A125" s="14" t="s">
        <v>164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7">
        <v>59.78</v>
      </c>
      <c r="R125" s="15"/>
      <c r="S125" s="17">
        <v>44.31</v>
      </c>
      <c r="T125" s="17">
        <v>39.2</v>
      </c>
      <c r="U125" s="17">
        <v>32.83</v>
      </c>
      <c r="V125" s="17">
        <v>30.03</v>
      </c>
      <c r="W125" s="15"/>
    </row>
    <row r="126" ht="15.0" customHeight="1">
      <c r="A126" s="14" t="s">
        <v>165</v>
      </c>
      <c r="B126" s="15"/>
      <c r="C126" s="16">
        <v>246.85</v>
      </c>
      <c r="D126" s="16">
        <v>221.35</v>
      </c>
      <c r="E126" s="16">
        <v>201.43</v>
      </c>
      <c r="F126" s="16">
        <v>168.52</v>
      </c>
      <c r="G126" s="16">
        <v>145.18</v>
      </c>
      <c r="H126" s="16">
        <v>132.49</v>
      </c>
      <c r="I126" s="16">
        <v>128.35</v>
      </c>
      <c r="J126" s="16">
        <v>104.14</v>
      </c>
      <c r="K126" s="17">
        <v>91.98</v>
      </c>
      <c r="L126" s="17">
        <v>84.44</v>
      </c>
      <c r="M126" s="17">
        <v>72.36</v>
      </c>
      <c r="N126" s="15"/>
      <c r="O126" s="17">
        <v>48.5</v>
      </c>
      <c r="P126" s="17">
        <v>43.64</v>
      </c>
      <c r="Q126" s="17">
        <v>33.39</v>
      </c>
      <c r="R126" s="15"/>
      <c r="S126" s="17">
        <v>26.83</v>
      </c>
      <c r="T126" s="17">
        <v>24.7</v>
      </c>
      <c r="U126" s="17">
        <v>21.47</v>
      </c>
      <c r="V126" s="17">
        <v>19.54</v>
      </c>
      <c r="W126" s="15"/>
    </row>
    <row r="127" ht="15.0" customHeight="1">
      <c r="A127" s="14" t="s">
        <v>166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7">
        <v>1.01</v>
      </c>
      <c r="R127" s="15"/>
      <c r="S127" s="15"/>
      <c r="T127" s="22">
        <v>-0.96</v>
      </c>
      <c r="U127" s="22">
        <v>-0.6</v>
      </c>
      <c r="V127" s="22">
        <v>-0.83</v>
      </c>
      <c r="W127" s="22">
        <v>-0.74</v>
      </c>
    </row>
    <row r="128" ht="15.0" customHeight="1">
      <c r="A128" s="14" t="s">
        <v>167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22">
        <v>-5.91</v>
      </c>
      <c r="R128" s="15"/>
      <c r="S128" s="22">
        <v>-5.67</v>
      </c>
      <c r="T128" s="22">
        <v>-10.17</v>
      </c>
      <c r="U128" s="22">
        <v>-9.67</v>
      </c>
      <c r="V128" s="22">
        <v>-5.62</v>
      </c>
      <c r="W128" s="22">
        <v>-4.44</v>
      </c>
    </row>
    <row r="129" ht="15.0" customHeight="1">
      <c r="A129" s="14" t="s">
        <v>168</v>
      </c>
      <c r="B129" s="15"/>
      <c r="C129" s="17">
        <v>0.96</v>
      </c>
      <c r="D129" s="17">
        <v>0.87</v>
      </c>
      <c r="E129" s="17">
        <v>0.54</v>
      </c>
      <c r="F129" s="17">
        <v>0.74</v>
      </c>
      <c r="G129" s="17">
        <v>0.59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169</v>
      </c>
      <c r="B130" s="15"/>
      <c r="C130" s="17">
        <v>26.0</v>
      </c>
      <c r="D130" s="17">
        <v>25.16</v>
      </c>
      <c r="E130" s="17">
        <v>20.57</v>
      </c>
      <c r="F130" s="17">
        <v>25.06</v>
      </c>
      <c r="G130" s="17">
        <v>18.65</v>
      </c>
      <c r="H130" s="17">
        <v>8.87</v>
      </c>
      <c r="I130" s="17">
        <v>7.07</v>
      </c>
      <c r="J130" s="17">
        <v>6.47</v>
      </c>
      <c r="K130" s="17">
        <v>6.95</v>
      </c>
      <c r="L130" s="17">
        <v>6.26</v>
      </c>
      <c r="M130" s="17">
        <v>5.2</v>
      </c>
      <c r="N130" s="17">
        <v>5.03</v>
      </c>
      <c r="O130" s="17">
        <v>3.68</v>
      </c>
      <c r="P130" s="17">
        <v>3.24</v>
      </c>
      <c r="Q130" s="17">
        <v>1.45</v>
      </c>
      <c r="R130" s="17">
        <v>3.41</v>
      </c>
      <c r="S130" s="17">
        <v>0.96</v>
      </c>
      <c r="T130" s="17">
        <v>0.66</v>
      </c>
      <c r="U130" s="17">
        <v>0.56</v>
      </c>
      <c r="V130" s="17">
        <v>3.63</v>
      </c>
      <c r="W130" s="17">
        <v>2.67</v>
      </c>
    </row>
    <row r="131" ht="15.0" customHeight="1">
      <c r="A131" s="14" t="s">
        <v>170</v>
      </c>
      <c r="B131" s="15"/>
      <c r="C131" s="17">
        <v>1.82</v>
      </c>
      <c r="D131" s="17">
        <v>1.51</v>
      </c>
      <c r="E131" s="17">
        <v>1.52</v>
      </c>
      <c r="F131" s="17">
        <v>1.13</v>
      </c>
      <c r="G131" s="17">
        <v>0.86</v>
      </c>
      <c r="H131" s="17">
        <v>0.64</v>
      </c>
      <c r="I131" s="17">
        <v>0.93</v>
      </c>
      <c r="J131" s="17">
        <v>1.04</v>
      </c>
      <c r="K131" s="17">
        <v>0.88</v>
      </c>
      <c r="L131" s="17">
        <v>1.05</v>
      </c>
      <c r="M131" s="17">
        <v>0.89</v>
      </c>
      <c r="N131" s="17">
        <v>0.96</v>
      </c>
      <c r="O131" s="17">
        <v>0.73</v>
      </c>
      <c r="P131" s="17">
        <v>0.66</v>
      </c>
      <c r="Q131" s="17">
        <v>0.72</v>
      </c>
      <c r="R131" s="15"/>
      <c r="S131" s="17">
        <v>0.64</v>
      </c>
      <c r="T131" s="17">
        <v>0.37</v>
      </c>
      <c r="U131" s="17">
        <v>0.25</v>
      </c>
      <c r="V131" s="15"/>
      <c r="W131" s="15"/>
    </row>
    <row r="132" ht="15.0" customHeight="1">
      <c r="A132" s="14" t="s">
        <v>171</v>
      </c>
      <c r="B132" s="17">
        <v>26.13</v>
      </c>
      <c r="C132" s="17">
        <v>26.0</v>
      </c>
      <c r="D132" s="17">
        <v>27.39</v>
      </c>
      <c r="E132" s="17">
        <v>22.7</v>
      </c>
      <c r="F132" s="17">
        <v>27.3</v>
      </c>
      <c r="G132" s="17">
        <v>20.94</v>
      </c>
      <c r="H132" s="17">
        <v>14.51</v>
      </c>
      <c r="I132" s="17">
        <v>7.07</v>
      </c>
      <c r="J132" s="17">
        <v>6.36</v>
      </c>
      <c r="K132" s="17">
        <v>6.95</v>
      </c>
      <c r="L132" s="17">
        <v>6.26</v>
      </c>
      <c r="M132" s="17">
        <v>5.19</v>
      </c>
      <c r="N132" s="17">
        <v>5.0</v>
      </c>
      <c r="O132" s="17">
        <v>3.91</v>
      </c>
      <c r="P132" s="17">
        <v>4.69</v>
      </c>
      <c r="Q132" s="17">
        <v>2.38</v>
      </c>
      <c r="R132" s="17">
        <v>3.41</v>
      </c>
      <c r="S132" s="17">
        <v>3.64</v>
      </c>
      <c r="T132" s="17">
        <v>3.45</v>
      </c>
      <c r="U132" s="17">
        <v>3.75</v>
      </c>
      <c r="V132" s="17">
        <v>3.63</v>
      </c>
      <c r="W132" s="17">
        <v>2.67</v>
      </c>
    </row>
    <row r="133" ht="15.0" customHeight="1">
      <c r="A133" s="14" t="s">
        <v>172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7">
        <v>0.23</v>
      </c>
      <c r="P133" s="17">
        <v>0.79</v>
      </c>
      <c r="Q133" s="15"/>
      <c r="R133" s="15"/>
      <c r="S133" s="17">
        <v>2.69</v>
      </c>
      <c r="T133" s="17">
        <v>2.79</v>
      </c>
      <c r="U133" s="17">
        <v>3.18</v>
      </c>
      <c r="V133" s="17">
        <v>3.03</v>
      </c>
      <c r="W133" s="17">
        <v>1.82</v>
      </c>
    </row>
    <row r="134" ht="15.0" customHeight="1">
      <c r="A134" s="14" t="s">
        <v>173</v>
      </c>
      <c r="B134" s="15"/>
      <c r="C134" s="15">
        <v>0.0</v>
      </c>
      <c r="D134" s="17">
        <v>2.23</v>
      </c>
      <c r="E134" s="17">
        <v>2.12</v>
      </c>
      <c r="F134" s="17">
        <v>2.24</v>
      </c>
      <c r="G134" s="17">
        <v>2.29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7">
        <v>0.93</v>
      </c>
      <c r="R134" s="15"/>
      <c r="S134" s="15"/>
      <c r="T134" s="15"/>
      <c r="U134" s="15"/>
      <c r="V134" s="15"/>
      <c r="W134" s="15"/>
    </row>
    <row r="135" ht="15.0" customHeight="1">
      <c r="A135" s="14" t="s">
        <v>174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22">
        <v>-0.92</v>
      </c>
      <c r="M135" s="22">
        <v>-0.28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175</v>
      </c>
      <c r="B136" s="15"/>
      <c r="C136" s="15"/>
      <c r="D136" s="15"/>
      <c r="E136" s="22">
        <v>-1.14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176</v>
      </c>
      <c r="B137" s="15"/>
      <c r="C137" s="15"/>
      <c r="D137" s="22">
        <v>-2.52</v>
      </c>
      <c r="E137" s="17">
        <v>1.61</v>
      </c>
      <c r="F137" s="22">
        <v>-4.23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177</v>
      </c>
      <c r="B138" s="15"/>
      <c r="C138" s="22">
        <v>-46.63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178</v>
      </c>
      <c r="B139" s="15"/>
      <c r="C139" s="22">
        <v>-5.39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179</v>
      </c>
      <c r="B140" s="15"/>
      <c r="C140" s="22">
        <v>-0.81</v>
      </c>
      <c r="D140" s="22">
        <v>-1.14</v>
      </c>
      <c r="E140" s="22">
        <v>-5.32</v>
      </c>
      <c r="F140" s="22">
        <v>-13.13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180</v>
      </c>
      <c r="B141" s="15">
        <v>0.0</v>
      </c>
      <c r="C141" s="22">
        <v>-2.14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181</v>
      </c>
      <c r="B142" s="16">
        <v>436.87</v>
      </c>
      <c r="C142" s="16">
        <v>485.74</v>
      </c>
      <c r="D142" s="16">
        <v>442.15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182</v>
      </c>
      <c r="B143" s="25">
        <v>27.0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ht="15.0" customHeight="1">
      <c r="A144" s="14" t="s">
        <v>183</v>
      </c>
      <c r="B144" s="16">
        <v>101.16</v>
      </c>
      <c r="C144" s="16">
        <v>101.07</v>
      </c>
      <c r="D144" s="16">
        <v>100.98</v>
      </c>
      <c r="E144" s="16">
        <v>100.98</v>
      </c>
      <c r="F144" s="16">
        <v>100.96</v>
      </c>
      <c r="G144" s="17">
        <v>89.24</v>
      </c>
      <c r="H144" s="17">
        <v>86.68</v>
      </c>
      <c r="I144" s="17">
        <v>86.68</v>
      </c>
      <c r="J144" s="17">
        <v>86.68</v>
      </c>
      <c r="K144" s="17">
        <v>86.68</v>
      </c>
      <c r="L144" s="17">
        <v>86.55</v>
      </c>
      <c r="M144" s="17">
        <v>86.36</v>
      </c>
      <c r="N144" s="17">
        <v>86.36</v>
      </c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184</v>
      </c>
      <c r="B145" s="16">
        <v>101.16</v>
      </c>
      <c r="C145" s="16">
        <v>101.07</v>
      </c>
      <c r="D145" s="16">
        <v>100.98</v>
      </c>
      <c r="E145" s="16">
        <v>100.98</v>
      </c>
      <c r="F145" s="16">
        <v>100.96</v>
      </c>
      <c r="G145" s="17">
        <v>89.24</v>
      </c>
      <c r="H145" s="17">
        <v>86.68</v>
      </c>
      <c r="I145" s="17">
        <v>86.68</v>
      </c>
      <c r="J145" s="17">
        <v>86.68</v>
      </c>
      <c r="K145" s="17">
        <v>86.68</v>
      </c>
      <c r="L145" s="17">
        <v>86.55</v>
      </c>
      <c r="M145" s="17">
        <v>86.36</v>
      </c>
      <c r="N145" s="17">
        <v>86.79</v>
      </c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185</v>
      </c>
      <c r="B146" s="17">
        <v>3.48</v>
      </c>
      <c r="C146" s="17">
        <v>3.54</v>
      </c>
      <c r="D146" s="17">
        <v>3.6</v>
      </c>
      <c r="E146" s="17">
        <v>3.52</v>
      </c>
      <c r="F146" s="17">
        <v>1.95</v>
      </c>
      <c r="G146" s="17">
        <v>2.06</v>
      </c>
      <c r="H146" s="17">
        <v>2.01</v>
      </c>
      <c r="I146" s="17">
        <v>2.32</v>
      </c>
      <c r="J146" s="17">
        <v>2.02</v>
      </c>
      <c r="K146" s="17">
        <v>2.58</v>
      </c>
      <c r="L146" s="17">
        <v>1.34</v>
      </c>
      <c r="M146" s="17">
        <v>1.57</v>
      </c>
      <c r="N146" s="17">
        <v>0.64</v>
      </c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186</v>
      </c>
      <c r="B147" s="17">
        <v>3.48</v>
      </c>
      <c r="C147" s="17">
        <v>3.54</v>
      </c>
      <c r="D147" s="17">
        <v>3.6</v>
      </c>
      <c r="E147" s="17">
        <v>3.52</v>
      </c>
      <c r="F147" s="17">
        <v>1.95</v>
      </c>
      <c r="G147" s="17">
        <v>2.06</v>
      </c>
      <c r="H147" s="17">
        <v>2.01</v>
      </c>
      <c r="I147" s="17">
        <v>2.32</v>
      </c>
      <c r="J147" s="17">
        <v>2.02</v>
      </c>
      <c r="K147" s="17">
        <v>2.58</v>
      </c>
      <c r="L147" s="17">
        <v>1.34</v>
      </c>
      <c r="M147" s="17">
        <v>1.57</v>
      </c>
      <c r="N147" s="17">
        <v>0.64</v>
      </c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187</v>
      </c>
      <c r="B148" s="17">
        <v>3.48</v>
      </c>
      <c r="C148" s="17">
        <v>3.54</v>
      </c>
      <c r="D148" s="17">
        <v>3.6</v>
      </c>
      <c r="E148" s="17">
        <v>3.52</v>
      </c>
      <c r="F148" s="17">
        <v>1.95</v>
      </c>
      <c r="G148" s="17">
        <v>2.06</v>
      </c>
      <c r="H148" s="17">
        <v>2.01</v>
      </c>
      <c r="I148" s="17">
        <v>2.32</v>
      </c>
      <c r="J148" s="17">
        <v>2.02</v>
      </c>
      <c r="K148" s="17">
        <v>1.81</v>
      </c>
      <c r="L148" s="17">
        <v>1.52</v>
      </c>
      <c r="M148" s="17">
        <v>1.57</v>
      </c>
      <c r="N148" s="17">
        <v>0.64</v>
      </c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188</v>
      </c>
      <c r="B149" s="17">
        <v>1.0</v>
      </c>
      <c r="C149" s="17">
        <v>1.0</v>
      </c>
      <c r="D149" s="17">
        <v>1.0</v>
      </c>
      <c r="E149" s="17">
        <v>1.0</v>
      </c>
      <c r="F149" s="17">
        <v>1.0</v>
      </c>
      <c r="G149" s="17">
        <v>1.0</v>
      </c>
      <c r="H149" s="17">
        <v>1.0</v>
      </c>
      <c r="I149" s="17">
        <v>1.0</v>
      </c>
      <c r="J149" s="17">
        <v>1.0</v>
      </c>
      <c r="K149" s="17">
        <v>1.0</v>
      </c>
      <c r="L149" s="17">
        <v>1.0</v>
      </c>
      <c r="M149" s="17">
        <v>1.0</v>
      </c>
      <c r="N149" s="17">
        <v>1.0</v>
      </c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189</v>
      </c>
      <c r="B150" s="16">
        <v>352.45</v>
      </c>
      <c r="C150" s="16">
        <v>357.36</v>
      </c>
      <c r="D150" s="16">
        <v>363.63</v>
      </c>
      <c r="E150" s="16">
        <v>355.14</v>
      </c>
      <c r="F150" s="16">
        <v>196.71</v>
      </c>
      <c r="G150" s="16">
        <v>183.95</v>
      </c>
      <c r="H150" s="16">
        <v>174.34</v>
      </c>
      <c r="I150" s="16">
        <v>201.24</v>
      </c>
      <c r="J150" s="16">
        <v>174.85</v>
      </c>
      <c r="K150" s="16">
        <v>223.46</v>
      </c>
      <c r="L150" s="16">
        <v>116.08</v>
      </c>
      <c r="M150" s="16">
        <v>135.4</v>
      </c>
      <c r="N150" s="17">
        <v>55.71</v>
      </c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190</v>
      </c>
      <c r="B151" s="16">
        <v>352.45</v>
      </c>
      <c r="C151" s="16">
        <v>357.36</v>
      </c>
      <c r="D151" s="16">
        <v>363.63</v>
      </c>
      <c r="E151" s="16">
        <v>355.14</v>
      </c>
      <c r="F151" s="16">
        <v>196.71</v>
      </c>
      <c r="G151" s="16">
        <v>183.95</v>
      </c>
      <c r="H151" s="16">
        <v>174.34</v>
      </c>
      <c r="I151" s="16">
        <v>201.24</v>
      </c>
      <c r="J151" s="16">
        <v>174.85</v>
      </c>
      <c r="K151" s="16">
        <v>156.75</v>
      </c>
      <c r="L151" s="16">
        <v>131.46</v>
      </c>
      <c r="M151" s="16">
        <v>135.4</v>
      </c>
      <c r="N151" s="17">
        <v>55.71</v>
      </c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191</v>
      </c>
      <c r="B152" s="17">
        <v>3.48</v>
      </c>
      <c r="C152" s="17">
        <v>3.54</v>
      </c>
      <c r="D152" s="17">
        <v>3.6</v>
      </c>
      <c r="E152" s="17">
        <v>3.52</v>
      </c>
      <c r="F152" s="17">
        <v>1.95</v>
      </c>
      <c r="G152" s="17">
        <v>2.06</v>
      </c>
      <c r="H152" s="17">
        <v>2.01</v>
      </c>
      <c r="I152" s="17">
        <v>2.32</v>
      </c>
      <c r="J152" s="17">
        <v>2.02</v>
      </c>
      <c r="K152" s="17">
        <v>1.81</v>
      </c>
      <c r="L152" s="17">
        <v>1.52</v>
      </c>
      <c r="M152" s="17">
        <v>1.57</v>
      </c>
      <c r="N152" s="17">
        <v>0.64</v>
      </c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192</v>
      </c>
      <c r="B153" s="16">
        <v>352.45</v>
      </c>
      <c r="C153" s="16">
        <v>357.36</v>
      </c>
      <c r="D153" s="16">
        <v>363.63</v>
      </c>
      <c r="E153" s="16">
        <v>355.14</v>
      </c>
      <c r="F153" s="16">
        <v>196.71</v>
      </c>
      <c r="G153" s="16">
        <v>183.95</v>
      </c>
      <c r="H153" s="16">
        <v>174.34</v>
      </c>
      <c r="I153" s="16">
        <v>201.24</v>
      </c>
      <c r="J153" s="16">
        <v>174.85</v>
      </c>
      <c r="K153" s="16">
        <v>156.75</v>
      </c>
      <c r="L153" s="16">
        <v>131.46</v>
      </c>
      <c r="M153" s="16">
        <v>135.4</v>
      </c>
      <c r="N153" s="17">
        <v>55.71</v>
      </c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193</v>
      </c>
      <c r="B154" s="16">
        <v>352.45</v>
      </c>
      <c r="C154" s="16">
        <v>357.36</v>
      </c>
      <c r="D154" s="16">
        <v>363.63</v>
      </c>
      <c r="E154" s="16">
        <v>355.14</v>
      </c>
      <c r="F154" s="16">
        <v>196.71</v>
      </c>
      <c r="G154" s="16">
        <v>183.95</v>
      </c>
      <c r="H154" s="16">
        <v>174.34</v>
      </c>
      <c r="I154" s="16">
        <v>201.24</v>
      </c>
      <c r="J154" s="16">
        <v>174.85</v>
      </c>
      <c r="K154" s="16">
        <v>223.46</v>
      </c>
      <c r="L154" s="16">
        <v>116.08</v>
      </c>
      <c r="M154" s="16">
        <v>135.4</v>
      </c>
      <c r="N154" s="17">
        <v>55.71</v>
      </c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194</v>
      </c>
      <c r="B155" s="17">
        <v>1.0</v>
      </c>
      <c r="C155" s="17">
        <v>1.0</v>
      </c>
      <c r="D155" s="17">
        <v>1.0</v>
      </c>
      <c r="E155" s="17">
        <v>1.0</v>
      </c>
      <c r="F155" s="17">
        <v>1.0</v>
      </c>
      <c r="G155" s="17">
        <v>1.0</v>
      </c>
      <c r="H155" s="17">
        <v>1.0</v>
      </c>
      <c r="I155" s="17">
        <v>1.0</v>
      </c>
      <c r="J155" s="17">
        <v>1.0</v>
      </c>
      <c r="K155" s="17">
        <v>1.0</v>
      </c>
      <c r="L155" s="17">
        <v>1.0</v>
      </c>
      <c r="M155" s="17">
        <v>1.0</v>
      </c>
      <c r="N155" s="17">
        <v>1.0</v>
      </c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46092.4045936574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196</v>
      </c>
      <c r="C15" s="10" t="s">
        <v>196</v>
      </c>
      <c r="D15" s="10" t="s">
        <v>196</v>
      </c>
      <c r="E15" s="10" t="s">
        <v>196</v>
      </c>
      <c r="F15" s="10" t="s">
        <v>196</v>
      </c>
      <c r="G15" s="10" t="s">
        <v>196</v>
      </c>
      <c r="H15" s="10" t="s">
        <v>196</v>
      </c>
      <c r="I15" s="10" t="s">
        <v>196</v>
      </c>
      <c r="J15" s="10" t="s">
        <v>196</v>
      </c>
      <c r="K15" s="10" t="s">
        <v>196</v>
      </c>
      <c r="L15" s="10" t="s">
        <v>196</v>
      </c>
      <c r="M15" s="10" t="s">
        <v>196</v>
      </c>
      <c r="N15" s="10" t="s">
        <v>196</v>
      </c>
      <c r="O15" s="10" t="s">
        <v>196</v>
      </c>
      <c r="P15" s="10" t="s">
        <v>196</v>
      </c>
      <c r="Q15" s="10" t="s">
        <v>196</v>
      </c>
      <c r="R15" s="10" t="s">
        <v>196</v>
      </c>
      <c r="S15" s="10" t="s">
        <v>196</v>
      </c>
      <c r="T15" s="10" t="s">
        <v>196</v>
      </c>
      <c r="U15" s="10" t="s">
        <v>196</v>
      </c>
      <c r="V15" s="10" t="s">
        <v>196</v>
      </c>
      <c r="W15" s="10" t="s">
        <v>196</v>
      </c>
    </row>
    <row r="16" ht="15.0" customHeight="1" outlineLevel="1">
      <c r="A16" s="8" t="s">
        <v>47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197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198</v>
      </c>
      <c r="B20" s="16">
        <v>456.81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7">
        <v>0.52</v>
      </c>
      <c r="U20" s="17">
        <v>0.76</v>
      </c>
      <c r="V20" s="15"/>
      <c r="W20" s="15"/>
    </row>
    <row r="21" ht="15.0" customHeight="1">
      <c r="A21" s="14" t="s">
        <v>199</v>
      </c>
      <c r="B21" s="15"/>
      <c r="C21" s="16">
        <v>157.18</v>
      </c>
      <c r="D21" s="16">
        <v>182.43</v>
      </c>
      <c r="E21" s="16">
        <v>134.45</v>
      </c>
      <c r="F21" s="16">
        <v>100.09</v>
      </c>
      <c r="G21" s="17">
        <v>75.47</v>
      </c>
      <c r="H21" s="17">
        <v>64.18</v>
      </c>
      <c r="I21" s="17">
        <v>43.15</v>
      </c>
      <c r="J21" s="17">
        <v>32.63</v>
      </c>
      <c r="K21" s="17">
        <v>38.39</v>
      </c>
      <c r="L21" s="17">
        <v>45.57</v>
      </c>
      <c r="M21" s="17">
        <v>20.27</v>
      </c>
      <c r="N21" s="17">
        <v>13.75</v>
      </c>
      <c r="O21" s="17">
        <v>17.84</v>
      </c>
      <c r="P21" s="17">
        <v>18.68</v>
      </c>
      <c r="Q21" s="17">
        <v>12.17</v>
      </c>
      <c r="R21" s="17">
        <v>10.66</v>
      </c>
      <c r="S21" s="17">
        <v>17.04</v>
      </c>
      <c r="T21" s="17">
        <v>8.43</v>
      </c>
      <c r="U21" s="17">
        <v>5.21</v>
      </c>
      <c r="V21" s="17">
        <v>5.44</v>
      </c>
      <c r="W21" s="17">
        <v>4.12</v>
      </c>
    </row>
    <row r="22" ht="15.0" customHeight="1">
      <c r="A22" s="14" t="s">
        <v>200</v>
      </c>
      <c r="B22" s="15"/>
      <c r="C22" s="17">
        <v>28.51</v>
      </c>
      <c r="D22" s="17">
        <v>30.3</v>
      </c>
      <c r="E22" s="17">
        <v>24.88</v>
      </c>
      <c r="F22" s="17">
        <v>20.24</v>
      </c>
      <c r="G22" s="17">
        <v>19.08</v>
      </c>
      <c r="H22" s="17">
        <v>11.4</v>
      </c>
      <c r="I22" s="17">
        <v>10.99</v>
      </c>
      <c r="J22" s="17">
        <v>8.55</v>
      </c>
      <c r="K22" s="17">
        <v>8.43</v>
      </c>
      <c r="L22" s="17">
        <v>6.69</v>
      </c>
      <c r="M22" s="17">
        <v>4.13</v>
      </c>
      <c r="N22" s="17">
        <v>2.12</v>
      </c>
      <c r="O22" s="17">
        <v>1.63</v>
      </c>
      <c r="P22" s="17">
        <v>1.99</v>
      </c>
      <c r="Q22" s="17">
        <v>0.08</v>
      </c>
      <c r="R22" s="17">
        <v>0.17</v>
      </c>
      <c r="S22" s="17">
        <v>0.24</v>
      </c>
      <c r="T22" s="17">
        <v>0.1</v>
      </c>
      <c r="U22" s="17">
        <v>0.11</v>
      </c>
      <c r="V22" s="17">
        <v>0.03</v>
      </c>
      <c r="W22" s="17">
        <v>0.07</v>
      </c>
    </row>
    <row r="23" ht="15.0" customHeight="1">
      <c r="A23" s="14" t="s">
        <v>201</v>
      </c>
      <c r="B23" s="15"/>
      <c r="C23" s="16">
        <v>128.68</v>
      </c>
      <c r="D23" s="16">
        <v>152.13</v>
      </c>
      <c r="E23" s="16">
        <v>109.56</v>
      </c>
      <c r="F23" s="17">
        <v>79.85</v>
      </c>
      <c r="G23" s="17">
        <v>56.39</v>
      </c>
      <c r="H23" s="17">
        <v>52.78</v>
      </c>
      <c r="I23" s="17">
        <v>32.15</v>
      </c>
      <c r="J23" s="17">
        <v>24.08</v>
      </c>
      <c r="K23" s="17">
        <v>29.96</v>
      </c>
      <c r="L23" s="17">
        <v>38.88</v>
      </c>
      <c r="M23" s="17">
        <v>16.14</v>
      </c>
      <c r="N23" s="17">
        <v>11.62</v>
      </c>
      <c r="O23" s="17">
        <v>16.21</v>
      </c>
      <c r="P23" s="17">
        <v>16.69</v>
      </c>
      <c r="Q23" s="17">
        <v>12.09</v>
      </c>
      <c r="R23" s="17">
        <v>10.5</v>
      </c>
      <c r="S23" s="17">
        <v>16.81</v>
      </c>
      <c r="T23" s="17">
        <v>8.33</v>
      </c>
      <c r="U23" s="17">
        <v>5.09</v>
      </c>
      <c r="V23" s="17">
        <v>5.4</v>
      </c>
      <c r="W23" s="17">
        <v>4.05</v>
      </c>
    </row>
    <row r="24" ht="15.0" customHeight="1">
      <c r="A24" s="14" t="s">
        <v>202</v>
      </c>
      <c r="B24" s="15"/>
      <c r="C24" s="16">
        <v>195.11</v>
      </c>
      <c r="D24" s="16">
        <v>106.59</v>
      </c>
      <c r="E24" s="16">
        <v>123.03</v>
      </c>
      <c r="F24" s="16">
        <v>115.54</v>
      </c>
      <c r="G24" s="16">
        <v>102.87</v>
      </c>
      <c r="H24" s="16">
        <v>117.13</v>
      </c>
      <c r="I24" s="16">
        <v>120.55</v>
      </c>
      <c r="J24" s="17">
        <v>80.15</v>
      </c>
      <c r="K24" s="17">
        <v>71.76</v>
      </c>
      <c r="L24" s="17">
        <v>69.01</v>
      </c>
      <c r="M24" s="17">
        <v>72.76</v>
      </c>
      <c r="N24" s="17">
        <v>61.32</v>
      </c>
      <c r="O24" s="17">
        <v>46.26</v>
      </c>
      <c r="P24" s="17">
        <v>42.61</v>
      </c>
      <c r="Q24" s="17">
        <v>29.13</v>
      </c>
      <c r="R24" s="17">
        <v>23.24</v>
      </c>
      <c r="S24" s="15"/>
      <c r="T24" s="15"/>
      <c r="U24" s="15"/>
      <c r="V24" s="17">
        <v>3.7</v>
      </c>
      <c r="W24" s="17">
        <v>1.98</v>
      </c>
    </row>
    <row r="25" ht="15.0" customHeight="1">
      <c r="A25" s="14" t="s">
        <v>203</v>
      </c>
      <c r="B25" s="15"/>
      <c r="C25" s="15"/>
      <c r="D25" s="15"/>
      <c r="E25" s="15"/>
      <c r="F25" s="15"/>
      <c r="G25" s="15"/>
      <c r="H25" s="15"/>
      <c r="I25" s="15"/>
      <c r="J25" s="15"/>
      <c r="K25" s="17">
        <v>73.56</v>
      </c>
      <c r="L25" s="17">
        <v>70.99</v>
      </c>
      <c r="M25" s="17">
        <v>73.23</v>
      </c>
      <c r="N25" s="17">
        <v>61.7</v>
      </c>
      <c r="O25" s="17">
        <v>46.49</v>
      </c>
      <c r="P25" s="17">
        <v>42.83</v>
      </c>
      <c r="Q25" s="17">
        <v>29.26</v>
      </c>
      <c r="R25" s="17">
        <v>23.4</v>
      </c>
      <c r="S25" s="17">
        <v>25.68</v>
      </c>
      <c r="T25" s="17">
        <v>15.04</v>
      </c>
      <c r="U25" s="17">
        <v>12.35</v>
      </c>
      <c r="V25" s="15"/>
      <c r="W25" s="15"/>
    </row>
    <row r="26" ht="15.0" customHeight="1">
      <c r="A26" s="14" t="s">
        <v>204</v>
      </c>
      <c r="B26" s="15"/>
      <c r="C26" s="22">
        <v>-17.37</v>
      </c>
      <c r="D26" s="22">
        <v>-8.36</v>
      </c>
      <c r="E26" s="22">
        <v>-8.75</v>
      </c>
      <c r="F26" s="22">
        <v>-3.7</v>
      </c>
      <c r="G26" s="22">
        <v>-4.18</v>
      </c>
      <c r="H26" s="22">
        <v>-3.0</v>
      </c>
      <c r="I26" s="22">
        <v>-1.37</v>
      </c>
      <c r="J26" s="22">
        <v>-1.7</v>
      </c>
      <c r="K26" s="22">
        <v>-1.8</v>
      </c>
      <c r="L26" s="22">
        <v>-1.99</v>
      </c>
      <c r="M26" s="22">
        <v>-0.47</v>
      </c>
      <c r="N26" s="22">
        <v>-0.38</v>
      </c>
      <c r="O26" s="22">
        <v>-0.23</v>
      </c>
      <c r="P26" s="22">
        <v>-0.21</v>
      </c>
      <c r="Q26" s="22">
        <v>-0.13</v>
      </c>
      <c r="R26" s="22">
        <v>-0.16</v>
      </c>
      <c r="S26" s="22">
        <v>-0.03</v>
      </c>
      <c r="T26" s="22">
        <v>-0.01</v>
      </c>
      <c r="U26" s="22">
        <v>-0.04</v>
      </c>
      <c r="V26" s="15"/>
      <c r="W26" s="15"/>
    </row>
    <row r="27" ht="15.0" customHeight="1">
      <c r="A27" s="14" t="s">
        <v>205</v>
      </c>
      <c r="B27" s="15"/>
      <c r="C27" s="16">
        <v>212.48</v>
      </c>
      <c r="D27" s="16">
        <v>114.95</v>
      </c>
      <c r="E27" s="16">
        <v>131.78</v>
      </c>
      <c r="F27" s="16">
        <v>119.24</v>
      </c>
      <c r="G27" s="16">
        <v>107.04</v>
      </c>
      <c r="H27" s="16">
        <v>120.13</v>
      </c>
      <c r="I27" s="16">
        <v>121.91</v>
      </c>
      <c r="J27" s="17">
        <v>81.85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206</v>
      </c>
      <c r="B28" s="15"/>
      <c r="C28" s="17">
        <v>33.25</v>
      </c>
      <c r="D28" s="17">
        <v>33.54</v>
      </c>
      <c r="E28" s="17">
        <v>17.63</v>
      </c>
      <c r="F28" s="17">
        <v>35.37</v>
      </c>
      <c r="G28" s="17">
        <v>43.37</v>
      </c>
      <c r="H28" s="17">
        <v>24.9</v>
      </c>
      <c r="I28" s="17">
        <v>12.5</v>
      </c>
      <c r="J28" s="17">
        <v>8.42</v>
      </c>
      <c r="K28" s="17">
        <v>6.02</v>
      </c>
      <c r="L28" s="17">
        <v>7.95</v>
      </c>
      <c r="M28" s="17">
        <v>6.45</v>
      </c>
      <c r="N28" s="17">
        <v>3.85</v>
      </c>
      <c r="O28" s="17">
        <v>6.5</v>
      </c>
      <c r="P28" s="17">
        <v>6.11</v>
      </c>
      <c r="Q28" s="17">
        <v>8.19</v>
      </c>
      <c r="R28" s="17">
        <v>4.57</v>
      </c>
      <c r="S28" s="17">
        <v>1.9</v>
      </c>
      <c r="T28" s="17">
        <v>1.48</v>
      </c>
      <c r="U28" s="17">
        <v>4.33</v>
      </c>
      <c r="V28" s="17">
        <v>0.96</v>
      </c>
      <c r="W28" s="17">
        <v>1.08</v>
      </c>
    </row>
    <row r="29" ht="15.0" customHeight="1">
      <c r="A29" s="14" t="s">
        <v>207</v>
      </c>
      <c r="B29" s="15"/>
      <c r="C29" s="17">
        <v>1.53</v>
      </c>
      <c r="D29" s="17">
        <v>5.71</v>
      </c>
      <c r="E29" s="17">
        <v>0.31</v>
      </c>
      <c r="F29" s="17">
        <v>15.52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208</v>
      </c>
      <c r="B30" s="15"/>
      <c r="C30" s="17">
        <v>21.6</v>
      </c>
      <c r="D30" s="17">
        <v>21.4</v>
      </c>
      <c r="E30" s="17">
        <v>14.56</v>
      </c>
      <c r="F30" s="17">
        <v>13.14</v>
      </c>
      <c r="G30" s="15"/>
      <c r="H30" s="15"/>
      <c r="I30" s="15"/>
      <c r="J30" s="15"/>
      <c r="K30" s="15"/>
      <c r="L30" s="15"/>
      <c r="M30" s="15"/>
      <c r="N30" s="15">
        <v>0.0</v>
      </c>
      <c r="O30" s="17">
        <v>5.54</v>
      </c>
      <c r="P30" s="15">
        <v>0.0</v>
      </c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206</v>
      </c>
      <c r="B31" s="15"/>
      <c r="C31" s="17">
        <v>10.13</v>
      </c>
      <c r="D31" s="17">
        <v>6.44</v>
      </c>
      <c r="E31" s="17">
        <v>2.76</v>
      </c>
      <c r="F31" s="17">
        <v>6.72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209</v>
      </c>
      <c r="B32" s="15"/>
      <c r="C32" s="17">
        <v>11.51</v>
      </c>
      <c r="D32" s="17">
        <v>9.91</v>
      </c>
      <c r="E32" s="17">
        <v>15.85</v>
      </c>
      <c r="F32" s="17">
        <v>9.52</v>
      </c>
      <c r="G32" s="17">
        <v>9.78</v>
      </c>
      <c r="H32" s="17">
        <v>12.86</v>
      </c>
      <c r="I32" s="17">
        <v>23.49</v>
      </c>
      <c r="J32" s="17">
        <v>22.36</v>
      </c>
      <c r="K32" s="17">
        <v>18.74</v>
      </c>
      <c r="L32" s="17">
        <v>14.6</v>
      </c>
      <c r="M32" s="17">
        <v>17.54</v>
      </c>
      <c r="N32" s="17">
        <v>4.74</v>
      </c>
      <c r="O32" s="17">
        <v>3.25</v>
      </c>
      <c r="P32" s="17">
        <v>5.29</v>
      </c>
      <c r="Q32" s="17">
        <v>1.53</v>
      </c>
      <c r="R32" s="17">
        <v>1.26</v>
      </c>
      <c r="S32" s="17">
        <v>1.84</v>
      </c>
      <c r="T32" s="17">
        <v>6.39</v>
      </c>
      <c r="U32" s="17">
        <v>2.53</v>
      </c>
      <c r="V32" s="17">
        <v>1.98</v>
      </c>
      <c r="W32" s="17">
        <v>1.84</v>
      </c>
    </row>
    <row r="33" ht="15.0" customHeight="1">
      <c r="A33" s="14" t="s">
        <v>210</v>
      </c>
      <c r="B33" s="15"/>
      <c r="C33" s="17">
        <v>0.36</v>
      </c>
      <c r="D33" s="17">
        <v>0.35</v>
      </c>
      <c r="E33" s="17">
        <v>0.33</v>
      </c>
      <c r="F33" s="17">
        <v>9.32</v>
      </c>
      <c r="G33" s="17">
        <v>3.29</v>
      </c>
      <c r="H33" s="17">
        <v>4.54</v>
      </c>
      <c r="I33" s="17">
        <v>18.03</v>
      </c>
      <c r="J33" s="17">
        <v>16.74</v>
      </c>
      <c r="K33" s="17">
        <v>15.68</v>
      </c>
      <c r="L33" s="17">
        <v>9.44</v>
      </c>
      <c r="M33" s="17">
        <v>15.29</v>
      </c>
      <c r="N33" s="17">
        <v>2.73</v>
      </c>
      <c r="O33" s="17">
        <v>1.77</v>
      </c>
      <c r="P33" s="17">
        <v>3.15</v>
      </c>
      <c r="Q33" s="17">
        <v>1.38</v>
      </c>
      <c r="R33" s="17">
        <v>3.74</v>
      </c>
      <c r="S33" s="17">
        <v>1.34</v>
      </c>
      <c r="T33" s="15"/>
      <c r="U33" s="15"/>
      <c r="V33" s="15"/>
      <c r="W33" s="15"/>
    </row>
    <row r="34" ht="15.0" customHeight="1">
      <c r="A34" s="14" t="s">
        <v>211</v>
      </c>
      <c r="B34" s="15"/>
      <c r="C34" s="17">
        <v>1.66</v>
      </c>
      <c r="D34" s="17">
        <v>1.73</v>
      </c>
      <c r="E34" s="17">
        <v>1.76</v>
      </c>
      <c r="F34" s="15">
        <v>0.0</v>
      </c>
      <c r="G34" s="17">
        <v>1.81</v>
      </c>
      <c r="H34" s="17">
        <v>1.62</v>
      </c>
      <c r="I34" s="17">
        <v>1.44</v>
      </c>
      <c r="J34" s="17">
        <v>1.04</v>
      </c>
      <c r="K34" s="17">
        <v>1.25</v>
      </c>
      <c r="L34" s="17">
        <v>1.19</v>
      </c>
      <c r="M34" s="17">
        <v>1.07</v>
      </c>
      <c r="N34" s="17">
        <v>1.02</v>
      </c>
      <c r="O34" s="17">
        <v>0.91</v>
      </c>
      <c r="P34" s="17">
        <v>0.76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212</v>
      </c>
      <c r="B35" s="15"/>
      <c r="C35" s="17">
        <v>9.49</v>
      </c>
      <c r="D35" s="17">
        <v>7.51</v>
      </c>
      <c r="E35" s="17">
        <v>13.76</v>
      </c>
      <c r="F35" s="17">
        <v>0.2</v>
      </c>
      <c r="G35" s="17">
        <v>4.68</v>
      </c>
      <c r="H35" s="17">
        <v>6.69</v>
      </c>
      <c r="I35" s="17">
        <v>4.01</v>
      </c>
      <c r="J35" s="17">
        <v>4.59</v>
      </c>
      <c r="K35" s="17">
        <v>1.81</v>
      </c>
      <c r="L35" s="17">
        <v>3.97</v>
      </c>
      <c r="M35" s="17">
        <v>1.17</v>
      </c>
      <c r="N35" s="17">
        <v>0.99</v>
      </c>
      <c r="O35" s="17">
        <v>0.57</v>
      </c>
      <c r="P35" s="17">
        <v>1.37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213</v>
      </c>
      <c r="B36" s="15"/>
      <c r="C36" s="15"/>
      <c r="D36" s="17">
        <v>0.32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7">
        <v>0.15</v>
      </c>
      <c r="R36" s="22">
        <v>-2.47</v>
      </c>
      <c r="S36" s="17">
        <v>0.5</v>
      </c>
      <c r="T36" s="15"/>
      <c r="U36" s="15"/>
      <c r="V36" s="15"/>
      <c r="W36" s="15"/>
    </row>
    <row r="37" ht="15.0" customHeight="1">
      <c r="A37" s="14" t="s">
        <v>214</v>
      </c>
      <c r="B37" s="15"/>
      <c r="C37" s="15"/>
      <c r="D37" s="15"/>
      <c r="E37" s="15"/>
      <c r="F37" s="15"/>
      <c r="G37" s="15">
        <v>0.0</v>
      </c>
      <c r="H37" s="17">
        <v>4.67</v>
      </c>
      <c r="I37" s="17">
        <v>4.72</v>
      </c>
      <c r="J37" s="17">
        <v>5.0</v>
      </c>
      <c r="K37" s="17">
        <v>0.01</v>
      </c>
      <c r="L37" s="17">
        <v>0.01</v>
      </c>
      <c r="M37" s="17">
        <v>0.01</v>
      </c>
      <c r="N37" s="17">
        <v>0.08</v>
      </c>
      <c r="O37" s="17">
        <v>0.07</v>
      </c>
      <c r="P37" s="17">
        <v>0.07</v>
      </c>
      <c r="Q37" s="17">
        <v>0.07</v>
      </c>
      <c r="R37" s="17">
        <v>0.06</v>
      </c>
      <c r="S37" s="17">
        <v>0.07</v>
      </c>
      <c r="T37" s="15"/>
      <c r="U37" s="15"/>
      <c r="V37" s="15"/>
      <c r="W37" s="15"/>
    </row>
    <row r="38" ht="15.0" customHeight="1">
      <c r="A38" s="14" t="s">
        <v>215</v>
      </c>
      <c r="B38" s="16">
        <v>876.21</v>
      </c>
      <c r="C38" s="16">
        <v>1258.37</v>
      </c>
      <c r="D38" s="16">
        <v>1554.64</v>
      </c>
      <c r="E38" s="16">
        <v>1400.95</v>
      </c>
      <c r="F38" s="16">
        <v>1446.49</v>
      </c>
      <c r="G38" s="16">
        <v>1532.76</v>
      </c>
      <c r="H38" s="16">
        <v>200.5</v>
      </c>
      <c r="I38" s="16">
        <v>278.08</v>
      </c>
      <c r="J38" s="16">
        <v>306.05</v>
      </c>
      <c r="K38" s="16">
        <v>230.51</v>
      </c>
      <c r="L38" s="16">
        <v>237.45</v>
      </c>
      <c r="M38" s="16">
        <v>201.92</v>
      </c>
      <c r="N38" s="16">
        <v>220.79</v>
      </c>
      <c r="O38" s="16">
        <v>320.99</v>
      </c>
      <c r="P38" s="16">
        <v>148.84</v>
      </c>
      <c r="Q38" s="16">
        <v>127.46</v>
      </c>
      <c r="R38" s="17">
        <v>81.18</v>
      </c>
      <c r="S38" s="17">
        <v>51.69</v>
      </c>
      <c r="T38" s="17">
        <v>36.14</v>
      </c>
      <c r="U38" s="17">
        <v>36.17</v>
      </c>
      <c r="V38" s="17">
        <v>41.06</v>
      </c>
      <c r="W38" s="17">
        <v>56.79</v>
      </c>
    </row>
    <row r="39" ht="15.0" customHeight="1">
      <c r="A39" s="14" t="s">
        <v>216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>
        <v>0.0</v>
      </c>
      <c r="T39" s="17">
        <v>0.07</v>
      </c>
      <c r="U39" s="17">
        <v>0.02</v>
      </c>
      <c r="V39" s="17">
        <v>0.03</v>
      </c>
      <c r="W39" s="17">
        <v>0.02</v>
      </c>
    </row>
    <row r="40" ht="15.0" customHeight="1">
      <c r="A40" s="14" t="s">
        <v>207</v>
      </c>
      <c r="B40" s="15"/>
      <c r="C40" s="15"/>
      <c r="D40" s="15"/>
      <c r="E40" s="15"/>
      <c r="F40" s="15"/>
      <c r="G40" s="15"/>
      <c r="H40" s="15"/>
      <c r="I40" s="15"/>
      <c r="J40" s="15"/>
      <c r="K40" s="15">
        <v>0.0</v>
      </c>
      <c r="L40" s="17">
        <v>7.46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7">
        <v>1.38</v>
      </c>
      <c r="R41" s="17">
        <v>3.74</v>
      </c>
      <c r="S41" s="17">
        <v>1.34</v>
      </c>
      <c r="T41" s="15"/>
      <c r="U41" s="15"/>
      <c r="V41" s="15"/>
      <c r="W41" s="15"/>
    </row>
    <row r="42" ht="15.0" customHeight="1">
      <c r="A42" s="18" t="s">
        <v>218</v>
      </c>
      <c r="B42" s="19">
        <v>1333.02</v>
      </c>
      <c r="C42" s="19">
        <v>1655.42</v>
      </c>
      <c r="D42" s="19">
        <v>1887.11</v>
      </c>
      <c r="E42" s="19">
        <v>1691.91</v>
      </c>
      <c r="F42" s="19">
        <v>1707.01</v>
      </c>
      <c r="G42" s="19">
        <v>1764.26</v>
      </c>
      <c r="H42" s="19">
        <v>424.23</v>
      </c>
      <c r="I42" s="19">
        <v>482.48</v>
      </c>
      <c r="J42" s="19">
        <v>454.63</v>
      </c>
      <c r="K42" s="19">
        <v>365.43</v>
      </c>
      <c r="L42" s="19">
        <v>382.06</v>
      </c>
      <c r="M42" s="19">
        <v>318.95</v>
      </c>
      <c r="N42" s="19">
        <v>304.52</v>
      </c>
      <c r="O42" s="19">
        <v>400.46</v>
      </c>
      <c r="P42" s="19">
        <v>221.61</v>
      </c>
      <c r="Q42" s="19">
        <v>179.93</v>
      </c>
      <c r="R42" s="19">
        <v>124.71</v>
      </c>
      <c r="S42" s="20">
        <v>99.52</v>
      </c>
      <c r="T42" s="20">
        <v>68.07</v>
      </c>
      <c r="U42" s="20">
        <v>61.33</v>
      </c>
      <c r="V42" s="20">
        <v>53.15</v>
      </c>
      <c r="W42" s="20">
        <v>65.83</v>
      </c>
    </row>
    <row r="43" ht="15.0" customHeight="1">
      <c r="A43" s="14" t="s">
        <v>219</v>
      </c>
      <c r="B43" s="15"/>
      <c r="C43" s="15"/>
      <c r="D43" s="15"/>
      <c r="E43" s="15"/>
      <c r="F43" s="15"/>
      <c r="G43" s="15"/>
      <c r="H43" s="15"/>
      <c r="I43" s="15">
        <v>0.0</v>
      </c>
      <c r="J43" s="17">
        <v>9.94</v>
      </c>
      <c r="K43" s="17">
        <v>10.2</v>
      </c>
      <c r="L43" s="17">
        <v>8.31</v>
      </c>
      <c r="M43" s="15"/>
      <c r="N43" s="15"/>
      <c r="O43" s="15"/>
      <c r="P43" s="15"/>
      <c r="Q43" s="17">
        <v>9.23</v>
      </c>
      <c r="R43" s="17">
        <v>7.64</v>
      </c>
      <c r="S43" s="17">
        <v>6.98</v>
      </c>
      <c r="T43" s="17">
        <v>4.7</v>
      </c>
      <c r="U43" s="17">
        <v>4.72</v>
      </c>
      <c r="V43" s="17">
        <v>2.52</v>
      </c>
      <c r="W43" s="17">
        <v>2.22</v>
      </c>
    </row>
    <row r="44" ht="15.0" customHeight="1">
      <c r="A44" s="14" t="s">
        <v>220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7">
        <v>3.82</v>
      </c>
      <c r="R44" s="17">
        <v>3.56</v>
      </c>
      <c r="S44" s="17">
        <v>3.91</v>
      </c>
      <c r="T44" s="17">
        <v>3.7</v>
      </c>
      <c r="U44" s="17">
        <v>4.92</v>
      </c>
      <c r="V44" s="17">
        <v>4.59</v>
      </c>
      <c r="W44" s="17">
        <v>4.02</v>
      </c>
    </row>
    <row r="45" ht="15.0" customHeight="1">
      <c r="A45" s="14" t="s">
        <v>221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2">
        <v>-30.77</v>
      </c>
      <c r="M45" s="22">
        <v>-28.18</v>
      </c>
      <c r="N45" s="22">
        <v>-27.71</v>
      </c>
      <c r="O45" s="22">
        <v>-25.17</v>
      </c>
      <c r="P45" s="22">
        <v>-25.28</v>
      </c>
      <c r="Q45" s="22">
        <v>-24.49</v>
      </c>
      <c r="R45" s="22">
        <v>-21.94</v>
      </c>
      <c r="S45" s="22">
        <v>-21.66</v>
      </c>
      <c r="T45" s="22">
        <v>-17.83</v>
      </c>
      <c r="U45" s="22">
        <v>-16.38</v>
      </c>
      <c r="V45" s="22">
        <v>-12.17</v>
      </c>
      <c r="W45" s="22">
        <v>-10.63</v>
      </c>
    </row>
    <row r="46" ht="15.0" customHeight="1">
      <c r="A46" s="14" t="s">
        <v>222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7">
        <v>47.75</v>
      </c>
      <c r="M46" s="17">
        <v>34.01</v>
      </c>
      <c r="N46" s="17">
        <v>27.71</v>
      </c>
      <c r="O46" s="17">
        <v>25.17</v>
      </c>
      <c r="P46" s="17">
        <v>25.51</v>
      </c>
      <c r="Q46" s="17">
        <v>25.51</v>
      </c>
      <c r="R46" s="17">
        <v>23.79</v>
      </c>
      <c r="S46" s="17">
        <v>26.15</v>
      </c>
      <c r="T46" s="17">
        <v>2.13</v>
      </c>
      <c r="U46" s="17">
        <v>2.3</v>
      </c>
      <c r="V46" s="17">
        <v>2.15</v>
      </c>
      <c r="W46" s="17">
        <v>2.31</v>
      </c>
    </row>
    <row r="47" ht="15.0" customHeight="1">
      <c r="A47" s="14" t="s">
        <v>223</v>
      </c>
      <c r="B47" s="15"/>
      <c r="C47" s="15"/>
      <c r="D47" s="15"/>
      <c r="E47" s="15"/>
      <c r="F47" s="15"/>
      <c r="G47" s="15"/>
      <c r="H47" s="15"/>
      <c r="I47" s="15"/>
      <c r="J47" s="15"/>
      <c r="K47" s="15">
        <v>0.0</v>
      </c>
      <c r="L47" s="17">
        <v>16.98</v>
      </c>
      <c r="M47" s="17">
        <v>5.82</v>
      </c>
      <c r="N47" s="15">
        <v>0.0</v>
      </c>
      <c r="O47" s="15">
        <v>0.0</v>
      </c>
      <c r="P47" s="17">
        <v>0.23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224</v>
      </c>
      <c r="B48" s="15"/>
      <c r="C48" s="15"/>
      <c r="D48" s="15"/>
      <c r="E48" s="15"/>
      <c r="F48" s="15"/>
      <c r="G48" s="15"/>
      <c r="H48" s="15"/>
      <c r="I48" s="15"/>
      <c r="J48" s="15"/>
      <c r="K48" s="15">
        <v>0.0</v>
      </c>
      <c r="L48" s="17">
        <v>45.11</v>
      </c>
      <c r="M48" s="17">
        <v>31.58</v>
      </c>
      <c r="N48" s="17">
        <v>25.33</v>
      </c>
      <c r="O48" s="17">
        <v>23.01</v>
      </c>
      <c r="P48" s="17">
        <v>23.32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225</v>
      </c>
      <c r="B49" s="15"/>
      <c r="C49" s="15"/>
      <c r="D49" s="15"/>
      <c r="E49" s="15"/>
      <c r="F49" s="15"/>
      <c r="G49" s="15"/>
      <c r="H49" s="15"/>
      <c r="I49" s="15"/>
      <c r="J49" s="15"/>
      <c r="K49" s="15">
        <v>0.0</v>
      </c>
      <c r="L49" s="22">
        <v>-28.13</v>
      </c>
      <c r="M49" s="22">
        <v>-25.76</v>
      </c>
      <c r="N49" s="22">
        <v>-25.33</v>
      </c>
      <c r="O49" s="22">
        <v>-23.01</v>
      </c>
      <c r="P49" s="22">
        <v>-23.09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226</v>
      </c>
      <c r="B50" s="17">
        <v>0.77</v>
      </c>
      <c r="C50" s="17">
        <v>0.79</v>
      </c>
      <c r="D50" s="17">
        <v>46.54</v>
      </c>
      <c r="E50" s="17">
        <v>43.37</v>
      </c>
      <c r="F50" s="17">
        <v>46.85</v>
      </c>
      <c r="G50" s="17">
        <v>52.55</v>
      </c>
      <c r="H50" s="17">
        <v>49.28</v>
      </c>
      <c r="I50" s="17">
        <v>44.74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227</v>
      </c>
      <c r="B51" s="16">
        <v>160.19</v>
      </c>
      <c r="C51" s="16">
        <v>180.02</v>
      </c>
      <c r="D51" s="16">
        <v>166.29</v>
      </c>
      <c r="E51" s="16">
        <v>161.44</v>
      </c>
      <c r="F51" s="16">
        <v>145.39</v>
      </c>
      <c r="G51" s="17">
        <v>5.53</v>
      </c>
      <c r="H51" s="17">
        <v>4.97</v>
      </c>
      <c r="I51" s="17">
        <v>5.17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228</v>
      </c>
      <c r="B52" s="17">
        <v>0.05</v>
      </c>
      <c r="C52" s="17">
        <v>0.05</v>
      </c>
      <c r="D52" s="17">
        <v>0.05</v>
      </c>
      <c r="E52" s="17">
        <v>0.05</v>
      </c>
      <c r="F52" s="17">
        <v>0.04</v>
      </c>
      <c r="G52" s="17">
        <v>0.04</v>
      </c>
      <c r="H52" s="17">
        <v>0.04</v>
      </c>
      <c r="I52" s="17">
        <v>0.04</v>
      </c>
      <c r="J52" s="17">
        <v>0.04</v>
      </c>
      <c r="K52" s="17">
        <v>0.02</v>
      </c>
      <c r="L52" s="17">
        <v>0.02</v>
      </c>
      <c r="M52" s="17">
        <v>0.02</v>
      </c>
      <c r="N52" s="17">
        <v>0.02</v>
      </c>
      <c r="O52" s="17">
        <v>0.01</v>
      </c>
      <c r="P52" s="17">
        <v>0.02</v>
      </c>
      <c r="Q52" s="17">
        <v>0.02</v>
      </c>
      <c r="R52" s="17">
        <v>0.03</v>
      </c>
      <c r="S52" s="17">
        <v>0.04</v>
      </c>
      <c r="T52" s="17">
        <v>0.02</v>
      </c>
      <c r="U52" s="17">
        <v>0.02</v>
      </c>
      <c r="V52" s="17">
        <v>0.02</v>
      </c>
      <c r="W52" s="17">
        <v>0.02</v>
      </c>
    </row>
    <row r="53" ht="15.0" customHeight="1">
      <c r="A53" s="14" t="s">
        <v>229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6">
        <v>129.96</v>
      </c>
      <c r="M53" s="16">
        <v>102.74</v>
      </c>
      <c r="N53" s="17">
        <v>84.43</v>
      </c>
      <c r="O53" s="17">
        <v>62.58</v>
      </c>
      <c r="P53" s="17">
        <v>40.15</v>
      </c>
      <c r="Q53" s="17">
        <v>13.92</v>
      </c>
      <c r="R53" s="17">
        <v>12.77</v>
      </c>
      <c r="S53" s="17">
        <v>11.58</v>
      </c>
      <c r="T53" s="17">
        <v>8.73</v>
      </c>
      <c r="U53" s="17">
        <v>7.7</v>
      </c>
      <c r="V53" s="17">
        <v>7.15</v>
      </c>
      <c r="W53" s="17">
        <v>8.84</v>
      </c>
    </row>
    <row r="54" ht="15.0" customHeight="1">
      <c r="A54" s="14" t="s">
        <v>230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22">
        <v>-42.12</v>
      </c>
      <c r="M54" s="22">
        <v>-33.0</v>
      </c>
      <c r="N54" s="22">
        <v>-27.61</v>
      </c>
      <c r="O54" s="22">
        <v>-20.47</v>
      </c>
      <c r="P54" s="22">
        <v>-19.19</v>
      </c>
      <c r="Q54" s="22">
        <v>-10.26</v>
      </c>
      <c r="R54" s="22">
        <v>-8.38</v>
      </c>
      <c r="S54" s="22">
        <v>-8.08</v>
      </c>
      <c r="T54" s="22">
        <v>-6.53</v>
      </c>
      <c r="U54" s="22">
        <v>-6.43</v>
      </c>
      <c r="V54" s="22">
        <v>-6.23</v>
      </c>
      <c r="W54" s="22">
        <v>-7.49</v>
      </c>
    </row>
    <row r="55" ht="15.0" customHeight="1">
      <c r="A55" s="14" t="s">
        <v>231</v>
      </c>
      <c r="B55" s="16">
        <v>173.01</v>
      </c>
      <c r="C55" s="16">
        <v>180.36</v>
      </c>
      <c r="D55" s="16">
        <v>178.37</v>
      </c>
      <c r="E55" s="16">
        <v>135.7</v>
      </c>
      <c r="F55" s="16">
        <v>134.99</v>
      </c>
      <c r="G55" s="16">
        <v>139.82</v>
      </c>
      <c r="H55" s="16">
        <v>120.72</v>
      </c>
      <c r="I55" s="16">
        <v>103.38</v>
      </c>
      <c r="J55" s="16">
        <v>102.53</v>
      </c>
      <c r="K55" s="17">
        <v>78.17</v>
      </c>
      <c r="L55" s="17">
        <v>87.84</v>
      </c>
      <c r="M55" s="17">
        <v>69.73</v>
      </c>
      <c r="N55" s="17">
        <v>56.82</v>
      </c>
      <c r="O55" s="17">
        <v>42.11</v>
      </c>
      <c r="P55" s="17">
        <v>20.96</v>
      </c>
      <c r="Q55" s="17">
        <f t="shared" ref="Q55:W55" si="1">SUM(Q53:Q54)</f>
        <v>3.66</v>
      </c>
      <c r="R55" s="17">
        <f t="shared" si="1"/>
        <v>4.39</v>
      </c>
      <c r="S55" s="17">
        <f t="shared" si="1"/>
        <v>3.5</v>
      </c>
      <c r="T55" s="17">
        <f t="shared" si="1"/>
        <v>2.2</v>
      </c>
      <c r="U55" s="17">
        <f t="shared" si="1"/>
        <v>1.27</v>
      </c>
      <c r="V55" s="17">
        <f t="shared" si="1"/>
        <v>0.92</v>
      </c>
      <c r="W55" s="17">
        <f t="shared" si="1"/>
        <v>1.35</v>
      </c>
    </row>
    <row r="56" ht="15.0" customHeight="1">
      <c r="A56" s="14" t="s">
        <v>232</v>
      </c>
      <c r="B56" s="15"/>
      <c r="C56" s="16">
        <v>125.67</v>
      </c>
      <c r="D56" s="17">
        <v>92.3</v>
      </c>
      <c r="E56" s="17">
        <v>99.54</v>
      </c>
      <c r="F56" s="17">
        <v>97.58</v>
      </c>
      <c r="G56" s="17">
        <v>95.1</v>
      </c>
      <c r="H56" s="17">
        <v>87.6</v>
      </c>
      <c r="I56" s="17">
        <v>84.17</v>
      </c>
      <c r="J56" s="17">
        <v>78.67</v>
      </c>
      <c r="K56" s="17">
        <v>56.64</v>
      </c>
      <c r="L56" s="17">
        <v>60.86</v>
      </c>
      <c r="M56" s="17">
        <v>45.4</v>
      </c>
      <c r="N56" s="17">
        <v>36.36</v>
      </c>
      <c r="O56" s="17">
        <v>29.81</v>
      </c>
      <c r="P56" s="17">
        <v>0.44</v>
      </c>
      <c r="Q56" s="15">
        <v>0.0</v>
      </c>
      <c r="R56" s="15"/>
      <c r="S56" s="15"/>
      <c r="T56" s="15"/>
      <c r="U56" s="15"/>
      <c r="V56" s="15"/>
      <c r="W56" s="15"/>
    </row>
    <row r="57" ht="15.0" customHeight="1">
      <c r="A57" s="14" t="s">
        <v>233</v>
      </c>
      <c r="B57" s="15"/>
      <c r="C57" s="16">
        <v>168.27</v>
      </c>
      <c r="D57" s="16">
        <v>128.73</v>
      </c>
      <c r="E57" s="16">
        <v>129.32</v>
      </c>
      <c r="F57" s="16">
        <v>124.21</v>
      </c>
      <c r="G57" s="16">
        <v>114.05</v>
      </c>
      <c r="H57" s="16">
        <v>101.12</v>
      </c>
      <c r="I57" s="17">
        <v>95.32</v>
      </c>
      <c r="J57" s="17">
        <v>86.9</v>
      </c>
      <c r="K57" s="17">
        <v>62.51</v>
      </c>
      <c r="L57" s="17">
        <v>65.38</v>
      </c>
      <c r="M57" s="17">
        <v>47.83</v>
      </c>
      <c r="N57" s="17">
        <v>37.54</v>
      </c>
      <c r="O57" s="17">
        <v>29.95</v>
      </c>
      <c r="P57" s="17">
        <v>0.44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234</v>
      </c>
      <c r="B58" s="15"/>
      <c r="C58" s="22">
        <v>-42.59</v>
      </c>
      <c r="D58" s="22">
        <v>-36.43</v>
      </c>
      <c r="E58" s="22">
        <v>-29.78</v>
      </c>
      <c r="F58" s="22">
        <v>-26.63</v>
      </c>
      <c r="G58" s="22">
        <v>-18.95</v>
      </c>
      <c r="H58" s="22">
        <v>-13.52</v>
      </c>
      <c r="I58" s="22">
        <v>-11.15</v>
      </c>
      <c r="J58" s="22">
        <v>-8.23</v>
      </c>
      <c r="K58" s="22">
        <v>-5.86</v>
      </c>
      <c r="L58" s="22">
        <v>-4.53</v>
      </c>
      <c r="M58" s="22">
        <v>-2.42</v>
      </c>
      <c r="N58" s="22">
        <v>-1.17</v>
      </c>
      <c r="O58" s="22">
        <v>-0.14</v>
      </c>
      <c r="P58" s="15">
        <v>0.0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235</v>
      </c>
      <c r="B59" s="15"/>
      <c r="C59" s="24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236</v>
      </c>
      <c r="B60" s="15"/>
      <c r="C60" s="15"/>
      <c r="D60" s="15"/>
      <c r="E60" s="15"/>
      <c r="F60" s="15"/>
      <c r="G60" s="15"/>
      <c r="H60" s="15">
        <v>0.0</v>
      </c>
      <c r="I60" s="15">
        <v>0.0</v>
      </c>
      <c r="J60" s="15">
        <v>0.0</v>
      </c>
      <c r="K60" s="15">
        <v>0.0</v>
      </c>
      <c r="L60" s="15">
        <v>0.0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237</v>
      </c>
      <c r="B61" s="15"/>
      <c r="C61" s="16">
        <v>101.27</v>
      </c>
      <c r="D61" s="17">
        <v>78.35</v>
      </c>
      <c r="E61" s="17">
        <v>71.67</v>
      </c>
      <c r="F61" s="17">
        <v>74.18</v>
      </c>
      <c r="G61" s="17">
        <v>83.35</v>
      </c>
      <c r="H61" s="17">
        <v>63.92</v>
      </c>
      <c r="I61" s="17">
        <v>49.34</v>
      </c>
      <c r="J61" s="17">
        <v>48.8</v>
      </c>
      <c r="K61" s="17">
        <v>34.52</v>
      </c>
      <c r="L61" s="17">
        <v>37.24</v>
      </c>
      <c r="M61" s="17">
        <v>25.35</v>
      </c>
      <c r="N61" s="17">
        <v>21.98</v>
      </c>
      <c r="O61" s="17">
        <v>16.95</v>
      </c>
      <c r="P61" s="17">
        <v>16.25</v>
      </c>
      <c r="Q61" s="17">
        <v>3.94</v>
      </c>
      <c r="R61" s="17">
        <v>3.66</v>
      </c>
      <c r="S61" s="17">
        <v>3.28</v>
      </c>
      <c r="T61" s="17">
        <v>2.86</v>
      </c>
      <c r="U61" s="17">
        <v>2.0</v>
      </c>
      <c r="V61" s="17">
        <v>1.85</v>
      </c>
      <c r="W61" s="17">
        <v>2.5</v>
      </c>
    </row>
    <row r="62" ht="15.0" customHeight="1">
      <c r="A62" s="14" t="s">
        <v>238</v>
      </c>
      <c r="B62" s="15"/>
      <c r="C62" s="22">
        <v>-70.31</v>
      </c>
      <c r="D62" s="22">
        <v>-60.21</v>
      </c>
      <c r="E62" s="22">
        <v>-49.33</v>
      </c>
      <c r="F62" s="22">
        <v>-44.06</v>
      </c>
      <c r="G62" s="22">
        <v>-43.72</v>
      </c>
      <c r="H62" s="22">
        <v>-34.62</v>
      </c>
      <c r="I62" s="22">
        <v>-32.42</v>
      </c>
      <c r="J62" s="22">
        <v>-29.18</v>
      </c>
      <c r="K62" s="22">
        <v>-24.06</v>
      </c>
      <c r="L62" s="22">
        <v>-22.14</v>
      </c>
      <c r="M62" s="22">
        <v>-16.6</v>
      </c>
      <c r="N62" s="22">
        <v>-14.02</v>
      </c>
      <c r="O62" s="22">
        <v>-10.09</v>
      </c>
      <c r="P62" s="22">
        <v>-10.0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239</v>
      </c>
      <c r="B63" s="15"/>
      <c r="C63" s="15"/>
      <c r="D63" s="15"/>
      <c r="E63" s="15"/>
      <c r="F63" s="15"/>
      <c r="G63" s="15"/>
      <c r="H63" s="15">
        <v>0.0</v>
      </c>
      <c r="I63" s="15">
        <v>0.0</v>
      </c>
      <c r="J63" s="15">
        <v>0.0</v>
      </c>
      <c r="K63" s="15">
        <v>0.0</v>
      </c>
      <c r="L63" s="15">
        <v>0.0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240</v>
      </c>
      <c r="B64" s="15"/>
      <c r="C64" s="17">
        <v>1.53</v>
      </c>
      <c r="D64" s="17">
        <v>48.81</v>
      </c>
      <c r="E64" s="15">
        <v>0.0</v>
      </c>
      <c r="F64" s="15">
        <v>0.0</v>
      </c>
      <c r="G64" s="15">
        <v>0.0</v>
      </c>
      <c r="H64" s="15">
        <v>0.0</v>
      </c>
      <c r="I64" s="15">
        <v>0.0</v>
      </c>
      <c r="J64" s="17">
        <v>2.85</v>
      </c>
      <c r="K64" s="17">
        <v>9.98</v>
      </c>
      <c r="L64" s="17">
        <v>11.01</v>
      </c>
      <c r="M64" s="17">
        <v>14.17</v>
      </c>
      <c r="N64" s="17">
        <v>10.8</v>
      </c>
      <c r="O64" s="17">
        <v>3.55</v>
      </c>
      <c r="P64" s="17">
        <v>12.6</v>
      </c>
      <c r="Q64" s="15">
        <v>0.0</v>
      </c>
      <c r="R64" s="15"/>
      <c r="S64" s="15"/>
      <c r="T64" s="15"/>
      <c r="U64" s="15"/>
      <c r="V64" s="15"/>
      <c r="W64" s="15"/>
    </row>
    <row r="65" ht="15.0" customHeight="1">
      <c r="A65" s="14" t="s">
        <v>241</v>
      </c>
      <c r="B65" s="15"/>
      <c r="C65" s="17">
        <v>54.13</v>
      </c>
      <c r="D65" s="17">
        <v>47.95</v>
      </c>
      <c r="E65" s="17">
        <v>38.95</v>
      </c>
      <c r="F65" s="17">
        <v>31.03</v>
      </c>
      <c r="G65" s="17">
        <v>25.71</v>
      </c>
      <c r="H65" s="17">
        <v>21.23</v>
      </c>
      <c r="I65" s="17">
        <v>18.09</v>
      </c>
      <c r="J65" s="17">
        <v>16.67</v>
      </c>
      <c r="K65" s="17">
        <v>14.82</v>
      </c>
      <c r="L65" s="17">
        <v>16.32</v>
      </c>
      <c r="M65" s="17">
        <v>15.39</v>
      </c>
      <c r="N65" s="17">
        <v>14.11</v>
      </c>
      <c r="O65" s="17">
        <v>12.13</v>
      </c>
      <c r="P65" s="17">
        <v>10.86</v>
      </c>
      <c r="Q65" s="17">
        <v>9.98</v>
      </c>
      <c r="R65" s="17">
        <v>9.11</v>
      </c>
      <c r="S65" s="17">
        <v>8.29</v>
      </c>
      <c r="T65" s="17">
        <v>5.87</v>
      </c>
      <c r="U65" s="17">
        <v>5.7</v>
      </c>
      <c r="V65" s="17">
        <v>5.3</v>
      </c>
      <c r="W65" s="17">
        <v>6.34</v>
      </c>
    </row>
    <row r="66" ht="15.0" customHeight="1">
      <c r="A66" s="14" t="s">
        <v>242</v>
      </c>
      <c r="B66" s="15"/>
      <c r="C66" s="22">
        <v>-31.92</v>
      </c>
      <c r="D66" s="22">
        <v>-28.83</v>
      </c>
      <c r="E66" s="22">
        <v>-25.12</v>
      </c>
      <c r="F66" s="22">
        <v>-23.73</v>
      </c>
      <c r="G66" s="22">
        <v>-20.62</v>
      </c>
      <c r="H66" s="22">
        <v>-17.41</v>
      </c>
      <c r="I66" s="22">
        <v>-15.8</v>
      </c>
      <c r="J66" s="22">
        <v>-15.27</v>
      </c>
      <c r="K66" s="22">
        <v>-13.74</v>
      </c>
      <c r="L66" s="22">
        <v>-15.45</v>
      </c>
      <c r="M66" s="22">
        <v>-13.98</v>
      </c>
      <c r="N66" s="22">
        <v>-12.41</v>
      </c>
      <c r="O66" s="22">
        <v>-10.24</v>
      </c>
      <c r="P66" s="22">
        <v>-9.19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243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4">
        <v>0.0</v>
      </c>
      <c r="P67" s="24">
        <v>0.0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244</v>
      </c>
      <c r="B68" s="15"/>
      <c r="C68" s="24">
        <v>0.0</v>
      </c>
      <c r="D68" s="15"/>
      <c r="E68" s="15"/>
      <c r="F68" s="15"/>
      <c r="G68" s="15"/>
      <c r="H68" s="15"/>
      <c r="I68" s="15"/>
      <c r="J68" s="15"/>
      <c r="K68" s="24">
        <v>0.0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245</v>
      </c>
      <c r="B69" s="17">
        <v>30.63</v>
      </c>
      <c r="C69" s="17">
        <v>28.8</v>
      </c>
      <c r="D69" s="17">
        <v>28.2</v>
      </c>
      <c r="E69" s="17">
        <v>24.28</v>
      </c>
      <c r="F69" s="17">
        <v>21.66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246</v>
      </c>
      <c r="B70" s="17">
        <v>25.08</v>
      </c>
      <c r="C70" s="17">
        <v>31.03</v>
      </c>
      <c r="D70" s="17">
        <v>36.4</v>
      </c>
      <c r="E70" s="17">
        <v>12.76</v>
      </c>
      <c r="F70" s="17">
        <v>14.69</v>
      </c>
      <c r="G70" s="17">
        <v>30.14</v>
      </c>
      <c r="H70" s="17">
        <v>19.03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247</v>
      </c>
      <c r="B71" s="15"/>
      <c r="C71" s="17">
        <v>80.54</v>
      </c>
      <c r="D71" s="17">
        <v>77.8</v>
      </c>
      <c r="E71" s="17">
        <v>43.73</v>
      </c>
      <c r="F71" s="17">
        <v>39.48</v>
      </c>
      <c r="G71" s="17">
        <v>44.43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248</v>
      </c>
      <c r="B72" s="15"/>
      <c r="C72" s="22">
        <v>-49.51</v>
      </c>
      <c r="D72" s="22">
        <v>-41.4</v>
      </c>
      <c r="E72" s="22">
        <v>-30.97</v>
      </c>
      <c r="F72" s="22">
        <v>-24.79</v>
      </c>
      <c r="G72" s="22">
        <v>-14.3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249</v>
      </c>
      <c r="B73" s="15"/>
      <c r="C73" s="15"/>
      <c r="D73" s="15"/>
      <c r="E73" s="24">
        <v>0.0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219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>
        <v>0.0</v>
      </c>
      <c r="M74" s="17">
        <v>3.83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7">
        <v>22.6</v>
      </c>
      <c r="U75" s="17">
        <v>24.47</v>
      </c>
      <c r="V75" s="17">
        <v>22.82</v>
      </c>
      <c r="W75" s="17">
        <v>33.98</v>
      </c>
    </row>
    <row r="76" ht="15.0" customHeight="1">
      <c r="A76" s="14" t="s">
        <v>251</v>
      </c>
      <c r="B76" s="17">
        <v>24.41</v>
      </c>
      <c r="C76" s="17">
        <v>14.67</v>
      </c>
      <c r="D76" s="17">
        <v>6.0</v>
      </c>
      <c r="E76" s="17">
        <v>14.42</v>
      </c>
      <c r="F76" s="17">
        <v>2.69</v>
      </c>
      <c r="G76" s="17">
        <v>5.51</v>
      </c>
      <c r="H76" s="17">
        <v>6.11</v>
      </c>
      <c r="I76" s="17">
        <v>8.23</v>
      </c>
      <c r="J76" s="17">
        <v>9.35</v>
      </c>
      <c r="K76" s="17">
        <v>9.89</v>
      </c>
      <c r="L76" s="15"/>
      <c r="M76" s="15"/>
      <c r="N76" s="15"/>
      <c r="O76" s="15"/>
      <c r="P76" s="15"/>
      <c r="Q76" s="15">
        <v>0.0</v>
      </c>
      <c r="R76" s="17">
        <v>3.32</v>
      </c>
      <c r="S76" s="17">
        <v>18.76</v>
      </c>
      <c r="T76" s="17">
        <v>7.57</v>
      </c>
      <c r="U76" s="15"/>
      <c r="V76" s="15"/>
      <c r="W76" s="15"/>
    </row>
    <row r="77" ht="15.0" customHeight="1">
      <c r="A77" s="14" t="s">
        <v>222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7">
        <v>25.51</v>
      </c>
      <c r="R77" s="17">
        <v>23.79</v>
      </c>
      <c r="S77" s="17">
        <v>26.15</v>
      </c>
      <c r="T77" s="17">
        <v>24.73</v>
      </c>
      <c r="U77" s="17">
        <v>26.77</v>
      </c>
      <c r="V77" s="17">
        <v>24.97</v>
      </c>
      <c r="W77" s="17">
        <v>36.29</v>
      </c>
    </row>
    <row r="78" ht="15.0" customHeight="1">
      <c r="A78" s="14" t="s">
        <v>252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7">
        <v>3.66</v>
      </c>
      <c r="R78" s="17">
        <v>4.39</v>
      </c>
      <c r="S78" s="17">
        <v>3.5</v>
      </c>
      <c r="T78" s="17">
        <v>2.2</v>
      </c>
      <c r="U78" s="17">
        <v>1.26</v>
      </c>
      <c r="V78" s="17">
        <v>0.93</v>
      </c>
      <c r="W78" s="17">
        <v>1.35</v>
      </c>
    </row>
    <row r="79" ht="15.0" customHeight="1">
      <c r="A79" s="14" t="s">
        <v>253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7">
        <v>1.02</v>
      </c>
      <c r="R79" s="17">
        <v>1.85</v>
      </c>
      <c r="S79" s="17">
        <v>4.49</v>
      </c>
      <c r="T79" s="17">
        <v>6.9</v>
      </c>
      <c r="U79" s="17">
        <v>10.39</v>
      </c>
      <c r="V79" s="17">
        <v>12.8</v>
      </c>
      <c r="W79" s="17">
        <v>25.66</v>
      </c>
    </row>
    <row r="80" ht="15.0" customHeight="1">
      <c r="A80" s="18" t="s">
        <v>254</v>
      </c>
      <c r="B80" s="19">
        <v>414.13</v>
      </c>
      <c r="C80" s="19">
        <v>435.73</v>
      </c>
      <c r="D80" s="19">
        <v>461.86</v>
      </c>
      <c r="E80" s="19">
        <v>392.02</v>
      </c>
      <c r="F80" s="19">
        <v>366.31</v>
      </c>
      <c r="G80" s="19">
        <v>233.59</v>
      </c>
      <c r="H80" s="19">
        <v>200.16</v>
      </c>
      <c r="I80" s="19">
        <v>161.56</v>
      </c>
      <c r="J80" s="19">
        <v>121.85</v>
      </c>
      <c r="K80" s="20">
        <v>98.28</v>
      </c>
      <c r="L80" s="19">
        <v>113.15</v>
      </c>
      <c r="M80" s="20">
        <v>79.41</v>
      </c>
      <c r="N80" s="20">
        <v>56.83</v>
      </c>
      <c r="O80" s="20">
        <v>42.13</v>
      </c>
      <c r="P80" s="20">
        <v>21.21</v>
      </c>
      <c r="Q80" s="20">
        <f> 57.17 + Q81</f>
        <v>17.74</v>
      </c>
      <c r="R80" s="20">
        <f> 57.34 +R81</f>
        <v>20.78</v>
      </c>
      <c r="S80" s="20">
        <f> 75.41 +S81</f>
        <v>37.69</v>
      </c>
      <c r="T80" s="20">
        <f>81.15 +T81</f>
        <v>25.09</v>
      </c>
      <c r="U80" s="20">
        <f>80.26 +U81</f>
        <v>21.32</v>
      </c>
      <c r="V80" s="20">
        <f>75.8 +V81</f>
        <v>20.86</v>
      </c>
      <c r="W80" s="19">
        <f>112.38 +W81</f>
        <v>33.26</v>
      </c>
    </row>
    <row r="81" ht="15.0" customHeight="1">
      <c r="A81" s="14" t="s">
        <v>255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2">
        <v>-39.43</v>
      </c>
      <c r="R81" s="22">
        <v>-36.56</v>
      </c>
      <c r="S81" s="22">
        <v>-37.72</v>
      </c>
      <c r="T81" s="22">
        <v>-56.06</v>
      </c>
      <c r="U81" s="22">
        <v>-58.94</v>
      </c>
      <c r="V81" s="22">
        <v>-54.94</v>
      </c>
      <c r="W81" s="22">
        <v>-79.12</v>
      </c>
    </row>
    <row r="82" ht="15.0" customHeight="1">
      <c r="A82" s="18" t="s">
        <v>256</v>
      </c>
      <c r="B82" s="19">
        <v>1747.15</v>
      </c>
      <c r="C82" s="19">
        <v>2091.15</v>
      </c>
      <c r="D82" s="19">
        <v>2348.97</v>
      </c>
      <c r="E82" s="19">
        <v>2083.93</v>
      </c>
      <c r="F82" s="19">
        <v>2073.32</v>
      </c>
      <c r="G82" s="19">
        <v>1997.85</v>
      </c>
      <c r="H82" s="19">
        <v>624.39</v>
      </c>
      <c r="I82" s="19">
        <v>644.04</v>
      </c>
      <c r="J82" s="19">
        <v>576.48</v>
      </c>
      <c r="K82" s="19">
        <v>463.71</v>
      </c>
      <c r="L82" s="19">
        <v>495.21</v>
      </c>
      <c r="M82" s="19">
        <v>398.36</v>
      </c>
      <c r="N82" s="19">
        <v>361.36</v>
      </c>
      <c r="O82" s="19">
        <v>442.59</v>
      </c>
      <c r="P82" s="19">
        <v>242.81</v>
      </c>
      <c r="Q82" s="19">
        <v>197.67</v>
      </c>
      <c r="R82" s="19">
        <v>145.49</v>
      </c>
      <c r="S82" s="19">
        <v>137.21</v>
      </c>
      <c r="T82" s="20">
        <v>93.16</v>
      </c>
      <c r="U82" s="20">
        <v>82.64</v>
      </c>
      <c r="V82" s="20">
        <v>74.01</v>
      </c>
      <c r="W82" s="20">
        <v>99.1</v>
      </c>
    </row>
    <row r="83" ht="15.0" customHeight="1">
      <c r="A83" s="14" t="s">
        <v>257</v>
      </c>
      <c r="B83" s="15"/>
      <c r="C83" s="17">
        <v>9.08</v>
      </c>
      <c r="D83" s="17">
        <v>8.59</v>
      </c>
      <c r="E83" s="17">
        <v>8.63</v>
      </c>
      <c r="F83" s="17">
        <v>2.74</v>
      </c>
      <c r="G83" s="17">
        <v>11.81</v>
      </c>
      <c r="H83" s="17">
        <v>18.91</v>
      </c>
      <c r="I83" s="17">
        <v>24.25</v>
      </c>
      <c r="J83" s="17">
        <v>36.67</v>
      </c>
      <c r="K83" s="17">
        <v>20.67</v>
      </c>
      <c r="L83" s="17">
        <v>17.54</v>
      </c>
      <c r="M83" s="17">
        <v>6.52</v>
      </c>
      <c r="N83" s="17">
        <v>0.48</v>
      </c>
      <c r="O83" s="17">
        <v>2.67</v>
      </c>
      <c r="P83" s="17">
        <v>2.57</v>
      </c>
      <c r="Q83" s="17">
        <v>0.91</v>
      </c>
      <c r="R83" s="17">
        <v>0.35</v>
      </c>
      <c r="S83" s="17">
        <v>0.89</v>
      </c>
      <c r="T83" s="17">
        <v>1.29</v>
      </c>
      <c r="U83" s="17">
        <v>0.91</v>
      </c>
      <c r="V83" s="17">
        <v>1.69</v>
      </c>
      <c r="W83" s="17">
        <v>1.05</v>
      </c>
    </row>
    <row r="84" ht="15.0" customHeight="1">
      <c r="A84" s="14" t="s">
        <v>258</v>
      </c>
      <c r="B84" s="15"/>
      <c r="C84" s="17">
        <v>49.66</v>
      </c>
      <c r="D84" s="17">
        <v>49.64</v>
      </c>
      <c r="E84" s="17">
        <v>30.17</v>
      </c>
      <c r="F84" s="17">
        <v>41.22</v>
      </c>
      <c r="G84" s="17">
        <v>50.17</v>
      </c>
      <c r="H84" s="17">
        <v>26.71</v>
      </c>
      <c r="I84" s="17">
        <v>33.19</v>
      </c>
      <c r="J84" s="17">
        <v>20.91</v>
      </c>
      <c r="K84" s="17">
        <v>16.07</v>
      </c>
      <c r="L84" s="17">
        <v>24.74</v>
      </c>
      <c r="M84" s="17">
        <v>16.25</v>
      </c>
      <c r="N84" s="17">
        <v>16.78</v>
      </c>
      <c r="O84" s="17">
        <v>12.61</v>
      </c>
      <c r="P84" s="17">
        <v>15.42</v>
      </c>
      <c r="Q84" s="17">
        <v>8.13</v>
      </c>
      <c r="R84" s="17">
        <v>6.55</v>
      </c>
      <c r="S84" s="17">
        <v>5.88</v>
      </c>
      <c r="T84" s="17">
        <v>5.07</v>
      </c>
      <c r="U84" s="17">
        <v>5.95</v>
      </c>
      <c r="V84" s="17">
        <v>3.17</v>
      </c>
      <c r="W84" s="17">
        <v>1.62</v>
      </c>
    </row>
    <row r="85" ht="15.0" customHeight="1">
      <c r="A85" s="14" t="s">
        <v>259</v>
      </c>
      <c r="B85" s="15"/>
      <c r="C85" s="17">
        <v>14.69</v>
      </c>
      <c r="D85" s="17">
        <v>18.63</v>
      </c>
      <c r="E85" s="17">
        <v>21.75</v>
      </c>
      <c r="F85" s="17">
        <v>20.41</v>
      </c>
      <c r="G85" s="17">
        <v>27.09</v>
      </c>
      <c r="H85" s="17">
        <v>17.12</v>
      </c>
      <c r="I85" s="17">
        <v>12.64</v>
      </c>
      <c r="J85" s="17">
        <v>6.72</v>
      </c>
      <c r="K85" s="17">
        <v>8.76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260</v>
      </c>
      <c r="B86" s="15"/>
      <c r="C86" s="17">
        <v>7.3</v>
      </c>
      <c r="D86" s="17">
        <v>8.86</v>
      </c>
      <c r="E86" s="17">
        <v>10.45</v>
      </c>
      <c r="F86" s="17">
        <v>0.01</v>
      </c>
      <c r="G86" s="17">
        <v>8.56</v>
      </c>
      <c r="H86" s="17">
        <v>7.09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261</v>
      </c>
      <c r="B87" s="15"/>
      <c r="C87" s="17">
        <v>7.39</v>
      </c>
      <c r="D87" s="17">
        <v>9.77</v>
      </c>
      <c r="E87" s="17">
        <v>11.3</v>
      </c>
      <c r="F87" s="17">
        <v>20.4</v>
      </c>
      <c r="G87" s="17">
        <v>18.52</v>
      </c>
      <c r="H87" s="17">
        <v>10.03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262</v>
      </c>
      <c r="B88" s="15"/>
      <c r="C88" s="15"/>
      <c r="D88" s="15"/>
      <c r="E88" s="15"/>
      <c r="F88" s="15"/>
      <c r="G88" s="22">
        <v>-0.13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263</v>
      </c>
      <c r="B89" s="16">
        <v>217.75</v>
      </c>
      <c r="C89" s="15"/>
      <c r="D89" s="15"/>
      <c r="E89" s="15"/>
      <c r="F89" s="15"/>
      <c r="G89" s="15"/>
      <c r="H89" s="15"/>
      <c r="I89" s="15"/>
      <c r="J89" s="15"/>
      <c r="K89" s="15"/>
      <c r="L89" s="17">
        <v>4.98</v>
      </c>
      <c r="M89" s="17">
        <v>8.62</v>
      </c>
      <c r="N89" s="17">
        <v>3.71</v>
      </c>
      <c r="O89" s="17">
        <v>1.08</v>
      </c>
      <c r="P89" s="17">
        <v>1.12</v>
      </c>
      <c r="Q89" s="17">
        <v>0.6</v>
      </c>
      <c r="R89" s="17">
        <v>0.7</v>
      </c>
      <c r="S89" s="17">
        <v>5.0</v>
      </c>
      <c r="T89" s="17">
        <v>0.67</v>
      </c>
      <c r="U89" s="17">
        <v>0.45</v>
      </c>
      <c r="V89" s="17">
        <v>0.38</v>
      </c>
      <c r="W89" s="17">
        <v>0.67</v>
      </c>
    </row>
    <row r="90" ht="15.0" customHeight="1">
      <c r="A90" s="14" t="s">
        <v>264</v>
      </c>
      <c r="B90" s="15"/>
      <c r="C90" s="16">
        <v>104.16</v>
      </c>
      <c r="D90" s="17">
        <v>86.94</v>
      </c>
      <c r="E90" s="17">
        <v>73.37</v>
      </c>
      <c r="F90" s="17">
        <v>54.95</v>
      </c>
      <c r="G90" s="17">
        <v>50.88</v>
      </c>
      <c r="H90" s="17">
        <v>50.55</v>
      </c>
      <c r="I90" s="17">
        <v>55.96</v>
      </c>
      <c r="J90" s="17">
        <v>40.91</v>
      </c>
      <c r="K90" s="17">
        <v>24.07</v>
      </c>
      <c r="L90" s="17">
        <v>33.32</v>
      </c>
      <c r="M90" s="17">
        <v>27.17</v>
      </c>
      <c r="N90" s="17">
        <v>14.03</v>
      </c>
      <c r="O90" s="17">
        <v>12.67</v>
      </c>
      <c r="P90" s="17">
        <v>13.16</v>
      </c>
      <c r="Q90" s="17">
        <v>8.82</v>
      </c>
      <c r="R90" s="17">
        <v>6.99</v>
      </c>
      <c r="S90" s="17">
        <v>7.65</v>
      </c>
      <c r="T90" s="17">
        <v>6.31</v>
      </c>
      <c r="U90" s="17">
        <v>7.47</v>
      </c>
      <c r="V90" s="17">
        <v>5.28</v>
      </c>
      <c r="W90" s="17">
        <v>5.01</v>
      </c>
    </row>
    <row r="91" ht="15.0" customHeight="1">
      <c r="A91" s="14" t="s">
        <v>264</v>
      </c>
      <c r="B91" s="15"/>
      <c r="C91" s="17">
        <v>80.27</v>
      </c>
      <c r="D91" s="17">
        <v>67.2</v>
      </c>
      <c r="E91" s="17">
        <v>54.59</v>
      </c>
      <c r="F91" s="17">
        <v>37.41</v>
      </c>
      <c r="G91" s="17">
        <v>28.25</v>
      </c>
      <c r="H91" s="17">
        <v>35.06</v>
      </c>
      <c r="I91" s="17">
        <v>44.38</v>
      </c>
      <c r="J91" s="17">
        <v>31.85</v>
      </c>
      <c r="K91" s="17">
        <v>15.46</v>
      </c>
      <c r="L91" s="17">
        <v>26.18</v>
      </c>
      <c r="M91" s="17">
        <v>21.22</v>
      </c>
      <c r="N91" s="17">
        <v>8.39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265</v>
      </c>
      <c r="B92" s="15"/>
      <c r="C92" s="17">
        <v>20.93</v>
      </c>
      <c r="D92" s="17">
        <v>17.22</v>
      </c>
      <c r="E92" s="17">
        <v>16.14</v>
      </c>
      <c r="F92" s="17">
        <v>15.07</v>
      </c>
      <c r="G92" s="17">
        <v>17.77</v>
      </c>
      <c r="H92" s="17">
        <v>11.12</v>
      </c>
      <c r="I92" s="17">
        <v>9.59</v>
      </c>
      <c r="J92" s="17">
        <v>7.35</v>
      </c>
      <c r="K92" s="17">
        <v>7.21</v>
      </c>
      <c r="L92" s="17">
        <v>7.15</v>
      </c>
      <c r="M92" s="17">
        <v>5.95</v>
      </c>
      <c r="N92" s="17">
        <v>5.64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266</v>
      </c>
      <c r="B93" s="15"/>
      <c r="C93" s="17">
        <v>2.96</v>
      </c>
      <c r="D93" s="17">
        <v>2.52</v>
      </c>
      <c r="E93" s="17">
        <v>2.64</v>
      </c>
      <c r="F93" s="17">
        <v>2.47</v>
      </c>
      <c r="G93" s="17">
        <v>4.86</v>
      </c>
      <c r="H93" s="17">
        <v>4.37</v>
      </c>
      <c r="I93" s="17">
        <v>1.99</v>
      </c>
      <c r="J93" s="17">
        <v>1.72</v>
      </c>
      <c r="K93" s="17">
        <v>1.41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>
        <v>0.0</v>
      </c>
      <c r="M94" s="17">
        <v>3.74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268</v>
      </c>
      <c r="B95" s="15"/>
      <c r="C95" s="17">
        <v>34.4</v>
      </c>
      <c r="D95" s="17">
        <v>33.25</v>
      </c>
      <c r="E95" s="17">
        <v>21.38</v>
      </c>
      <c r="F95" s="17">
        <v>4.36</v>
      </c>
      <c r="G95" s="17">
        <v>1.22</v>
      </c>
      <c r="H95" s="17">
        <v>3.73</v>
      </c>
      <c r="I95" s="17">
        <v>15.63</v>
      </c>
      <c r="J95" s="17">
        <v>6.31</v>
      </c>
      <c r="K95" s="17">
        <v>0.09</v>
      </c>
      <c r="L95" s="15">
        <v>0.0</v>
      </c>
      <c r="M95" s="17">
        <v>5.59</v>
      </c>
      <c r="N95" s="17">
        <v>27.65</v>
      </c>
      <c r="O95" s="17">
        <v>1.37</v>
      </c>
      <c r="P95" s="17">
        <v>10.5</v>
      </c>
      <c r="Q95" s="17">
        <v>15.78</v>
      </c>
      <c r="R95" s="15"/>
      <c r="S95" s="15"/>
      <c r="T95" s="15"/>
      <c r="U95" s="15"/>
      <c r="V95" s="15"/>
      <c r="W95" s="15"/>
    </row>
    <row r="96" ht="15.0" customHeight="1">
      <c r="A96" s="14" t="s">
        <v>269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>
        <v>0.0</v>
      </c>
      <c r="U96" s="15">
        <v>0.0</v>
      </c>
      <c r="V96" s="17">
        <v>2.53</v>
      </c>
      <c r="W96" s="15"/>
    </row>
    <row r="97" ht="15.0" customHeight="1">
      <c r="A97" s="14" t="s">
        <v>270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7">
        <v>0.89</v>
      </c>
      <c r="R97" s="17">
        <v>0.54</v>
      </c>
      <c r="S97" s="17">
        <v>0.05</v>
      </c>
      <c r="T97" s="15">
        <v>0.0</v>
      </c>
      <c r="U97" s="15"/>
      <c r="V97" s="15"/>
      <c r="W97" s="15"/>
    </row>
    <row r="98" ht="15.0" customHeight="1">
      <c r="A98" s="18" t="s">
        <v>271</v>
      </c>
      <c r="B98" s="19">
        <v>217.75</v>
      </c>
      <c r="C98" s="19">
        <v>212.0</v>
      </c>
      <c r="D98" s="19">
        <v>197.06</v>
      </c>
      <c r="E98" s="19">
        <v>155.3</v>
      </c>
      <c r="F98" s="19">
        <v>123.69</v>
      </c>
      <c r="G98" s="19">
        <v>141.03</v>
      </c>
      <c r="H98" s="19">
        <v>117.02</v>
      </c>
      <c r="I98" s="19">
        <v>141.67</v>
      </c>
      <c r="J98" s="19">
        <v>111.52</v>
      </c>
      <c r="K98" s="20">
        <v>69.67</v>
      </c>
      <c r="L98" s="20">
        <v>80.58</v>
      </c>
      <c r="M98" s="20">
        <v>67.89</v>
      </c>
      <c r="N98" s="20">
        <v>62.65</v>
      </c>
      <c r="O98" s="20">
        <v>30.4</v>
      </c>
      <c r="P98" s="20">
        <v>42.77</v>
      </c>
      <c r="Q98" s="20">
        <v>35.14</v>
      </c>
      <c r="R98" s="20">
        <v>15.13</v>
      </c>
      <c r="S98" s="20">
        <v>19.46</v>
      </c>
      <c r="T98" s="20">
        <v>13.34</v>
      </c>
      <c r="U98" s="20">
        <v>14.78</v>
      </c>
      <c r="V98" s="20">
        <v>13.05</v>
      </c>
      <c r="W98" s="20">
        <v>8.35</v>
      </c>
    </row>
    <row r="99" ht="15.0" customHeight="1">
      <c r="A99" s="14" t="s">
        <v>272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>
        <v>0.0</v>
      </c>
      <c r="W99" s="17">
        <v>2.73</v>
      </c>
    </row>
    <row r="100" ht="15.0" customHeight="1">
      <c r="A100" s="14" t="s">
        <v>267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>
        <v>0.0</v>
      </c>
      <c r="W100" s="17">
        <v>4.44</v>
      </c>
    </row>
    <row r="101" ht="15.0" customHeight="1">
      <c r="A101" s="14" t="s">
        <v>273</v>
      </c>
      <c r="B101" s="17">
        <v>5.42</v>
      </c>
      <c r="C101" s="17">
        <v>5.6</v>
      </c>
      <c r="D101" s="17">
        <v>15.28</v>
      </c>
      <c r="E101" s="17">
        <v>11.81</v>
      </c>
      <c r="F101" s="17">
        <v>13.87</v>
      </c>
      <c r="G101" s="17">
        <v>11.81</v>
      </c>
      <c r="H101" s="17">
        <v>9.69</v>
      </c>
      <c r="I101" s="17">
        <v>6.52</v>
      </c>
      <c r="J101" s="17">
        <v>0.78</v>
      </c>
      <c r="K101" s="17">
        <v>0.31</v>
      </c>
      <c r="L101" s="17">
        <v>0.37</v>
      </c>
      <c r="M101" s="17">
        <v>0.18</v>
      </c>
      <c r="N101" s="17">
        <v>0.08</v>
      </c>
      <c r="O101" s="17">
        <v>21.15</v>
      </c>
      <c r="P101" s="17">
        <v>0.16</v>
      </c>
      <c r="Q101" s="15">
        <v>0.0</v>
      </c>
      <c r="R101" s="15"/>
      <c r="S101" s="15"/>
      <c r="T101" s="15"/>
      <c r="U101" s="15"/>
      <c r="V101" s="15"/>
      <c r="W101" s="15"/>
    </row>
    <row r="102" ht="15.0" customHeight="1">
      <c r="A102" s="14" t="s">
        <v>274</v>
      </c>
      <c r="B102" s="17">
        <v>86.92</v>
      </c>
      <c r="C102" s="16">
        <v>101.19</v>
      </c>
      <c r="D102" s="17">
        <v>92.55</v>
      </c>
      <c r="E102" s="17">
        <v>60.25</v>
      </c>
      <c r="F102" s="16">
        <v>106.68</v>
      </c>
      <c r="G102" s="17">
        <v>21.58</v>
      </c>
      <c r="H102" s="17">
        <v>21.46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274</v>
      </c>
      <c r="B103" s="15"/>
      <c r="C103" s="15"/>
      <c r="D103" s="15"/>
      <c r="E103" s="15"/>
      <c r="F103" s="17">
        <v>0.01</v>
      </c>
      <c r="G103" s="17">
        <v>21.61</v>
      </c>
      <c r="H103" s="17">
        <v>16.18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275</v>
      </c>
      <c r="B104" s="15"/>
      <c r="C104" s="15"/>
      <c r="D104" s="15"/>
      <c r="E104" s="15"/>
      <c r="F104" s="17">
        <v>0.68</v>
      </c>
      <c r="G104" s="22">
        <v>-0.04</v>
      </c>
      <c r="H104" s="17">
        <v>5.28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276</v>
      </c>
      <c r="B105" s="15"/>
      <c r="C105" s="15"/>
      <c r="D105" s="15"/>
      <c r="E105" s="15"/>
      <c r="F105" s="16">
        <v>105.99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133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7">
        <v>0.09</v>
      </c>
      <c r="R106" s="22">
        <v>-0.13</v>
      </c>
      <c r="S106" s="17">
        <v>0.09</v>
      </c>
      <c r="T106" s="15">
        <v>0.0</v>
      </c>
      <c r="U106" s="15"/>
      <c r="V106" s="15"/>
      <c r="W106" s="15"/>
    </row>
    <row r="107" ht="15.0" customHeight="1">
      <c r="A107" s="14" t="s">
        <v>277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22">
        <v>-0.09</v>
      </c>
      <c r="R107" s="15"/>
      <c r="S107" s="15"/>
      <c r="T107" s="15"/>
      <c r="U107" s="15"/>
      <c r="V107" s="15"/>
      <c r="W107" s="15"/>
    </row>
    <row r="108" ht="15.0" customHeight="1">
      <c r="A108" s="18" t="s">
        <v>278</v>
      </c>
      <c r="B108" s="20">
        <v>92.34</v>
      </c>
      <c r="C108" s="19">
        <v>106.79</v>
      </c>
      <c r="D108" s="19">
        <v>107.84</v>
      </c>
      <c r="E108" s="20">
        <v>72.06</v>
      </c>
      <c r="F108" s="19">
        <v>120.55</v>
      </c>
      <c r="G108" s="20">
        <v>33.39</v>
      </c>
      <c r="H108" s="20">
        <v>31.15</v>
      </c>
      <c r="I108" s="20">
        <v>6.52</v>
      </c>
      <c r="J108" s="20">
        <v>0.78</v>
      </c>
      <c r="K108" s="20">
        <v>0.31</v>
      </c>
      <c r="L108" s="20">
        <v>0.37</v>
      </c>
      <c r="M108" s="20">
        <v>0.18</v>
      </c>
      <c r="N108" s="20">
        <v>0.08</v>
      </c>
      <c r="O108" s="20">
        <v>21.15</v>
      </c>
      <c r="P108" s="20">
        <v>0.16</v>
      </c>
      <c r="Q108" s="20">
        <v>0.09</v>
      </c>
      <c r="R108" s="23">
        <v>-0.13</v>
      </c>
      <c r="S108" s="20">
        <v>0.09</v>
      </c>
      <c r="T108" s="21">
        <v>0.0</v>
      </c>
      <c r="U108" s="21">
        <v>0.0</v>
      </c>
      <c r="V108" s="21">
        <v>0.0</v>
      </c>
      <c r="W108" s="20">
        <v>7.17</v>
      </c>
    </row>
    <row r="109" ht="15.0" customHeight="1">
      <c r="A109" s="18" t="s">
        <v>279</v>
      </c>
      <c r="B109" s="19">
        <v>310.09</v>
      </c>
      <c r="C109" s="19">
        <v>318.78</v>
      </c>
      <c r="D109" s="19">
        <v>304.89</v>
      </c>
      <c r="E109" s="19">
        <v>227.36</v>
      </c>
      <c r="F109" s="19">
        <v>244.24</v>
      </c>
      <c r="G109" s="19">
        <v>174.42</v>
      </c>
      <c r="H109" s="19">
        <v>148.18</v>
      </c>
      <c r="I109" s="19">
        <v>148.19</v>
      </c>
      <c r="J109" s="19">
        <v>112.3</v>
      </c>
      <c r="K109" s="20">
        <v>69.98</v>
      </c>
      <c r="L109" s="20">
        <v>80.95</v>
      </c>
      <c r="M109" s="20">
        <v>68.07</v>
      </c>
      <c r="N109" s="20">
        <v>62.73</v>
      </c>
      <c r="O109" s="20">
        <v>51.56</v>
      </c>
      <c r="P109" s="20">
        <v>42.93</v>
      </c>
      <c r="Q109" s="20">
        <v>35.14</v>
      </c>
      <c r="R109" s="20">
        <v>14.99</v>
      </c>
      <c r="S109" s="20">
        <v>19.55</v>
      </c>
      <c r="T109" s="20">
        <v>13.34</v>
      </c>
      <c r="U109" s="20">
        <v>14.78</v>
      </c>
      <c r="V109" s="20">
        <v>13.05</v>
      </c>
      <c r="W109" s="20">
        <v>15.52</v>
      </c>
    </row>
    <row r="110" ht="15.0" customHeight="1">
      <c r="A110" s="14" t="s">
        <v>280</v>
      </c>
      <c r="B110" s="15"/>
      <c r="C110" s="17">
        <v>20.8</v>
      </c>
      <c r="D110" s="17">
        <v>20.33</v>
      </c>
      <c r="E110" s="17">
        <v>19.01</v>
      </c>
      <c r="F110" s="17">
        <v>19.68</v>
      </c>
      <c r="G110" s="17">
        <v>21.09</v>
      </c>
      <c r="H110" s="17">
        <v>16.26</v>
      </c>
      <c r="I110" s="17">
        <v>16.92</v>
      </c>
      <c r="J110" s="17">
        <v>17.35</v>
      </c>
      <c r="K110" s="17">
        <v>16.44</v>
      </c>
      <c r="L110" s="17">
        <v>18.14</v>
      </c>
      <c r="M110" s="17">
        <v>16.55</v>
      </c>
      <c r="N110" s="17">
        <v>16.28</v>
      </c>
      <c r="O110" s="17">
        <v>14.78</v>
      </c>
      <c r="P110" s="17">
        <v>14.99</v>
      </c>
      <c r="Q110" s="17">
        <v>14.99</v>
      </c>
      <c r="R110" s="17">
        <v>13.92</v>
      </c>
      <c r="S110" s="17">
        <v>15.3</v>
      </c>
      <c r="T110" s="17">
        <v>14.47</v>
      </c>
      <c r="U110" s="17">
        <v>15.67</v>
      </c>
      <c r="V110" s="17">
        <v>14.61</v>
      </c>
      <c r="W110" s="17">
        <v>15.72</v>
      </c>
    </row>
    <row r="111" ht="15.0" customHeight="1">
      <c r="A111" s="14" t="s">
        <v>281</v>
      </c>
      <c r="B111" s="15"/>
      <c r="C111" s="17">
        <v>39.58</v>
      </c>
      <c r="D111" s="17">
        <v>16.04</v>
      </c>
      <c r="E111" s="17">
        <v>24.19</v>
      </c>
      <c r="F111" s="22">
        <v>-0.03</v>
      </c>
      <c r="G111" s="22">
        <v>-2.11</v>
      </c>
      <c r="H111" s="17">
        <v>1.91</v>
      </c>
      <c r="I111" s="17">
        <v>1.5</v>
      </c>
      <c r="J111" s="17">
        <v>1.73</v>
      </c>
      <c r="K111" s="17">
        <v>1.1</v>
      </c>
      <c r="L111" s="17">
        <v>0.28</v>
      </c>
      <c r="M111" s="22">
        <v>-0.18</v>
      </c>
      <c r="N111" s="22">
        <v>-0.79</v>
      </c>
      <c r="O111" s="17">
        <v>0.5</v>
      </c>
      <c r="P111" s="17">
        <v>1.43</v>
      </c>
      <c r="Q111" s="17">
        <v>0.81</v>
      </c>
      <c r="R111" s="17">
        <v>0.77</v>
      </c>
      <c r="S111" s="17">
        <v>1.25</v>
      </c>
      <c r="T111" s="17">
        <v>0.1</v>
      </c>
      <c r="U111" s="17">
        <v>0.08</v>
      </c>
      <c r="V111" s="15"/>
      <c r="W111" s="15"/>
    </row>
    <row r="112" ht="15.0" customHeight="1">
      <c r="A112" s="14" t="s">
        <v>282</v>
      </c>
      <c r="B112" s="15"/>
      <c r="C112" s="16">
        <v>1207.14</v>
      </c>
      <c r="D112" s="16">
        <v>1161.18</v>
      </c>
      <c r="E112" s="16">
        <v>1086.03</v>
      </c>
      <c r="F112" s="16">
        <v>1124.33</v>
      </c>
      <c r="G112" s="16">
        <v>1200.29</v>
      </c>
      <c r="H112" s="17">
        <v>20.47</v>
      </c>
      <c r="I112" s="17">
        <v>21.3</v>
      </c>
      <c r="J112" s="17">
        <v>21.85</v>
      </c>
      <c r="K112" s="17">
        <v>20.7</v>
      </c>
      <c r="L112" s="17">
        <v>22.85</v>
      </c>
      <c r="M112" s="17">
        <v>5.8</v>
      </c>
      <c r="N112" s="17">
        <v>5.7</v>
      </c>
      <c r="O112" s="17">
        <v>5.18</v>
      </c>
      <c r="P112" s="17">
        <v>71.59</v>
      </c>
      <c r="Q112" s="17">
        <v>67.42</v>
      </c>
      <c r="R112" s="17">
        <v>62.87</v>
      </c>
      <c r="S112" s="17">
        <v>69.09</v>
      </c>
      <c r="T112" s="16">
        <v>178.37</v>
      </c>
      <c r="U112" s="16">
        <v>192.49</v>
      </c>
      <c r="V112" s="16">
        <v>179.56</v>
      </c>
      <c r="W112" s="16">
        <v>193.05</v>
      </c>
    </row>
    <row r="113" ht="15.0" customHeight="1">
      <c r="A113" s="14" t="s">
        <v>283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7">
        <v>1.65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284</v>
      </c>
      <c r="B114" s="15"/>
      <c r="C114" s="16">
        <v>504.84</v>
      </c>
      <c r="D114" s="16">
        <v>478.7</v>
      </c>
      <c r="E114" s="16">
        <v>375.52</v>
      </c>
      <c r="F114" s="16">
        <v>493.88</v>
      </c>
      <c r="G114" s="16">
        <v>416.48</v>
      </c>
      <c r="H114" s="16">
        <v>261.91</v>
      </c>
      <c r="I114" s="16">
        <v>243.37</v>
      </c>
      <c r="J114" s="16">
        <v>242.61</v>
      </c>
      <c r="K114" s="16">
        <v>139.69</v>
      </c>
      <c r="L114" s="16">
        <v>245.95</v>
      </c>
      <c r="M114" s="16">
        <v>166.74</v>
      </c>
      <c r="N114" s="16">
        <v>219.71</v>
      </c>
      <c r="O114" s="17">
        <v>87.68</v>
      </c>
      <c r="P114" s="17">
        <v>45.1</v>
      </c>
      <c r="Q114" s="17">
        <v>38.24</v>
      </c>
      <c r="R114" s="17">
        <v>23.56</v>
      </c>
      <c r="S114" s="22">
        <v>-0.11</v>
      </c>
      <c r="T114" s="26">
        <v>-129.66</v>
      </c>
      <c r="U114" s="26">
        <v>-142.85</v>
      </c>
      <c r="V114" s="26">
        <v>-116.39</v>
      </c>
      <c r="W114" s="26">
        <v>-103.96</v>
      </c>
    </row>
    <row r="115" ht="15.0" customHeight="1">
      <c r="A115" s="14" t="s">
        <v>285</v>
      </c>
      <c r="B115" s="15"/>
      <c r="C115" s="15"/>
      <c r="D115" s="15"/>
      <c r="E115" s="15"/>
      <c r="F115" s="15"/>
      <c r="G115" s="15"/>
      <c r="H115" s="15"/>
      <c r="I115" s="17">
        <v>21.3</v>
      </c>
      <c r="J115" s="17">
        <v>21.85</v>
      </c>
      <c r="K115" s="17">
        <v>19.06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286</v>
      </c>
      <c r="B116" s="15"/>
      <c r="C116" s="15"/>
      <c r="D116" s="15"/>
      <c r="E116" s="15"/>
      <c r="F116" s="15"/>
      <c r="G116" s="15"/>
      <c r="H116" s="15"/>
      <c r="I116" s="16">
        <v>222.06</v>
      </c>
      <c r="J116" s="16">
        <v>220.76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287</v>
      </c>
      <c r="B117" s="15"/>
      <c r="C117" s="15"/>
      <c r="D117" s="16">
        <v>367.82</v>
      </c>
      <c r="E117" s="16">
        <v>351.82</v>
      </c>
      <c r="F117" s="16">
        <v>191.22</v>
      </c>
      <c r="G117" s="16">
        <v>187.67</v>
      </c>
      <c r="H117" s="16">
        <v>175.67</v>
      </c>
      <c r="I117" s="16">
        <v>209.7</v>
      </c>
      <c r="J117" s="16">
        <v>180.68</v>
      </c>
      <c r="K117" s="16">
        <v>215.81</v>
      </c>
      <c r="L117" s="16">
        <v>127.06</v>
      </c>
      <c r="M117" s="16">
        <v>141.29</v>
      </c>
      <c r="N117" s="17">
        <v>58.17</v>
      </c>
      <c r="O117" s="16">
        <v>279.9</v>
      </c>
      <c r="P117" s="17">
        <v>66.27</v>
      </c>
      <c r="Q117" s="17">
        <v>41.0</v>
      </c>
      <c r="R117" s="17">
        <v>29.38</v>
      </c>
      <c r="S117" s="17">
        <v>32.12</v>
      </c>
      <c r="T117" s="17">
        <v>16.53</v>
      </c>
      <c r="U117" s="17">
        <v>2.48</v>
      </c>
      <c r="V117" s="22">
        <v>-16.83</v>
      </c>
      <c r="W117" s="22">
        <v>-21.24</v>
      </c>
    </row>
    <row r="118" ht="15.0" customHeight="1">
      <c r="A118" s="14" t="s">
        <v>288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7">
        <v>0.09</v>
      </c>
      <c r="R118" s="15"/>
      <c r="S118" s="15"/>
      <c r="T118" s="15"/>
      <c r="U118" s="15"/>
      <c r="V118" s="15"/>
      <c r="W118" s="15"/>
    </row>
    <row r="119" ht="15.0" customHeight="1">
      <c r="A119" s="18" t="s">
        <v>289</v>
      </c>
      <c r="B119" s="19">
        <v>1437.05</v>
      </c>
      <c r="C119" s="19">
        <v>1772.37</v>
      </c>
      <c r="D119" s="19">
        <v>2044.08</v>
      </c>
      <c r="E119" s="19">
        <v>1856.57</v>
      </c>
      <c r="F119" s="19">
        <v>1829.08</v>
      </c>
      <c r="G119" s="19">
        <v>1823.43</v>
      </c>
      <c r="H119" s="19">
        <v>476.21</v>
      </c>
      <c r="I119" s="19">
        <v>492.79</v>
      </c>
      <c r="J119" s="19">
        <v>464.2</v>
      </c>
      <c r="K119" s="19">
        <v>393.74</v>
      </c>
      <c r="L119" s="19">
        <v>414.28</v>
      </c>
      <c r="M119" s="19">
        <v>330.2</v>
      </c>
      <c r="N119" s="19">
        <v>299.08</v>
      </c>
      <c r="O119" s="19">
        <v>388.04</v>
      </c>
      <c r="P119" s="19">
        <v>199.37</v>
      </c>
      <c r="Q119" s="19">
        <v>162.53</v>
      </c>
      <c r="R119" s="19">
        <v>130.5</v>
      </c>
      <c r="S119" s="19">
        <v>117.66</v>
      </c>
      <c r="T119" s="20">
        <v>79.82</v>
      </c>
      <c r="U119" s="20">
        <v>67.86</v>
      </c>
      <c r="V119" s="20">
        <v>60.95</v>
      </c>
      <c r="W119" s="20">
        <v>83.58</v>
      </c>
    </row>
    <row r="120" ht="15.0" customHeight="1">
      <c r="A120" s="14" t="s">
        <v>290</v>
      </c>
      <c r="B120" s="15">
        <v>0.0</v>
      </c>
      <c r="C120" s="15">
        <v>0.0</v>
      </c>
      <c r="D120" s="15">
        <v>0.0</v>
      </c>
      <c r="E120" s="15">
        <v>0.0</v>
      </c>
      <c r="F120" s="15">
        <v>0.0</v>
      </c>
      <c r="G120" s="15">
        <v>0.0</v>
      </c>
      <c r="H120" s="15">
        <v>0.0</v>
      </c>
      <c r="I120" s="17">
        <v>3.06</v>
      </c>
      <c r="J120" s="22">
        <v>-0.02</v>
      </c>
      <c r="K120" s="22">
        <v>-0.02</v>
      </c>
      <c r="L120" s="22">
        <v>-0.02</v>
      </c>
      <c r="M120" s="17">
        <v>0.09</v>
      </c>
      <c r="N120" s="22">
        <v>-0.46</v>
      </c>
      <c r="O120" s="17">
        <v>2.99</v>
      </c>
      <c r="P120" s="17">
        <v>0.51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291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22">
        <v>-0.13</v>
      </c>
      <c r="S121" s="17">
        <v>0.09</v>
      </c>
      <c r="T121" s="15"/>
      <c r="U121" s="15"/>
      <c r="V121" s="15"/>
      <c r="W121" s="15"/>
    </row>
    <row r="122" ht="15.0" customHeight="1">
      <c r="A122" s="18" t="s">
        <v>292</v>
      </c>
      <c r="B122" s="21">
        <v>0.0</v>
      </c>
      <c r="C122" s="21">
        <v>0.0</v>
      </c>
      <c r="D122" s="21">
        <v>0.0</v>
      </c>
      <c r="E122" s="21">
        <v>0.0</v>
      </c>
      <c r="F122" s="21">
        <v>0.0</v>
      </c>
      <c r="G122" s="21">
        <v>0.0</v>
      </c>
      <c r="H122" s="21">
        <v>0.0</v>
      </c>
      <c r="I122" s="20">
        <v>3.06</v>
      </c>
      <c r="J122" s="23">
        <v>-0.02</v>
      </c>
      <c r="K122" s="23">
        <v>-0.02</v>
      </c>
      <c r="L122" s="23">
        <v>-0.02</v>
      </c>
      <c r="M122" s="20">
        <v>0.09</v>
      </c>
      <c r="N122" s="23">
        <v>-0.46</v>
      </c>
      <c r="O122" s="20">
        <v>2.99</v>
      </c>
      <c r="P122" s="20">
        <v>0.51</v>
      </c>
      <c r="Q122" s="21"/>
      <c r="R122" s="21"/>
      <c r="S122" s="21"/>
      <c r="T122" s="21"/>
      <c r="U122" s="21"/>
      <c r="V122" s="21"/>
      <c r="W122" s="21"/>
    </row>
    <row r="123" ht="15.0" customHeight="1">
      <c r="A123" s="18" t="s">
        <v>293</v>
      </c>
      <c r="B123" s="19">
        <v>1437.06</v>
      </c>
      <c r="C123" s="19">
        <v>1772.37</v>
      </c>
      <c r="D123" s="19">
        <v>2044.08</v>
      </c>
      <c r="E123" s="19">
        <v>1856.57</v>
      </c>
      <c r="F123" s="19">
        <v>1829.08</v>
      </c>
      <c r="G123" s="19">
        <v>1823.43</v>
      </c>
      <c r="H123" s="19">
        <v>476.21</v>
      </c>
      <c r="I123" s="19">
        <v>495.85</v>
      </c>
      <c r="J123" s="19">
        <v>464.19</v>
      </c>
      <c r="K123" s="19">
        <v>393.72</v>
      </c>
      <c r="L123" s="19">
        <v>414.26</v>
      </c>
      <c r="M123" s="19">
        <v>330.29</v>
      </c>
      <c r="N123" s="19">
        <v>298.62</v>
      </c>
      <c r="O123" s="19">
        <v>391.03</v>
      </c>
      <c r="P123" s="19">
        <v>199.88</v>
      </c>
      <c r="Q123" s="19">
        <v>162.53</v>
      </c>
      <c r="R123" s="19">
        <v>130.36</v>
      </c>
      <c r="S123" s="19">
        <v>117.75</v>
      </c>
      <c r="T123" s="20">
        <v>79.82</v>
      </c>
      <c r="U123" s="20">
        <v>67.86</v>
      </c>
      <c r="V123" s="20">
        <v>60.95</v>
      </c>
      <c r="W123" s="20">
        <v>83.58</v>
      </c>
    </row>
    <row r="124" ht="15.0" customHeight="1">
      <c r="A124" s="14" t="s">
        <v>294</v>
      </c>
      <c r="B124" s="15">
        <v>0.0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7">
        <v>0.13</v>
      </c>
      <c r="S124" s="22">
        <v>-0.09</v>
      </c>
      <c r="T124" s="15"/>
      <c r="U124" s="15"/>
      <c r="V124" s="15"/>
      <c r="W124" s="15"/>
    </row>
    <row r="125" ht="15.0" customHeight="1">
      <c r="A125" s="18" t="s">
        <v>295</v>
      </c>
      <c r="B125" s="19">
        <v>1747.15</v>
      </c>
      <c r="C125" s="19">
        <v>2091.15</v>
      </c>
      <c r="D125" s="19">
        <v>2348.97</v>
      </c>
      <c r="E125" s="19">
        <v>2083.93</v>
      </c>
      <c r="F125" s="19">
        <v>2073.32</v>
      </c>
      <c r="G125" s="19">
        <v>1997.85</v>
      </c>
      <c r="H125" s="19">
        <v>624.39</v>
      </c>
      <c r="I125" s="19">
        <v>644.04</v>
      </c>
      <c r="J125" s="19">
        <v>576.48</v>
      </c>
      <c r="K125" s="19">
        <v>463.71</v>
      </c>
      <c r="L125" s="19">
        <v>495.21</v>
      </c>
      <c r="M125" s="19">
        <v>398.36</v>
      </c>
      <c r="N125" s="19">
        <v>361.36</v>
      </c>
      <c r="O125" s="19">
        <v>442.59</v>
      </c>
      <c r="P125" s="19">
        <v>242.81</v>
      </c>
      <c r="Q125" s="19">
        <v>197.67</v>
      </c>
      <c r="R125" s="19">
        <v>145.49</v>
      </c>
      <c r="S125" s="19">
        <v>137.21</v>
      </c>
      <c r="T125" s="20">
        <v>93.16</v>
      </c>
      <c r="U125" s="20">
        <v>82.64</v>
      </c>
      <c r="V125" s="20">
        <v>74.01</v>
      </c>
      <c r="W125" s="20">
        <v>99.1</v>
      </c>
    </row>
    <row r="126" ht="15.0" customHeight="1">
      <c r="A126" s="14" t="s">
        <v>296</v>
      </c>
      <c r="B126" s="16">
        <v>101.16</v>
      </c>
      <c r="C126" s="16">
        <v>101.16</v>
      </c>
      <c r="D126" s="16">
        <v>100.98</v>
      </c>
      <c r="E126" s="16">
        <v>100.98</v>
      </c>
      <c r="F126" s="16">
        <v>100.98</v>
      </c>
      <c r="G126" s="16">
        <v>100.98</v>
      </c>
      <c r="H126" s="17">
        <v>86.68</v>
      </c>
      <c r="I126" s="17">
        <v>86.68</v>
      </c>
      <c r="J126" s="17">
        <v>86.68</v>
      </c>
      <c r="K126" s="17">
        <v>86.68</v>
      </c>
      <c r="L126" s="17">
        <v>86.68</v>
      </c>
      <c r="M126" s="17">
        <v>86.35</v>
      </c>
      <c r="N126" s="17">
        <v>86.35</v>
      </c>
      <c r="O126" s="17">
        <v>86.35</v>
      </c>
      <c r="P126" s="17">
        <v>86.35</v>
      </c>
      <c r="Q126" s="17">
        <v>82.65</v>
      </c>
      <c r="R126" s="17">
        <v>82.33</v>
      </c>
      <c r="S126" s="17">
        <v>82.33</v>
      </c>
      <c r="T126" s="17">
        <v>82.33</v>
      </c>
      <c r="U126" s="17">
        <v>82.33</v>
      </c>
      <c r="V126" s="17">
        <v>82.33</v>
      </c>
      <c r="W126" s="17">
        <v>82.33</v>
      </c>
    </row>
    <row r="127" ht="15.0" customHeight="1">
      <c r="A127" s="14" t="s">
        <v>297</v>
      </c>
      <c r="B127" s="16">
        <v>101.16</v>
      </c>
      <c r="C127" s="16">
        <v>101.16</v>
      </c>
      <c r="D127" s="16">
        <v>100.98</v>
      </c>
      <c r="E127" s="16">
        <v>100.98</v>
      </c>
      <c r="F127" s="16">
        <v>100.98</v>
      </c>
      <c r="G127" s="16">
        <v>100.98</v>
      </c>
      <c r="H127" s="17">
        <v>86.68</v>
      </c>
      <c r="I127" s="17">
        <v>86.68</v>
      </c>
      <c r="J127" s="17">
        <v>86.68</v>
      </c>
      <c r="K127" s="17">
        <v>86.68</v>
      </c>
      <c r="L127" s="17">
        <v>86.68</v>
      </c>
      <c r="M127" s="17">
        <v>86.35</v>
      </c>
      <c r="N127" s="17">
        <v>86.35</v>
      </c>
      <c r="O127" s="17">
        <v>86.35</v>
      </c>
      <c r="P127" s="17">
        <v>86.35</v>
      </c>
      <c r="Q127" s="17">
        <v>86.35</v>
      </c>
      <c r="R127" s="17">
        <v>86.04</v>
      </c>
      <c r="S127" s="17">
        <v>86.04</v>
      </c>
      <c r="T127" s="17">
        <v>86.04</v>
      </c>
      <c r="U127" s="17">
        <v>86.04</v>
      </c>
      <c r="V127" s="17">
        <v>86.04</v>
      </c>
      <c r="W127" s="17">
        <v>86.04</v>
      </c>
    </row>
    <row r="128" ht="15.0" customHeight="1">
      <c r="A128" s="14" t="s">
        <v>298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7">
        <v>4.92</v>
      </c>
      <c r="V128" s="17">
        <v>7.12</v>
      </c>
      <c r="W128" s="15"/>
    </row>
    <row r="129" ht="15.0" customHeight="1">
      <c r="A129" s="14" t="s">
        <v>299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7">
        <v>4.92</v>
      </c>
      <c r="V129" s="17">
        <v>4.59</v>
      </c>
      <c r="W129" s="15"/>
    </row>
    <row r="130" ht="15.0" customHeight="1">
      <c r="A130" s="14" t="s">
        <v>300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>
        <v>0.0</v>
      </c>
      <c r="V130" s="17">
        <v>2.53</v>
      </c>
      <c r="W130" s="15"/>
    </row>
    <row r="131" ht="15.0" customHeight="1">
      <c r="A131" s="14" t="s">
        <v>301</v>
      </c>
      <c r="B131" s="17">
        <v>97.46</v>
      </c>
      <c r="C131" s="17">
        <v>97.46</v>
      </c>
      <c r="D131" s="17">
        <v>97.28</v>
      </c>
      <c r="E131" s="17">
        <v>97.28</v>
      </c>
      <c r="F131" s="17">
        <v>97.28</v>
      </c>
      <c r="G131" s="17">
        <v>97.28</v>
      </c>
      <c r="H131" s="17">
        <v>82.98</v>
      </c>
      <c r="I131" s="17">
        <v>82.98</v>
      </c>
      <c r="J131" s="17">
        <v>82.98</v>
      </c>
      <c r="K131" s="17">
        <v>82.98</v>
      </c>
      <c r="L131" s="17">
        <v>82.98</v>
      </c>
      <c r="M131" s="17">
        <v>82.65</v>
      </c>
      <c r="N131" s="17">
        <v>82.65</v>
      </c>
      <c r="O131" s="17">
        <v>82.65</v>
      </c>
      <c r="P131" s="17">
        <v>82.65</v>
      </c>
      <c r="Q131" s="17">
        <v>82.65</v>
      </c>
      <c r="R131" s="17">
        <v>82.33</v>
      </c>
      <c r="S131" s="17">
        <v>82.33</v>
      </c>
      <c r="T131" s="17">
        <v>82.33</v>
      </c>
      <c r="U131" s="17">
        <v>82.33</v>
      </c>
      <c r="V131" s="17">
        <v>82.33</v>
      </c>
      <c r="W131" s="17">
        <v>82.33</v>
      </c>
    </row>
    <row r="132" ht="15.0" customHeight="1">
      <c r="A132" s="14" t="s">
        <v>302</v>
      </c>
      <c r="B132" s="17">
        <v>0.96</v>
      </c>
      <c r="C132" s="17">
        <v>0.96</v>
      </c>
      <c r="D132" s="17">
        <v>0.96</v>
      </c>
      <c r="E132" s="17">
        <v>0.96</v>
      </c>
      <c r="F132" s="17">
        <v>0.96</v>
      </c>
      <c r="G132" s="17">
        <v>0.96</v>
      </c>
      <c r="H132" s="17">
        <v>0.96</v>
      </c>
      <c r="I132" s="17">
        <v>0.96</v>
      </c>
      <c r="J132" s="17">
        <v>0.96</v>
      </c>
      <c r="K132" s="17">
        <v>0.96</v>
      </c>
      <c r="L132" s="17">
        <v>0.96</v>
      </c>
      <c r="M132" s="17">
        <v>0.96</v>
      </c>
      <c r="N132" s="17">
        <v>0.96</v>
      </c>
      <c r="O132" s="17">
        <v>0.96</v>
      </c>
      <c r="P132" s="17">
        <v>0.96</v>
      </c>
      <c r="Q132" s="17">
        <v>0.96</v>
      </c>
      <c r="R132" s="17">
        <v>0.96</v>
      </c>
      <c r="S132" s="17">
        <v>0.96</v>
      </c>
      <c r="T132" s="17">
        <v>0.96</v>
      </c>
      <c r="U132" s="17">
        <v>0.96</v>
      </c>
      <c r="V132" s="17">
        <v>0.96</v>
      </c>
      <c r="W132" s="17">
        <v>0.96</v>
      </c>
    </row>
    <row r="133" ht="15.0" customHeight="1">
      <c r="A133" s="14" t="s">
        <v>303</v>
      </c>
      <c r="B133" s="17">
        <v>97.46</v>
      </c>
      <c r="C133" s="17">
        <v>97.46</v>
      </c>
      <c r="D133" s="17">
        <v>97.28</v>
      </c>
      <c r="E133" s="17">
        <v>97.28</v>
      </c>
      <c r="F133" s="17">
        <v>97.28</v>
      </c>
      <c r="G133" s="17">
        <v>97.28</v>
      </c>
      <c r="H133" s="17">
        <v>82.98</v>
      </c>
      <c r="I133" s="17">
        <v>82.98</v>
      </c>
      <c r="J133" s="17">
        <v>82.98</v>
      </c>
      <c r="K133" s="17">
        <v>82.98</v>
      </c>
      <c r="L133" s="17">
        <v>82.98</v>
      </c>
      <c r="M133" s="17">
        <v>82.65</v>
      </c>
      <c r="N133" s="17">
        <v>82.65</v>
      </c>
      <c r="O133" s="17">
        <v>82.65</v>
      </c>
      <c r="P133" s="17">
        <v>82.65</v>
      </c>
      <c r="Q133" s="17">
        <v>82.65</v>
      </c>
      <c r="R133" s="17">
        <v>82.33</v>
      </c>
      <c r="S133" s="17">
        <v>82.33</v>
      </c>
      <c r="T133" s="17">
        <v>82.33</v>
      </c>
      <c r="U133" s="17">
        <v>82.33</v>
      </c>
      <c r="V133" s="17">
        <v>82.33</v>
      </c>
      <c r="W133" s="17">
        <v>82.33</v>
      </c>
    </row>
    <row r="134" ht="15.0" customHeight="1">
      <c r="A134" s="14" t="s">
        <v>304</v>
      </c>
      <c r="B134" s="17">
        <v>3.7</v>
      </c>
      <c r="C134" s="17">
        <v>3.7</v>
      </c>
      <c r="D134" s="17">
        <v>3.7</v>
      </c>
      <c r="E134" s="17">
        <v>3.7</v>
      </c>
      <c r="F134" s="17">
        <v>0.74</v>
      </c>
      <c r="G134" s="17">
        <v>0.74</v>
      </c>
      <c r="H134" s="17">
        <v>0.74</v>
      </c>
      <c r="I134" s="17">
        <v>0.74</v>
      </c>
      <c r="J134" s="17">
        <v>0.74</v>
      </c>
      <c r="K134" s="17">
        <v>0.74</v>
      </c>
      <c r="L134" s="17">
        <v>0.74</v>
      </c>
      <c r="M134" s="17">
        <v>0.74</v>
      </c>
      <c r="N134" s="17">
        <v>0.74</v>
      </c>
      <c r="O134" s="17">
        <v>0.74</v>
      </c>
      <c r="P134" s="17">
        <v>0.74</v>
      </c>
      <c r="Q134" s="17">
        <v>0.74</v>
      </c>
      <c r="R134" s="17">
        <v>0.74</v>
      </c>
      <c r="S134" s="17">
        <v>0.74</v>
      </c>
      <c r="T134" s="17">
        <v>0.74</v>
      </c>
      <c r="U134" s="17">
        <v>0.74</v>
      </c>
      <c r="V134" s="17">
        <v>0.74</v>
      </c>
      <c r="W134" s="17">
        <v>0.74</v>
      </c>
    </row>
    <row r="135" ht="15.0" customHeight="1">
      <c r="A135" s="14" t="s">
        <v>302</v>
      </c>
      <c r="B135" s="17">
        <v>0.04</v>
      </c>
      <c r="C135" s="17">
        <v>0.04</v>
      </c>
      <c r="D135" s="17">
        <v>0.04</v>
      </c>
      <c r="E135" s="17">
        <v>0.04</v>
      </c>
      <c r="F135" s="17">
        <v>0.04</v>
      </c>
      <c r="G135" s="17">
        <v>0.04</v>
      </c>
      <c r="H135" s="17">
        <v>0.04</v>
      </c>
      <c r="I135" s="17">
        <v>0.04</v>
      </c>
      <c r="J135" s="17">
        <v>0.04</v>
      </c>
      <c r="K135" s="17">
        <v>0.04</v>
      </c>
      <c r="L135" s="17">
        <v>0.04</v>
      </c>
      <c r="M135" s="17">
        <v>0.04</v>
      </c>
      <c r="N135" s="17">
        <v>0.04</v>
      </c>
      <c r="O135" s="17">
        <v>0.04</v>
      </c>
      <c r="P135" s="17">
        <v>0.04</v>
      </c>
      <c r="Q135" s="17">
        <v>0.04</v>
      </c>
      <c r="R135" s="17">
        <v>0.04</v>
      </c>
      <c r="S135" s="17">
        <v>0.04</v>
      </c>
      <c r="T135" s="17">
        <v>0.04</v>
      </c>
      <c r="U135" s="17">
        <v>0.04</v>
      </c>
      <c r="V135" s="17">
        <v>0.04</v>
      </c>
      <c r="W135" s="17">
        <v>0.04</v>
      </c>
    </row>
    <row r="136" ht="15.0" customHeight="1">
      <c r="A136" s="14" t="s">
        <v>303</v>
      </c>
      <c r="B136" s="17">
        <v>3.7</v>
      </c>
      <c r="C136" s="17">
        <v>3.7</v>
      </c>
      <c r="D136" s="17">
        <v>3.7</v>
      </c>
      <c r="E136" s="17">
        <v>3.7</v>
      </c>
      <c r="F136" s="17">
        <v>0.74</v>
      </c>
      <c r="G136" s="17">
        <v>0.74</v>
      </c>
      <c r="H136" s="17">
        <v>0.74</v>
      </c>
      <c r="I136" s="17">
        <v>0.74</v>
      </c>
      <c r="J136" s="17">
        <v>0.74</v>
      </c>
      <c r="K136" s="17">
        <v>0.74</v>
      </c>
      <c r="L136" s="17">
        <v>0.74</v>
      </c>
      <c r="M136" s="17">
        <v>0.74</v>
      </c>
      <c r="N136" s="17">
        <v>0.74</v>
      </c>
      <c r="O136" s="17">
        <v>0.74</v>
      </c>
      <c r="P136" s="17">
        <v>0.74</v>
      </c>
      <c r="Q136" s="17">
        <v>0.74</v>
      </c>
      <c r="R136" s="17">
        <v>0.74</v>
      </c>
      <c r="S136" s="17">
        <v>0.74</v>
      </c>
      <c r="T136" s="17">
        <v>0.74</v>
      </c>
      <c r="U136" s="17">
        <v>0.74</v>
      </c>
      <c r="V136" s="17">
        <v>0.74</v>
      </c>
      <c r="W136" s="17">
        <v>0.74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46092.4045948495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306</v>
      </c>
      <c r="C15" s="10" t="s">
        <v>306</v>
      </c>
      <c r="D15" s="10" t="s">
        <v>306</v>
      </c>
      <c r="E15" s="10" t="s">
        <v>306</v>
      </c>
      <c r="F15" s="10" t="s">
        <v>306</v>
      </c>
      <c r="G15" s="10" t="s">
        <v>306</v>
      </c>
      <c r="H15" s="10" t="s">
        <v>306</v>
      </c>
      <c r="I15" s="10" t="s">
        <v>306</v>
      </c>
      <c r="J15" s="10" t="s">
        <v>306</v>
      </c>
      <c r="K15" s="10" t="s">
        <v>306</v>
      </c>
      <c r="L15" s="10" t="s">
        <v>306</v>
      </c>
      <c r="M15" s="10" t="s">
        <v>306</v>
      </c>
      <c r="N15" s="10" t="s">
        <v>306</v>
      </c>
      <c r="O15" s="10" t="s">
        <v>306</v>
      </c>
      <c r="P15" s="10" t="s">
        <v>306</v>
      </c>
      <c r="Q15" s="10" t="s">
        <v>306</v>
      </c>
      <c r="R15" s="10" t="s">
        <v>306</v>
      </c>
      <c r="S15" s="10" t="s">
        <v>306</v>
      </c>
      <c r="T15" s="10" t="s">
        <v>306</v>
      </c>
      <c r="U15" s="10" t="s">
        <v>306</v>
      </c>
      <c r="V15" s="10" t="s">
        <v>306</v>
      </c>
      <c r="W15" s="10" t="s">
        <v>306</v>
      </c>
    </row>
    <row r="16" ht="15.0" customHeight="1" outlineLevel="1">
      <c r="A16" s="8" t="s">
        <v>47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307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308</v>
      </c>
      <c r="B20" s="15"/>
      <c r="C20" s="17">
        <v>52.02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309</v>
      </c>
      <c r="B21" s="15"/>
      <c r="C21" s="15"/>
      <c r="D21" s="15"/>
      <c r="E21" s="15">
        <v>0.0</v>
      </c>
      <c r="F21" s="17">
        <v>2.41</v>
      </c>
      <c r="G21" s="22">
        <v>-4.99</v>
      </c>
      <c r="H21" s="17">
        <v>4.73</v>
      </c>
      <c r="I21" s="17">
        <v>5.71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310</v>
      </c>
      <c r="B22" s="15"/>
      <c r="C22" s="15"/>
      <c r="D22" s="15"/>
      <c r="E22" s="15"/>
      <c r="F22" s="15"/>
      <c r="G22" s="15"/>
      <c r="H22" s="15">
        <v>0.0</v>
      </c>
      <c r="I22" s="22">
        <v>-6.56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311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22">
        <v>-4.2</v>
      </c>
      <c r="W23" s="15">
        <v>0.0</v>
      </c>
    </row>
    <row r="24" ht="15.0" customHeight="1">
      <c r="A24" s="14" t="s">
        <v>312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7">
        <v>2.42</v>
      </c>
      <c r="P24" s="22">
        <v>-0.14</v>
      </c>
      <c r="Q24" s="17">
        <v>5.16</v>
      </c>
      <c r="R24" s="15"/>
      <c r="S24" s="15"/>
      <c r="T24" s="15"/>
      <c r="U24" s="15"/>
      <c r="V24" s="15"/>
      <c r="W24" s="15"/>
    </row>
    <row r="25" ht="15.0" customHeight="1">
      <c r="A25" s="14" t="s">
        <v>313</v>
      </c>
      <c r="B25" s="16">
        <v>370.16</v>
      </c>
      <c r="C25" s="16">
        <v>430.12</v>
      </c>
      <c r="D25" s="16">
        <v>425.06</v>
      </c>
      <c r="E25" s="16">
        <v>307.45</v>
      </c>
      <c r="F25" s="16">
        <v>224.52</v>
      </c>
      <c r="G25" s="15"/>
      <c r="H25" s="15"/>
      <c r="I25" s="16">
        <v>218.5</v>
      </c>
      <c r="J25" s="16">
        <v>186.33</v>
      </c>
      <c r="K25" s="16">
        <v>152.5</v>
      </c>
      <c r="L25" s="16">
        <v>105.23</v>
      </c>
      <c r="M25" s="16">
        <v>124.82</v>
      </c>
      <c r="N25" s="17">
        <v>73.35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105</v>
      </c>
      <c r="B26" s="16">
        <v>436.87</v>
      </c>
      <c r="C26" s="16">
        <v>430.57</v>
      </c>
      <c r="D26" s="16">
        <v>441.01</v>
      </c>
      <c r="E26" s="16">
        <v>343.44</v>
      </c>
      <c r="F26" s="16">
        <v>254.3</v>
      </c>
      <c r="G26" s="16">
        <v>233.51</v>
      </c>
      <c r="H26" s="16">
        <v>225.68</v>
      </c>
      <c r="I26" s="16">
        <v>259.74</v>
      </c>
      <c r="J26" s="16">
        <v>225.62</v>
      </c>
      <c r="K26" s="16">
        <v>190.77</v>
      </c>
      <c r="L26" s="16">
        <v>145.5</v>
      </c>
      <c r="M26" s="16">
        <v>180.85</v>
      </c>
      <c r="N26" s="17">
        <v>73.69</v>
      </c>
      <c r="O26" s="16">
        <v>367.89</v>
      </c>
      <c r="P26" s="17">
        <v>89.1</v>
      </c>
      <c r="Q26" s="17">
        <v>47.26</v>
      </c>
      <c r="R26" s="17">
        <v>39.3</v>
      </c>
      <c r="S26" s="17">
        <v>22.1</v>
      </c>
      <c r="T26" s="17">
        <v>7.7</v>
      </c>
      <c r="U26" s="17">
        <v>1.49</v>
      </c>
      <c r="V26" s="22">
        <v>-17.88</v>
      </c>
      <c r="W26" s="22">
        <v>-26.41</v>
      </c>
    </row>
    <row r="27" ht="15.0" customHeight="1">
      <c r="A27" s="14" t="s">
        <v>314</v>
      </c>
      <c r="B27" s="17">
        <v>26.13</v>
      </c>
      <c r="C27" s="17">
        <v>25.98</v>
      </c>
      <c r="D27" s="17">
        <v>25.16</v>
      </c>
      <c r="E27" s="17">
        <v>22.7</v>
      </c>
      <c r="F27" s="17">
        <v>27.3</v>
      </c>
      <c r="G27" s="17">
        <v>21.01</v>
      </c>
      <c r="H27" s="17">
        <v>14.51</v>
      </c>
      <c r="I27" s="17">
        <v>7.07</v>
      </c>
      <c r="J27" s="17">
        <v>6.36</v>
      </c>
      <c r="K27" s="17">
        <v>6.95</v>
      </c>
      <c r="L27" s="17">
        <v>6.26</v>
      </c>
      <c r="M27" s="17">
        <v>5.19</v>
      </c>
      <c r="N27" s="17">
        <v>5.0</v>
      </c>
      <c r="O27" s="17">
        <v>3.91</v>
      </c>
      <c r="P27" s="17">
        <v>4.69</v>
      </c>
      <c r="Q27" s="17">
        <v>2.38</v>
      </c>
      <c r="R27" s="17">
        <v>3.41</v>
      </c>
      <c r="S27" s="17">
        <v>3.64</v>
      </c>
      <c r="T27" s="17">
        <v>3.45</v>
      </c>
      <c r="U27" s="17">
        <v>3.75</v>
      </c>
      <c r="V27" s="17">
        <v>3.63</v>
      </c>
      <c r="W27" s="17">
        <v>2.67</v>
      </c>
    </row>
    <row r="28" ht="15.0" customHeight="1">
      <c r="A28" s="14" t="s">
        <v>315</v>
      </c>
      <c r="B28" s="17">
        <v>9.35</v>
      </c>
      <c r="C28" s="22">
        <v>-3.6</v>
      </c>
      <c r="D28" s="22">
        <v>-1.47</v>
      </c>
      <c r="E28" s="22">
        <v>-8.65</v>
      </c>
      <c r="F28" s="22">
        <v>-2.36</v>
      </c>
      <c r="G28" s="17">
        <v>1.19</v>
      </c>
      <c r="H28" s="22">
        <v>-1.87</v>
      </c>
      <c r="I28" s="17">
        <v>1.4</v>
      </c>
      <c r="J28" s="17">
        <v>1.66</v>
      </c>
      <c r="K28" s="22">
        <v>-3.07</v>
      </c>
      <c r="L28" s="22">
        <v>-0.84</v>
      </c>
      <c r="M28" s="22">
        <v>-1.06</v>
      </c>
      <c r="N28" s="22">
        <v>-0.2</v>
      </c>
      <c r="O28" s="17">
        <v>0.26</v>
      </c>
      <c r="P28" s="17">
        <v>0.05</v>
      </c>
      <c r="Q28" s="17">
        <v>0.81</v>
      </c>
      <c r="R28" s="17">
        <v>0.17</v>
      </c>
      <c r="S28" s="22">
        <v>-0.35</v>
      </c>
      <c r="T28" s="22">
        <v>-0.01</v>
      </c>
      <c r="U28" s="17">
        <v>0.12</v>
      </c>
      <c r="V28" s="22">
        <v>-0.08</v>
      </c>
      <c r="W28" s="17">
        <v>0.05</v>
      </c>
    </row>
    <row r="29" ht="15.0" customHeight="1">
      <c r="A29" s="14" t="s">
        <v>316</v>
      </c>
      <c r="B29" s="15"/>
      <c r="C29" s="15"/>
      <c r="D29" s="15"/>
      <c r="E29" s="15"/>
      <c r="F29" s="15"/>
      <c r="G29" s="15"/>
      <c r="H29" s="15"/>
      <c r="I29" s="15"/>
      <c r="J29" s="15"/>
      <c r="K29" s="17">
        <v>1.16</v>
      </c>
      <c r="L29" s="17">
        <v>0.06</v>
      </c>
      <c r="M29" s="15"/>
      <c r="N29" s="15"/>
      <c r="O29" s="15"/>
      <c r="P29" s="15">
        <v>0.0</v>
      </c>
      <c r="Q29" s="22">
        <v>-1.01</v>
      </c>
      <c r="R29" s="22">
        <v>-0.49</v>
      </c>
      <c r="S29" s="17">
        <v>0.29</v>
      </c>
      <c r="T29" s="17">
        <v>0.96</v>
      </c>
      <c r="U29" s="17">
        <v>0.6</v>
      </c>
      <c r="V29" s="17">
        <v>0.83</v>
      </c>
      <c r="W29" s="17">
        <v>0.74</v>
      </c>
    </row>
    <row r="30" ht="15.0" customHeight="1">
      <c r="A30" s="14" t="s">
        <v>317</v>
      </c>
      <c r="B30" s="17">
        <v>17.41</v>
      </c>
      <c r="C30" s="22">
        <v>-1.47</v>
      </c>
      <c r="D30" s="22">
        <v>-0.79</v>
      </c>
      <c r="E30" s="22">
        <v>-5.12</v>
      </c>
      <c r="F30" s="22">
        <v>-1.13</v>
      </c>
      <c r="G30" s="22">
        <v>-0.82</v>
      </c>
      <c r="H30" s="15"/>
      <c r="I30" s="17">
        <v>0.22</v>
      </c>
      <c r="J30" s="22">
        <v>-0.15</v>
      </c>
      <c r="K30" s="17">
        <v>1.28</v>
      </c>
      <c r="L30" s="17">
        <v>0.06</v>
      </c>
      <c r="M30" s="17">
        <v>2.03</v>
      </c>
      <c r="N30" s="17">
        <v>4.51</v>
      </c>
      <c r="O30" s="15"/>
      <c r="P30" s="15"/>
      <c r="Q30" s="15"/>
      <c r="R30" s="15"/>
      <c r="S30" s="15"/>
      <c r="T30" s="15"/>
      <c r="U30" s="15"/>
      <c r="V30" s="17">
        <v>0.96</v>
      </c>
      <c r="W30" s="17">
        <v>1.61</v>
      </c>
    </row>
    <row r="31" ht="15.0" customHeight="1">
      <c r="A31" s="14" t="s">
        <v>318</v>
      </c>
      <c r="B31" s="15"/>
      <c r="C31" s="17">
        <v>40.03</v>
      </c>
      <c r="D31" s="17">
        <v>41.06</v>
      </c>
      <c r="E31" s="17">
        <v>7.25</v>
      </c>
      <c r="F31" s="17">
        <v>0.06</v>
      </c>
      <c r="G31" s="17">
        <v>0.16</v>
      </c>
      <c r="H31" s="17">
        <v>0.41</v>
      </c>
      <c r="I31" s="17">
        <v>0.6</v>
      </c>
      <c r="J31" s="15"/>
      <c r="K31" s="17">
        <v>1.4</v>
      </c>
      <c r="L31" s="17">
        <v>0.32</v>
      </c>
      <c r="M31" s="17">
        <v>2.17</v>
      </c>
      <c r="N31" s="17">
        <v>4.58</v>
      </c>
      <c r="O31" s="17">
        <v>7.36</v>
      </c>
      <c r="P31" s="17">
        <v>2.82</v>
      </c>
      <c r="Q31" s="17">
        <v>0.92</v>
      </c>
      <c r="R31" s="17">
        <v>0.98</v>
      </c>
      <c r="S31" s="17">
        <v>2.08</v>
      </c>
      <c r="T31" s="17">
        <v>1.63</v>
      </c>
      <c r="U31" s="17">
        <v>1.09</v>
      </c>
      <c r="V31" s="15"/>
      <c r="W31" s="15"/>
    </row>
    <row r="32" ht="15.0" customHeight="1">
      <c r="A32" s="14" t="s">
        <v>319</v>
      </c>
      <c r="B32" s="15"/>
      <c r="C32" s="15"/>
      <c r="D32" s="15"/>
      <c r="E32" s="15"/>
      <c r="F32" s="15"/>
      <c r="G32" s="15"/>
      <c r="H32" s="22">
        <v>-0.65</v>
      </c>
      <c r="I32" s="22">
        <v>-0.38</v>
      </c>
      <c r="J32" s="15"/>
      <c r="K32" s="22">
        <v>-0.12</v>
      </c>
      <c r="L32" s="22">
        <v>-0.26</v>
      </c>
      <c r="M32" s="22">
        <v>-0.14</v>
      </c>
      <c r="N32" s="22">
        <v>-0.08</v>
      </c>
      <c r="O32" s="22">
        <v>-0.06</v>
      </c>
      <c r="P32" s="22">
        <v>-0.07</v>
      </c>
      <c r="Q32" s="22">
        <v>-0.08</v>
      </c>
      <c r="R32" s="22">
        <v>-0.05</v>
      </c>
      <c r="S32" s="22">
        <v>-0.05</v>
      </c>
      <c r="T32" s="22">
        <v>-0.07</v>
      </c>
      <c r="U32" s="22">
        <v>-0.18</v>
      </c>
      <c r="V32" s="22">
        <v>-0.2</v>
      </c>
      <c r="W32" s="22">
        <v>-0.19</v>
      </c>
    </row>
    <row r="33" ht="15.0" customHeight="1">
      <c r="A33" s="14" t="s">
        <v>320</v>
      </c>
      <c r="B33" s="26">
        <v>-119.59</v>
      </c>
      <c r="C33" s="26">
        <v>-113.41</v>
      </c>
      <c r="D33" s="22">
        <v>-79.91</v>
      </c>
      <c r="E33" s="22">
        <v>-52.17</v>
      </c>
      <c r="F33" s="22">
        <v>-56.06</v>
      </c>
      <c r="G33" s="22">
        <v>-73.78</v>
      </c>
      <c r="H33" s="22">
        <v>-67.27</v>
      </c>
      <c r="I33" s="22">
        <v>-49.08</v>
      </c>
      <c r="J33" s="22">
        <v>-47.98</v>
      </c>
      <c r="K33" s="22">
        <v>-42.6</v>
      </c>
      <c r="L33" s="22">
        <v>-47.92</v>
      </c>
      <c r="M33" s="22">
        <v>-61.39</v>
      </c>
      <c r="N33" s="22">
        <v>-9.75</v>
      </c>
      <c r="O33" s="22">
        <v>-90.87</v>
      </c>
      <c r="P33" s="22">
        <v>-30.89</v>
      </c>
      <c r="Q33" s="15">
        <v>0.0</v>
      </c>
      <c r="R33" s="15"/>
      <c r="S33" s="15"/>
      <c r="T33" s="15"/>
      <c r="U33" s="15"/>
      <c r="V33" s="15">
        <v>0.0</v>
      </c>
      <c r="W33" s="22">
        <v>-0.01</v>
      </c>
    </row>
    <row r="34" ht="15.0" customHeight="1">
      <c r="A34" s="14" t="s">
        <v>321</v>
      </c>
      <c r="B34" s="15"/>
      <c r="C34" s="15"/>
      <c r="D34" s="15"/>
      <c r="E34" s="15"/>
      <c r="F34" s="15"/>
      <c r="G34" s="15"/>
      <c r="H34" s="15"/>
      <c r="I34" s="15"/>
      <c r="J34" s="17">
        <v>0.82</v>
      </c>
      <c r="K34" s="22">
        <v>-2.04</v>
      </c>
      <c r="L34" s="17">
        <v>2.11</v>
      </c>
      <c r="M34" s="22">
        <v>-1.09</v>
      </c>
      <c r="N34" s="17">
        <v>0.17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322</v>
      </c>
      <c r="B35" s="15"/>
      <c r="C35" s="15"/>
      <c r="D35" s="15"/>
      <c r="E35" s="15"/>
      <c r="F35" s="15"/>
      <c r="G35" s="15"/>
      <c r="H35" s="15"/>
      <c r="I35" s="15"/>
      <c r="J35" s="15"/>
      <c r="K35" s="17">
        <v>0.06</v>
      </c>
      <c r="L35" s="15">
        <v>0.0</v>
      </c>
      <c r="M35" s="17">
        <v>0.28</v>
      </c>
      <c r="N35" s="22">
        <v>-0.08</v>
      </c>
      <c r="O35" s="17">
        <v>0.04</v>
      </c>
      <c r="P35" s="17">
        <v>1.16</v>
      </c>
      <c r="Q35" s="17">
        <v>0.02</v>
      </c>
      <c r="R35" s="15">
        <v>0.0</v>
      </c>
      <c r="S35" s="17">
        <v>0.01</v>
      </c>
      <c r="T35" s="15">
        <v>0.0</v>
      </c>
      <c r="U35" s="22">
        <v>-0.13</v>
      </c>
      <c r="V35" s="22">
        <v>-0.03</v>
      </c>
      <c r="W35" s="15">
        <v>0.0</v>
      </c>
    </row>
    <row r="36" ht="15.0" customHeight="1">
      <c r="A36" s="14" t="s">
        <v>323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>
        <v>0.0</v>
      </c>
      <c r="M36" s="24">
        <v>0.0</v>
      </c>
      <c r="N36" s="15">
        <v>0.0</v>
      </c>
      <c r="O36" s="15"/>
      <c r="P36" s="15"/>
      <c r="Q36" s="15"/>
      <c r="R36" s="15"/>
      <c r="S36" s="15"/>
      <c r="T36" s="15"/>
      <c r="U36" s="15">
        <v>0.0</v>
      </c>
      <c r="V36" s="17">
        <v>9.34</v>
      </c>
      <c r="W36" s="17">
        <v>0.54</v>
      </c>
    </row>
    <row r="37" ht="15.0" customHeight="1">
      <c r="A37" s="14" t="s">
        <v>324</v>
      </c>
      <c r="B37" s="22">
        <v>-45.46</v>
      </c>
      <c r="C37" s="15"/>
      <c r="D37" s="15"/>
      <c r="E37" s="15"/>
      <c r="F37" s="15"/>
      <c r="G37" s="15"/>
      <c r="H37" s="15"/>
      <c r="I37" s="15"/>
      <c r="J37" s="17">
        <v>29.24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199</v>
      </c>
      <c r="B38" s="15"/>
      <c r="C38" s="17">
        <v>32.31</v>
      </c>
      <c r="D38" s="22">
        <v>-40.69</v>
      </c>
      <c r="E38" s="22">
        <v>-32.42</v>
      </c>
      <c r="F38" s="17">
        <v>9.84</v>
      </c>
      <c r="G38" s="22">
        <v>-2.4</v>
      </c>
      <c r="H38" s="22">
        <v>-22.29</v>
      </c>
      <c r="I38" s="22">
        <v>-11.89</v>
      </c>
      <c r="J38" s="15"/>
      <c r="K38" s="17">
        <v>4.45</v>
      </c>
      <c r="L38" s="22">
        <v>-21.45</v>
      </c>
      <c r="M38" s="22">
        <v>-5.89</v>
      </c>
      <c r="N38" s="17">
        <v>6.58</v>
      </c>
      <c r="O38" s="17">
        <v>0.38</v>
      </c>
      <c r="P38" s="22">
        <v>-5.12</v>
      </c>
      <c r="Q38" s="22">
        <v>-0.65</v>
      </c>
      <c r="R38" s="17">
        <v>4.77</v>
      </c>
      <c r="S38" s="22">
        <v>-7.17</v>
      </c>
      <c r="T38" s="22">
        <v>-3.75</v>
      </c>
      <c r="U38" s="17">
        <v>0.54</v>
      </c>
      <c r="V38" s="22">
        <v>-1.61</v>
      </c>
      <c r="W38" s="22">
        <v>-0.85</v>
      </c>
    </row>
    <row r="39" ht="15.0" customHeight="1">
      <c r="A39" s="14" t="s">
        <v>325</v>
      </c>
      <c r="B39" s="15"/>
      <c r="C39" s="22">
        <v>-87.1</v>
      </c>
      <c r="D39" s="17">
        <v>3.74</v>
      </c>
      <c r="E39" s="22">
        <v>-11.78</v>
      </c>
      <c r="F39" s="22">
        <v>-18.0</v>
      </c>
      <c r="G39" s="17">
        <v>48.15</v>
      </c>
      <c r="H39" s="22">
        <v>-4.4</v>
      </c>
      <c r="I39" s="22">
        <v>-48.68</v>
      </c>
      <c r="J39" s="15"/>
      <c r="K39" s="22">
        <v>-13.55</v>
      </c>
      <c r="L39" s="17">
        <v>17.07</v>
      </c>
      <c r="M39" s="22">
        <v>-17.5</v>
      </c>
      <c r="N39" s="22">
        <v>-6.43</v>
      </c>
      <c r="O39" s="17">
        <v>0.12</v>
      </c>
      <c r="P39" s="22">
        <v>-11.28</v>
      </c>
      <c r="Q39" s="22">
        <v>-4.93</v>
      </c>
      <c r="R39" s="22">
        <v>-5.71</v>
      </c>
      <c r="S39" s="22">
        <v>-5.06</v>
      </c>
      <c r="T39" s="22">
        <v>-5.19</v>
      </c>
      <c r="U39" s="22">
        <v>-11.6</v>
      </c>
      <c r="V39" s="22">
        <v>-2.08</v>
      </c>
      <c r="W39" s="17">
        <v>0.79</v>
      </c>
    </row>
    <row r="40" ht="15.0" customHeight="1">
      <c r="A40" s="14" t="s">
        <v>258</v>
      </c>
      <c r="B40" s="15"/>
      <c r="C40" s="22">
        <v>-1.24</v>
      </c>
      <c r="D40" s="17">
        <v>17.63</v>
      </c>
      <c r="E40" s="22">
        <v>-11.75</v>
      </c>
      <c r="F40" s="22">
        <v>-6.16</v>
      </c>
      <c r="G40" s="17">
        <v>20.26</v>
      </c>
      <c r="H40" s="22">
        <v>-5.23</v>
      </c>
      <c r="I40" s="17">
        <v>12.1</v>
      </c>
      <c r="J40" s="15"/>
      <c r="K40" s="22">
        <v>-7.09</v>
      </c>
      <c r="L40" s="17">
        <v>6.31</v>
      </c>
      <c r="M40" s="22">
        <v>-0.92</v>
      </c>
      <c r="N40" s="17">
        <v>2.88</v>
      </c>
      <c r="O40" s="22">
        <v>-2.45</v>
      </c>
      <c r="P40" s="17">
        <v>6.73</v>
      </c>
      <c r="Q40" s="17">
        <v>1.37</v>
      </c>
      <c r="R40" s="17">
        <v>1.75</v>
      </c>
      <c r="S40" s="17">
        <v>0.51</v>
      </c>
      <c r="T40" s="22">
        <v>-0.42</v>
      </c>
      <c r="U40" s="17">
        <v>2.48</v>
      </c>
      <c r="V40" s="17">
        <v>1.66</v>
      </c>
      <c r="W40" s="22">
        <v>-0.47</v>
      </c>
    </row>
    <row r="41" ht="15.0" customHeight="1">
      <c r="A41" s="14" t="s">
        <v>326</v>
      </c>
      <c r="B41" s="15"/>
      <c r="C41" s="17">
        <v>5.48</v>
      </c>
      <c r="D41" s="17">
        <v>18.23</v>
      </c>
      <c r="E41" s="17">
        <v>51.55</v>
      </c>
      <c r="F41" s="17">
        <v>12.17</v>
      </c>
      <c r="G41" s="22">
        <v>-15.83</v>
      </c>
      <c r="H41" s="22">
        <v>-6.03</v>
      </c>
      <c r="I41" s="17">
        <v>1.46</v>
      </c>
      <c r="J41" s="15"/>
      <c r="K41" s="17">
        <v>8.94</v>
      </c>
      <c r="L41" s="17">
        <v>5.19</v>
      </c>
      <c r="M41" s="17">
        <v>13.74</v>
      </c>
      <c r="N41" s="22">
        <v>-5.59</v>
      </c>
      <c r="O41" s="22">
        <v>-0.61</v>
      </c>
      <c r="P41" s="17">
        <v>5.83</v>
      </c>
      <c r="Q41" s="17">
        <v>6.68</v>
      </c>
      <c r="R41" s="22">
        <v>-0.27</v>
      </c>
      <c r="S41" s="17">
        <v>0.42</v>
      </c>
      <c r="T41" s="17">
        <v>0.11</v>
      </c>
      <c r="U41" s="17">
        <v>1.11</v>
      </c>
      <c r="V41" s="17">
        <v>1.06</v>
      </c>
      <c r="W41" s="17">
        <v>0.43</v>
      </c>
    </row>
    <row r="42" ht="15.0" customHeight="1">
      <c r="A42" s="18" t="s">
        <v>327</v>
      </c>
      <c r="B42" s="19">
        <v>324.7</v>
      </c>
      <c r="C42" s="19">
        <v>379.56</v>
      </c>
      <c r="D42" s="19">
        <v>423.95</v>
      </c>
      <c r="E42" s="19">
        <v>303.04</v>
      </c>
      <c r="F42" s="19">
        <v>222.36</v>
      </c>
      <c r="G42" s="19">
        <v>226.45</v>
      </c>
      <c r="H42" s="19">
        <v>137.59</v>
      </c>
      <c r="I42" s="19">
        <v>171.49</v>
      </c>
      <c r="J42" s="19">
        <v>215.57</v>
      </c>
      <c r="K42" s="19">
        <v>145.26</v>
      </c>
      <c r="L42" s="19">
        <v>112.34</v>
      </c>
      <c r="M42" s="19">
        <v>114.26</v>
      </c>
      <c r="N42" s="20">
        <v>70.79</v>
      </c>
      <c r="O42" s="19">
        <v>288.38</v>
      </c>
      <c r="P42" s="20">
        <v>62.87</v>
      </c>
      <c r="Q42" s="20">
        <v>57.92</v>
      </c>
      <c r="R42" s="20">
        <v>43.86</v>
      </c>
      <c r="S42" s="20">
        <v>16.43</v>
      </c>
      <c r="T42" s="20">
        <v>4.41</v>
      </c>
      <c r="U42" s="23">
        <v>-0.72</v>
      </c>
      <c r="V42" s="23">
        <v>-8.61</v>
      </c>
      <c r="W42" s="23">
        <v>-21.1</v>
      </c>
    </row>
    <row r="43" ht="15.0" customHeight="1">
      <c r="A43" s="14" t="s">
        <v>328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0.0</v>
      </c>
      <c r="Q43" s="17">
        <v>0.01</v>
      </c>
      <c r="R43" s="17">
        <v>0.01</v>
      </c>
      <c r="S43" s="22">
        <v>-0.01</v>
      </c>
      <c r="T43" s="17">
        <v>0.86</v>
      </c>
      <c r="U43" s="15">
        <v>0.0</v>
      </c>
      <c r="V43" s="22">
        <v>-0.86</v>
      </c>
      <c r="W43" s="22">
        <v>-4.04</v>
      </c>
    </row>
    <row r="44" ht="15.0" customHeight="1">
      <c r="A44" s="14" t="s">
        <v>329</v>
      </c>
      <c r="B44" s="22">
        <v>-0.08</v>
      </c>
      <c r="C44" s="22">
        <v>-0.4</v>
      </c>
      <c r="D44" s="15"/>
      <c r="E44" s="15"/>
      <c r="F44" s="15"/>
      <c r="G44" s="15">
        <v>0.0</v>
      </c>
      <c r="H44" s="22">
        <v>-6.24</v>
      </c>
      <c r="I44" s="15"/>
      <c r="J44" s="15"/>
      <c r="K44" s="15">
        <v>0.0</v>
      </c>
      <c r="L44" s="22">
        <v>-9.7</v>
      </c>
      <c r="M44" s="22">
        <v>-5.58</v>
      </c>
      <c r="N44" s="15">
        <v>0.0</v>
      </c>
      <c r="O44" s="15"/>
      <c r="P44" s="15"/>
      <c r="Q44" s="15"/>
      <c r="R44" s="15"/>
      <c r="S44" s="15"/>
      <c r="T44" s="15">
        <v>0.0</v>
      </c>
      <c r="U44" s="15">
        <v>0.0</v>
      </c>
      <c r="V44" s="22">
        <v>-1.12</v>
      </c>
      <c r="W44" s="22">
        <v>-2.68</v>
      </c>
    </row>
    <row r="45" ht="15.0" customHeight="1">
      <c r="A45" s="14" t="s">
        <v>330</v>
      </c>
      <c r="B45" s="17">
        <v>0.27</v>
      </c>
      <c r="C45" s="17">
        <v>0.08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329</v>
      </c>
      <c r="B46" s="15"/>
      <c r="C46" s="15"/>
      <c r="D46" s="22">
        <v>-0.15</v>
      </c>
      <c r="E46" s="22">
        <v>-0.21</v>
      </c>
      <c r="F46" s="22">
        <v>-22.28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331</v>
      </c>
      <c r="B47" s="22">
        <v>-3.73</v>
      </c>
      <c r="C47" s="22">
        <v>-13.99</v>
      </c>
      <c r="D47" s="22">
        <v>-48.34</v>
      </c>
      <c r="E47" s="22">
        <v>-17.02</v>
      </c>
      <c r="F47" s="22">
        <v>-6.39</v>
      </c>
      <c r="G47" s="22">
        <v>-16.45</v>
      </c>
      <c r="H47" s="22">
        <v>-30.07</v>
      </c>
      <c r="I47" s="22">
        <v>-12.6</v>
      </c>
      <c r="J47" s="22">
        <v>-25.78</v>
      </c>
      <c r="K47" s="22">
        <v>-5.51</v>
      </c>
      <c r="L47" s="22">
        <v>-17.0</v>
      </c>
      <c r="M47" s="22">
        <v>-16.91</v>
      </c>
      <c r="N47" s="22">
        <v>-15.01</v>
      </c>
      <c r="O47" s="22">
        <v>-25.27</v>
      </c>
      <c r="P47" s="22">
        <v>-13.97</v>
      </c>
      <c r="Q47" s="22">
        <v>-0.54</v>
      </c>
      <c r="R47" s="22">
        <v>-2.38</v>
      </c>
      <c r="S47" s="22">
        <v>-2.03</v>
      </c>
      <c r="T47" s="22">
        <v>-1.74</v>
      </c>
      <c r="U47" s="22">
        <v>-0.93</v>
      </c>
      <c r="V47" s="22">
        <v>-0.37</v>
      </c>
      <c r="W47" s="22">
        <v>-0.28</v>
      </c>
    </row>
    <row r="48" ht="15.0" customHeight="1">
      <c r="A48" s="14" t="s">
        <v>332</v>
      </c>
      <c r="B48" s="15"/>
      <c r="C48" s="15"/>
      <c r="D48" s="15"/>
      <c r="E48" s="15">
        <v>0.0</v>
      </c>
      <c r="F48" s="22">
        <v>-98.58</v>
      </c>
      <c r="G48" s="15"/>
      <c r="H48" s="15">
        <v>0.0</v>
      </c>
      <c r="I48" s="22">
        <v>-31.77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333</v>
      </c>
      <c r="B49" s="15"/>
      <c r="C49" s="15"/>
      <c r="D49" s="15"/>
      <c r="E49" s="15"/>
      <c r="F49" s="15"/>
      <c r="G49" s="15"/>
      <c r="H49" s="15">
        <v>0.0</v>
      </c>
      <c r="I49" s="17">
        <v>0.07</v>
      </c>
      <c r="J49" s="15"/>
      <c r="K49" s="15"/>
      <c r="L49" s="15">
        <v>0.0</v>
      </c>
      <c r="M49" s="15">
        <v>0.0</v>
      </c>
      <c r="N49" s="17">
        <v>0.01</v>
      </c>
      <c r="O49" s="17">
        <v>0.01</v>
      </c>
      <c r="P49" s="15">
        <v>0.0</v>
      </c>
      <c r="Q49" s="17">
        <v>0.09</v>
      </c>
      <c r="R49" s="15">
        <v>0.0</v>
      </c>
      <c r="S49" s="17">
        <v>0.02</v>
      </c>
      <c r="T49" s="15">
        <v>0.0</v>
      </c>
      <c r="U49" s="17">
        <v>0.21</v>
      </c>
      <c r="V49" s="17">
        <v>0.17</v>
      </c>
      <c r="W49" s="15"/>
    </row>
    <row r="50" ht="15.0" customHeight="1">
      <c r="A50" s="14" t="s">
        <v>334</v>
      </c>
      <c r="B50" s="15"/>
      <c r="C50" s="15"/>
      <c r="D50" s="15"/>
      <c r="E50" s="15"/>
      <c r="F50" s="15"/>
      <c r="G50" s="15"/>
      <c r="H50" s="15"/>
      <c r="I50" s="15">
        <v>0.0</v>
      </c>
      <c r="J50" s="22">
        <v>-0.02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335</v>
      </c>
      <c r="B51" s="15"/>
      <c r="C51" s="15">
        <v>0.0</v>
      </c>
      <c r="D51" s="22">
        <v>-2.21</v>
      </c>
      <c r="E51" s="15"/>
      <c r="F51" s="15"/>
      <c r="G51" s="15"/>
      <c r="H51" s="15"/>
      <c r="I51" s="15"/>
      <c r="J51" s="15"/>
      <c r="K51" s="22">
        <v>-3.93</v>
      </c>
      <c r="L51" s="22">
        <v>-3.82</v>
      </c>
      <c r="M51" s="22">
        <v>-3.67</v>
      </c>
      <c r="N51" s="15">
        <v>0.0</v>
      </c>
      <c r="O51" s="15">
        <v>0.0</v>
      </c>
      <c r="P51" s="17">
        <v>2.26</v>
      </c>
      <c r="Q51" s="15">
        <v>0.0</v>
      </c>
      <c r="R51" s="22">
        <v>-0.82</v>
      </c>
      <c r="S51" s="22">
        <v>-2.22</v>
      </c>
      <c r="T51" s="22">
        <v>-1.3</v>
      </c>
      <c r="U51" s="22">
        <v>-2.52</v>
      </c>
      <c r="V51" s="22">
        <v>-1.3</v>
      </c>
      <c r="W51" s="15"/>
    </row>
    <row r="52" ht="15.0" customHeight="1">
      <c r="A52" s="14" t="s">
        <v>336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>
        <v>0.0</v>
      </c>
      <c r="U52" s="22">
        <v>-0.72</v>
      </c>
      <c r="V52" s="15"/>
      <c r="W52" s="15"/>
    </row>
    <row r="53" ht="15.0" customHeight="1">
      <c r="A53" s="18" t="s">
        <v>337</v>
      </c>
      <c r="B53" s="23">
        <v>-3.54</v>
      </c>
      <c r="C53" s="23">
        <v>-14.31</v>
      </c>
      <c r="D53" s="23">
        <v>-50.69</v>
      </c>
      <c r="E53" s="23">
        <v>-17.24</v>
      </c>
      <c r="F53" s="27">
        <v>-127.25</v>
      </c>
      <c r="G53" s="23">
        <v>-16.45</v>
      </c>
      <c r="H53" s="23">
        <v>-36.32</v>
      </c>
      <c r="I53" s="23">
        <v>-44.3</v>
      </c>
      <c r="J53" s="23">
        <v>-25.8</v>
      </c>
      <c r="K53" s="23">
        <v>-9.44</v>
      </c>
      <c r="L53" s="23">
        <v>-30.53</v>
      </c>
      <c r="M53" s="23">
        <v>-26.16</v>
      </c>
      <c r="N53" s="23">
        <v>-15.01</v>
      </c>
      <c r="O53" s="23">
        <v>-25.26</v>
      </c>
      <c r="P53" s="23">
        <v>-11.72</v>
      </c>
      <c r="Q53" s="23">
        <v>-0.44</v>
      </c>
      <c r="R53" s="23">
        <v>-3.19</v>
      </c>
      <c r="S53" s="23">
        <v>-4.25</v>
      </c>
      <c r="T53" s="23">
        <v>-2.18</v>
      </c>
      <c r="U53" s="23">
        <v>-3.97</v>
      </c>
      <c r="V53" s="23">
        <v>-3.48</v>
      </c>
      <c r="W53" s="23">
        <v>-7.0</v>
      </c>
    </row>
    <row r="54" ht="15.0" customHeight="1">
      <c r="A54" s="14" t="s">
        <v>338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15">
        <v>0.0</v>
      </c>
      <c r="N54" s="17">
        <v>0.08</v>
      </c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339</v>
      </c>
      <c r="B55" s="22">
        <v>-5.3</v>
      </c>
      <c r="C55" s="22">
        <v>-4.47</v>
      </c>
      <c r="D55" s="22">
        <v>-4.38</v>
      </c>
      <c r="E55" s="22">
        <v>-2.76</v>
      </c>
      <c r="F55" s="22">
        <v>-2.81</v>
      </c>
      <c r="G55" s="22">
        <v>-2.87</v>
      </c>
      <c r="H55" s="22">
        <v>-2.98</v>
      </c>
      <c r="I55" s="22">
        <v>-2.53</v>
      </c>
      <c r="J55" s="22">
        <v>-2.32</v>
      </c>
      <c r="K55" s="15"/>
      <c r="L55" s="15"/>
      <c r="M55" s="15">
        <v>0.0</v>
      </c>
      <c r="N55" s="22">
        <v>-27.08</v>
      </c>
      <c r="O55" s="15"/>
      <c r="P55" s="15"/>
      <c r="Q55" s="15"/>
      <c r="R55" s="15"/>
      <c r="S55" s="15"/>
      <c r="T55" s="15"/>
      <c r="U55" s="15"/>
      <c r="V55" s="15"/>
      <c r="W55" s="22">
        <v>-0.14</v>
      </c>
    </row>
    <row r="56" ht="15.0" customHeight="1">
      <c r="A56" s="14" t="s">
        <v>340</v>
      </c>
      <c r="B56" s="26">
        <v>-739.32</v>
      </c>
      <c r="C56" s="26">
        <v>-708.62</v>
      </c>
      <c r="D56" s="26">
        <v>-291.47</v>
      </c>
      <c r="E56" s="26">
        <v>-286.31</v>
      </c>
      <c r="F56" s="22">
        <v>-69.02</v>
      </c>
      <c r="G56" s="22">
        <v>-66.54</v>
      </c>
      <c r="H56" s="26">
        <v>-161.33</v>
      </c>
      <c r="I56" s="26">
        <v>-146.12</v>
      </c>
      <c r="J56" s="26">
        <v>-125.91</v>
      </c>
      <c r="K56" s="26">
        <v>-122.07</v>
      </c>
      <c r="L56" s="22">
        <v>-82.56</v>
      </c>
      <c r="M56" s="26">
        <v>-111.05</v>
      </c>
      <c r="N56" s="26">
        <v>-155.87</v>
      </c>
      <c r="O56" s="22">
        <v>-89.06</v>
      </c>
      <c r="P56" s="22">
        <v>-29.83</v>
      </c>
      <c r="Q56" s="22">
        <v>-21.68</v>
      </c>
      <c r="R56" s="22">
        <v>-5.66</v>
      </c>
      <c r="S56" s="15"/>
      <c r="T56" s="15"/>
      <c r="U56" s="15"/>
      <c r="V56" s="15"/>
      <c r="W56" s="15"/>
    </row>
    <row r="57" ht="15.0" customHeight="1">
      <c r="A57" s="14" t="s">
        <v>341</v>
      </c>
      <c r="B57" s="22">
        <v>-7.25</v>
      </c>
      <c r="C57" s="22">
        <v>-9.51</v>
      </c>
      <c r="D57" s="22">
        <v>-10.7</v>
      </c>
      <c r="E57" s="22">
        <v>-8.69</v>
      </c>
      <c r="F57" s="22">
        <v>-7.54</v>
      </c>
      <c r="G57" s="22">
        <v>-7.81</v>
      </c>
      <c r="H57" s="22">
        <v>-4.21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342</v>
      </c>
      <c r="B58" s="15"/>
      <c r="C58" s="15"/>
      <c r="D58" s="15"/>
      <c r="E58" s="15"/>
      <c r="F58" s="15"/>
      <c r="G58" s="15"/>
      <c r="H58" s="15"/>
      <c r="I58" s="15"/>
      <c r="J58" s="15">
        <v>0.0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343</v>
      </c>
      <c r="B59" s="15">
        <v>0.0</v>
      </c>
      <c r="C59" s="17">
        <v>21.17</v>
      </c>
      <c r="D59" s="15"/>
      <c r="E59" s="15"/>
      <c r="F59" s="15"/>
      <c r="G59" s="16">
        <v>1153.3</v>
      </c>
      <c r="H59" s="15"/>
      <c r="I59" s="15"/>
      <c r="J59" s="15"/>
      <c r="K59" s="15"/>
      <c r="L59" s="15"/>
      <c r="M59" s="15"/>
      <c r="N59" s="15"/>
      <c r="O59" s="17">
        <v>1.08</v>
      </c>
      <c r="P59" s="15">
        <v>0.0</v>
      </c>
      <c r="Q59" s="17">
        <v>4.08</v>
      </c>
      <c r="R59" s="15">
        <v>0.0</v>
      </c>
      <c r="S59" s="15">
        <v>0.0</v>
      </c>
      <c r="T59" s="17">
        <v>0.59</v>
      </c>
      <c r="U59" s="15"/>
      <c r="V59" s="15"/>
      <c r="W59" s="17">
        <v>0.09</v>
      </c>
    </row>
    <row r="60" ht="15.0" customHeight="1">
      <c r="A60" s="14" t="s">
        <v>344</v>
      </c>
      <c r="B60" s="15"/>
      <c r="C60" s="15">
        <v>0.0</v>
      </c>
      <c r="D60" s="22">
        <v>-0.42</v>
      </c>
      <c r="E60" s="22">
        <v>-0.2</v>
      </c>
      <c r="F60" s="17">
        <v>4.53</v>
      </c>
      <c r="G60" s="15"/>
      <c r="H60" s="15"/>
      <c r="I60" s="15"/>
      <c r="J60" s="15"/>
      <c r="K60" s="15">
        <v>0.0</v>
      </c>
      <c r="L60" s="17">
        <v>15.15</v>
      </c>
      <c r="M60" s="15"/>
      <c r="N60" s="15"/>
      <c r="O60" s="15"/>
      <c r="P60" s="15"/>
      <c r="Q60" s="15"/>
      <c r="R60" s="15">
        <v>0.0</v>
      </c>
      <c r="S60" s="17">
        <v>0.08</v>
      </c>
      <c r="T60" s="15"/>
      <c r="U60" s="15"/>
      <c r="V60" s="15"/>
      <c r="W60" s="15"/>
    </row>
    <row r="61" ht="15.0" customHeight="1">
      <c r="A61" s="14" t="s">
        <v>345</v>
      </c>
      <c r="B61" s="15"/>
      <c r="C61" s="15"/>
      <c r="D61" s="15"/>
      <c r="E61" s="15">
        <v>0.0</v>
      </c>
      <c r="F61" s="22">
        <v>-7.19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22">
        <v>-2.6</v>
      </c>
      <c r="V61" s="15"/>
      <c r="W61" s="15"/>
    </row>
    <row r="62" ht="15.0" customHeight="1">
      <c r="A62" s="18" t="s">
        <v>346</v>
      </c>
      <c r="B62" s="27">
        <v>-751.86</v>
      </c>
      <c r="C62" s="27">
        <v>-701.44</v>
      </c>
      <c r="D62" s="27">
        <v>-306.96</v>
      </c>
      <c r="E62" s="27">
        <v>-297.95</v>
      </c>
      <c r="F62" s="23">
        <v>-82.03</v>
      </c>
      <c r="G62" s="19">
        <v>1076.08</v>
      </c>
      <c r="H62" s="27">
        <v>-168.52</v>
      </c>
      <c r="I62" s="27">
        <v>-148.64</v>
      </c>
      <c r="J62" s="27">
        <v>-128.23</v>
      </c>
      <c r="K62" s="27">
        <v>-122.07</v>
      </c>
      <c r="L62" s="23">
        <v>-67.42</v>
      </c>
      <c r="M62" s="27">
        <v>-111.05</v>
      </c>
      <c r="N62" s="27">
        <v>-182.87</v>
      </c>
      <c r="O62" s="23">
        <v>-87.98</v>
      </c>
      <c r="P62" s="23">
        <v>-29.83</v>
      </c>
      <c r="Q62" s="23">
        <v>-17.59</v>
      </c>
      <c r="R62" s="23">
        <v>-5.66</v>
      </c>
      <c r="S62" s="20">
        <v>0.08</v>
      </c>
      <c r="T62" s="20">
        <v>0.59</v>
      </c>
      <c r="U62" s="23">
        <v>-2.6</v>
      </c>
      <c r="V62" s="21">
        <v>0.0</v>
      </c>
      <c r="W62" s="23">
        <v>-0.05</v>
      </c>
    </row>
    <row r="63" ht="15.0" customHeight="1">
      <c r="A63" s="14" t="s">
        <v>347</v>
      </c>
      <c r="B63" s="16">
        <v>1338.39</v>
      </c>
      <c r="C63" s="16">
        <v>1587.58</v>
      </c>
      <c r="D63" s="16">
        <v>1498.43</v>
      </c>
      <c r="E63" s="16">
        <v>1397.48</v>
      </c>
      <c r="F63" s="16">
        <v>1430.13</v>
      </c>
      <c r="G63" s="16">
        <v>223.28</v>
      </c>
      <c r="H63" s="16">
        <v>267.2</v>
      </c>
      <c r="I63" s="16">
        <v>298.47</v>
      </c>
      <c r="J63" s="16">
        <v>243.23</v>
      </c>
      <c r="K63" s="16">
        <v>215.16</v>
      </c>
      <c r="L63" s="16">
        <v>220.48</v>
      </c>
      <c r="M63" s="16">
        <v>224.55</v>
      </c>
      <c r="N63" s="16">
        <v>353.4</v>
      </c>
      <c r="O63" s="16">
        <v>146.84</v>
      </c>
      <c r="P63" s="16">
        <v>127.47</v>
      </c>
      <c r="Q63" s="17">
        <v>87.05</v>
      </c>
      <c r="R63" s="17">
        <v>47.03</v>
      </c>
      <c r="S63" s="17">
        <v>38.22</v>
      </c>
      <c r="T63" s="17">
        <v>33.4</v>
      </c>
      <c r="U63" s="17">
        <v>44.02</v>
      </c>
      <c r="V63" s="17">
        <v>52.79</v>
      </c>
      <c r="W63" s="17">
        <v>84.86</v>
      </c>
    </row>
    <row r="64" ht="15.0" customHeight="1">
      <c r="A64" s="14" t="s">
        <v>348</v>
      </c>
      <c r="B64" s="16">
        <v>876.21</v>
      </c>
      <c r="C64" s="16">
        <v>1258.37</v>
      </c>
      <c r="D64" s="16">
        <v>1554.64</v>
      </c>
      <c r="E64" s="16">
        <v>1400.95</v>
      </c>
      <c r="F64" s="16">
        <v>1446.49</v>
      </c>
      <c r="G64" s="16">
        <v>1532.76</v>
      </c>
      <c r="H64" s="16">
        <v>200.5</v>
      </c>
      <c r="I64" s="16">
        <v>278.08</v>
      </c>
      <c r="J64" s="16">
        <v>306.05</v>
      </c>
      <c r="K64" s="16">
        <v>230.51</v>
      </c>
      <c r="L64" s="16">
        <v>237.45</v>
      </c>
      <c r="M64" s="16">
        <v>201.92</v>
      </c>
      <c r="N64" s="16">
        <v>220.79</v>
      </c>
      <c r="O64" s="16">
        <v>320.99</v>
      </c>
      <c r="P64" s="16">
        <v>148.84</v>
      </c>
      <c r="Q64" s="16">
        <v>127.46</v>
      </c>
      <c r="R64" s="17">
        <v>81.18</v>
      </c>
      <c r="S64" s="17">
        <v>51.69</v>
      </c>
      <c r="T64" s="17">
        <v>36.14</v>
      </c>
      <c r="U64" s="17">
        <v>36.17</v>
      </c>
      <c r="V64" s="17">
        <v>41.06</v>
      </c>
      <c r="W64" s="17">
        <v>56.79</v>
      </c>
    </row>
    <row r="65" ht="15.0" customHeight="1">
      <c r="A65" s="14" t="s">
        <v>349</v>
      </c>
      <c r="B65" s="22">
        <v>-16.98</v>
      </c>
      <c r="C65" s="17">
        <v>10.54</v>
      </c>
      <c r="D65" s="22">
        <v>-10.73</v>
      </c>
      <c r="E65" s="17">
        <v>15.65</v>
      </c>
      <c r="F65" s="17">
        <v>3.74</v>
      </c>
      <c r="G65" s="22">
        <v>-2.58</v>
      </c>
      <c r="H65" s="17">
        <v>1.05</v>
      </c>
      <c r="I65" s="17">
        <v>1.89</v>
      </c>
      <c r="J65" s="22">
        <v>-0.74</v>
      </c>
      <c r="K65" s="17">
        <v>2.14</v>
      </c>
      <c r="L65" s="17">
        <v>1.11</v>
      </c>
      <c r="M65" s="17">
        <v>1.27</v>
      </c>
      <c r="N65" s="17">
        <v>0.09</v>
      </c>
      <c r="O65" s="22">
        <v>-0.3</v>
      </c>
      <c r="P65" s="22">
        <v>-0.04</v>
      </c>
      <c r="Q65" s="22">
        <v>-0.77</v>
      </c>
      <c r="R65" s="22">
        <v>-0.27</v>
      </c>
      <c r="S65" s="17">
        <v>0.7</v>
      </c>
      <c r="T65" s="15">
        <v>0.0</v>
      </c>
      <c r="U65" s="22">
        <v>-0.22</v>
      </c>
      <c r="V65" s="17">
        <v>0.15</v>
      </c>
      <c r="W65" s="22">
        <v>-0.06</v>
      </c>
    </row>
    <row r="66" ht="15.0" customHeight="1">
      <c r="A66" s="14" t="s">
        <v>350</v>
      </c>
      <c r="B66" s="26">
        <v>-430.7</v>
      </c>
      <c r="C66" s="26">
        <v>-336.19</v>
      </c>
      <c r="D66" s="17">
        <v>66.29</v>
      </c>
      <c r="E66" s="22">
        <v>-12.15</v>
      </c>
      <c r="F66" s="17">
        <v>13.09</v>
      </c>
      <c r="G66" s="16">
        <v>1286.08</v>
      </c>
      <c r="H66" s="22">
        <v>-67.24</v>
      </c>
      <c r="I66" s="22">
        <v>-21.45</v>
      </c>
      <c r="J66" s="17">
        <v>61.54</v>
      </c>
      <c r="K66" s="17">
        <v>13.75</v>
      </c>
      <c r="L66" s="17">
        <v>14.4</v>
      </c>
      <c r="M66" s="22">
        <v>-22.96</v>
      </c>
      <c r="N66" s="26">
        <v>-127.08</v>
      </c>
      <c r="O66" s="16">
        <v>175.14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8" t="s">
        <v>350</v>
      </c>
      <c r="B67" s="27">
        <v>-447.68</v>
      </c>
      <c r="C67" s="27">
        <v>-325.65</v>
      </c>
      <c r="D67" s="20">
        <v>55.56</v>
      </c>
      <c r="E67" s="20">
        <v>3.5</v>
      </c>
      <c r="F67" s="20">
        <v>16.83</v>
      </c>
      <c r="G67" s="19">
        <v>1283.5</v>
      </c>
      <c r="H67" s="23">
        <v>-66.19</v>
      </c>
      <c r="I67" s="23">
        <v>-19.57</v>
      </c>
      <c r="J67" s="20">
        <v>60.8</v>
      </c>
      <c r="K67" s="20">
        <v>15.89</v>
      </c>
      <c r="L67" s="20">
        <v>15.5</v>
      </c>
      <c r="M67" s="23">
        <v>-21.68</v>
      </c>
      <c r="N67" s="27">
        <v>-126.99</v>
      </c>
      <c r="O67" s="19">
        <v>174.84</v>
      </c>
      <c r="P67" s="20">
        <v>21.27</v>
      </c>
      <c r="Q67" s="20">
        <v>39.12</v>
      </c>
      <c r="R67" s="20">
        <v>34.73</v>
      </c>
      <c r="S67" s="20">
        <v>12.96</v>
      </c>
      <c r="T67" s="20">
        <v>2.82</v>
      </c>
      <c r="U67" s="23">
        <v>-7.51</v>
      </c>
      <c r="V67" s="23">
        <v>-11.94</v>
      </c>
      <c r="W67" s="23">
        <v>-28.2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46092.4045951042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352</v>
      </c>
      <c r="X11" s="7" t="s">
        <v>353</v>
      </c>
      <c r="Y11" s="7" t="s">
        <v>354</v>
      </c>
      <c r="Z11" s="7" t="s">
        <v>355</v>
      </c>
      <c r="AA11" s="7" t="s">
        <v>356</v>
      </c>
      <c r="AB11" s="7" t="s">
        <v>357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40359.0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  <c r="AA16" s="11">
        <v>0.942132731504337</v>
      </c>
      <c r="AB16" s="11">
        <v>0.940350012324378</v>
      </c>
    </row>
    <row r="18">
      <c r="A18" s="12" t="s">
        <v>358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359</v>
      </c>
      <c r="X19" s="13" t="s">
        <v>360</v>
      </c>
      <c r="Y19" s="13" t="s">
        <v>361</v>
      </c>
      <c r="Z19" s="13" t="s">
        <v>362</v>
      </c>
      <c r="AA19" s="13" t="s">
        <v>363</v>
      </c>
      <c r="AB19" s="13" t="s">
        <v>364</v>
      </c>
    </row>
    <row r="20" ht="15.0" customHeight="1">
      <c r="A20" s="28" t="s">
        <v>365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365</v>
      </c>
      <c r="B21" s="31">
        <v>10387.04</v>
      </c>
      <c r="C21" s="32">
        <v>8742.76</v>
      </c>
      <c r="D21" s="32">
        <v>6552.93</v>
      </c>
      <c r="E21" s="32">
        <v>8447.17</v>
      </c>
      <c r="F21" s="32">
        <v>9490.04</v>
      </c>
      <c r="G21" s="32">
        <v>6482.82</v>
      </c>
      <c r="H21" s="32">
        <v>4908.13</v>
      </c>
      <c r="I21" s="32">
        <v>5150.97</v>
      </c>
      <c r="J21" s="32">
        <v>4533.04</v>
      </c>
      <c r="K21" s="32">
        <v>4514.29</v>
      </c>
      <c r="L21" s="32">
        <v>2562.34</v>
      </c>
      <c r="M21" s="32">
        <v>3582.96</v>
      </c>
      <c r="N21" s="32">
        <v>2067.33</v>
      </c>
      <c r="O21" s="32">
        <v>2103.74</v>
      </c>
      <c r="P21" s="32">
        <v>1198.89</v>
      </c>
      <c r="Q21" s="32">
        <v>945.37</v>
      </c>
      <c r="R21" s="32">
        <v>415.21</v>
      </c>
      <c r="S21" s="32">
        <v>334.71</v>
      </c>
      <c r="T21" s="32">
        <v>548.77</v>
      </c>
      <c r="U21" s="32">
        <v>221.44</v>
      </c>
      <c r="V21" s="32">
        <v>140.08</v>
      </c>
      <c r="W21" s="32">
        <v>121.39</v>
      </c>
      <c r="X21" s="33">
        <v>-14.46</v>
      </c>
      <c r="Y21" s="32">
        <v>135.74</v>
      </c>
      <c r="Z21" s="32">
        <v>237.96</v>
      </c>
      <c r="AA21" s="32">
        <v>178.08</v>
      </c>
      <c r="AB21" s="32">
        <v>104.67</v>
      </c>
    </row>
    <row r="22" ht="15.0" customHeight="1">
      <c r="A22" s="30" t="s">
        <v>366</v>
      </c>
      <c r="B22" s="32">
        <v>8945.98</v>
      </c>
      <c r="C22" s="32">
        <v>8118.18</v>
      </c>
      <c r="D22" s="32">
        <v>6902.05</v>
      </c>
      <c r="E22" s="32">
        <v>6790.63</v>
      </c>
      <c r="F22" s="32">
        <v>6465.57</v>
      </c>
      <c r="G22" s="32">
        <v>4910.45</v>
      </c>
      <c r="H22" s="32">
        <v>4282.85</v>
      </c>
      <c r="I22" s="32">
        <v>4145.91</v>
      </c>
      <c r="J22" s="32">
        <v>3410.83</v>
      </c>
      <c r="K22" s="32">
        <v>3271.13</v>
      </c>
      <c r="L22" s="32">
        <v>2433.88</v>
      </c>
      <c r="M22" s="32">
        <v>2109.48</v>
      </c>
      <c r="N22" s="32">
        <v>1345.1</v>
      </c>
      <c r="O22" s="32">
        <v>1013.41</v>
      </c>
      <c r="P22" s="32">
        <v>697.21</v>
      </c>
      <c r="Q22" s="32">
        <v>468.77</v>
      </c>
      <c r="R22" s="32">
        <v>334.66</v>
      </c>
      <c r="S22" s="32">
        <v>260.0</v>
      </c>
      <c r="T22" s="32">
        <v>205.72</v>
      </c>
      <c r="U22" s="32">
        <v>116.42</v>
      </c>
      <c r="V22" s="32">
        <v>124.25</v>
      </c>
      <c r="W22" s="32">
        <v>132.72</v>
      </c>
      <c r="X22" s="32">
        <v>111.12</v>
      </c>
      <c r="Y22" s="31"/>
      <c r="Z22" s="31"/>
      <c r="AA22" s="31"/>
      <c r="AB22" s="31"/>
    </row>
    <row r="23" ht="15.0" customHeight="1">
      <c r="A23" s="28" t="s">
        <v>367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367</v>
      </c>
      <c r="B24" s="31">
        <v>11638.11</v>
      </c>
      <c r="C24" s="31">
        <v>10288.54</v>
      </c>
      <c r="D24" s="32">
        <v>7943.42</v>
      </c>
      <c r="E24" s="32">
        <v>9893.64</v>
      </c>
      <c r="F24" s="31">
        <v>10992.62</v>
      </c>
      <c r="G24" s="32">
        <v>6664.72</v>
      </c>
      <c r="H24" s="32">
        <v>5187.86</v>
      </c>
      <c r="I24" s="32">
        <v>5462.05</v>
      </c>
      <c r="J24" s="32">
        <v>4763.57</v>
      </c>
      <c r="K24" s="32">
        <v>4751.77</v>
      </c>
      <c r="L24" s="32">
        <v>2764.18</v>
      </c>
      <c r="M24" s="32">
        <v>3804.29</v>
      </c>
      <c r="N24" s="32">
        <v>2385.4</v>
      </c>
      <c r="O24" s="32">
        <v>2252.14</v>
      </c>
      <c r="P24" s="32">
        <v>1326.34</v>
      </c>
      <c r="Q24" s="32">
        <v>1026.75</v>
      </c>
      <c r="R24" s="32">
        <v>466.88</v>
      </c>
      <c r="S24" s="32">
        <v>370.86</v>
      </c>
      <c r="T24" s="32">
        <v>584.94</v>
      </c>
      <c r="U24" s="32">
        <v>259.96</v>
      </c>
      <c r="V24" s="32">
        <v>194.14</v>
      </c>
      <c r="W24" s="32">
        <v>200.24</v>
      </c>
      <c r="X24" s="34">
        <v>75.49</v>
      </c>
      <c r="Y24" s="32">
        <v>167.38</v>
      </c>
      <c r="Z24" s="32">
        <v>312.6</v>
      </c>
      <c r="AA24" s="32">
        <v>201.18</v>
      </c>
      <c r="AB24" s="32">
        <v>154.9</v>
      </c>
    </row>
    <row r="25" ht="15.0" customHeight="1">
      <c r="A25" s="30" t="s">
        <v>368</v>
      </c>
      <c r="B25" s="31">
        <v>10416.81</v>
      </c>
      <c r="C25" s="32">
        <v>9352.53</v>
      </c>
      <c r="D25" s="32">
        <v>7821.02</v>
      </c>
      <c r="E25" s="32">
        <v>7514.55</v>
      </c>
      <c r="F25" s="32">
        <v>6982.15</v>
      </c>
      <c r="G25" s="32">
        <v>5147.03</v>
      </c>
      <c r="H25" s="32">
        <v>4532.3</v>
      </c>
      <c r="I25" s="32">
        <v>4391.33</v>
      </c>
      <c r="J25" s="32">
        <v>3654.92</v>
      </c>
      <c r="K25" s="32">
        <v>3525.43</v>
      </c>
      <c r="L25" s="32">
        <v>2651.44</v>
      </c>
      <c r="M25" s="32">
        <v>2302.66</v>
      </c>
      <c r="N25" s="32">
        <v>1490.31</v>
      </c>
      <c r="O25" s="32">
        <v>1103.58</v>
      </c>
      <c r="P25" s="32">
        <v>764.59</v>
      </c>
      <c r="Q25" s="32">
        <v>515.17</v>
      </c>
      <c r="R25" s="32">
        <v>378.3</v>
      </c>
      <c r="S25" s="32">
        <v>305.8</v>
      </c>
      <c r="T25" s="32">
        <v>268.0</v>
      </c>
      <c r="U25" s="32">
        <v>174.04</v>
      </c>
      <c r="V25" s="32">
        <v>192.58</v>
      </c>
      <c r="W25" s="32">
        <v>195.64</v>
      </c>
      <c r="X25" s="32">
        <v>160.24</v>
      </c>
      <c r="Y25" s="31"/>
      <c r="Z25" s="31"/>
      <c r="AA25" s="31"/>
      <c r="AB25" s="31"/>
    </row>
    <row r="26" ht="15.0" customHeight="1">
      <c r="A26" s="28" t="s">
        <v>369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370</v>
      </c>
      <c r="B27" s="32">
        <v>115.04</v>
      </c>
      <c r="C27" s="32">
        <v>101.88</v>
      </c>
      <c r="D27" s="34">
        <v>78.66</v>
      </c>
      <c r="E27" s="32">
        <v>100.94</v>
      </c>
      <c r="F27" s="32">
        <v>112.15</v>
      </c>
      <c r="G27" s="34">
        <v>79.61</v>
      </c>
      <c r="H27" s="34">
        <v>61.97</v>
      </c>
      <c r="I27" s="34">
        <v>65.24</v>
      </c>
      <c r="J27" s="34">
        <v>56.9</v>
      </c>
      <c r="K27" s="34">
        <v>56.76</v>
      </c>
      <c r="L27" s="34">
        <v>33.15</v>
      </c>
      <c r="M27" s="34">
        <v>46.03</v>
      </c>
      <c r="N27" s="34">
        <v>28.86</v>
      </c>
      <c r="O27" s="34">
        <v>27.25</v>
      </c>
      <c r="P27" s="34">
        <v>16.05</v>
      </c>
      <c r="Q27" s="34">
        <v>12.47</v>
      </c>
      <c r="R27" s="34">
        <v>5.67</v>
      </c>
      <c r="S27" s="34">
        <v>4.5</v>
      </c>
      <c r="T27" s="34">
        <v>7.1</v>
      </c>
      <c r="U27" s="34">
        <v>3.16</v>
      </c>
      <c r="V27" s="34">
        <v>2.36</v>
      </c>
      <c r="W27" s="34">
        <v>2.45</v>
      </c>
      <c r="X27" s="34">
        <v>0.92</v>
      </c>
      <c r="Y27" s="34">
        <v>2.05</v>
      </c>
      <c r="Z27" s="34">
        <v>4.94</v>
      </c>
      <c r="AA27" s="34">
        <v>3.18</v>
      </c>
      <c r="AB27" s="34">
        <v>2.45</v>
      </c>
    </row>
    <row r="28" ht="15.0" customHeight="1">
      <c r="A28" s="30" t="s">
        <v>371</v>
      </c>
      <c r="B28" s="32">
        <v>104.39</v>
      </c>
      <c r="C28" s="34">
        <v>96.78</v>
      </c>
      <c r="D28" s="34">
        <v>83.39</v>
      </c>
      <c r="E28" s="34">
        <v>82.74</v>
      </c>
      <c r="F28" s="34">
        <v>79.57</v>
      </c>
      <c r="G28" s="34">
        <v>61.48</v>
      </c>
      <c r="H28" s="34">
        <v>54.16</v>
      </c>
      <c r="I28" s="34">
        <v>52.6</v>
      </c>
      <c r="J28" s="34">
        <v>43.88</v>
      </c>
      <c r="K28" s="34">
        <v>42.44</v>
      </c>
      <c r="L28" s="34">
        <v>32.02</v>
      </c>
      <c r="M28" s="34">
        <v>27.87</v>
      </c>
      <c r="N28" s="34">
        <v>18.05</v>
      </c>
      <c r="O28" s="34">
        <v>13.37</v>
      </c>
      <c r="P28" s="34">
        <v>9.27</v>
      </c>
      <c r="Q28" s="34">
        <v>6.26</v>
      </c>
      <c r="R28" s="34">
        <v>4.59</v>
      </c>
      <c r="S28" s="34">
        <v>3.72</v>
      </c>
      <c r="T28" s="34">
        <v>3.26</v>
      </c>
      <c r="U28" s="34">
        <v>2.12</v>
      </c>
      <c r="V28" s="34">
        <v>2.57</v>
      </c>
      <c r="W28" s="34">
        <v>2.75</v>
      </c>
      <c r="X28" s="34">
        <v>2.36</v>
      </c>
      <c r="Y28" s="31"/>
      <c r="Z28" s="31"/>
      <c r="AA28" s="31"/>
      <c r="AB28" s="31"/>
    </row>
    <row r="29" ht="15.0" customHeight="1">
      <c r="A29" s="28" t="s">
        <v>372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373</v>
      </c>
      <c r="B30" s="35">
        <v>3.17</v>
      </c>
      <c r="C30" s="35">
        <v>3.69</v>
      </c>
      <c r="D30" s="35">
        <v>3.57</v>
      </c>
      <c r="E30" s="35">
        <v>2.06</v>
      </c>
      <c r="F30" s="35">
        <v>2.14</v>
      </c>
      <c r="G30" s="35">
        <v>1.48</v>
      </c>
      <c r="H30" s="35">
        <v>3.08</v>
      </c>
      <c r="I30" s="35">
        <v>3.47</v>
      </c>
      <c r="J30" s="35">
        <v>2.74</v>
      </c>
      <c r="K30" s="35">
        <v>1.91</v>
      </c>
      <c r="L30" s="35">
        <v>3.35</v>
      </c>
      <c r="M30" s="35">
        <v>1.46</v>
      </c>
      <c r="N30" s="35">
        <v>10.52</v>
      </c>
      <c r="O30" s="35">
        <v>2.09</v>
      </c>
      <c r="P30" s="35">
        <v>4.28</v>
      </c>
      <c r="Q30" s="35">
        <v>3.77</v>
      </c>
      <c r="R30" s="35">
        <v>3.07</v>
      </c>
      <c r="S30" s="35">
        <v>0.67</v>
      </c>
      <c r="T30" s="36">
        <v>-0.28</v>
      </c>
      <c r="U30" s="36">
        <v>-3.66</v>
      </c>
      <c r="V30" s="36">
        <v>-11.82</v>
      </c>
      <c r="W30" s="36">
        <v>-12.25</v>
      </c>
      <c r="X30" s="35"/>
      <c r="Y30" s="36">
        <v>-21.82</v>
      </c>
      <c r="Z30" s="36">
        <v>-6.49</v>
      </c>
      <c r="AA30" s="36">
        <v>-12.79</v>
      </c>
      <c r="AB30" s="36">
        <v>-19.33</v>
      </c>
    </row>
    <row r="31" ht="15.0" customHeight="1">
      <c r="A31" s="30" t="s">
        <v>374</v>
      </c>
      <c r="B31" s="35">
        <v>2.9</v>
      </c>
      <c r="C31" s="35">
        <v>2.58</v>
      </c>
      <c r="D31" s="35">
        <v>2.4</v>
      </c>
      <c r="E31" s="35">
        <v>2.33</v>
      </c>
      <c r="F31" s="35">
        <v>2.47</v>
      </c>
      <c r="G31" s="35">
        <v>2.49</v>
      </c>
      <c r="H31" s="35">
        <v>2.9</v>
      </c>
      <c r="I31" s="35">
        <v>2.59</v>
      </c>
      <c r="J31" s="35">
        <v>3.5</v>
      </c>
      <c r="K31" s="35">
        <v>3.5</v>
      </c>
      <c r="L31" s="35">
        <v>4.11</v>
      </c>
      <c r="M31" s="35">
        <v>4.25</v>
      </c>
      <c r="N31" s="35">
        <v>5.47</v>
      </c>
      <c r="O31" s="35">
        <v>2.93</v>
      </c>
      <c r="P31" s="35">
        <v>2.96</v>
      </c>
      <c r="Q31" s="35">
        <v>1.69</v>
      </c>
      <c r="R31" s="36">
        <v>-0.9</v>
      </c>
      <c r="S31" s="36">
        <v>-3.4</v>
      </c>
      <c r="T31" s="35"/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8" t="s">
        <v>375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376</v>
      </c>
      <c r="B33" s="35">
        <v>4.32</v>
      </c>
      <c r="C33" s="35">
        <v>2.01</v>
      </c>
      <c r="D33" s="35">
        <v>1.79</v>
      </c>
      <c r="E33" s="35">
        <v>0.46</v>
      </c>
      <c r="F33" s="35">
        <v>1.04</v>
      </c>
      <c r="G33" s="35">
        <v>1.65</v>
      </c>
      <c r="H33" s="35">
        <v>1.98</v>
      </c>
      <c r="I33" s="35">
        <v>1.61</v>
      </c>
      <c r="J33" s="35">
        <v>1.17</v>
      </c>
      <c r="K33" s="35">
        <v>1.29</v>
      </c>
      <c r="L33" s="35">
        <v>2.83</v>
      </c>
      <c r="M33" s="35">
        <v>2.87</v>
      </c>
      <c r="N33" s="35">
        <v>2.49</v>
      </c>
      <c r="O33" s="35">
        <v>0.89</v>
      </c>
      <c r="P33" s="35">
        <v>1.14</v>
      </c>
      <c r="Q33" s="35">
        <v>0.36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>
        <v>0.0</v>
      </c>
    </row>
    <row r="34" ht="15.0" customHeight="1">
      <c r="A34" s="30" t="s">
        <v>377</v>
      </c>
      <c r="B34" s="35">
        <v>1.96</v>
      </c>
      <c r="C34" s="35">
        <v>1.36</v>
      </c>
      <c r="D34" s="35">
        <v>1.3</v>
      </c>
      <c r="E34" s="35">
        <v>1.25</v>
      </c>
      <c r="F34" s="35">
        <v>1.45</v>
      </c>
      <c r="G34" s="35">
        <v>1.56</v>
      </c>
      <c r="H34" s="35">
        <v>1.69</v>
      </c>
      <c r="I34" s="35">
        <v>1.84</v>
      </c>
      <c r="J34" s="35">
        <v>2.0</v>
      </c>
      <c r="K34" s="35">
        <v>2.07</v>
      </c>
      <c r="L34" s="35">
        <v>2.22</v>
      </c>
      <c r="M34" s="35">
        <v>1.88</v>
      </c>
      <c r="N34" s="35">
        <v>1.31</v>
      </c>
      <c r="O34" s="35">
        <v>0.71</v>
      </c>
      <c r="P34" s="35">
        <v>0.5</v>
      </c>
      <c r="Q34" s="35">
        <v>0.14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>
        <v>0.0</v>
      </c>
      <c r="Y34" s="35"/>
      <c r="Z34" s="35"/>
      <c r="AA34" s="35"/>
      <c r="AB34" s="35"/>
    </row>
    <row r="35" ht="15.0" customHeight="1">
      <c r="A35" s="30" t="s">
        <v>378</v>
      </c>
      <c r="B35" s="35">
        <v>6.17</v>
      </c>
      <c r="C35" s="35">
        <v>2.87</v>
      </c>
      <c r="D35" s="35">
        <v>2.55</v>
      </c>
      <c r="E35" s="35">
        <v>0.66</v>
      </c>
      <c r="F35" s="35">
        <v>1.49</v>
      </c>
      <c r="G35" s="35">
        <v>2.36</v>
      </c>
      <c r="H35" s="35">
        <v>2.83</v>
      </c>
      <c r="I35" s="35">
        <v>2.3</v>
      </c>
      <c r="J35" s="35">
        <v>1.67</v>
      </c>
      <c r="K35" s="35">
        <v>1.84</v>
      </c>
      <c r="L35" s="35">
        <v>4.05</v>
      </c>
      <c r="M35" s="35">
        <v>4.1</v>
      </c>
      <c r="N35" s="35">
        <v>3.56</v>
      </c>
      <c r="O35" s="35">
        <v>1.27</v>
      </c>
      <c r="P35" s="35">
        <v>1.62</v>
      </c>
      <c r="Q35" s="35">
        <v>0.52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</row>
    <row r="36" ht="15.0" customHeight="1">
      <c r="A36" s="30" t="s">
        <v>379</v>
      </c>
      <c r="B36" s="35">
        <v>2.8</v>
      </c>
      <c r="C36" s="35">
        <v>1.94</v>
      </c>
      <c r="D36" s="35">
        <v>1.85</v>
      </c>
      <c r="E36" s="35">
        <v>1.79</v>
      </c>
      <c r="F36" s="35">
        <v>2.07</v>
      </c>
      <c r="G36" s="35">
        <v>2.23</v>
      </c>
      <c r="H36" s="35">
        <v>2.41</v>
      </c>
      <c r="I36" s="35">
        <v>2.63</v>
      </c>
      <c r="J36" s="35">
        <v>2.85</v>
      </c>
      <c r="K36" s="35">
        <v>2.96</v>
      </c>
      <c r="L36" s="35">
        <v>3.17</v>
      </c>
      <c r="M36" s="35">
        <v>2.69</v>
      </c>
      <c r="N36" s="35">
        <v>1.88</v>
      </c>
      <c r="O36" s="35">
        <v>1.01</v>
      </c>
      <c r="P36" s="35">
        <v>0.71</v>
      </c>
      <c r="Q36" s="35">
        <v>0.21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>
        <v>0.0</v>
      </c>
      <c r="Y36" s="35"/>
      <c r="Z36" s="35"/>
      <c r="AA36" s="35"/>
      <c r="AB36" s="35"/>
    </row>
    <row r="37" ht="15.0" customHeight="1">
      <c r="A37" s="28" t="s">
        <v>380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381</v>
      </c>
      <c r="B38" s="34">
        <v>6.57</v>
      </c>
      <c r="C38" s="34">
        <v>5.03</v>
      </c>
      <c r="D38" s="34">
        <v>4.28</v>
      </c>
      <c r="E38" s="34">
        <v>5.57</v>
      </c>
      <c r="F38" s="34">
        <v>6.21</v>
      </c>
      <c r="G38" s="34">
        <v>14.49</v>
      </c>
      <c r="H38" s="34">
        <v>10.9</v>
      </c>
      <c r="I38" s="34">
        <v>12.18</v>
      </c>
      <c r="J38" s="34">
        <v>12.53</v>
      </c>
      <c r="K38" s="34">
        <v>11.88</v>
      </c>
      <c r="L38" s="34">
        <v>8.67</v>
      </c>
      <c r="M38" s="34">
        <v>13.29</v>
      </c>
      <c r="N38" s="34">
        <v>6.42</v>
      </c>
      <c r="O38" s="34">
        <v>11.8</v>
      </c>
      <c r="P38" s="34">
        <v>8.53</v>
      </c>
      <c r="Q38" s="34">
        <v>8.23</v>
      </c>
      <c r="R38" s="34">
        <v>4.14</v>
      </c>
      <c r="S38" s="34">
        <v>4.86</v>
      </c>
      <c r="T38" s="34">
        <v>9.01</v>
      </c>
      <c r="U38" s="34">
        <v>4.46</v>
      </c>
      <c r="V38" s="34">
        <v>2.43</v>
      </c>
      <c r="W38" s="34">
        <v>1.97</v>
      </c>
      <c r="X38" s="34">
        <v>0.77</v>
      </c>
      <c r="Y38" s="34">
        <v>1.81</v>
      </c>
      <c r="Z38" s="34">
        <v>3.0</v>
      </c>
      <c r="AA38" s="34">
        <v>2.58</v>
      </c>
      <c r="AB38" s="34">
        <v>1.64</v>
      </c>
    </row>
    <row r="39" ht="15.0" customHeight="1">
      <c r="A39" s="30" t="s">
        <v>382</v>
      </c>
      <c r="B39" s="34">
        <v>5.48</v>
      </c>
      <c r="C39" s="34">
        <v>5.91</v>
      </c>
      <c r="D39" s="34">
        <v>6.6</v>
      </c>
      <c r="E39" s="34">
        <v>8.02</v>
      </c>
      <c r="F39" s="34">
        <v>9.74</v>
      </c>
      <c r="G39" s="34">
        <v>12.42</v>
      </c>
      <c r="H39" s="34">
        <v>11.32</v>
      </c>
      <c r="I39" s="34">
        <v>11.75</v>
      </c>
      <c r="J39" s="34">
        <v>10.39</v>
      </c>
      <c r="K39" s="34">
        <v>10.07</v>
      </c>
      <c r="L39" s="34">
        <v>9.41</v>
      </c>
      <c r="M39" s="34">
        <v>9.46</v>
      </c>
      <c r="N39" s="34">
        <v>7.81</v>
      </c>
      <c r="O39" s="34">
        <v>8.24</v>
      </c>
      <c r="P39" s="34">
        <v>7.08</v>
      </c>
      <c r="Q39" s="34">
        <v>6.22</v>
      </c>
      <c r="R39" s="34">
        <v>4.78</v>
      </c>
      <c r="S39" s="34">
        <v>4.24</v>
      </c>
      <c r="T39" s="34">
        <v>3.19</v>
      </c>
      <c r="U39" s="34">
        <v>2.06</v>
      </c>
      <c r="V39" s="34">
        <v>2.01</v>
      </c>
      <c r="W39" s="34">
        <v>2.05</v>
      </c>
      <c r="X39" s="34">
        <v>1.98</v>
      </c>
      <c r="Y39" s="31"/>
      <c r="Z39" s="31"/>
      <c r="AA39" s="31"/>
      <c r="AB39" s="31"/>
    </row>
    <row r="40" ht="15.0" customHeight="1">
      <c r="A40" s="28" t="s">
        <v>383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384</v>
      </c>
      <c r="B41" s="34">
        <v>7.31</v>
      </c>
      <c r="C41" s="34">
        <v>5.62</v>
      </c>
      <c r="D41" s="34">
        <v>4.81</v>
      </c>
      <c r="E41" s="34">
        <v>6.23</v>
      </c>
      <c r="F41" s="34">
        <v>6.42</v>
      </c>
      <c r="G41" s="34">
        <v>16.35</v>
      </c>
      <c r="H41" s="34">
        <v>12.13</v>
      </c>
      <c r="I41" s="34">
        <v>12.18</v>
      </c>
      <c r="J41" s="34">
        <v>12.53</v>
      </c>
      <c r="K41" s="34">
        <v>12.38</v>
      </c>
      <c r="L41" s="34">
        <v>8.82</v>
      </c>
      <c r="M41" s="34">
        <v>13.29</v>
      </c>
      <c r="N41" s="34">
        <v>6.42</v>
      </c>
      <c r="O41" s="34">
        <v>11.82</v>
      </c>
      <c r="P41" s="34">
        <v>8.53</v>
      </c>
      <c r="Q41" s="34">
        <v>8.23</v>
      </c>
      <c r="R41" s="34">
        <v>4.14</v>
      </c>
      <c r="S41" s="34">
        <v>4.86</v>
      </c>
      <c r="T41" s="34">
        <v>9.01</v>
      </c>
      <c r="U41" s="34">
        <v>4.46</v>
      </c>
      <c r="V41" s="34">
        <v>2.43</v>
      </c>
      <c r="W41" s="34">
        <v>2.59</v>
      </c>
      <c r="X41" s="34">
        <v>1.25</v>
      </c>
      <c r="Y41" s="34">
        <v>4.55</v>
      </c>
      <c r="Z41" s="34">
        <v>5.27</v>
      </c>
      <c r="AA41" s="34">
        <v>7.88</v>
      </c>
      <c r="AB41" s="34">
        <v>2.85</v>
      </c>
    </row>
    <row r="42" ht="15.0" customHeight="1">
      <c r="A42" s="30" t="s">
        <v>385</v>
      </c>
      <c r="B42" s="34">
        <v>6.04</v>
      </c>
      <c r="C42" s="34">
        <v>6.5</v>
      </c>
      <c r="D42" s="34">
        <v>7.24</v>
      </c>
      <c r="E42" s="34">
        <v>8.64</v>
      </c>
      <c r="F42" s="34">
        <v>10.21</v>
      </c>
      <c r="G42" s="34">
        <v>13.14</v>
      </c>
      <c r="H42" s="34">
        <v>11.72</v>
      </c>
      <c r="I42" s="34">
        <v>11.89</v>
      </c>
      <c r="J42" s="34">
        <v>10.51</v>
      </c>
      <c r="K42" s="34">
        <v>10.2</v>
      </c>
      <c r="L42" s="34">
        <v>9.45</v>
      </c>
      <c r="M42" s="34">
        <v>9.46</v>
      </c>
      <c r="N42" s="34">
        <v>7.81</v>
      </c>
      <c r="O42" s="34">
        <v>8.25</v>
      </c>
      <c r="P42" s="34">
        <v>7.08</v>
      </c>
      <c r="Q42" s="34">
        <v>6.22</v>
      </c>
      <c r="R42" s="34">
        <v>4.78</v>
      </c>
      <c r="S42" s="34">
        <v>4.52</v>
      </c>
      <c r="T42" s="34">
        <v>3.8</v>
      </c>
      <c r="U42" s="34">
        <v>2.86</v>
      </c>
      <c r="V42" s="34">
        <v>3.1</v>
      </c>
      <c r="W42" s="34">
        <v>3.81</v>
      </c>
      <c r="X42" s="34">
        <v>3.9</v>
      </c>
      <c r="Y42" s="31"/>
      <c r="Z42" s="31"/>
      <c r="AA42" s="31"/>
      <c r="AB42" s="31"/>
    </row>
    <row r="43" ht="15.0" customHeight="1">
      <c r="A43" s="28" t="s">
        <v>386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387</v>
      </c>
      <c r="B44" s="34">
        <v>7.95</v>
      </c>
      <c r="C44" s="34">
        <v>7.88</v>
      </c>
      <c r="D44" s="34">
        <v>7.64</v>
      </c>
      <c r="E44" s="34">
        <v>13.32</v>
      </c>
      <c r="F44" s="34">
        <v>12.83</v>
      </c>
      <c r="G44" s="34">
        <v>9.58</v>
      </c>
      <c r="H44" s="34">
        <v>7.42</v>
      </c>
      <c r="I44" s="34">
        <v>9.19</v>
      </c>
      <c r="J44" s="34">
        <v>9.73</v>
      </c>
      <c r="K44" s="34">
        <v>9.71</v>
      </c>
      <c r="L44" s="34">
        <v>6.2</v>
      </c>
      <c r="M44" s="34">
        <v>13.42</v>
      </c>
      <c r="N44" s="34">
        <v>4.51</v>
      </c>
      <c r="O44" s="34">
        <v>8.61</v>
      </c>
      <c r="P44" s="34">
        <v>6.77</v>
      </c>
      <c r="Q44" s="34">
        <v>6.57</v>
      </c>
      <c r="R44" s="34">
        <v>3.78</v>
      </c>
      <c r="S44" s="34">
        <v>4.32</v>
      </c>
      <c r="T44" s="34">
        <v>7.73</v>
      </c>
      <c r="U44" s="34">
        <v>5.37</v>
      </c>
      <c r="V44" s="34">
        <v>5.49</v>
      </c>
      <c r="W44" s="34">
        <v>6.33</v>
      </c>
      <c r="X44" s="34">
        <v>2.29</v>
      </c>
      <c r="Y44" s="34">
        <v>3.84</v>
      </c>
      <c r="Z44" s="34">
        <v>4.96</v>
      </c>
      <c r="AA44" s="34">
        <v>3.42</v>
      </c>
      <c r="AB44" s="34">
        <v>5.4</v>
      </c>
    </row>
    <row r="45" ht="15.0" customHeight="1">
      <c r="A45" s="30" t="s">
        <v>388</v>
      </c>
      <c r="B45" s="34">
        <v>9.4</v>
      </c>
      <c r="C45" s="34">
        <v>9.85</v>
      </c>
      <c r="D45" s="34">
        <v>9.95</v>
      </c>
      <c r="E45" s="34">
        <v>10.44</v>
      </c>
      <c r="F45" s="34">
        <v>9.75</v>
      </c>
      <c r="G45" s="34">
        <v>9.04</v>
      </c>
      <c r="H45" s="34">
        <v>8.41</v>
      </c>
      <c r="I45" s="34">
        <v>9.37</v>
      </c>
      <c r="J45" s="34">
        <v>8.13</v>
      </c>
      <c r="K45" s="34">
        <v>7.82</v>
      </c>
      <c r="L45" s="34">
        <v>7.24</v>
      </c>
      <c r="M45" s="34">
        <v>7.45</v>
      </c>
      <c r="N45" s="34">
        <v>5.89</v>
      </c>
      <c r="O45" s="34">
        <v>6.61</v>
      </c>
      <c r="P45" s="34">
        <v>5.93</v>
      </c>
      <c r="Q45" s="34">
        <v>5.54</v>
      </c>
      <c r="R45" s="34">
        <v>5.07</v>
      </c>
      <c r="S45" s="34">
        <v>5.77</v>
      </c>
      <c r="T45" s="34">
        <v>5.79</v>
      </c>
      <c r="U45" s="34">
        <v>4.61</v>
      </c>
      <c r="V45" s="34">
        <v>4.56</v>
      </c>
      <c r="W45" s="34">
        <v>4.13</v>
      </c>
      <c r="X45" s="34">
        <v>4.05</v>
      </c>
      <c r="Y45" s="31"/>
      <c r="Z45" s="31"/>
      <c r="AA45" s="31"/>
      <c r="AB45" s="31"/>
    </row>
    <row r="46" ht="15.0" customHeight="1">
      <c r="A46" s="28" t="s">
        <v>389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390</v>
      </c>
      <c r="B47" s="34">
        <v>31.5</v>
      </c>
      <c r="C47" s="34">
        <v>27.08</v>
      </c>
      <c r="D47" s="34">
        <v>28.03</v>
      </c>
      <c r="E47" s="34">
        <v>48.54</v>
      </c>
      <c r="F47" s="34">
        <v>46.71</v>
      </c>
      <c r="G47" s="34">
        <v>67.62</v>
      </c>
      <c r="H47" s="34">
        <v>32.44</v>
      </c>
      <c r="I47" s="34">
        <v>28.84</v>
      </c>
      <c r="J47" s="34">
        <v>36.54</v>
      </c>
      <c r="K47" s="34">
        <v>52.4</v>
      </c>
      <c r="L47" s="34">
        <v>29.89</v>
      </c>
      <c r="M47" s="34">
        <v>68.58</v>
      </c>
      <c r="N47" s="34">
        <v>9.51</v>
      </c>
      <c r="O47" s="34">
        <v>47.9</v>
      </c>
      <c r="P47" s="34">
        <v>23.38</v>
      </c>
      <c r="Q47" s="34">
        <v>26.51</v>
      </c>
      <c r="R47" s="34">
        <v>32.6</v>
      </c>
      <c r="S47" s="32">
        <v>149.47</v>
      </c>
      <c r="T47" s="31"/>
      <c r="U47" s="31"/>
      <c r="V47" s="31"/>
      <c r="W47" s="31"/>
      <c r="X47" s="31"/>
      <c r="Y47" s="31"/>
      <c r="Z47" s="31"/>
      <c r="AA47" s="31"/>
      <c r="AB47" s="31"/>
    </row>
    <row r="48" ht="15.0" customHeight="1">
      <c r="A48" s="30" t="s">
        <v>391</v>
      </c>
      <c r="B48" s="34">
        <v>34.53</v>
      </c>
      <c r="C48" s="34">
        <v>38.74</v>
      </c>
      <c r="D48" s="34">
        <v>41.68</v>
      </c>
      <c r="E48" s="34">
        <v>42.86</v>
      </c>
      <c r="F48" s="34">
        <v>40.47</v>
      </c>
      <c r="G48" s="34">
        <v>40.22</v>
      </c>
      <c r="H48" s="34">
        <v>34.46</v>
      </c>
      <c r="I48" s="34">
        <v>38.62</v>
      </c>
      <c r="J48" s="34">
        <v>28.6</v>
      </c>
      <c r="K48" s="34">
        <v>28.54</v>
      </c>
      <c r="L48" s="34">
        <v>24.34</v>
      </c>
      <c r="M48" s="34">
        <v>23.52</v>
      </c>
      <c r="N48" s="34">
        <v>18.27</v>
      </c>
      <c r="O48" s="34">
        <v>34.1</v>
      </c>
      <c r="P48" s="34">
        <v>33.78</v>
      </c>
      <c r="Q48" s="34">
        <v>59.05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5.0" customHeight="1">
      <c r="A49" s="28" t="s">
        <v>392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393</v>
      </c>
      <c r="B50" s="34">
        <v>30.0</v>
      </c>
      <c r="C50" s="34">
        <v>26.01</v>
      </c>
      <c r="D50" s="34">
        <v>21.22</v>
      </c>
      <c r="E50" s="34">
        <v>46.8</v>
      </c>
      <c r="F50" s="34">
        <v>47.88</v>
      </c>
      <c r="G50" s="34">
        <v>36.28</v>
      </c>
      <c r="H50" s="34">
        <v>24.82</v>
      </c>
      <c r="I50" s="34">
        <v>30.18</v>
      </c>
      <c r="J50" s="34">
        <v>31.25</v>
      </c>
      <c r="K50" s="34">
        <v>32.61</v>
      </c>
      <c r="L50" s="34">
        <v>19.44</v>
      </c>
      <c r="M50" s="34">
        <v>60.76</v>
      </c>
      <c r="N50" s="34">
        <v>8.71</v>
      </c>
      <c r="O50" s="34">
        <v>31.92</v>
      </c>
      <c r="P50" s="34">
        <v>31.94</v>
      </c>
      <c r="Q50" s="34">
        <v>33.24</v>
      </c>
      <c r="R50" s="34">
        <v>13.58</v>
      </c>
      <c r="S50" s="34">
        <v>19.49</v>
      </c>
      <c r="T50" s="34">
        <v>95.44</v>
      </c>
      <c r="U50" s="31"/>
      <c r="V50" s="31"/>
      <c r="W50" s="31"/>
      <c r="X50" s="34">
        <v>2.24</v>
      </c>
      <c r="Y50" s="31"/>
      <c r="Z50" s="31"/>
      <c r="AA50" s="31"/>
      <c r="AB50" s="31"/>
    </row>
    <row r="51" ht="15.0" customHeight="1">
      <c r="A51" s="30" t="s">
        <v>394</v>
      </c>
      <c r="B51" s="34">
        <v>31.7</v>
      </c>
      <c r="C51" s="34">
        <v>32.86</v>
      </c>
      <c r="D51" s="34">
        <v>33.32</v>
      </c>
      <c r="E51" s="34">
        <v>36.87</v>
      </c>
      <c r="F51" s="34">
        <v>33.95</v>
      </c>
      <c r="G51" s="34">
        <v>30.81</v>
      </c>
      <c r="H51" s="34">
        <v>27.53</v>
      </c>
      <c r="I51" s="34">
        <v>31.57</v>
      </c>
      <c r="J51" s="34">
        <v>23.05</v>
      </c>
      <c r="K51" s="34">
        <v>22.28</v>
      </c>
      <c r="L51" s="34">
        <v>20.83</v>
      </c>
      <c r="M51" s="34">
        <v>22.06</v>
      </c>
      <c r="N51" s="34">
        <v>16.55</v>
      </c>
      <c r="O51" s="34">
        <v>27.81</v>
      </c>
      <c r="P51" s="34">
        <v>28.6</v>
      </c>
      <c r="Q51" s="34">
        <v>33.66</v>
      </c>
      <c r="R51" s="34">
        <v>54.79</v>
      </c>
      <c r="S51" s="31"/>
      <c r="T51" s="32">
        <v>140.64</v>
      </c>
      <c r="U51" s="31"/>
      <c r="V51" s="31"/>
      <c r="W51" s="32">
        <v>183.29</v>
      </c>
      <c r="X51" s="32">
        <v>230.97</v>
      </c>
      <c r="Y51" s="31"/>
      <c r="Z51" s="31"/>
      <c r="AA51" s="31"/>
      <c r="AB51" s="31"/>
    </row>
    <row r="52" ht="15.0" customHeight="1">
      <c r="A52" s="28" t="s">
        <v>395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396</v>
      </c>
      <c r="B53" s="34">
        <v>32.19</v>
      </c>
      <c r="C53" s="34">
        <v>27.97</v>
      </c>
      <c r="D53" s="34">
        <v>22.58</v>
      </c>
      <c r="E53" s="34">
        <v>53.29</v>
      </c>
      <c r="F53" s="34">
        <v>53.33</v>
      </c>
      <c r="G53" s="34">
        <v>39.28</v>
      </c>
      <c r="H53" s="34">
        <v>25.61</v>
      </c>
      <c r="I53" s="34">
        <v>31.3</v>
      </c>
      <c r="J53" s="34">
        <v>32.58</v>
      </c>
      <c r="K53" s="34">
        <v>34.14</v>
      </c>
      <c r="L53" s="34">
        <v>20.26</v>
      </c>
      <c r="M53" s="34">
        <v>68.67</v>
      </c>
      <c r="N53" s="34">
        <v>8.9</v>
      </c>
      <c r="O53" s="34">
        <v>35.51</v>
      </c>
      <c r="P53" s="34">
        <v>33.8</v>
      </c>
      <c r="Q53" s="34">
        <v>36.8</v>
      </c>
      <c r="R53" s="34">
        <v>15.19</v>
      </c>
      <c r="S53" s="34">
        <v>23.44</v>
      </c>
      <c r="T53" s="32">
        <v>246.84</v>
      </c>
      <c r="U53" s="31"/>
      <c r="V53" s="31"/>
      <c r="W53" s="31"/>
      <c r="X53" s="34">
        <v>2.56</v>
      </c>
      <c r="Y53" s="31"/>
      <c r="Z53" s="31"/>
      <c r="AA53" s="31"/>
      <c r="AB53" s="31"/>
    </row>
    <row r="54" ht="15.0" customHeight="1">
      <c r="A54" s="30" t="s">
        <v>397</v>
      </c>
      <c r="B54" s="34">
        <v>34.41</v>
      </c>
      <c r="C54" s="34">
        <v>35.77</v>
      </c>
      <c r="D54" s="34">
        <v>36.01</v>
      </c>
      <c r="E54" s="34">
        <v>39.75</v>
      </c>
      <c r="F54" s="34">
        <v>36.01</v>
      </c>
      <c r="G54" s="34">
        <v>32.29</v>
      </c>
      <c r="H54" s="34">
        <v>28.61</v>
      </c>
      <c r="I54" s="34">
        <v>33.14</v>
      </c>
      <c r="J54" s="34">
        <v>24.01</v>
      </c>
      <c r="K54" s="34">
        <v>23.37</v>
      </c>
      <c r="L54" s="34">
        <v>21.87</v>
      </c>
      <c r="M54" s="34">
        <v>23.29</v>
      </c>
      <c r="N54" s="34">
        <v>17.4</v>
      </c>
      <c r="O54" s="34">
        <v>30.83</v>
      </c>
      <c r="P54" s="34">
        <v>32.47</v>
      </c>
      <c r="Q54" s="34">
        <v>44.53</v>
      </c>
      <c r="R54" s="32">
        <v>144.36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0" customHeight="1">
      <c r="A55" s="28" t="s">
        <v>398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399</v>
      </c>
      <c r="B56" s="34">
        <v>27.0</v>
      </c>
      <c r="C56" s="34">
        <v>26.61</v>
      </c>
      <c r="D56" s="34">
        <v>28.59</v>
      </c>
      <c r="E56" s="34">
        <v>48.99</v>
      </c>
      <c r="F56" s="34">
        <v>53.33</v>
      </c>
      <c r="G56" s="34">
        <v>39.28</v>
      </c>
      <c r="H56" s="34">
        <v>26.48</v>
      </c>
      <c r="I56" s="34">
        <v>31.3</v>
      </c>
      <c r="J56" s="34">
        <v>32.58</v>
      </c>
      <c r="K56" s="34">
        <v>33.9</v>
      </c>
      <c r="L56" s="34">
        <v>20.22</v>
      </c>
      <c r="M56" s="34">
        <v>68.67</v>
      </c>
      <c r="N56" s="34">
        <v>8.9</v>
      </c>
      <c r="O56" s="34">
        <v>35.51</v>
      </c>
      <c r="P56" s="34">
        <v>33.8</v>
      </c>
      <c r="Q56" s="34">
        <v>36.8</v>
      </c>
      <c r="R56" s="34">
        <v>15.19</v>
      </c>
      <c r="S56" s="34">
        <v>23.44</v>
      </c>
      <c r="T56" s="32">
        <v>246.84</v>
      </c>
      <c r="U56" s="31"/>
      <c r="V56" s="31"/>
      <c r="W56" s="31"/>
      <c r="X56" s="34">
        <v>2.56</v>
      </c>
      <c r="Y56" s="31"/>
      <c r="Z56" s="31"/>
      <c r="AA56" s="31"/>
      <c r="AB56" s="31"/>
    </row>
    <row r="57" ht="15.0" customHeight="1">
      <c r="A57" s="30" t="s">
        <v>400</v>
      </c>
      <c r="B57" s="34">
        <v>5.48</v>
      </c>
      <c r="C57" s="34">
        <v>5.91</v>
      </c>
      <c r="D57" s="34">
        <v>6.6</v>
      </c>
      <c r="E57" s="34">
        <v>8.02</v>
      </c>
      <c r="F57" s="34">
        <v>9.74</v>
      </c>
      <c r="G57" s="34">
        <v>12.42</v>
      </c>
      <c r="H57" s="34">
        <v>11.32</v>
      </c>
      <c r="I57" s="34">
        <v>11.75</v>
      </c>
      <c r="J57" s="34">
        <v>10.39</v>
      </c>
      <c r="K57" s="34">
        <v>10.07</v>
      </c>
      <c r="L57" s="34">
        <v>9.41</v>
      </c>
      <c r="M57" s="34">
        <v>9.46</v>
      </c>
      <c r="N57" s="34">
        <v>7.81</v>
      </c>
      <c r="O57" s="34">
        <v>8.24</v>
      </c>
      <c r="P57" s="34">
        <v>7.08</v>
      </c>
      <c r="Q57" s="34">
        <v>6.22</v>
      </c>
      <c r="R57" s="34">
        <v>4.78</v>
      </c>
      <c r="S57" s="34">
        <v>4.24</v>
      </c>
      <c r="T57" s="34">
        <v>3.19</v>
      </c>
      <c r="U57" s="34">
        <v>2.06</v>
      </c>
      <c r="V57" s="34">
        <v>2.01</v>
      </c>
      <c r="W57" s="34">
        <v>2.05</v>
      </c>
      <c r="X57" s="34">
        <v>1.98</v>
      </c>
      <c r="Y57" s="31"/>
      <c r="Z57" s="31"/>
      <c r="AA57" s="31"/>
      <c r="AB57" s="31"/>
    </row>
    <row r="58" ht="15.0" customHeight="1">
      <c r="A58" s="28" t="s">
        <v>401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402</v>
      </c>
      <c r="B59" s="33">
        <v>-8.24</v>
      </c>
      <c r="C59" s="33">
        <v>-12.42</v>
      </c>
      <c r="D59" s="34">
        <v>0.25</v>
      </c>
      <c r="E59" s="33">
        <v>-15.33</v>
      </c>
      <c r="F59" s="33">
        <v>-7.82</v>
      </c>
      <c r="G59" s="33">
        <v>-3.06</v>
      </c>
      <c r="H59" s="34">
        <v>1.35</v>
      </c>
      <c r="I59" s="34">
        <v>2.39</v>
      </c>
      <c r="J59" s="34">
        <v>2.05</v>
      </c>
      <c r="K59" s="33">
        <v>-4.93</v>
      </c>
      <c r="L59" s="34">
        <v>0.14</v>
      </c>
      <c r="M59" s="33">
        <v>-0.85</v>
      </c>
      <c r="N59" s="34">
        <v>0.03</v>
      </c>
      <c r="O59" s="34">
        <v>0.58</v>
      </c>
      <c r="P59" s="34">
        <v>1.1</v>
      </c>
      <c r="Q59" s="37">
        <v>-162.61</v>
      </c>
      <c r="R59" s="34">
        <v>0.18</v>
      </c>
      <c r="S59" s="34">
        <v>0.04</v>
      </c>
      <c r="T59" s="34">
        <v>2.17</v>
      </c>
      <c r="U59" s="31"/>
      <c r="V59" s="31"/>
      <c r="W59" s="31"/>
      <c r="X59" s="34">
        <v>0.01</v>
      </c>
      <c r="Y59" s="31"/>
      <c r="Z59" s="31"/>
      <c r="AA59" s="31"/>
      <c r="AB59" s="31"/>
    </row>
    <row r="60" ht="15.0" customHeight="1">
      <c r="A60" s="30" t="s">
        <v>403</v>
      </c>
      <c r="B60" s="34">
        <v>3.45</v>
      </c>
      <c r="C60" s="34">
        <v>4.55</v>
      </c>
      <c r="D60" s="34">
        <v>2.96</v>
      </c>
      <c r="E60" s="34">
        <v>36.55</v>
      </c>
      <c r="F60" s="34">
        <v>7.41</v>
      </c>
      <c r="G60" s="34">
        <v>6.68</v>
      </c>
      <c r="H60" s="34">
        <v>1.01</v>
      </c>
      <c r="I60" s="33">
        <v>-2.94</v>
      </c>
      <c r="J60" s="34">
        <v>1.52</v>
      </c>
      <c r="K60" s="34">
        <v>0.98</v>
      </c>
      <c r="L60" s="34">
        <v>0.67</v>
      </c>
      <c r="M60" s="34">
        <v>2.1</v>
      </c>
      <c r="N60" s="34">
        <v>0.23</v>
      </c>
      <c r="O60" s="34">
        <v>0.33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0" customHeight="1">
      <c r="A61" s="28" t="s">
        <v>404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405</v>
      </c>
      <c r="B62" s="34">
        <v>7.1</v>
      </c>
      <c r="C62" s="34">
        <v>6.7</v>
      </c>
      <c r="D62" s="34">
        <v>6.31</v>
      </c>
      <c r="E62" s="34">
        <v>11.04</v>
      </c>
      <c r="F62" s="34">
        <v>12.17</v>
      </c>
      <c r="G62" s="34">
        <v>9.0</v>
      </c>
      <c r="H62" s="34">
        <v>6.78</v>
      </c>
      <c r="I62" s="34">
        <v>8.37</v>
      </c>
      <c r="J62" s="34">
        <v>8.94</v>
      </c>
      <c r="K62" s="34">
        <v>8.93</v>
      </c>
      <c r="L62" s="34">
        <v>5.55</v>
      </c>
      <c r="M62" s="34">
        <v>12.04</v>
      </c>
      <c r="N62" s="34">
        <v>3.74</v>
      </c>
      <c r="O62" s="34">
        <v>7.7</v>
      </c>
      <c r="P62" s="34">
        <v>5.85</v>
      </c>
      <c r="Q62" s="34">
        <v>5.74</v>
      </c>
      <c r="R62" s="34">
        <v>3.22</v>
      </c>
      <c r="S62" s="34">
        <v>3.73</v>
      </c>
      <c r="T62" s="34">
        <v>6.94</v>
      </c>
      <c r="U62" s="34">
        <v>4.38</v>
      </c>
      <c r="V62" s="34">
        <v>3.79</v>
      </c>
      <c r="W62" s="34">
        <v>3.67</v>
      </c>
      <c r="X62" s="33">
        <v>-0.42</v>
      </c>
      <c r="Y62" s="34">
        <v>2.98</v>
      </c>
      <c r="Z62" s="34">
        <v>2.8</v>
      </c>
      <c r="AA62" s="34">
        <v>2.86</v>
      </c>
      <c r="AB62" s="34">
        <v>3.44</v>
      </c>
    </row>
    <row r="63" ht="15.0" customHeight="1">
      <c r="A63" s="30" t="s">
        <v>406</v>
      </c>
      <c r="B63" s="34">
        <v>8.12</v>
      </c>
      <c r="C63" s="34">
        <v>8.58</v>
      </c>
      <c r="D63" s="34">
        <v>8.84</v>
      </c>
      <c r="E63" s="34">
        <v>9.53</v>
      </c>
      <c r="F63" s="34">
        <v>9.09</v>
      </c>
      <c r="G63" s="34">
        <v>8.33</v>
      </c>
      <c r="H63" s="34">
        <v>7.68</v>
      </c>
      <c r="I63" s="34">
        <v>8.52</v>
      </c>
      <c r="J63" s="34">
        <v>7.31</v>
      </c>
      <c r="K63" s="34">
        <v>6.97</v>
      </c>
      <c r="L63" s="34">
        <v>6.37</v>
      </c>
      <c r="M63" s="34">
        <v>6.52</v>
      </c>
      <c r="N63" s="34">
        <v>5.09</v>
      </c>
      <c r="O63" s="34">
        <v>5.8</v>
      </c>
      <c r="P63" s="34">
        <v>5.16</v>
      </c>
      <c r="Q63" s="34">
        <v>4.81</v>
      </c>
      <c r="R63" s="34">
        <v>4.29</v>
      </c>
      <c r="S63" s="34">
        <v>4.7</v>
      </c>
      <c r="T63" s="34">
        <v>4.25</v>
      </c>
      <c r="U63" s="34">
        <v>2.95</v>
      </c>
      <c r="V63" s="34">
        <v>2.58</v>
      </c>
      <c r="W63" s="34">
        <v>2.47</v>
      </c>
      <c r="X63" s="34">
        <v>2.43</v>
      </c>
      <c r="Y63" s="31"/>
      <c r="Z63" s="31"/>
      <c r="AA63" s="31"/>
      <c r="AB63" s="31"/>
    </row>
    <row r="64" ht="15.0" customHeight="1">
      <c r="A64" s="28" t="s">
        <v>407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408</v>
      </c>
      <c r="B65" s="34">
        <v>20.66</v>
      </c>
      <c r="C65" s="34">
        <v>18.38</v>
      </c>
      <c r="D65" s="34">
        <v>19.15</v>
      </c>
      <c r="E65" s="34">
        <v>30.24</v>
      </c>
      <c r="F65" s="34">
        <v>36.56</v>
      </c>
      <c r="G65" s="34">
        <v>26.79</v>
      </c>
      <c r="H65" s="34">
        <v>18.07</v>
      </c>
      <c r="I65" s="34">
        <v>21.33</v>
      </c>
      <c r="J65" s="34">
        <v>23.65</v>
      </c>
      <c r="K65" s="34">
        <v>24.15</v>
      </c>
      <c r="L65" s="34">
        <v>13.7</v>
      </c>
      <c r="M65" s="34">
        <v>44.5</v>
      </c>
      <c r="N65" s="34">
        <v>5.58</v>
      </c>
      <c r="O65" s="34">
        <v>22.33</v>
      </c>
      <c r="P65" s="34">
        <v>23.86</v>
      </c>
      <c r="Q65" s="34">
        <v>20.62</v>
      </c>
      <c r="R65" s="34">
        <v>15.34</v>
      </c>
      <c r="S65" s="34">
        <v>28.5</v>
      </c>
      <c r="T65" s="34">
        <v>91.72</v>
      </c>
      <c r="U65" s="31"/>
      <c r="V65" s="31"/>
      <c r="W65" s="34">
        <v>10.32</v>
      </c>
      <c r="X65" s="33">
        <v>-1.74</v>
      </c>
      <c r="Y65" s="34">
        <v>4.66</v>
      </c>
      <c r="Z65" s="34">
        <v>3.05</v>
      </c>
      <c r="AA65" s="34">
        <v>3.13</v>
      </c>
      <c r="AB65" s="31"/>
    </row>
    <row r="66" ht="15.0" customHeight="1">
      <c r="A66" s="30" t="s">
        <v>409</v>
      </c>
      <c r="B66" s="34">
        <v>23.39</v>
      </c>
      <c r="C66" s="34">
        <v>24.74</v>
      </c>
      <c r="D66" s="34">
        <v>25.54</v>
      </c>
      <c r="E66" s="34">
        <v>26.54</v>
      </c>
      <c r="F66" s="34">
        <v>25.2</v>
      </c>
      <c r="G66" s="34">
        <v>22.6</v>
      </c>
      <c r="H66" s="34">
        <v>20.03</v>
      </c>
      <c r="I66" s="34">
        <v>22.95</v>
      </c>
      <c r="J66" s="34">
        <v>16.44</v>
      </c>
      <c r="K66" s="34">
        <v>15.62</v>
      </c>
      <c r="L66" s="34">
        <v>14.43</v>
      </c>
      <c r="M66" s="34">
        <v>15.1</v>
      </c>
      <c r="N66" s="34">
        <v>11.45</v>
      </c>
      <c r="O66" s="34">
        <v>21.82</v>
      </c>
      <c r="P66" s="34">
        <v>24.27</v>
      </c>
      <c r="Q66" s="34">
        <v>30.3</v>
      </c>
      <c r="R66" s="32">
        <v>118.57</v>
      </c>
      <c r="S66" s="31"/>
      <c r="T66" s="31"/>
      <c r="U66" s="34">
        <v>31.21</v>
      </c>
      <c r="V66" s="34">
        <v>5.78</v>
      </c>
      <c r="W66" s="34">
        <v>3.56</v>
      </c>
      <c r="X66" s="34">
        <v>3.87</v>
      </c>
      <c r="Y66" s="31"/>
      <c r="Z66" s="31"/>
      <c r="AA66" s="31"/>
      <c r="AB66" s="31"/>
    </row>
    <row r="67" ht="15.0" customHeight="1">
      <c r="A67" s="28" t="s">
        <v>410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411</v>
      </c>
      <c r="B68" s="34">
        <v>27.07</v>
      </c>
      <c r="C68" s="34">
        <v>20.39</v>
      </c>
      <c r="D68" s="34">
        <v>21.83</v>
      </c>
      <c r="E68" s="34">
        <v>39.08</v>
      </c>
      <c r="F68" s="34">
        <v>41.08</v>
      </c>
      <c r="G68" s="34">
        <v>46.76</v>
      </c>
      <c r="H68" s="34">
        <v>27.47</v>
      </c>
      <c r="I68" s="34">
        <v>23.12</v>
      </c>
      <c r="J68" s="34">
        <v>32.31</v>
      </c>
      <c r="K68" s="34">
        <v>36.71</v>
      </c>
      <c r="L68" s="34">
        <v>21.49</v>
      </c>
      <c r="M68" s="34">
        <v>48.47</v>
      </c>
      <c r="N68" s="34">
        <v>7.2</v>
      </c>
      <c r="O68" s="34">
        <v>33.31</v>
      </c>
      <c r="P68" s="34">
        <v>20.04</v>
      </c>
      <c r="Q68" s="34">
        <v>21.93</v>
      </c>
      <c r="R68" s="34">
        <v>24.31</v>
      </c>
      <c r="S68" s="34">
        <v>78.22</v>
      </c>
      <c r="T68" s="31"/>
      <c r="U68" s="31"/>
      <c r="V68" s="31"/>
      <c r="W68" s="31"/>
      <c r="X68" s="31"/>
      <c r="Y68" s="31"/>
      <c r="Z68" s="31"/>
      <c r="AA68" s="31"/>
      <c r="AB68" s="31"/>
    </row>
    <row r="69" ht="15.0" customHeight="1">
      <c r="A69" s="30" t="s">
        <v>412</v>
      </c>
      <c r="B69" s="34">
        <v>27.87</v>
      </c>
      <c r="C69" s="34">
        <v>30.18</v>
      </c>
      <c r="D69" s="34">
        <v>33.54</v>
      </c>
      <c r="E69" s="34">
        <v>34.96</v>
      </c>
      <c r="F69" s="34">
        <v>33.55</v>
      </c>
      <c r="G69" s="34">
        <v>31.97</v>
      </c>
      <c r="H69" s="34">
        <v>27.58</v>
      </c>
      <c r="I69" s="34">
        <v>29.99</v>
      </c>
      <c r="J69" s="34">
        <v>22.37</v>
      </c>
      <c r="K69" s="34">
        <v>21.45</v>
      </c>
      <c r="L69" s="34">
        <v>18.67</v>
      </c>
      <c r="M69" s="34">
        <v>18.38</v>
      </c>
      <c r="N69" s="34">
        <v>14.29</v>
      </c>
      <c r="O69" s="34">
        <v>26.62</v>
      </c>
      <c r="P69" s="34">
        <v>27.57</v>
      </c>
      <c r="Q69" s="34">
        <v>43.38</v>
      </c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5.0" customHeight="1">
      <c r="A70" s="28" t="s">
        <v>413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414</v>
      </c>
      <c r="B71" s="34">
        <v>28.14</v>
      </c>
      <c r="C71" s="34">
        <v>23.01</v>
      </c>
      <c r="D71" s="34">
        <v>23.13</v>
      </c>
      <c r="E71" s="34">
        <v>40.23</v>
      </c>
      <c r="F71" s="34">
        <v>44.29</v>
      </c>
      <c r="G71" s="34">
        <v>63.53</v>
      </c>
      <c r="H71" s="34">
        <v>29.64</v>
      </c>
      <c r="I71" s="34">
        <v>26.26</v>
      </c>
      <c r="J71" s="34">
        <v>33.59</v>
      </c>
      <c r="K71" s="34">
        <v>48.16</v>
      </c>
      <c r="L71" s="34">
        <v>26.76</v>
      </c>
      <c r="M71" s="34">
        <v>61.51</v>
      </c>
      <c r="N71" s="34">
        <v>7.89</v>
      </c>
      <c r="O71" s="34">
        <v>42.83</v>
      </c>
      <c r="P71" s="34">
        <v>20.22</v>
      </c>
      <c r="Q71" s="34">
        <v>23.19</v>
      </c>
      <c r="R71" s="34">
        <v>27.74</v>
      </c>
      <c r="S71" s="32">
        <v>129.09</v>
      </c>
      <c r="T71" s="31"/>
      <c r="U71" s="31"/>
      <c r="V71" s="31"/>
      <c r="W71" s="31"/>
      <c r="X71" s="31"/>
      <c r="Y71" s="31"/>
      <c r="Z71" s="31"/>
      <c r="AA71" s="31"/>
      <c r="AB71" s="31"/>
    </row>
    <row r="72" ht="15.0" customHeight="1">
      <c r="A72" s="30" t="s">
        <v>415</v>
      </c>
      <c r="B72" s="34">
        <v>29.84</v>
      </c>
      <c r="C72" s="34">
        <v>33.38</v>
      </c>
      <c r="D72" s="34">
        <v>36.66</v>
      </c>
      <c r="E72" s="34">
        <v>38.93</v>
      </c>
      <c r="F72" s="34">
        <v>37.66</v>
      </c>
      <c r="G72" s="34">
        <v>37.07</v>
      </c>
      <c r="H72" s="34">
        <v>31.46</v>
      </c>
      <c r="I72" s="34">
        <v>35.14</v>
      </c>
      <c r="J72" s="34">
        <v>25.7</v>
      </c>
      <c r="K72" s="34">
        <v>25.45</v>
      </c>
      <c r="L72" s="34">
        <v>21.42</v>
      </c>
      <c r="M72" s="34">
        <v>20.6</v>
      </c>
      <c r="N72" s="34">
        <v>15.77</v>
      </c>
      <c r="O72" s="34">
        <v>29.91</v>
      </c>
      <c r="P72" s="34">
        <v>29.38</v>
      </c>
      <c r="Q72" s="34">
        <v>51.08</v>
      </c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2026-03-11T09:42:39Z</dcterms:created>
</cp:coreProperties>
</file>