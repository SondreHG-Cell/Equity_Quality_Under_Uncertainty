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fQdwRKTijVAbv2sxiXazgLHtnsZDzHXQopQfIYVy+S0="/>
    </ext>
  </extLst>
</workbook>
</file>

<file path=xl/sharedStrings.xml><?xml version="1.0" encoding="utf-8"?>
<sst xmlns="http://schemas.openxmlformats.org/spreadsheetml/2006/main" count="821" uniqueCount="415">
  <si>
    <t>Company Fundamentals - Income Statement</t>
  </si>
  <si>
    <t>Company Name</t>
  </si>
  <si>
    <t>Rottneros AB (RROS.ST)</t>
  </si>
  <si>
    <t>Country of Exchange</t>
  </si>
  <si>
    <t>Sweden</t>
  </si>
  <si>
    <t>Country of Headquarters</t>
  </si>
  <si>
    <t>TRBC Industry Group</t>
  </si>
  <si>
    <t>Paper &amp; Forest Products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</si>
  <si>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</si>
  <si>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</si>
  <si>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</si>
  <si>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</si>
  <si>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</si>
  <si>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</si>
  <si>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</si>
  <si>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</si>
  <si>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</si>
  <si>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</si>
  <si>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</si>
  <si>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</si>
  <si>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</si>
  <si>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</si>
  <si>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</si>
  <si>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</si>
  <si>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</si>
  <si>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</si>
  <si>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</si>
  <si>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</si>
  <si>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</si>
  <si>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</si>
  <si>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</si>
  <si>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</si>
  <si>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</si>
  <si>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</si>
  <si>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</si>
  <si>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</si>
  <si>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</si>
  <si>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</si>
  <si>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</si>
  <si>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</si>
  <si>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Period End Date</t>
  </si>
  <si>
    <t>Statement Date</t>
  </si>
  <si>
    <t>Standardized Currency</t>
  </si>
  <si>
    <t>SEK</t>
  </si>
  <si>
    <t>Template Type</t>
  </si>
  <si>
    <t>Industrial - Operating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</si>
  <si>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</si>
  <si>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</si>
  <si>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</si>
  <si>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</si>
  <si>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</si>
  <si>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</si>
  <si>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</si>
  <si>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</si>
  <si>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</si>
  <si>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</si>
  <si>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</si>
  <si>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</si>
  <si>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</si>
  <si>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</si>
  <si>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</si>
  <si>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</si>
  <si>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</si>
  <si>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</si>
  <si>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</si>
  <si>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</si>
  <si>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</si>
  <si>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</si>
  <si>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</si>
  <si>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</si>
  <si>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</si>
  <si>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NET TURNOVER</t>
  </si>
  <si>
    <t>Change in finished goods inentories</t>
  </si>
  <si>
    <t>Other operating income</t>
  </si>
  <si>
    <t>Currency forwards  fair value hedging</t>
  </si>
  <si>
    <t>Pulp price forwards - cash flow hedging</t>
  </si>
  <si>
    <t>Other income - Other</t>
  </si>
  <si>
    <t>Profit on sale of fixed assets</t>
  </si>
  <si>
    <t>Currency return</t>
  </si>
  <si>
    <t>Futures  pulp</t>
  </si>
  <si>
    <t>Sale/Financial</t>
  </si>
  <si>
    <t>Other Operating Income - Total (Non-revenue)</t>
  </si>
  <si>
    <t>Raw materials and consumables</t>
  </si>
  <si>
    <t>Other external costs</t>
  </si>
  <si>
    <t>Other External Expenses - Balancing value</t>
  </si>
  <si>
    <t>Rental Expense</t>
  </si>
  <si>
    <t>Employee benefit xpenses</t>
  </si>
  <si>
    <t>Depreciation/amortisation and impairment losses</t>
  </si>
  <si>
    <t>Depreciation</t>
  </si>
  <si>
    <t>Impairment - Intangibles excluding Goodwill</t>
  </si>
  <si>
    <t>Impairment of Fixed Assets</t>
  </si>
  <si>
    <t>Depreciation and write-down - Balancing value</t>
  </si>
  <si>
    <t>Amortization of Intangibles excluding Goodwill</t>
  </si>
  <si>
    <t>Depreciation/amortisation and impairment - Balancing value</t>
  </si>
  <si>
    <t>Other operating expenses</t>
  </si>
  <si>
    <t>Other Operating Income/Expense</t>
  </si>
  <si>
    <t>Total operating expenses</t>
  </si>
  <si>
    <t>Balancing Item - Income from Operations, net</t>
  </si>
  <si>
    <t>EBIT (operating profi/loss)</t>
  </si>
  <si>
    <t>Financial income</t>
  </si>
  <si>
    <t>Dividends from external companies</t>
  </si>
  <si>
    <t>Loss/gain from electricity price hedging contracts</t>
  </si>
  <si>
    <t>Interest income</t>
  </si>
  <si>
    <t>Foreign Exchange Gain/Loss</t>
  </si>
  <si>
    <t>Financial revenue - Balancing value</t>
  </si>
  <si>
    <t>Amortization of Loans</t>
  </si>
  <si>
    <t>Financial Expenses</t>
  </si>
  <si>
    <t>Net financial items</t>
  </si>
  <si>
    <t>Financial expenses</t>
  </si>
  <si>
    <t>Exchange rate differences</t>
  </si>
  <si>
    <t>Interest Costs</t>
  </si>
  <si>
    <t>Unrealized Adjustments on Derivatives for Hedging</t>
  </si>
  <si>
    <t>Impairment - Financial Investments</t>
  </si>
  <si>
    <t>Net Financial Income/Expense - Other</t>
  </si>
  <si>
    <t>Financial expenses - Balancing value</t>
  </si>
  <si>
    <t>Balancing Item - Non Operating Income/(Expense), net</t>
  </si>
  <si>
    <t>Total financial item</t>
  </si>
  <si>
    <t>PROFIT/LOSS AFTER FINANCIAL ITEMS</t>
  </si>
  <si>
    <t>Tax on income for the period</t>
  </si>
  <si>
    <t>Current tax</t>
  </si>
  <si>
    <t>Reported Deferred Tax - Total</t>
  </si>
  <si>
    <t>Tax on income for the period - Balancing value</t>
  </si>
  <si>
    <t>Tax from Discontinued Operations</t>
  </si>
  <si>
    <t>Income Taxes - Total</t>
  </si>
  <si>
    <t>Net Income After Taxes</t>
  </si>
  <si>
    <t>Net Income Before Extra. Items</t>
  </si>
  <si>
    <t>Net result</t>
  </si>
  <si>
    <t>Income Available to Com Excl ExtraOrd</t>
  </si>
  <si>
    <t>NET INCOME</t>
  </si>
  <si>
    <t>Changes in value of cash flw hedges</t>
  </si>
  <si>
    <t>Converted Cash Flow</t>
  </si>
  <si>
    <t>Changes In The Value Of Cash Flow Hedges</t>
  </si>
  <si>
    <t>Income tax effect on changes in value</t>
  </si>
  <si>
    <t>Translation differences</t>
  </si>
  <si>
    <t>TOTAL OTHER COMPREHENSIVE INCOME</t>
  </si>
  <si>
    <t>Total comprehensive income</t>
  </si>
  <si>
    <t>Average number of shares outstanding (thousands)</t>
  </si>
  <si>
    <t>Average number of shares outstanding after dilution (thousands)</t>
  </si>
  <si>
    <t>EARNINGS PER SHARE (SEK)</t>
  </si>
  <si>
    <t>Basic EPS Excluding ExtraOrdinary Items</t>
  </si>
  <si>
    <t>Diluted Net Income</t>
  </si>
  <si>
    <t>Diluted EPS Excluding ExtraOrd Items</t>
  </si>
  <si>
    <t>Diluted Net Income excluding Extra Items applicable to Common - (Company Level)</t>
  </si>
  <si>
    <t>Other operating expenses EBITDA (Operating profi/loss before depreciation/amortisa-)</t>
  </si>
  <si>
    <t>Leasing Expense</t>
  </si>
  <si>
    <t>Amortisation of Intangibles</t>
  </si>
  <si>
    <t>Amortization of Intangible Assets excluding Goodwill - Total</t>
  </si>
  <si>
    <t>Total Depreciation of Fixed Assets</t>
  </si>
  <si>
    <t>Total Depreciation &amp; Amortization (Combined)</t>
  </si>
  <si>
    <t>Tax Fees</t>
  </si>
  <si>
    <t>Auditor Fees - Total</t>
  </si>
  <si>
    <t>Audit Fees</t>
  </si>
  <si>
    <t>Audit-related Fees</t>
  </si>
  <si>
    <t>Other Fees</t>
  </si>
  <si>
    <t>Impairment reversed</t>
  </si>
  <si>
    <t>Basic Weighted Average Shares used to Calculate EPS - (Instrument Level)</t>
  </si>
  <si>
    <t>Diluted Weighted Average Shares used to Calculate EPS - (Instrument Level)</t>
  </si>
  <si>
    <t>Basic EPS - Net Inc incl Extra Items appl to Common - (Instrument Level)</t>
  </si>
  <si>
    <t>Diluted EPS - Net Inc incl Extra Items appl to Common - (Instrument Level)</t>
  </si>
  <si>
    <t>Diluted EPS - Net Income excl Extra Items applicable to Common - (Instrument Level)</t>
  </si>
  <si>
    <t>Diluted Net Income excluding Extra Items applicable to Common - (Instrument Level)</t>
  </si>
  <si>
    <t>Allocated Diluted Net Income incl Extra Items applicable to Common - (Instrument Level)</t>
  </si>
  <si>
    <t>Basic EPS - Net Income excl Extra Items applicable to Common - (Instrument Level)</t>
  </si>
  <si>
    <t>Net Income excluding Extra Items applicable to Common - (Instrument Level)</t>
  </si>
  <si>
    <t>Allocated Net Income incl Extra Items applicable to Common - (Instrument Level)</t>
  </si>
  <si>
    <t>Diluted Earnings Allocation Factor - (Instrument Level)</t>
  </si>
  <si>
    <t>Earnings Allocation Factor - (Instrument Level)</t>
  </si>
  <si>
    <t>Company Fundamentals - Balance Sheet</t>
  </si>
  <si>
    <t>Industrial - Differentiated</t>
  </si>
  <si>
    <t>Balance Sheet - Company Specific (Currency: Norwegian Krone)</t>
  </si>
  <si>
    <t>Inventories</t>
  </si>
  <si>
    <t>Raw materials and consumable</t>
  </si>
  <si>
    <t>Pulp, valued at production cos</t>
  </si>
  <si>
    <t>Pulp, valued at net realisable value</t>
  </si>
  <si>
    <t>Pulp in Product.</t>
  </si>
  <si>
    <t>Felling Rights</t>
  </si>
  <si>
    <t>Current receivables</t>
  </si>
  <si>
    <t>Trade Receivables, Gross</t>
  </si>
  <si>
    <t>Provisions for Doubtful Accounts</t>
  </si>
  <si>
    <t>Other receivables</t>
  </si>
  <si>
    <t>Other Receivable</t>
  </si>
  <si>
    <t>Prepaid/Accrued</t>
  </si>
  <si>
    <t>Prepaid/Accrued - Balancing value</t>
  </si>
  <si>
    <t>Prepaid expenses</t>
  </si>
  <si>
    <t>Accrued Income</t>
  </si>
  <si>
    <t>Other Current Receivables - Adjustment</t>
  </si>
  <si>
    <t>Current tax assets</t>
  </si>
  <si>
    <t>Cash and cash equivalents</t>
  </si>
  <si>
    <t>Derivative instruments</t>
  </si>
  <si>
    <t>Balancing Item - Current Assets</t>
  </si>
  <si>
    <t>Total current assets</t>
  </si>
  <si>
    <t>Total Property/Plant/Equipment, Gross</t>
  </si>
  <si>
    <t>Depreciation of Property/Plant/Equipment.</t>
  </si>
  <si>
    <t>Property,plant and equipment</t>
  </si>
  <si>
    <t>Land-NBV</t>
  </si>
  <si>
    <t>Land-acc depreciation</t>
  </si>
  <si>
    <t>Land, Gross</t>
  </si>
  <si>
    <t>Land-NBV - Balancing value</t>
  </si>
  <si>
    <t>Acc Depr Land Improvements</t>
  </si>
  <si>
    <t>Land Improvements, Gross</t>
  </si>
  <si>
    <t>Buildings-NBV</t>
  </si>
  <si>
    <t>Buildings - acc depn</t>
  </si>
  <si>
    <t>Buildings gross</t>
  </si>
  <si>
    <t>Machinery-NBV</t>
  </si>
  <si>
    <t>Machinery - acc depn</t>
  </si>
  <si>
    <t>Machinery/Other Gross</t>
  </si>
  <si>
    <t>Machinery-NBV - Balancing value</t>
  </si>
  <si>
    <t>Acc Depr/Imp Plant/Machinery/Equipment</t>
  </si>
  <si>
    <t>Acc Imp Equipment</t>
  </si>
  <si>
    <t>Acc Depr Equipment</t>
  </si>
  <si>
    <t>Equipment/Installation Gross</t>
  </si>
  <si>
    <t>Construction in progress, Net - Balancing value</t>
  </si>
  <si>
    <t>Equipment/Installation Gross - Balancing value</t>
  </si>
  <si>
    <t>Construction in progress, Net</t>
  </si>
  <si>
    <t>Accumulated Depreciation on Constr in progress</t>
  </si>
  <si>
    <t>Construction in progress, gross</t>
  </si>
  <si>
    <t>Property, plant and equipment - Balancing value</t>
  </si>
  <si>
    <t>Misc intang FA, net</t>
  </si>
  <si>
    <t>Intangible assets</t>
  </si>
  <si>
    <t>Computer Software, net</t>
  </si>
  <si>
    <t>Computer Software, amort</t>
  </si>
  <si>
    <t>Computer Software, gross</t>
  </si>
  <si>
    <t>Computer Software, net - Balancing value</t>
  </si>
  <si>
    <t>Licences, net</t>
  </si>
  <si>
    <t>Licences, amortn</t>
  </si>
  <si>
    <t>Licences, gross</t>
  </si>
  <si>
    <t>Assets under development, Net</t>
  </si>
  <si>
    <t>Acc Amort Assets under development</t>
  </si>
  <si>
    <t>Goodwill - Gross</t>
  </si>
  <si>
    <t>Total Intangible Assets excluding Goodwill, Gross</t>
  </si>
  <si>
    <t>Acc Amort Total Intangibles excluding Goodwill</t>
  </si>
  <si>
    <t>Intangible non-current assets</t>
  </si>
  <si>
    <t>Misc intang FA, gross</t>
  </si>
  <si>
    <t>Deferred tax assets</t>
  </si>
  <si>
    <t>Financial assets</t>
  </si>
  <si>
    <t>Other long-term receivables</t>
  </si>
  <si>
    <t>Non-current Assets Held for Sale</t>
  </si>
  <si>
    <t>Investments in Associates, Joint Ventures and Unconsolidated Subsidiaries</t>
  </si>
  <si>
    <t>Property and plant -Capital lease</t>
  </si>
  <si>
    <t>Depreciation of Property and plant -Capital lease</t>
  </si>
  <si>
    <t>Balancing Item - Noncurrent Assets</t>
  </si>
  <si>
    <t>TOTAL NON-CURRENT ASSETS</t>
  </si>
  <si>
    <t>Balancing Item - Assets</t>
  </si>
  <si>
    <t>Total assets</t>
  </si>
  <si>
    <t>Interest-bearing liabilities</t>
  </si>
  <si>
    <t>Overdraft</t>
  </si>
  <si>
    <t>Leases</t>
  </si>
  <si>
    <t>Trade payables</t>
  </si>
  <si>
    <t>Non-interest-bearing liabilities</t>
  </si>
  <si>
    <t>Accrued Expense &amp; Deferred Income</t>
  </si>
  <si>
    <t>Accrued Payroll</t>
  </si>
  <si>
    <t>Accrued Expense &amp; Deferred Income - Balancing value</t>
  </si>
  <si>
    <t>Other deferred income</t>
  </si>
  <si>
    <t>Other non-interest-bearing liabilities - Balancing value</t>
  </si>
  <si>
    <t>Other current Liabilities</t>
  </si>
  <si>
    <t>Current tax payable</t>
  </si>
  <si>
    <t>Bills Payable</t>
  </si>
  <si>
    <t>Other provisions</t>
  </si>
  <si>
    <t>Derivative Instruments</t>
  </si>
  <si>
    <t>Short term finance leases</t>
  </si>
  <si>
    <t>Tax Liabilities</t>
  </si>
  <si>
    <t>Balancing Item - Current Liabilities</t>
  </si>
  <si>
    <t>Total current liabilities</t>
  </si>
  <si>
    <t>Interest-bearing liabilities (Do not use)</t>
  </si>
  <si>
    <t>Interest-bearing liabilities excluding finance leases</t>
  </si>
  <si>
    <t>Bank Loan</t>
  </si>
  <si>
    <t>Other non-interest-bearing liabilities</t>
  </si>
  <si>
    <t>Deferred tax liabilities</t>
  </si>
  <si>
    <t>Deferred tax liability</t>
  </si>
  <si>
    <t>Discontinued Operations</t>
  </si>
  <si>
    <t>Other Liabilities</t>
  </si>
  <si>
    <t>Balancing Item - Noncurrent Liabilities</t>
  </si>
  <si>
    <t>TOTAL LONG-TERM LIABILITIES</t>
  </si>
  <si>
    <t>Balancing Item - Liabilities</t>
  </si>
  <si>
    <t>Total Debt &amp; Liabilities (LT &amp; Current)</t>
  </si>
  <si>
    <t>Other reserves</t>
  </si>
  <si>
    <t>Other reserves - Balancing value</t>
  </si>
  <si>
    <t>Shareholders equity</t>
  </si>
  <si>
    <t>Share capital</t>
  </si>
  <si>
    <t>Other injected capital</t>
  </si>
  <si>
    <t>Treasury shares</t>
  </si>
  <si>
    <t>Hedging Reserves</t>
  </si>
  <si>
    <t>Retained earnings, incl net income for the period</t>
  </si>
  <si>
    <t>Net Profit/Loss</t>
  </si>
  <si>
    <t>Total Equity</t>
  </si>
  <si>
    <t>Rep Total Equity &amp; Minority Interest</t>
  </si>
  <si>
    <t>Balancing Item - Total Liability and Equity</t>
  </si>
  <si>
    <t>TOTAL SHAREHOLDERS EQUITY AND LIABILITIES</t>
  </si>
  <si>
    <t>Total Equivalent No of Common Shares O/S</t>
  </si>
  <si>
    <t>Reported Issued Shares- Common Iss. Pri.</t>
  </si>
  <si>
    <t>Common Shares Treasury - (Company Level)</t>
  </si>
  <si>
    <t>Cap leases-NBV</t>
  </si>
  <si>
    <t>Debt - Long-Term - Maturities - within 1 Year</t>
  </si>
  <si>
    <t>Debt - Long-Term - Maturities - Year 5</t>
  </si>
  <si>
    <t>Debt - Long-Term - Maturities - Remaining</t>
  </si>
  <si>
    <t>Debt - Long-Term - Maturities - Total</t>
  </si>
  <si>
    <t>Reported Total Capital Leases, Sup</t>
  </si>
  <si>
    <t>Capital Leases Maturing within 1 Year</t>
  </si>
  <si>
    <t>Capital Leases Maturing within 5 Year</t>
  </si>
  <si>
    <t>Capital Leases Maturing Later</t>
  </si>
  <si>
    <t>Revolving Line of Credit - Unutilized/Unused Amount</t>
  </si>
  <si>
    <t>S/O-Ordinary Shares</t>
  </si>
  <si>
    <t>Asset Allocation Factor - (Instrument Level)</t>
  </si>
  <si>
    <t>Common Shares - Treasury - Issue Specific</t>
  </si>
  <si>
    <t>Common Shares Issued - (Instrument Level)</t>
  </si>
  <si>
    <t>Company Fundamentals - Cash Flow</t>
  </si>
  <si>
    <t>Industrial - Indirect</t>
  </si>
  <si>
    <t>Cash Flow - Company Specific (Currency: Norwegian Krone)</t>
  </si>
  <si>
    <t>Depreciation and amortization impairment</t>
  </si>
  <si>
    <t>Adjustment for items not included in cash flw</t>
  </si>
  <si>
    <t>Disposal of Fixed Assets</t>
  </si>
  <si>
    <t>Write-downs of Receivables</t>
  </si>
  <si>
    <t>Interest Received/(Paid) - Cash Flow</t>
  </si>
  <si>
    <t>Adjustment for items not included in cash flow</t>
  </si>
  <si>
    <t>Received/paid taxes</t>
  </si>
  <si>
    <t>Cash flw from operating activities before changes in working capital</t>
  </si>
  <si>
    <t>Change in working capital</t>
  </si>
  <si>
    <t>Trade receivables</t>
  </si>
  <si>
    <t>Other liabilities</t>
  </si>
  <si>
    <t>Profit from Disposal of CO2 Allowance</t>
  </si>
  <si>
    <t>Balancing Item - Operating (Indirect)</t>
  </si>
  <si>
    <t>Cash flw from operating activities</t>
  </si>
  <si>
    <t>Investments in tangible and intangible assets</t>
  </si>
  <si>
    <t>Sale of non-current assets</t>
  </si>
  <si>
    <t>Investments in intangible assets</t>
  </si>
  <si>
    <t>Change in current loan receivables</t>
  </si>
  <si>
    <t>Acquired subsidiary</t>
  </si>
  <si>
    <t>Change in current financial investments</t>
  </si>
  <si>
    <t>Investments in financial assets</t>
  </si>
  <si>
    <t>Decrease in long-term receivables</t>
  </si>
  <si>
    <t>Acq Investments</t>
  </si>
  <si>
    <t>Balancing Item - Investing</t>
  </si>
  <si>
    <t>Cash flow from investing activities</t>
  </si>
  <si>
    <t>Change in credit facilities</t>
  </si>
  <si>
    <t>Repayment of long-term loans</t>
  </si>
  <si>
    <t>Long-term borrowings</t>
  </si>
  <si>
    <t>Dividend paid</t>
  </si>
  <si>
    <t>Repayment of borrowings</t>
  </si>
  <si>
    <t>New Issue</t>
  </si>
  <si>
    <t>Change in used bank overdraft facilities</t>
  </si>
  <si>
    <t>Proceeds from the Issue of Shares</t>
  </si>
  <si>
    <t>Proceeds from the Issue of Options</t>
  </si>
  <si>
    <t>Balancing Item - Financing</t>
  </si>
  <si>
    <t>Cash flow from financing activities</t>
  </si>
  <si>
    <t>Exchange rate difference in cash and cash equivalents</t>
  </si>
  <si>
    <t>Cash and cash equivalents at start of period</t>
  </si>
  <si>
    <t>Closing cash and cash equivalents</t>
  </si>
  <si>
    <t>Balancing Item - Change in Cash</t>
  </si>
  <si>
    <t>Net cash flw for the period</t>
  </si>
  <si>
    <t>Cash Interest Paid</t>
  </si>
  <si>
    <t>Company Fundamentals - Valuation</t>
  </si>
  <si>
    <t>2003</t>
  </si>
  <si>
    <t>2002</t>
  </si>
  <si>
    <t>2001</t>
  </si>
  <si>
    <t>2000</t>
  </si>
  <si>
    <t>1999</t>
  </si>
  <si>
    <t>1998</t>
  </si>
  <si>
    <t>Valuation - Standardized (Currency: Norwegian Krone)</t>
  </si>
  <si>
    <t>31-12-2003</t>
  </si>
  <si>
    <t>31-12-2002</t>
  </si>
  <si>
    <t>31-12-2001</t>
  </si>
  <si>
    <t>31-12-2000</t>
  </si>
  <si>
    <t>31-12-1999</t>
  </si>
  <si>
    <t>31-12-1998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</si>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</sst>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3" numFmtId="0" xfId="0" applyAlignment="1" applyBorder="1" applyFont="1">
      <alignment horizontal="left" readingOrder="0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46094.5631234491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41274.0</v>
      </c>
      <c r="P13" s="9">
        <v>40908.0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39082.0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45</v>
      </c>
      <c r="R15" s="10" t="s">
        <v>45</v>
      </c>
      <c r="S15" s="10" t="s">
        <v>45</v>
      </c>
      <c r="T15" s="10" t="s">
        <v>45</v>
      </c>
      <c r="U15" s="10" t="s">
        <v>45</v>
      </c>
      <c r="V15" s="10" t="s">
        <v>45</v>
      </c>
      <c r="W15" s="10" t="s">
        <v>45</v>
      </c>
    </row>
    <row r="16" ht="15.0" customHeight="1" outlineLevel="1">
      <c r="A16" s="8" t="s">
        <v>46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0.936468304929426</v>
      </c>
      <c r="J16" s="11">
        <v>0.96834600681371</v>
      </c>
      <c r="K16" s="11">
        <v>0.981956040987212</v>
      </c>
      <c r="L16" s="11">
        <v>0.95610518378966</v>
      </c>
      <c r="M16" s="11">
        <v>0.918581536572363</v>
      </c>
      <c r="N16" s="11">
        <v>0.902518708819346</v>
      </c>
      <c r="O16" s="11">
        <v>0.859419323174902</v>
      </c>
      <c r="P16" s="11">
        <v>0.86369584994385</v>
      </c>
      <c r="Q16" s="11">
        <v>0.839811231206512</v>
      </c>
      <c r="R16" s="11">
        <v>0.82300064527093</v>
      </c>
      <c r="S16" s="11">
        <v>0.855314520372559</v>
      </c>
      <c r="T16" s="11">
        <v>0.866747579107811</v>
      </c>
      <c r="U16" s="11">
        <v>0.870165462777514</v>
      </c>
      <c r="V16" s="11">
        <v>0.863734749832292</v>
      </c>
      <c r="W16" s="11">
        <v>0.91761880662035</v>
      </c>
    </row>
    <row r="18">
      <c r="A18" s="12" t="s">
        <v>47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71</v>
      </c>
      <c r="B20" s="15">
        <v>2689.21</v>
      </c>
      <c r="C20" s="15">
        <v>2756.06</v>
      </c>
      <c r="D20" s="15">
        <v>2741.99</v>
      </c>
      <c r="E20" s="15">
        <v>2831.43</v>
      </c>
      <c r="F20" s="15">
        <v>2308.08</v>
      </c>
      <c r="G20" s="15">
        <v>2142.15</v>
      </c>
      <c r="H20" s="15">
        <v>2211.07</v>
      </c>
      <c r="I20" s="15">
        <v>2116.42</v>
      </c>
      <c r="J20" s="15">
        <v>1851.48</v>
      </c>
      <c r="K20" s="15">
        <v>1698.78</v>
      </c>
      <c r="L20" s="15">
        <v>1716.21</v>
      </c>
      <c r="M20" s="15">
        <v>1421.05</v>
      </c>
      <c r="N20" s="15">
        <v>1253.6</v>
      </c>
      <c r="O20" s="15">
        <v>1234.99</v>
      </c>
      <c r="P20" s="15">
        <v>1306.77</v>
      </c>
      <c r="Q20" s="15">
        <v>1414.24</v>
      </c>
      <c r="R20" s="15">
        <v>1241.08</v>
      </c>
      <c r="S20" s="15">
        <v>2277.7</v>
      </c>
      <c r="T20" s="15">
        <v>2536.97</v>
      </c>
      <c r="U20" s="15">
        <v>2340.75</v>
      </c>
      <c r="V20" s="15">
        <v>2098.01</v>
      </c>
      <c r="W20" s="15">
        <v>2161.91</v>
      </c>
    </row>
    <row r="21" ht="15.0" customHeight="1">
      <c r="A21" s="16" t="s">
        <v>71</v>
      </c>
      <c r="B21" s="17">
        <v>2689.21</v>
      </c>
      <c r="C21" s="17">
        <v>2756.06</v>
      </c>
      <c r="D21" s="17">
        <v>2741.99</v>
      </c>
      <c r="E21" s="17">
        <v>2831.43</v>
      </c>
      <c r="F21" s="17">
        <v>2308.08</v>
      </c>
      <c r="G21" s="17">
        <v>2142.15</v>
      </c>
      <c r="H21" s="17">
        <v>2211.07</v>
      </c>
      <c r="I21" s="17">
        <v>2116.42</v>
      </c>
      <c r="J21" s="17">
        <v>1851.48</v>
      </c>
      <c r="K21" s="17">
        <v>1698.78</v>
      </c>
      <c r="L21" s="17">
        <v>1716.21</v>
      </c>
      <c r="M21" s="17">
        <v>1421.05</v>
      </c>
      <c r="N21" s="17">
        <v>1253.6</v>
      </c>
      <c r="O21" s="17">
        <v>1234.99</v>
      </c>
      <c r="P21" s="17">
        <v>1306.77</v>
      </c>
      <c r="Q21" s="17">
        <v>1414.24</v>
      </c>
      <c r="R21" s="17">
        <v>1241.08</v>
      </c>
      <c r="S21" s="17">
        <v>2277.7</v>
      </c>
      <c r="T21" s="17">
        <v>2536.97</v>
      </c>
      <c r="U21" s="17">
        <v>2340.75</v>
      </c>
      <c r="V21" s="17">
        <v>2098.01</v>
      </c>
      <c r="W21" s="17">
        <v>2161.91</v>
      </c>
    </row>
    <row r="22" ht="15.0" customHeight="1">
      <c r="A22" s="14" t="s">
        <v>72</v>
      </c>
      <c r="B22" s="18">
        <v>-14.83</v>
      </c>
      <c r="C22" s="19">
        <v>58.99</v>
      </c>
      <c r="D22" s="19">
        <v>8.96</v>
      </c>
      <c r="E22" s="19">
        <v>83.61</v>
      </c>
      <c r="F22" s="18">
        <v>-29.06</v>
      </c>
      <c r="G22" s="18">
        <v>-31.73</v>
      </c>
      <c r="H22" s="18">
        <v>-7.44</v>
      </c>
      <c r="I22" s="19">
        <v>73.04</v>
      </c>
      <c r="J22" s="19">
        <v>21.3</v>
      </c>
      <c r="K22" s="18">
        <v>-3.93</v>
      </c>
      <c r="L22" s="19">
        <v>9.56</v>
      </c>
      <c r="M22" s="19">
        <v>3.67</v>
      </c>
      <c r="N22" s="18">
        <v>-4.51</v>
      </c>
      <c r="O22" s="19">
        <v>18.91</v>
      </c>
      <c r="P22" s="18">
        <v>-51.82</v>
      </c>
      <c r="Q22" s="18">
        <v>-21.0</v>
      </c>
      <c r="R22" s="20">
        <v>-147.32</v>
      </c>
      <c r="S22" s="18">
        <v>-28.23</v>
      </c>
      <c r="T22" s="19">
        <v>72.81</v>
      </c>
      <c r="U22" s="18">
        <v>-3.48</v>
      </c>
      <c r="V22" s="18">
        <v>-50.96</v>
      </c>
      <c r="W22" s="19">
        <v>78.0</v>
      </c>
    </row>
    <row r="23" ht="15.0" customHeight="1">
      <c r="A23" s="14" t="s">
        <v>73</v>
      </c>
      <c r="B23" s="19">
        <v>38.13</v>
      </c>
      <c r="C23" s="15">
        <v>135.26</v>
      </c>
      <c r="D23" s="19">
        <v>34.83</v>
      </c>
      <c r="E23" s="19">
        <v>41.81</v>
      </c>
      <c r="F23" s="19">
        <v>29.06</v>
      </c>
      <c r="G23" s="19">
        <v>14.33</v>
      </c>
      <c r="H23" s="19">
        <v>26.06</v>
      </c>
      <c r="I23" s="19">
        <v>31.84</v>
      </c>
      <c r="J23" s="19">
        <v>45.51</v>
      </c>
      <c r="K23" s="19">
        <v>55.97</v>
      </c>
      <c r="L23" s="19">
        <v>51.63</v>
      </c>
      <c r="M23" s="19">
        <v>41.34</v>
      </c>
      <c r="N23" s="19">
        <v>39.71</v>
      </c>
      <c r="O23" s="19">
        <v>72.19</v>
      </c>
      <c r="P23" s="19">
        <v>74.28</v>
      </c>
      <c r="Q23" s="19">
        <v>83.14</v>
      </c>
      <c r="R23" s="15">
        <v>113.57</v>
      </c>
      <c r="S23" s="19">
        <v>77.83</v>
      </c>
      <c r="T23" s="19">
        <v>49.4</v>
      </c>
      <c r="U23" s="19">
        <v>84.41</v>
      </c>
      <c r="V23" s="15">
        <v>159.79</v>
      </c>
      <c r="W23" s="15">
        <v>200.04</v>
      </c>
    </row>
    <row r="24" ht="15.0" customHeight="1">
      <c r="A24" s="14" t="s">
        <v>74</v>
      </c>
      <c r="B24" s="21"/>
      <c r="C24" s="21"/>
      <c r="D24" s="21"/>
      <c r="E24" s="21"/>
      <c r="F24" s="21"/>
      <c r="G24" s="21"/>
      <c r="H24" s="21"/>
      <c r="I24" s="21"/>
      <c r="J24" s="21">
        <v>0.0</v>
      </c>
      <c r="K24" s="18">
        <v>-7.86</v>
      </c>
      <c r="L24" s="19">
        <v>5.74</v>
      </c>
      <c r="M24" s="19">
        <v>6.43</v>
      </c>
      <c r="N24" s="19">
        <v>1.81</v>
      </c>
      <c r="O24" s="21"/>
      <c r="P24" s="21"/>
      <c r="Q24" s="21"/>
      <c r="R24" s="21"/>
      <c r="S24" s="21"/>
      <c r="T24" s="21"/>
      <c r="U24" s="21"/>
      <c r="V24" s="21"/>
      <c r="W24" s="21"/>
    </row>
    <row r="25" ht="15.0" customHeight="1">
      <c r="A25" s="14" t="s">
        <v>75</v>
      </c>
      <c r="B25" s="21"/>
      <c r="C25" s="21"/>
      <c r="D25" s="21"/>
      <c r="E25" s="21"/>
      <c r="F25" s="21"/>
      <c r="G25" s="21">
        <v>0.0</v>
      </c>
      <c r="H25" s="21">
        <v>0.0</v>
      </c>
      <c r="I25" s="21">
        <v>0.0</v>
      </c>
      <c r="J25" s="18">
        <v>-8.72</v>
      </c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</row>
    <row r="26" ht="15.0" customHeight="1">
      <c r="A26" s="14" t="s">
        <v>76</v>
      </c>
      <c r="B26" s="21"/>
      <c r="C26" s="21"/>
      <c r="D26" s="21"/>
      <c r="E26" s="21"/>
      <c r="F26" s="21"/>
      <c r="G26" s="19">
        <v>13.31</v>
      </c>
      <c r="H26" s="19">
        <v>21.4</v>
      </c>
      <c r="I26" s="19">
        <v>17.79</v>
      </c>
      <c r="J26" s="19">
        <v>63.91</v>
      </c>
      <c r="K26" s="19">
        <v>52.04</v>
      </c>
      <c r="L26" s="19">
        <v>40.16</v>
      </c>
      <c r="M26" s="19">
        <v>29.39</v>
      </c>
      <c r="N26" s="19">
        <v>37.91</v>
      </c>
      <c r="O26" s="19">
        <v>70.47</v>
      </c>
      <c r="P26" s="21"/>
      <c r="Q26" s="21"/>
      <c r="R26" s="21"/>
      <c r="S26" s="21"/>
      <c r="T26" s="21"/>
      <c r="U26" s="21"/>
      <c r="V26" s="21"/>
      <c r="W26" s="21"/>
    </row>
    <row r="27" ht="15.0" customHeight="1">
      <c r="A27" s="14" t="s">
        <v>77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>
        <v>0.0</v>
      </c>
      <c r="M27" s="19">
        <v>3.67</v>
      </c>
      <c r="N27" s="21"/>
      <c r="O27" s="19">
        <v>1.72</v>
      </c>
      <c r="P27" s="19">
        <v>3.45</v>
      </c>
      <c r="Q27" s="19">
        <v>18.48</v>
      </c>
      <c r="R27" s="21"/>
      <c r="S27" s="21"/>
      <c r="T27" s="21"/>
      <c r="U27" s="21"/>
      <c r="V27" s="21"/>
      <c r="W27" s="21"/>
    </row>
    <row r="28" ht="15.0" customHeight="1">
      <c r="A28" s="14" t="s">
        <v>78</v>
      </c>
      <c r="B28" s="21"/>
      <c r="C28" s="21"/>
      <c r="D28" s="21"/>
      <c r="E28" s="21"/>
      <c r="F28" s="21"/>
      <c r="G28" s="19">
        <v>1.02</v>
      </c>
      <c r="H28" s="19">
        <v>4.65</v>
      </c>
      <c r="I28" s="19">
        <v>14.05</v>
      </c>
      <c r="J28" s="18">
        <v>-9.68</v>
      </c>
      <c r="K28" s="19">
        <v>11.78</v>
      </c>
      <c r="L28" s="19">
        <v>5.74</v>
      </c>
      <c r="M28" s="19">
        <v>14.7</v>
      </c>
      <c r="N28" s="21"/>
      <c r="O28" s="21"/>
      <c r="P28" s="21"/>
      <c r="Q28" s="21"/>
      <c r="R28" s="21"/>
      <c r="S28" s="21"/>
      <c r="T28" s="21"/>
      <c r="U28" s="21"/>
      <c r="V28" s="21"/>
      <c r="W28" s="21"/>
    </row>
    <row r="29" ht="15.0" customHeight="1">
      <c r="A29" s="14" t="s">
        <v>79</v>
      </c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>
        <v>0.0</v>
      </c>
      <c r="M29" s="18">
        <v>-12.86</v>
      </c>
      <c r="N29" s="21"/>
      <c r="O29" s="21"/>
      <c r="P29" s="21"/>
      <c r="Q29" s="21"/>
      <c r="R29" s="21"/>
      <c r="S29" s="21"/>
      <c r="T29" s="21"/>
      <c r="U29" s="21"/>
      <c r="V29" s="21"/>
      <c r="W29" s="21"/>
    </row>
    <row r="30" ht="15.0" customHeight="1">
      <c r="A30" s="14" t="s">
        <v>73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18">
        <v>-37.81</v>
      </c>
      <c r="P30" s="21"/>
      <c r="Q30" s="21"/>
      <c r="R30" s="21"/>
      <c r="S30" s="21"/>
      <c r="T30" s="21"/>
      <c r="U30" s="21"/>
      <c r="V30" s="21"/>
      <c r="W30" s="21"/>
    </row>
    <row r="31" ht="15.0" customHeight="1">
      <c r="A31" s="14" t="s">
        <v>80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>
        <v>0.0</v>
      </c>
      <c r="R31" s="21">
        <v>0.0</v>
      </c>
      <c r="S31" s="18">
        <v>-0.86</v>
      </c>
      <c r="T31" s="21"/>
      <c r="U31" s="21"/>
      <c r="V31" s="21"/>
      <c r="W31" s="21"/>
    </row>
    <row r="32" ht="15.0" customHeight="1">
      <c r="A32" s="16" t="s">
        <v>81</v>
      </c>
      <c r="B32" s="22">
        <v>23.3</v>
      </c>
      <c r="C32" s="17">
        <v>194.25</v>
      </c>
      <c r="D32" s="22">
        <v>43.79</v>
      </c>
      <c r="E32" s="17">
        <v>125.42</v>
      </c>
      <c r="F32" s="23">
        <v>0.0</v>
      </c>
      <c r="G32" s="24">
        <v>-17.4</v>
      </c>
      <c r="H32" s="22">
        <v>18.61</v>
      </c>
      <c r="I32" s="17">
        <v>104.88</v>
      </c>
      <c r="J32" s="22">
        <v>66.82</v>
      </c>
      <c r="K32" s="22">
        <v>52.04</v>
      </c>
      <c r="L32" s="22">
        <v>61.19</v>
      </c>
      <c r="M32" s="22">
        <v>45.01</v>
      </c>
      <c r="N32" s="22">
        <v>35.2</v>
      </c>
      <c r="O32" s="22">
        <v>53.28</v>
      </c>
      <c r="P32" s="22">
        <v>25.91</v>
      </c>
      <c r="Q32" s="22">
        <v>80.62</v>
      </c>
      <c r="R32" s="24">
        <v>-33.74</v>
      </c>
      <c r="S32" s="22">
        <v>49.61</v>
      </c>
      <c r="T32" s="17">
        <v>122.21</v>
      </c>
      <c r="U32" s="22">
        <v>80.93</v>
      </c>
      <c r="V32" s="17">
        <v>108.83</v>
      </c>
      <c r="W32" s="17">
        <v>278.04</v>
      </c>
    </row>
    <row r="33" ht="15.0" customHeight="1">
      <c r="A33" s="14" t="s">
        <v>82</v>
      </c>
      <c r="B33" s="15">
        <v>1985.93</v>
      </c>
      <c r="C33" s="15">
        <v>1825.51</v>
      </c>
      <c r="D33" s="15">
        <v>1653.15</v>
      </c>
      <c r="E33" s="15">
        <v>1344.45</v>
      </c>
      <c r="F33" s="15">
        <v>1127.48</v>
      </c>
      <c r="G33" s="15">
        <v>1228.18</v>
      </c>
      <c r="H33" s="15">
        <v>1138.1</v>
      </c>
      <c r="I33" s="15">
        <v>1134.06</v>
      </c>
      <c r="J33" s="15">
        <v>934.45</v>
      </c>
      <c r="K33" s="15">
        <v>865.1</v>
      </c>
      <c r="L33" s="15">
        <v>859.54</v>
      </c>
      <c r="M33" s="15">
        <v>778.04</v>
      </c>
      <c r="N33" s="15">
        <v>809.56</v>
      </c>
      <c r="O33" s="15">
        <v>785.51</v>
      </c>
      <c r="P33" s="15">
        <v>864.56</v>
      </c>
      <c r="Q33" s="15">
        <v>807.06</v>
      </c>
      <c r="R33" s="15">
        <v>725.06</v>
      </c>
      <c r="S33" s="15">
        <v>1494.23</v>
      </c>
      <c r="T33" s="15">
        <v>1611.28</v>
      </c>
      <c r="U33" s="15">
        <v>1368.77</v>
      </c>
      <c r="V33" s="15">
        <v>1245.51</v>
      </c>
      <c r="W33" s="15">
        <v>1325.96</v>
      </c>
    </row>
    <row r="34" ht="15.0" customHeight="1">
      <c r="A34" s="14" t="s">
        <v>83</v>
      </c>
      <c r="B34" s="15">
        <v>623.85</v>
      </c>
      <c r="C34" s="15">
        <v>631.56</v>
      </c>
      <c r="D34" s="15">
        <v>570.29</v>
      </c>
      <c r="E34" s="15">
        <v>616.64</v>
      </c>
      <c r="F34" s="15">
        <v>510.12</v>
      </c>
      <c r="G34" s="15">
        <v>525.05</v>
      </c>
      <c r="H34" s="15">
        <v>491.35</v>
      </c>
      <c r="I34" s="15">
        <v>472.92</v>
      </c>
      <c r="J34" s="15">
        <v>487.08</v>
      </c>
      <c r="K34" s="15">
        <v>449.74</v>
      </c>
      <c r="L34" s="15">
        <v>401.56</v>
      </c>
      <c r="M34" s="15">
        <v>343.55</v>
      </c>
      <c r="N34" s="15">
        <v>325.81</v>
      </c>
      <c r="O34" s="15">
        <v>293.06</v>
      </c>
      <c r="P34" s="15">
        <v>388.66</v>
      </c>
      <c r="Q34" s="15">
        <v>330.05</v>
      </c>
      <c r="R34" s="15">
        <v>339.9</v>
      </c>
      <c r="S34" s="15">
        <v>538.85</v>
      </c>
      <c r="T34" s="15">
        <v>622.32</v>
      </c>
      <c r="U34" s="15">
        <v>559.52</v>
      </c>
      <c r="V34" s="15">
        <v>568.34</v>
      </c>
      <c r="W34" s="15">
        <v>611.13</v>
      </c>
    </row>
    <row r="35" ht="15.0" customHeight="1">
      <c r="A35" s="14" t="s">
        <v>84</v>
      </c>
      <c r="B35" s="21"/>
      <c r="C35" s="21"/>
      <c r="D35" s="21"/>
      <c r="E35" s="21"/>
      <c r="F35" s="21"/>
      <c r="G35" s="21"/>
      <c r="H35" s="21"/>
      <c r="I35" s="15">
        <v>464.49</v>
      </c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</row>
    <row r="36" ht="15.0" customHeight="1">
      <c r="A36" s="14" t="s">
        <v>85</v>
      </c>
      <c r="B36" s="21"/>
      <c r="C36" s="21"/>
      <c r="D36" s="21"/>
      <c r="E36" s="21"/>
      <c r="F36" s="21"/>
      <c r="G36" s="21"/>
      <c r="H36" s="21"/>
      <c r="I36" s="19">
        <v>8.43</v>
      </c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</row>
    <row r="37" ht="15.0" customHeight="1">
      <c r="A37" s="14" t="s">
        <v>86</v>
      </c>
      <c r="B37" s="15">
        <v>335.75</v>
      </c>
      <c r="C37" s="15">
        <v>299.0</v>
      </c>
      <c r="D37" s="15">
        <v>300.57</v>
      </c>
      <c r="E37" s="15">
        <v>339.2</v>
      </c>
      <c r="F37" s="15">
        <v>284.63</v>
      </c>
      <c r="G37" s="15">
        <v>273.27</v>
      </c>
      <c r="H37" s="15">
        <v>252.19</v>
      </c>
      <c r="I37" s="15">
        <v>245.35</v>
      </c>
      <c r="J37" s="15">
        <v>257.58</v>
      </c>
      <c r="K37" s="15">
        <v>218.98</v>
      </c>
      <c r="L37" s="15">
        <v>209.39</v>
      </c>
      <c r="M37" s="15">
        <v>174.53</v>
      </c>
      <c r="N37" s="15">
        <v>173.28</v>
      </c>
      <c r="O37" s="15">
        <v>157.27</v>
      </c>
      <c r="P37" s="15">
        <v>180.51</v>
      </c>
      <c r="Q37" s="15">
        <v>169.64</v>
      </c>
      <c r="R37" s="15">
        <v>193.41</v>
      </c>
      <c r="S37" s="15">
        <v>364.36</v>
      </c>
      <c r="T37" s="15">
        <v>359.7</v>
      </c>
      <c r="U37" s="15">
        <v>364.6</v>
      </c>
      <c r="V37" s="15">
        <v>351.54</v>
      </c>
      <c r="W37" s="15">
        <v>402.83</v>
      </c>
    </row>
    <row r="38" ht="15.0" customHeight="1">
      <c r="A38" s="14" t="s">
        <v>87</v>
      </c>
      <c r="B38" s="15">
        <v>305.04</v>
      </c>
      <c r="C38" s="15">
        <v>135.26</v>
      </c>
      <c r="D38" s="15">
        <v>112.47</v>
      </c>
      <c r="E38" s="15">
        <v>133.97</v>
      </c>
      <c r="F38" s="15">
        <v>118.26</v>
      </c>
      <c r="G38" s="15">
        <v>121.79</v>
      </c>
      <c r="H38" s="19">
        <v>98.64</v>
      </c>
      <c r="I38" s="19">
        <v>92.71</v>
      </c>
      <c r="J38" s="19">
        <v>88.12</v>
      </c>
      <c r="K38" s="19">
        <v>50.08</v>
      </c>
      <c r="L38" s="19">
        <v>55.45</v>
      </c>
      <c r="M38" s="19">
        <v>54.2</v>
      </c>
      <c r="N38" s="15">
        <v>128.16</v>
      </c>
      <c r="O38" s="19">
        <v>47.27</v>
      </c>
      <c r="P38" s="15">
        <v>103.64</v>
      </c>
      <c r="Q38" s="19">
        <v>72.22</v>
      </c>
      <c r="R38" s="19">
        <v>85.59</v>
      </c>
      <c r="S38" s="15">
        <v>191.59</v>
      </c>
      <c r="T38" s="15">
        <v>377.9</v>
      </c>
      <c r="U38" s="15">
        <v>134.88</v>
      </c>
      <c r="V38" s="15">
        <v>119.2</v>
      </c>
      <c r="W38" s="15">
        <v>204.63</v>
      </c>
    </row>
    <row r="39" ht="15.0" customHeight="1">
      <c r="A39" s="14" t="s">
        <v>88</v>
      </c>
      <c r="B39" s="21"/>
      <c r="C39" s="15">
        <v>123.06</v>
      </c>
      <c r="D39" s="15">
        <v>117.44</v>
      </c>
      <c r="E39" s="15">
        <v>108.32</v>
      </c>
      <c r="F39" s="15">
        <v>113.25</v>
      </c>
      <c r="G39" s="15">
        <v>113.61</v>
      </c>
      <c r="H39" s="19">
        <v>94.92</v>
      </c>
      <c r="I39" s="19">
        <v>88.03</v>
      </c>
      <c r="J39" s="19">
        <v>86.18</v>
      </c>
      <c r="K39" s="19">
        <v>63.83</v>
      </c>
      <c r="L39" s="21"/>
      <c r="M39" s="21"/>
      <c r="N39" s="19">
        <v>70.4</v>
      </c>
      <c r="O39" s="21"/>
      <c r="P39" s="21"/>
      <c r="Q39" s="21"/>
      <c r="R39" s="21"/>
      <c r="S39" s="21"/>
      <c r="T39" s="21"/>
      <c r="U39" s="21"/>
      <c r="V39" s="21"/>
      <c r="W39" s="21"/>
    </row>
    <row r="40" ht="15.0" customHeight="1">
      <c r="A40" s="14" t="s">
        <v>89</v>
      </c>
      <c r="B40" s="21"/>
      <c r="C40" s="21"/>
      <c r="D40" s="21"/>
      <c r="E40" s="21"/>
      <c r="F40" s="21"/>
      <c r="G40" s="21"/>
      <c r="H40" s="21"/>
      <c r="I40" s="21"/>
      <c r="J40" s="21">
        <v>0.0</v>
      </c>
      <c r="K40" s="19">
        <v>5.89</v>
      </c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</row>
    <row r="41" ht="15.0" customHeight="1">
      <c r="A41" s="14" t="s">
        <v>90</v>
      </c>
      <c r="B41" s="21"/>
      <c r="C41" s="19">
        <v>12.2</v>
      </c>
      <c r="D41" s="18">
        <v>-8.96</v>
      </c>
      <c r="E41" s="19">
        <v>20.9</v>
      </c>
      <c r="F41" s="21">
        <v>0.0</v>
      </c>
      <c r="G41" s="19">
        <v>5.12</v>
      </c>
      <c r="H41" s="21"/>
      <c r="I41" s="21"/>
      <c r="J41" s="21">
        <v>0.0</v>
      </c>
      <c r="K41" s="19">
        <v>19.64</v>
      </c>
      <c r="L41" s="21"/>
      <c r="M41" s="21"/>
      <c r="N41" s="19">
        <v>57.76</v>
      </c>
      <c r="O41" s="21"/>
      <c r="P41" s="21"/>
      <c r="Q41" s="21"/>
      <c r="R41" s="21"/>
      <c r="S41" s="21"/>
      <c r="T41" s="21"/>
      <c r="U41" s="21"/>
      <c r="V41" s="21"/>
      <c r="W41" s="21"/>
    </row>
    <row r="42" ht="15.0" customHeight="1">
      <c r="A42" s="14" t="s">
        <v>91</v>
      </c>
      <c r="B42" s="21"/>
      <c r="C42" s="21"/>
      <c r="D42" s="19">
        <v>3.98</v>
      </c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</row>
    <row r="43" ht="15.0" customHeight="1">
      <c r="A43" s="14" t="s">
        <v>92</v>
      </c>
      <c r="B43" s="21"/>
      <c r="C43" s="21">
        <v>0.0</v>
      </c>
      <c r="D43" s="21">
        <v>0.0</v>
      </c>
      <c r="E43" s="19">
        <v>3.8</v>
      </c>
      <c r="F43" s="19">
        <v>6.01</v>
      </c>
      <c r="G43" s="19">
        <v>5.12</v>
      </c>
      <c r="H43" s="19">
        <v>4.65</v>
      </c>
      <c r="I43" s="19">
        <v>4.68</v>
      </c>
      <c r="J43" s="19">
        <v>0.97</v>
      </c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</row>
    <row r="44" ht="15.0" customHeight="1">
      <c r="A44" s="14" t="s">
        <v>93</v>
      </c>
      <c r="B44" s="21"/>
      <c r="C44" s="21"/>
      <c r="D44" s="21"/>
      <c r="E44" s="19">
        <v>0.95</v>
      </c>
      <c r="F44" s="18">
        <v>-1.0</v>
      </c>
      <c r="G44" s="18">
        <v>-2.05</v>
      </c>
      <c r="H44" s="18">
        <v>-0.93</v>
      </c>
      <c r="I44" s="21"/>
      <c r="J44" s="19">
        <v>0.97</v>
      </c>
      <c r="K44" s="18">
        <v>-39.28</v>
      </c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</row>
    <row r="45" ht="15.0" customHeight="1">
      <c r="A45" s="14" t="s">
        <v>94</v>
      </c>
      <c r="B45" s="19">
        <v>33.89</v>
      </c>
      <c r="C45" s="19">
        <v>12.2</v>
      </c>
      <c r="D45" s="19">
        <v>10.95</v>
      </c>
      <c r="E45" s="21">
        <v>0.0</v>
      </c>
      <c r="F45" s="21">
        <v>0.0</v>
      </c>
      <c r="G45" s="19">
        <v>19.45</v>
      </c>
      <c r="H45" s="21"/>
      <c r="I45" s="21"/>
      <c r="J45" s="21"/>
      <c r="K45" s="21"/>
      <c r="L45" s="21"/>
      <c r="M45" s="19">
        <v>7.35</v>
      </c>
      <c r="N45" s="21"/>
      <c r="O45" s="21"/>
      <c r="P45" s="21"/>
      <c r="Q45" s="21"/>
      <c r="R45" s="21"/>
      <c r="S45" s="21"/>
      <c r="T45" s="21"/>
      <c r="U45" s="21"/>
      <c r="V45" s="21"/>
      <c r="W45" s="21"/>
    </row>
    <row r="46" ht="15.0" customHeight="1">
      <c r="A46" s="14" t="s">
        <v>95</v>
      </c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18">
        <v>-9.03</v>
      </c>
      <c r="O46" s="21"/>
      <c r="P46" s="21"/>
      <c r="Q46" s="21"/>
      <c r="R46" s="21"/>
      <c r="S46" s="21"/>
      <c r="T46" s="21"/>
      <c r="U46" s="21"/>
      <c r="V46" s="21"/>
      <c r="W46" s="21"/>
    </row>
    <row r="47" ht="15.0" customHeight="1">
      <c r="A47" s="16" t="s">
        <v>96</v>
      </c>
      <c r="B47" s="17">
        <v>3284.46</v>
      </c>
      <c r="C47" s="17">
        <v>2903.53</v>
      </c>
      <c r="D47" s="17">
        <v>2647.44</v>
      </c>
      <c r="E47" s="17">
        <v>2434.27</v>
      </c>
      <c r="F47" s="17">
        <v>2040.49</v>
      </c>
      <c r="G47" s="17">
        <v>2167.73</v>
      </c>
      <c r="H47" s="17">
        <v>1980.28</v>
      </c>
      <c r="I47" s="17">
        <v>1945.04</v>
      </c>
      <c r="J47" s="17">
        <v>1767.23</v>
      </c>
      <c r="K47" s="17">
        <v>1583.9</v>
      </c>
      <c r="L47" s="17">
        <v>1525.94</v>
      </c>
      <c r="M47" s="17">
        <v>1357.66</v>
      </c>
      <c r="N47" s="17">
        <v>1427.78</v>
      </c>
      <c r="O47" s="17">
        <v>1283.11</v>
      </c>
      <c r="P47" s="17">
        <v>1537.38</v>
      </c>
      <c r="Q47" s="17">
        <v>1378.97</v>
      </c>
      <c r="R47" s="17">
        <v>1343.96</v>
      </c>
      <c r="S47" s="17">
        <v>2589.04</v>
      </c>
      <c r="T47" s="17">
        <v>2971.21</v>
      </c>
      <c r="U47" s="17">
        <v>2427.76</v>
      </c>
      <c r="V47" s="17">
        <v>2284.58</v>
      </c>
      <c r="W47" s="17">
        <v>2544.56</v>
      </c>
    </row>
    <row r="48" ht="15.0" customHeight="1">
      <c r="A48" s="14" t="s">
        <v>97</v>
      </c>
      <c r="B48" s="21"/>
      <c r="C48" s="19">
        <v>1.02</v>
      </c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15">
        <v>103.64</v>
      </c>
      <c r="Q48" s="21"/>
      <c r="R48" s="21"/>
      <c r="S48" s="21"/>
      <c r="T48" s="21"/>
      <c r="U48" s="21"/>
      <c r="V48" s="21"/>
      <c r="W48" s="21"/>
    </row>
    <row r="49" ht="15.0" customHeight="1">
      <c r="A49" s="16" t="s">
        <v>98</v>
      </c>
      <c r="B49" s="25">
        <v>-571.95</v>
      </c>
      <c r="C49" s="22">
        <v>47.8</v>
      </c>
      <c r="D49" s="17">
        <v>138.34</v>
      </c>
      <c r="E49" s="17">
        <v>522.58</v>
      </c>
      <c r="F49" s="17">
        <v>267.59</v>
      </c>
      <c r="G49" s="24">
        <v>-42.99</v>
      </c>
      <c r="H49" s="17">
        <v>249.4</v>
      </c>
      <c r="I49" s="17">
        <v>276.26</v>
      </c>
      <c r="J49" s="17">
        <v>151.06</v>
      </c>
      <c r="K49" s="17">
        <v>166.93</v>
      </c>
      <c r="L49" s="17">
        <v>251.46</v>
      </c>
      <c r="M49" s="17">
        <v>108.39</v>
      </c>
      <c r="N49" s="25">
        <v>-138.99</v>
      </c>
      <c r="O49" s="22">
        <v>5.16</v>
      </c>
      <c r="P49" s="25">
        <v>-101.05</v>
      </c>
      <c r="Q49" s="17">
        <v>115.89</v>
      </c>
      <c r="R49" s="25">
        <v>-136.62</v>
      </c>
      <c r="S49" s="25">
        <v>-261.73</v>
      </c>
      <c r="T49" s="25">
        <v>-312.03</v>
      </c>
      <c r="U49" s="24">
        <v>-6.09</v>
      </c>
      <c r="V49" s="24">
        <v>-77.74</v>
      </c>
      <c r="W49" s="25">
        <v>-104.61</v>
      </c>
    </row>
    <row r="50" ht="15.0" customHeight="1">
      <c r="A50" s="14" t="s">
        <v>99</v>
      </c>
      <c r="B50" s="19">
        <v>3.18</v>
      </c>
      <c r="C50" s="19">
        <v>4.07</v>
      </c>
      <c r="D50" s="19">
        <v>23.89</v>
      </c>
      <c r="E50" s="15">
        <v>160.57</v>
      </c>
      <c r="F50" s="19">
        <v>1.0</v>
      </c>
      <c r="G50" s="21">
        <v>0.0</v>
      </c>
      <c r="H50" s="21">
        <v>0.0</v>
      </c>
      <c r="I50" s="19">
        <v>0.94</v>
      </c>
      <c r="J50" s="19">
        <v>1.94</v>
      </c>
      <c r="K50" s="19">
        <v>1.96</v>
      </c>
      <c r="L50" s="19">
        <v>0.96</v>
      </c>
      <c r="M50" s="21"/>
      <c r="N50" s="21">
        <v>0.0</v>
      </c>
      <c r="O50" s="19">
        <v>4.3</v>
      </c>
      <c r="P50" s="21"/>
      <c r="Q50" s="21"/>
      <c r="R50" s="21"/>
      <c r="S50" s="21"/>
      <c r="T50" s="21"/>
      <c r="U50" s="21"/>
      <c r="V50" s="21"/>
      <c r="W50" s="21"/>
    </row>
    <row r="51" ht="15.0" customHeight="1">
      <c r="A51" s="14" t="s">
        <v>100</v>
      </c>
      <c r="B51" s="21"/>
      <c r="C51" s="19">
        <v>1.02</v>
      </c>
      <c r="D51" s="19">
        <v>1.0</v>
      </c>
      <c r="E51" s="21">
        <v>0.0</v>
      </c>
      <c r="F51" s="19">
        <v>1.0</v>
      </c>
      <c r="G51" s="21">
        <v>0.0</v>
      </c>
      <c r="H51" s="21">
        <v>0.0</v>
      </c>
      <c r="I51" s="19">
        <v>0.94</v>
      </c>
      <c r="J51" s="19">
        <v>1.94</v>
      </c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</row>
    <row r="52" ht="15.0" customHeight="1">
      <c r="A52" s="14" t="s">
        <v>101</v>
      </c>
      <c r="B52" s="21"/>
      <c r="C52" s="21"/>
      <c r="D52" s="19">
        <v>9.95</v>
      </c>
      <c r="E52" s="15">
        <v>156.77</v>
      </c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</row>
    <row r="53" ht="15.0" customHeight="1">
      <c r="A53" s="14" t="s">
        <v>102</v>
      </c>
      <c r="B53" s="21"/>
      <c r="C53" s="19">
        <v>3.05</v>
      </c>
      <c r="D53" s="19">
        <v>12.94</v>
      </c>
      <c r="E53" s="19">
        <v>3.8</v>
      </c>
      <c r="F53" s="21"/>
      <c r="G53" s="21"/>
      <c r="H53" s="21"/>
      <c r="I53" s="21"/>
      <c r="J53" s="21"/>
      <c r="K53" s="21"/>
      <c r="L53" s="21"/>
      <c r="M53" s="21"/>
      <c r="N53" s="19">
        <v>0.27</v>
      </c>
      <c r="O53" s="19">
        <v>2.58</v>
      </c>
      <c r="P53" s="19">
        <v>1.73</v>
      </c>
      <c r="Q53" s="19">
        <v>0.84</v>
      </c>
      <c r="R53" s="21">
        <v>0.0</v>
      </c>
      <c r="S53" s="19">
        <v>3.42</v>
      </c>
      <c r="T53" s="19">
        <v>4.33</v>
      </c>
      <c r="U53" s="19">
        <v>1.74</v>
      </c>
      <c r="V53" s="19">
        <v>0.86</v>
      </c>
      <c r="W53" s="19">
        <v>1.84</v>
      </c>
    </row>
    <row r="54" ht="15.0" customHeight="1">
      <c r="A54" s="14" t="s">
        <v>103</v>
      </c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19">
        <v>1.72</v>
      </c>
      <c r="P54" s="21"/>
      <c r="Q54" s="21"/>
      <c r="R54" s="21"/>
      <c r="S54" s="21"/>
      <c r="T54" s="21"/>
      <c r="U54" s="21"/>
      <c r="V54" s="21"/>
      <c r="W54" s="21"/>
    </row>
    <row r="55" ht="15.0" customHeight="1">
      <c r="A55" s="14" t="s">
        <v>104</v>
      </c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18">
        <v>-0.27</v>
      </c>
      <c r="O55" s="21"/>
      <c r="P55" s="21"/>
      <c r="Q55" s="21"/>
      <c r="R55" s="21"/>
      <c r="S55" s="21"/>
      <c r="T55" s="21"/>
      <c r="U55" s="21"/>
      <c r="V55" s="21"/>
      <c r="W55" s="21"/>
    </row>
    <row r="56" ht="15.0" customHeight="1">
      <c r="A56" s="14" t="s">
        <v>105</v>
      </c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>
        <v>0.0</v>
      </c>
      <c r="R56" s="19">
        <v>90.53</v>
      </c>
      <c r="S56" s="21"/>
      <c r="T56" s="21"/>
      <c r="U56" s="21"/>
      <c r="V56" s="21"/>
      <c r="W56" s="21"/>
    </row>
    <row r="57" ht="15.0" customHeight="1">
      <c r="A57" s="14" t="s">
        <v>106</v>
      </c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18">
        <v>-5.04</v>
      </c>
      <c r="R57" s="21"/>
      <c r="S57" s="21"/>
      <c r="T57" s="21"/>
      <c r="U57" s="21"/>
      <c r="V57" s="21"/>
      <c r="W57" s="21"/>
    </row>
    <row r="58" ht="15.0" customHeight="1">
      <c r="A58" s="14" t="s">
        <v>107</v>
      </c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19">
        <v>5.04</v>
      </c>
      <c r="R58" s="21"/>
      <c r="S58" s="21"/>
      <c r="T58" s="21"/>
      <c r="U58" s="21"/>
      <c r="V58" s="21"/>
      <c r="W58" s="21"/>
    </row>
    <row r="59" ht="15.0" customHeight="1">
      <c r="A59" s="14" t="s">
        <v>108</v>
      </c>
      <c r="B59" s="18">
        <v>-30.72</v>
      </c>
      <c r="C59" s="18">
        <v>-24.41</v>
      </c>
      <c r="D59" s="18">
        <v>-9.95</v>
      </c>
      <c r="E59" s="18">
        <v>-4.75</v>
      </c>
      <c r="F59" s="18">
        <v>-22.05</v>
      </c>
      <c r="G59" s="18">
        <v>-19.45</v>
      </c>
      <c r="H59" s="18">
        <v>-19.54</v>
      </c>
      <c r="I59" s="18">
        <v>-18.73</v>
      </c>
      <c r="J59" s="18">
        <v>-10.65</v>
      </c>
      <c r="K59" s="18">
        <v>-8.84</v>
      </c>
      <c r="L59" s="18">
        <v>-4.78</v>
      </c>
      <c r="M59" s="18">
        <v>-3.67</v>
      </c>
      <c r="N59" s="18">
        <v>-3.61</v>
      </c>
      <c r="O59" s="18">
        <v>-4.3</v>
      </c>
      <c r="P59" s="21"/>
      <c r="Q59" s="21"/>
      <c r="R59" s="19">
        <v>22.22</v>
      </c>
      <c r="S59" s="19">
        <v>37.63</v>
      </c>
      <c r="T59" s="19">
        <v>28.6</v>
      </c>
      <c r="U59" s="19">
        <v>20.01</v>
      </c>
      <c r="V59" s="19">
        <v>12.96</v>
      </c>
      <c r="W59" s="19">
        <v>6.42</v>
      </c>
    </row>
    <row r="60" ht="15.0" customHeight="1">
      <c r="A60" s="14" t="s">
        <v>109</v>
      </c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>
        <v>0.0</v>
      </c>
      <c r="P60" s="18">
        <v>-0.86</v>
      </c>
      <c r="Q60" s="19">
        <v>4.2</v>
      </c>
      <c r="R60" s="19">
        <v>11.52</v>
      </c>
      <c r="S60" s="18">
        <v>-32.5</v>
      </c>
      <c r="T60" s="19">
        <v>3.47</v>
      </c>
      <c r="U60" s="19">
        <v>4.35</v>
      </c>
      <c r="V60" s="19">
        <v>0.86</v>
      </c>
      <c r="W60" s="18">
        <v>-1.84</v>
      </c>
    </row>
    <row r="61" ht="15.0" customHeight="1">
      <c r="A61" s="14" t="s">
        <v>110</v>
      </c>
      <c r="B61" s="21"/>
      <c r="C61" s="18">
        <v>-10.17</v>
      </c>
      <c r="D61" s="18">
        <v>-9.95</v>
      </c>
      <c r="E61" s="18">
        <v>-4.75</v>
      </c>
      <c r="F61" s="18">
        <v>-22.05</v>
      </c>
      <c r="G61" s="18">
        <v>-19.45</v>
      </c>
      <c r="H61" s="18">
        <v>-19.54</v>
      </c>
      <c r="I61" s="18">
        <v>-18.73</v>
      </c>
      <c r="J61" s="18">
        <v>-10.65</v>
      </c>
      <c r="K61" s="18">
        <v>-8.84</v>
      </c>
      <c r="L61" s="18">
        <v>-4.78</v>
      </c>
      <c r="M61" s="18">
        <v>-3.67</v>
      </c>
      <c r="N61" s="18">
        <v>-3.61</v>
      </c>
      <c r="O61" s="18">
        <v>-4.3</v>
      </c>
      <c r="P61" s="18">
        <v>-3.45</v>
      </c>
      <c r="Q61" s="18">
        <v>-5.04</v>
      </c>
      <c r="R61" s="18">
        <v>-22.22</v>
      </c>
      <c r="S61" s="18">
        <v>-37.63</v>
      </c>
      <c r="T61" s="18">
        <v>-28.6</v>
      </c>
      <c r="U61" s="18">
        <v>-20.01</v>
      </c>
      <c r="V61" s="18">
        <v>-12.96</v>
      </c>
      <c r="W61" s="18">
        <v>-6.42</v>
      </c>
    </row>
    <row r="62" ht="15.0" customHeight="1">
      <c r="A62" s="14" t="s">
        <v>111</v>
      </c>
      <c r="B62" s="21"/>
      <c r="C62" s="18">
        <v>-8.14</v>
      </c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</row>
    <row r="63" ht="15.0" customHeight="1">
      <c r="A63" s="14" t="s">
        <v>112</v>
      </c>
      <c r="B63" s="21"/>
      <c r="C63" s="18">
        <v>-1.02</v>
      </c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</row>
    <row r="64" ht="15.0" customHeight="1">
      <c r="A64" s="14" t="s">
        <v>113</v>
      </c>
      <c r="B64" s="21"/>
      <c r="C64" s="18">
        <v>-3.05</v>
      </c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</row>
    <row r="65" ht="15.0" customHeight="1">
      <c r="A65" s="14" t="s">
        <v>114</v>
      </c>
      <c r="B65" s="21"/>
      <c r="C65" s="18">
        <v>-2.03</v>
      </c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</row>
    <row r="66" ht="15.0" customHeight="1">
      <c r="A66" s="14" t="s">
        <v>115</v>
      </c>
      <c r="B66" s="19">
        <v>1.06</v>
      </c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</row>
    <row r="67" ht="15.0" customHeight="1">
      <c r="A67" s="16" t="s">
        <v>116</v>
      </c>
      <c r="B67" s="24">
        <v>-26.48</v>
      </c>
      <c r="C67" s="24">
        <v>-20.34</v>
      </c>
      <c r="D67" s="22">
        <v>13.93</v>
      </c>
      <c r="E67" s="17">
        <v>155.82</v>
      </c>
      <c r="F67" s="24">
        <v>-21.05</v>
      </c>
      <c r="G67" s="24">
        <v>-19.45</v>
      </c>
      <c r="H67" s="24">
        <v>-19.54</v>
      </c>
      <c r="I67" s="24">
        <v>-17.79</v>
      </c>
      <c r="J67" s="24">
        <v>-8.72</v>
      </c>
      <c r="K67" s="24">
        <v>-6.87</v>
      </c>
      <c r="L67" s="24">
        <v>-3.82</v>
      </c>
      <c r="M67" s="24">
        <v>-3.67</v>
      </c>
      <c r="N67" s="24">
        <v>-3.61</v>
      </c>
      <c r="O67" s="23">
        <v>0.0</v>
      </c>
      <c r="P67" s="24">
        <v>-2.59</v>
      </c>
      <c r="Q67" s="23">
        <v>0.0</v>
      </c>
      <c r="R67" s="22">
        <v>79.83</v>
      </c>
      <c r="S67" s="24">
        <v>-67.57</v>
      </c>
      <c r="T67" s="24">
        <v>-20.8</v>
      </c>
      <c r="U67" s="24">
        <v>-13.92</v>
      </c>
      <c r="V67" s="24">
        <v>-11.23</v>
      </c>
      <c r="W67" s="24">
        <v>-6.42</v>
      </c>
    </row>
    <row r="68" ht="15.0" customHeight="1">
      <c r="A68" s="16" t="s">
        <v>117</v>
      </c>
      <c r="B68" s="25">
        <v>-598.43</v>
      </c>
      <c r="C68" s="22">
        <v>27.46</v>
      </c>
      <c r="D68" s="17">
        <v>152.28</v>
      </c>
      <c r="E68" s="17">
        <v>678.4</v>
      </c>
      <c r="F68" s="17">
        <v>246.54</v>
      </c>
      <c r="G68" s="24">
        <v>-62.43</v>
      </c>
      <c r="H68" s="17">
        <v>229.85</v>
      </c>
      <c r="I68" s="17">
        <v>258.47</v>
      </c>
      <c r="J68" s="17">
        <v>142.35</v>
      </c>
      <c r="K68" s="17">
        <v>160.06</v>
      </c>
      <c r="L68" s="17">
        <v>247.63</v>
      </c>
      <c r="M68" s="17">
        <v>104.72</v>
      </c>
      <c r="N68" s="25">
        <v>-142.6</v>
      </c>
      <c r="O68" s="22">
        <v>5.16</v>
      </c>
      <c r="P68" s="25">
        <v>-103.64</v>
      </c>
      <c r="Q68" s="17">
        <v>115.89</v>
      </c>
      <c r="R68" s="24">
        <v>-56.79</v>
      </c>
      <c r="S68" s="25">
        <v>-329.3</v>
      </c>
      <c r="T68" s="25">
        <v>-332.83</v>
      </c>
      <c r="U68" s="24">
        <v>-20.01</v>
      </c>
      <c r="V68" s="24">
        <v>-88.96</v>
      </c>
      <c r="W68" s="25">
        <v>-111.03</v>
      </c>
    </row>
    <row r="69" ht="15.0" customHeight="1">
      <c r="A69" s="14" t="s">
        <v>118</v>
      </c>
      <c r="B69" s="20">
        <v>-119.69</v>
      </c>
      <c r="C69" s="19">
        <v>7.12</v>
      </c>
      <c r="D69" s="19">
        <v>31.85</v>
      </c>
      <c r="E69" s="15">
        <v>141.57</v>
      </c>
      <c r="F69" s="19">
        <v>48.11</v>
      </c>
      <c r="G69" s="18">
        <v>-11.26</v>
      </c>
      <c r="H69" s="19">
        <v>49.32</v>
      </c>
      <c r="I69" s="19">
        <v>51.51</v>
      </c>
      <c r="J69" s="19">
        <v>31.96</v>
      </c>
      <c r="K69" s="19">
        <v>34.37</v>
      </c>
      <c r="L69" s="19">
        <v>34.42</v>
      </c>
      <c r="M69" s="18">
        <v>-17.45</v>
      </c>
      <c r="N69" s="21">
        <v>0.0</v>
      </c>
      <c r="O69" s="19">
        <v>16.33</v>
      </c>
      <c r="P69" s="19">
        <v>20.73</v>
      </c>
      <c r="Q69" s="19">
        <v>10.92</v>
      </c>
      <c r="R69" s="21">
        <v>0.0</v>
      </c>
      <c r="S69" s="18">
        <v>-46.19</v>
      </c>
      <c r="T69" s="18">
        <v>-71.94</v>
      </c>
      <c r="U69" s="18">
        <v>-13.05</v>
      </c>
      <c r="V69" s="18">
        <v>-34.55</v>
      </c>
      <c r="W69" s="18">
        <v>-27.53</v>
      </c>
    </row>
    <row r="70" ht="15.0" customHeight="1">
      <c r="A70" s="14" t="s">
        <v>119</v>
      </c>
      <c r="B70" s="21"/>
      <c r="C70" s="19">
        <v>13.22</v>
      </c>
      <c r="D70" s="19">
        <v>59.72</v>
      </c>
      <c r="E70" s="19">
        <v>94.06</v>
      </c>
      <c r="F70" s="19">
        <v>26.06</v>
      </c>
      <c r="G70" s="19">
        <v>11.26</v>
      </c>
      <c r="H70" s="19">
        <v>19.54</v>
      </c>
      <c r="I70" s="19">
        <v>0.94</v>
      </c>
      <c r="J70" s="21"/>
      <c r="K70" s="21"/>
      <c r="L70" s="21"/>
      <c r="M70" s="21"/>
      <c r="N70" s="21"/>
      <c r="O70" s="21">
        <v>0.0</v>
      </c>
      <c r="P70" s="21">
        <v>0.0</v>
      </c>
      <c r="Q70" s="21">
        <v>0.0</v>
      </c>
      <c r="R70" s="21">
        <v>0.0</v>
      </c>
      <c r="S70" s="19">
        <v>0.86</v>
      </c>
      <c r="T70" s="19">
        <v>2.6</v>
      </c>
      <c r="U70" s="19">
        <v>8.7</v>
      </c>
      <c r="V70" s="18">
        <v>-6.05</v>
      </c>
      <c r="W70" s="19">
        <v>9.18</v>
      </c>
    </row>
    <row r="71" ht="15.0" customHeight="1">
      <c r="A71" s="14" t="s">
        <v>120</v>
      </c>
      <c r="B71" s="21"/>
      <c r="C71" s="18">
        <v>-7.12</v>
      </c>
      <c r="D71" s="18">
        <v>-27.87</v>
      </c>
      <c r="E71" s="19">
        <v>47.51</v>
      </c>
      <c r="F71" s="19">
        <v>22.05</v>
      </c>
      <c r="G71" s="18">
        <v>-22.52</v>
      </c>
      <c r="H71" s="19">
        <v>29.78</v>
      </c>
      <c r="I71" s="19">
        <v>50.57</v>
      </c>
      <c r="J71" s="19">
        <v>31.96</v>
      </c>
      <c r="K71" s="19">
        <v>34.37</v>
      </c>
      <c r="L71" s="19">
        <v>34.42</v>
      </c>
      <c r="M71" s="21"/>
      <c r="N71" s="21"/>
      <c r="O71" s="19">
        <v>16.33</v>
      </c>
      <c r="P71" s="19">
        <v>20.73</v>
      </c>
      <c r="Q71" s="19">
        <v>10.92</v>
      </c>
      <c r="R71" s="21">
        <v>0.0</v>
      </c>
      <c r="S71" s="18">
        <v>-47.04</v>
      </c>
      <c r="T71" s="18">
        <v>-74.54</v>
      </c>
      <c r="U71" s="18">
        <v>-21.75</v>
      </c>
      <c r="V71" s="18">
        <v>-37.14</v>
      </c>
      <c r="W71" s="18">
        <v>-15.6</v>
      </c>
    </row>
    <row r="72" ht="15.0" customHeight="1">
      <c r="A72" s="14" t="s">
        <v>121</v>
      </c>
      <c r="B72" s="21"/>
      <c r="C72" s="19">
        <v>1.02</v>
      </c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</row>
    <row r="73" ht="15.0" customHeight="1">
      <c r="A73" s="14" t="s">
        <v>122</v>
      </c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19">
        <v>8.64</v>
      </c>
      <c r="W73" s="18">
        <v>-21.11</v>
      </c>
    </row>
    <row r="74" ht="15.0" customHeight="1">
      <c r="A74" s="16" t="s">
        <v>123</v>
      </c>
      <c r="B74" s="25">
        <v>-119.69</v>
      </c>
      <c r="C74" s="22">
        <v>7.12</v>
      </c>
      <c r="D74" s="22">
        <v>31.85</v>
      </c>
      <c r="E74" s="17">
        <v>141.57</v>
      </c>
      <c r="F74" s="22">
        <v>48.11</v>
      </c>
      <c r="G74" s="24">
        <v>-11.26</v>
      </c>
      <c r="H74" s="22">
        <v>49.32</v>
      </c>
      <c r="I74" s="22">
        <v>51.51</v>
      </c>
      <c r="J74" s="22">
        <v>31.96</v>
      </c>
      <c r="K74" s="22">
        <v>34.37</v>
      </c>
      <c r="L74" s="22">
        <v>34.42</v>
      </c>
      <c r="M74" s="24">
        <v>-17.45</v>
      </c>
      <c r="N74" s="23">
        <v>0.0</v>
      </c>
      <c r="O74" s="22">
        <v>16.33</v>
      </c>
      <c r="P74" s="22">
        <v>20.73</v>
      </c>
      <c r="Q74" s="22">
        <v>10.92</v>
      </c>
      <c r="R74" s="23">
        <v>0.0</v>
      </c>
      <c r="S74" s="24">
        <v>-46.19</v>
      </c>
      <c r="T74" s="24">
        <v>-71.94</v>
      </c>
      <c r="U74" s="24">
        <v>-13.05</v>
      </c>
      <c r="V74" s="24">
        <v>-34.55</v>
      </c>
      <c r="W74" s="24">
        <v>-27.53</v>
      </c>
    </row>
    <row r="75" ht="15.0" customHeight="1">
      <c r="A75" s="16" t="s">
        <v>124</v>
      </c>
      <c r="B75" s="25">
        <v>-478.74</v>
      </c>
      <c r="C75" s="22">
        <v>20.34</v>
      </c>
      <c r="D75" s="17">
        <v>120.43</v>
      </c>
      <c r="E75" s="17">
        <v>536.83</v>
      </c>
      <c r="F75" s="17">
        <v>198.44</v>
      </c>
      <c r="G75" s="24">
        <v>-51.17</v>
      </c>
      <c r="H75" s="17">
        <v>180.53</v>
      </c>
      <c r="I75" s="17">
        <v>206.96</v>
      </c>
      <c r="J75" s="17">
        <v>110.39</v>
      </c>
      <c r="K75" s="17">
        <v>125.69</v>
      </c>
      <c r="L75" s="17">
        <v>213.21</v>
      </c>
      <c r="M75" s="17">
        <v>122.17</v>
      </c>
      <c r="N75" s="25">
        <v>-142.6</v>
      </c>
      <c r="O75" s="24">
        <v>-11.17</v>
      </c>
      <c r="P75" s="25">
        <v>-124.37</v>
      </c>
      <c r="Q75" s="17">
        <v>104.98</v>
      </c>
      <c r="R75" s="24">
        <v>-56.79</v>
      </c>
      <c r="S75" s="25">
        <v>-283.11</v>
      </c>
      <c r="T75" s="25">
        <v>-260.89</v>
      </c>
      <c r="U75" s="24">
        <v>-6.96</v>
      </c>
      <c r="V75" s="24">
        <v>-54.42</v>
      </c>
      <c r="W75" s="24">
        <v>-83.5</v>
      </c>
    </row>
    <row r="76" ht="15.0" customHeight="1">
      <c r="A76" s="16" t="s">
        <v>125</v>
      </c>
      <c r="B76" s="25">
        <v>-478.74</v>
      </c>
      <c r="C76" s="22">
        <v>20.34</v>
      </c>
      <c r="D76" s="17">
        <v>120.43</v>
      </c>
      <c r="E76" s="17">
        <v>536.83</v>
      </c>
      <c r="F76" s="17">
        <v>198.44</v>
      </c>
      <c r="G76" s="24">
        <v>-51.17</v>
      </c>
      <c r="H76" s="17">
        <v>180.53</v>
      </c>
      <c r="I76" s="17">
        <v>206.96</v>
      </c>
      <c r="J76" s="17">
        <v>110.39</v>
      </c>
      <c r="K76" s="17">
        <v>125.69</v>
      </c>
      <c r="L76" s="17">
        <v>213.21</v>
      </c>
      <c r="M76" s="17">
        <v>122.17</v>
      </c>
      <c r="N76" s="25">
        <v>-142.6</v>
      </c>
      <c r="O76" s="24">
        <v>-11.17</v>
      </c>
      <c r="P76" s="25">
        <v>-124.37</v>
      </c>
      <c r="Q76" s="17">
        <v>104.98</v>
      </c>
      <c r="R76" s="24">
        <v>-56.79</v>
      </c>
      <c r="S76" s="25">
        <v>-283.11</v>
      </c>
      <c r="T76" s="25">
        <v>-260.89</v>
      </c>
      <c r="U76" s="24">
        <v>-6.96</v>
      </c>
      <c r="V76" s="24">
        <v>-54.42</v>
      </c>
      <c r="W76" s="24">
        <v>-83.5</v>
      </c>
    </row>
    <row r="77" ht="15.0" customHeight="1">
      <c r="A77" s="16" t="s">
        <v>126</v>
      </c>
      <c r="B77" s="25">
        <v>-478.74</v>
      </c>
      <c r="C77" s="22">
        <v>20.34</v>
      </c>
      <c r="D77" s="17">
        <v>120.43</v>
      </c>
      <c r="E77" s="17">
        <v>536.83</v>
      </c>
      <c r="F77" s="17">
        <v>198.44</v>
      </c>
      <c r="G77" s="24">
        <v>-51.17</v>
      </c>
      <c r="H77" s="17">
        <v>180.53</v>
      </c>
      <c r="I77" s="17">
        <v>206.96</v>
      </c>
      <c r="J77" s="17">
        <v>110.39</v>
      </c>
      <c r="K77" s="17">
        <v>125.69</v>
      </c>
      <c r="L77" s="17">
        <v>213.21</v>
      </c>
      <c r="M77" s="17">
        <v>122.17</v>
      </c>
      <c r="N77" s="25">
        <v>-142.6</v>
      </c>
      <c r="O77" s="24">
        <v>-11.17</v>
      </c>
      <c r="P77" s="25">
        <v>-124.37</v>
      </c>
      <c r="Q77" s="17">
        <v>104.98</v>
      </c>
      <c r="R77" s="24">
        <v>-56.79</v>
      </c>
      <c r="S77" s="25">
        <v>-283.11</v>
      </c>
      <c r="T77" s="25">
        <v>-260.89</v>
      </c>
      <c r="U77" s="24">
        <v>-6.96</v>
      </c>
      <c r="V77" s="24">
        <v>-54.42</v>
      </c>
      <c r="W77" s="24">
        <v>-83.5</v>
      </c>
    </row>
    <row r="78" ht="15.0" customHeight="1">
      <c r="A78" s="16" t="s">
        <v>127</v>
      </c>
      <c r="B78" s="25">
        <v>-478.74</v>
      </c>
      <c r="C78" s="22">
        <v>20.34</v>
      </c>
      <c r="D78" s="17">
        <v>120.43</v>
      </c>
      <c r="E78" s="17">
        <v>536.83</v>
      </c>
      <c r="F78" s="17">
        <v>198.44</v>
      </c>
      <c r="G78" s="24">
        <v>-51.17</v>
      </c>
      <c r="H78" s="17">
        <v>180.53</v>
      </c>
      <c r="I78" s="17">
        <v>206.96</v>
      </c>
      <c r="J78" s="17">
        <v>110.39</v>
      </c>
      <c r="K78" s="17">
        <v>125.69</v>
      </c>
      <c r="L78" s="17">
        <v>213.21</v>
      </c>
      <c r="M78" s="17">
        <v>122.17</v>
      </c>
      <c r="N78" s="25">
        <v>-142.6</v>
      </c>
      <c r="O78" s="24">
        <v>-11.17</v>
      </c>
      <c r="P78" s="25">
        <v>-124.37</v>
      </c>
      <c r="Q78" s="17">
        <v>104.98</v>
      </c>
      <c r="R78" s="24">
        <v>-56.79</v>
      </c>
      <c r="S78" s="25">
        <v>-283.11</v>
      </c>
      <c r="T78" s="25">
        <v>-260.89</v>
      </c>
      <c r="U78" s="24">
        <v>-6.96</v>
      </c>
      <c r="V78" s="24">
        <v>-54.42</v>
      </c>
      <c r="W78" s="24">
        <v>-83.5</v>
      </c>
    </row>
    <row r="79" ht="15.0" customHeight="1">
      <c r="A79" s="16" t="s">
        <v>128</v>
      </c>
      <c r="B79" s="25">
        <v>-478.74</v>
      </c>
      <c r="C79" s="22">
        <v>20.34</v>
      </c>
      <c r="D79" s="17">
        <v>120.43</v>
      </c>
      <c r="E79" s="17">
        <v>536.83</v>
      </c>
      <c r="F79" s="17">
        <v>198.44</v>
      </c>
      <c r="G79" s="24">
        <v>-51.17</v>
      </c>
      <c r="H79" s="17">
        <v>180.53</v>
      </c>
      <c r="I79" s="17">
        <v>206.96</v>
      </c>
      <c r="J79" s="17">
        <v>110.39</v>
      </c>
      <c r="K79" s="17">
        <v>125.69</v>
      </c>
      <c r="L79" s="17">
        <v>213.21</v>
      </c>
      <c r="M79" s="17">
        <v>122.17</v>
      </c>
      <c r="N79" s="25">
        <v>-142.6</v>
      </c>
      <c r="O79" s="24">
        <v>-11.17</v>
      </c>
      <c r="P79" s="25">
        <v>-124.37</v>
      </c>
      <c r="Q79" s="17">
        <v>104.98</v>
      </c>
      <c r="R79" s="24">
        <v>-56.79</v>
      </c>
      <c r="S79" s="25">
        <v>-283.11</v>
      </c>
      <c r="T79" s="25">
        <v>-260.89</v>
      </c>
      <c r="U79" s="24">
        <v>-6.96</v>
      </c>
      <c r="V79" s="24">
        <v>-54.42</v>
      </c>
      <c r="W79" s="24">
        <v>-83.5</v>
      </c>
    </row>
    <row r="80" ht="15.0" customHeight="1">
      <c r="A80" s="14" t="s">
        <v>128</v>
      </c>
      <c r="B80" s="21"/>
      <c r="C80" s="19">
        <v>20.34</v>
      </c>
      <c r="D80" s="15">
        <v>120.43</v>
      </c>
      <c r="E80" s="15">
        <v>536.83</v>
      </c>
      <c r="F80" s="15">
        <v>198.44</v>
      </c>
      <c r="G80" s="18">
        <v>-51.17</v>
      </c>
      <c r="H80" s="15">
        <v>180.53</v>
      </c>
      <c r="I80" s="15">
        <v>206.96</v>
      </c>
      <c r="J80" s="15">
        <v>110.39</v>
      </c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</row>
    <row r="81" ht="15.0" customHeight="1">
      <c r="A81" s="14" t="s">
        <v>129</v>
      </c>
      <c r="B81" s="21"/>
      <c r="C81" s="20">
        <v>-142.38</v>
      </c>
      <c r="D81" s="20">
        <v>-383.18</v>
      </c>
      <c r="E81" s="15">
        <v>303.1</v>
      </c>
      <c r="F81" s="15">
        <v>121.27</v>
      </c>
      <c r="G81" s="18">
        <v>-36.85</v>
      </c>
      <c r="H81" s="18">
        <v>-71.65</v>
      </c>
      <c r="I81" s="21"/>
      <c r="J81" s="19">
        <v>4.84</v>
      </c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</row>
    <row r="82" ht="15.0" customHeight="1">
      <c r="A82" s="14" t="s">
        <v>130</v>
      </c>
      <c r="B82" s="21"/>
      <c r="C82" s="21"/>
      <c r="D82" s="21"/>
      <c r="E82" s="21"/>
      <c r="F82" s="21"/>
      <c r="G82" s="21"/>
      <c r="H82" s="21"/>
      <c r="I82" s="19">
        <v>67.43</v>
      </c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</row>
    <row r="83" ht="15.0" customHeight="1">
      <c r="A83" s="14" t="s">
        <v>131</v>
      </c>
      <c r="B83" s="21"/>
      <c r="C83" s="21"/>
      <c r="D83" s="21"/>
      <c r="E83" s="21"/>
      <c r="F83" s="21"/>
      <c r="G83" s="21"/>
      <c r="H83" s="21"/>
      <c r="I83" s="19">
        <v>36.52</v>
      </c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</row>
    <row r="84" ht="15.0" customHeight="1">
      <c r="A84" s="14" t="s">
        <v>132</v>
      </c>
      <c r="B84" s="21"/>
      <c r="C84" s="19">
        <v>29.49</v>
      </c>
      <c r="D84" s="19">
        <v>78.63</v>
      </c>
      <c r="E84" s="18">
        <v>-62.71</v>
      </c>
      <c r="F84" s="18">
        <v>-25.06</v>
      </c>
      <c r="G84" s="19">
        <v>8.19</v>
      </c>
      <c r="H84" s="19">
        <v>15.82</v>
      </c>
      <c r="I84" s="18">
        <v>-21.54</v>
      </c>
      <c r="J84" s="18">
        <v>-1.94</v>
      </c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</row>
    <row r="85" ht="15.0" customHeight="1">
      <c r="A85" s="14" t="s">
        <v>133</v>
      </c>
      <c r="B85" s="21"/>
      <c r="C85" s="21">
        <v>0.0</v>
      </c>
      <c r="D85" s="21">
        <v>0.0</v>
      </c>
      <c r="E85" s="21">
        <v>0.0</v>
      </c>
      <c r="F85" s="21">
        <v>0.0</v>
      </c>
      <c r="G85" s="18">
        <v>-1.02</v>
      </c>
      <c r="H85" s="21">
        <v>0.0</v>
      </c>
      <c r="I85" s="21">
        <v>0.0</v>
      </c>
      <c r="J85" s="21">
        <v>0.0</v>
      </c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</row>
    <row r="86" ht="15.0" customHeight="1">
      <c r="A86" s="16" t="s">
        <v>134</v>
      </c>
      <c r="B86" s="23"/>
      <c r="C86" s="25">
        <v>-112.89</v>
      </c>
      <c r="D86" s="25">
        <v>-304.55</v>
      </c>
      <c r="E86" s="17">
        <v>240.39</v>
      </c>
      <c r="F86" s="22">
        <v>96.21</v>
      </c>
      <c r="G86" s="24">
        <v>-29.68</v>
      </c>
      <c r="H86" s="24">
        <v>-55.84</v>
      </c>
      <c r="I86" s="22">
        <v>82.41</v>
      </c>
      <c r="J86" s="22">
        <v>2.91</v>
      </c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</row>
    <row r="87" ht="15.0" customHeight="1">
      <c r="A87" s="16" t="s">
        <v>135</v>
      </c>
      <c r="B87" s="23"/>
      <c r="C87" s="24">
        <v>-92.55</v>
      </c>
      <c r="D87" s="25">
        <v>-184.13</v>
      </c>
      <c r="E87" s="17">
        <v>777.22</v>
      </c>
      <c r="F87" s="17">
        <v>294.65</v>
      </c>
      <c r="G87" s="24">
        <v>-80.86</v>
      </c>
      <c r="H87" s="17">
        <v>124.7</v>
      </c>
      <c r="I87" s="17">
        <v>289.37</v>
      </c>
      <c r="J87" s="17">
        <v>113.3</v>
      </c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</row>
    <row r="88" ht="15.0" customHeight="1">
      <c r="A88" s="14" t="s">
        <v>136</v>
      </c>
      <c r="B88" s="15">
        <v>267.0</v>
      </c>
      <c r="C88" s="15">
        <v>178.45</v>
      </c>
      <c r="D88" s="15">
        <v>178.45</v>
      </c>
      <c r="E88" s="15">
        <v>178.45</v>
      </c>
      <c r="F88" s="15">
        <v>178.45</v>
      </c>
      <c r="G88" s="15">
        <v>178.45</v>
      </c>
      <c r="H88" s="15">
        <v>178.45</v>
      </c>
      <c r="I88" s="15">
        <v>178.45</v>
      </c>
      <c r="J88" s="15">
        <v>178.45</v>
      </c>
      <c r="K88" s="15">
        <v>178.45</v>
      </c>
      <c r="L88" s="15">
        <v>178.45</v>
      </c>
      <c r="M88" s="15">
        <v>178.45</v>
      </c>
      <c r="N88" s="15">
        <v>178.45</v>
      </c>
      <c r="O88" s="15">
        <v>178.45</v>
      </c>
      <c r="P88" s="15">
        <v>178.45</v>
      </c>
      <c r="Q88" s="15">
        <v>178.45</v>
      </c>
      <c r="R88" s="19">
        <v>31.44</v>
      </c>
      <c r="S88" s="19">
        <v>86.94</v>
      </c>
      <c r="T88" s="19">
        <v>86.94</v>
      </c>
      <c r="U88" s="19">
        <v>86.94</v>
      </c>
      <c r="V88" s="19">
        <v>86.94</v>
      </c>
      <c r="W88" s="19">
        <v>87.03</v>
      </c>
    </row>
    <row r="89" ht="15.0" customHeight="1">
      <c r="A89" s="14" t="s">
        <v>137</v>
      </c>
      <c r="B89" s="15">
        <v>267.0</v>
      </c>
      <c r="C89" s="15">
        <v>178.45</v>
      </c>
      <c r="D89" s="15">
        <v>178.45</v>
      </c>
      <c r="E89" s="15">
        <v>178.45</v>
      </c>
      <c r="F89" s="15">
        <v>178.45</v>
      </c>
      <c r="G89" s="15">
        <v>178.45</v>
      </c>
      <c r="H89" s="15">
        <v>178.45</v>
      </c>
      <c r="I89" s="15">
        <v>178.45</v>
      </c>
      <c r="J89" s="15">
        <v>178.45</v>
      </c>
      <c r="K89" s="15">
        <v>178.45</v>
      </c>
      <c r="L89" s="15">
        <v>178.45</v>
      </c>
      <c r="M89" s="15">
        <v>178.45</v>
      </c>
      <c r="N89" s="15">
        <v>178.45</v>
      </c>
      <c r="O89" s="15">
        <v>178.45</v>
      </c>
      <c r="P89" s="15">
        <v>178.45</v>
      </c>
      <c r="Q89" s="15">
        <v>178.45</v>
      </c>
      <c r="R89" s="19">
        <v>31.44</v>
      </c>
      <c r="S89" s="19">
        <v>86.94</v>
      </c>
      <c r="T89" s="19">
        <v>86.94</v>
      </c>
      <c r="U89" s="19">
        <v>86.94</v>
      </c>
      <c r="V89" s="19">
        <v>86.94</v>
      </c>
      <c r="W89" s="19">
        <v>87.03</v>
      </c>
    </row>
    <row r="90" ht="15.0" customHeight="1">
      <c r="A90" s="14" t="s">
        <v>138</v>
      </c>
      <c r="B90" s="18">
        <v>-2.22</v>
      </c>
      <c r="C90" s="19">
        <v>0.11</v>
      </c>
      <c r="D90" s="19">
        <v>0.67</v>
      </c>
      <c r="E90" s="19">
        <v>3.01</v>
      </c>
      <c r="F90" s="19">
        <v>1.11</v>
      </c>
      <c r="G90" s="18">
        <v>-0.29</v>
      </c>
      <c r="H90" s="19">
        <v>1.01</v>
      </c>
      <c r="I90" s="19">
        <v>1.16</v>
      </c>
      <c r="J90" s="19">
        <v>0.62</v>
      </c>
      <c r="K90" s="19">
        <v>0.71</v>
      </c>
      <c r="L90" s="19">
        <v>1.19</v>
      </c>
      <c r="M90" s="19">
        <v>0.68</v>
      </c>
      <c r="N90" s="18">
        <v>-0.8</v>
      </c>
      <c r="O90" s="18">
        <v>-0.07</v>
      </c>
      <c r="P90" s="18">
        <v>-0.7</v>
      </c>
      <c r="Q90" s="19">
        <v>0.59</v>
      </c>
      <c r="R90" s="18">
        <v>-1.81</v>
      </c>
      <c r="S90" s="18">
        <v>-3.26</v>
      </c>
      <c r="T90" s="18">
        <v>-3.0</v>
      </c>
      <c r="U90" s="18">
        <v>-0.08</v>
      </c>
      <c r="V90" s="18">
        <v>-0.63</v>
      </c>
      <c r="W90" s="18">
        <v>-0.4</v>
      </c>
    </row>
    <row r="91" ht="15.0" customHeight="1">
      <c r="A91" s="14" t="s">
        <v>139</v>
      </c>
      <c r="B91" s="18">
        <v>-2.22</v>
      </c>
      <c r="C91" s="19">
        <v>0.11</v>
      </c>
      <c r="D91" s="19">
        <v>0.67</v>
      </c>
      <c r="E91" s="19">
        <v>3.01</v>
      </c>
      <c r="F91" s="19">
        <v>1.11</v>
      </c>
      <c r="G91" s="18">
        <v>-0.29</v>
      </c>
      <c r="H91" s="19">
        <v>1.01</v>
      </c>
      <c r="I91" s="19">
        <v>1.16</v>
      </c>
      <c r="J91" s="19">
        <v>0.62</v>
      </c>
      <c r="K91" s="19">
        <v>0.71</v>
      </c>
      <c r="L91" s="19">
        <v>1.19</v>
      </c>
      <c r="M91" s="19">
        <v>0.68</v>
      </c>
      <c r="N91" s="18">
        <v>-0.8</v>
      </c>
      <c r="O91" s="18">
        <v>-0.07</v>
      </c>
      <c r="P91" s="18">
        <v>-0.7</v>
      </c>
      <c r="Q91" s="19">
        <v>0.59</v>
      </c>
      <c r="R91" s="18">
        <v>-1.81</v>
      </c>
      <c r="S91" s="18">
        <v>-3.26</v>
      </c>
      <c r="T91" s="18">
        <v>-3.0</v>
      </c>
      <c r="U91" s="18">
        <v>-0.08</v>
      </c>
      <c r="V91" s="18">
        <v>-0.63</v>
      </c>
      <c r="W91" s="18">
        <v>-0.4</v>
      </c>
    </row>
    <row r="92" ht="15.0" customHeight="1">
      <c r="A92" s="14" t="s">
        <v>140</v>
      </c>
      <c r="B92" s="20">
        <v>-478.74</v>
      </c>
      <c r="C92" s="19">
        <v>20.34</v>
      </c>
      <c r="D92" s="15">
        <v>120.43</v>
      </c>
      <c r="E92" s="15">
        <v>536.83</v>
      </c>
      <c r="F92" s="15">
        <v>198.44</v>
      </c>
      <c r="G92" s="18">
        <v>-51.17</v>
      </c>
      <c r="H92" s="15">
        <v>180.53</v>
      </c>
      <c r="I92" s="15">
        <v>206.96</v>
      </c>
      <c r="J92" s="15">
        <v>110.39</v>
      </c>
      <c r="K92" s="15">
        <v>125.69</v>
      </c>
      <c r="L92" s="15">
        <v>213.21</v>
      </c>
      <c r="M92" s="15">
        <v>122.17</v>
      </c>
      <c r="N92" s="20">
        <v>-142.6</v>
      </c>
      <c r="O92" s="18">
        <v>-11.17</v>
      </c>
      <c r="P92" s="20">
        <v>-124.37</v>
      </c>
      <c r="Q92" s="15">
        <v>104.98</v>
      </c>
      <c r="R92" s="18">
        <v>-56.79</v>
      </c>
      <c r="S92" s="20">
        <v>-283.11</v>
      </c>
      <c r="T92" s="20">
        <v>-260.89</v>
      </c>
      <c r="U92" s="18">
        <v>-6.96</v>
      </c>
      <c r="V92" s="18">
        <v>-54.42</v>
      </c>
      <c r="W92" s="18">
        <v>-83.5</v>
      </c>
    </row>
    <row r="93" ht="15.0" customHeight="1">
      <c r="A93" s="14" t="s">
        <v>141</v>
      </c>
      <c r="B93" s="18">
        <v>-2.22</v>
      </c>
      <c r="C93" s="19">
        <v>0.11</v>
      </c>
      <c r="D93" s="19">
        <v>0.67</v>
      </c>
      <c r="E93" s="19">
        <v>3.01</v>
      </c>
      <c r="F93" s="19">
        <v>1.11</v>
      </c>
      <c r="G93" s="18">
        <v>-0.29</v>
      </c>
      <c r="H93" s="19">
        <v>1.01</v>
      </c>
      <c r="I93" s="19">
        <v>1.16</v>
      </c>
      <c r="J93" s="19">
        <v>0.62</v>
      </c>
      <c r="K93" s="19">
        <v>0.71</v>
      </c>
      <c r="L93" s="19">
        <v>1.19</v>
      </c>
      <c r="M93" s="19">
        <v>0.68</v>
      </c>
      <c r="N93" s="18">
        <v>-0.8</v>
      </c>
      <c r="O93" s="18">
        <v>-0.07</v>
      </c>
      <c r="P93" s="18">
        <v>-0.7</v>
      </c>
      <c r="Q93" s="19">
        <v>0.59</v>
      </c>
      <c r="R93" s="18">
        <v>-1.81</v>
      </c>
      <c r="S93" s="18">
        <v>-3.26</v>
      </c>
      <c r="T93" s="18">
        <v>-3.0</v>
      </c>
      <c r="U93" s="18">
        <v>-0.08</v>
      </c>
      <c r="V93" s="18">
        <v>-0.63</v>
      </c>
      <c r="W93" s="18">
        <v>-0.4</v>
      </c>
    </row>
    <row r="94" ht="15.0" customHeight="1">
      <c r="A94" s="14" t="s">
        <v>142</v>
      </c>
      <c r="B94" s="20">
        <v>-478.74</v>
      </c>
      <c r="C94" s="19">
        <v>20.34</v>
      </c>
      <c r="D94" s="15">
        <v>120.43</v>
      </c>
      <c r="E94" s="15">
        <v>536.83</v>
      </c>
      <c r="F94" s="15">
        <v>198.44</v>
      </c>
      <c r="G94" s="18">
        <v>-51.17</v>
      </c>
      <c r="H94" s="15">
        <v>180.53</v>
      </c>
      <c r="I94" s="15">
        <v>206.96</v>
      </c>
      <c r="J94" s="15">
        <v>110.39</v>
      </c>
      <c r="K94" s="15">
        <v>125.69</v>
      </c>
      <c r="L94" s="15">
        <v>213.21</v>
      </c>
      <c r="M94" s="15">
        <v>122.17</v>
      </c>
      <c r="N94" s="20">
        <v>-142.6</v>
      </c>
      <c r="O94" s="18">
        <v>-11.17</v>
      </c>
      <c r="P94" s="20">
        <v>-124.37</v>
      </c>
      <c r="Q94" s="15">
        <v>104.98</v>
      </c>
      <c r="R94" s="18">
        <v>-56.79</v>
      </c>
      <c r="S94" s="20">
        <v>-283.11</v>
      </c>
      <c r="T94" s="20">
        <v>-260.89</v>
      </c>
      <c r="U94" s="18">
        <v>-6.96</v>
      </c>
      <c r="V94" s="18">
        <v>-54.42</v>
      </c>
      <c r="W94" s="18">
        <v>-83.5</v>
      </c>
    </row>
    <row r="95" ht="15.0" customHeight="1">
      <c r="A95" s="14" t="s">
        <v>143</v>
      </c>
      <c r="B95" s="18">
        <v>-2.22</v>
      </c>
      <c r="C95" s="19">
        <v>0.11</v>
      </c>
      <c r="D95" s="19">
        <v>0.67</v>
      </c>
      <c r="E95" s="19">
        <v>3.01</v>
      </c>
      <c r="F95" s="19">
        <v>1.11</v>
      </c>
      <c r="G95" s="18">
        <v>-0.29</v>
      </c>
      <c r="H95" s="19">
        <v>1.01</v>
      </c>
      <c r="I95" s="19">
        <v>1.16</v>
      </c>
      <c r="J95" s="19">
        <v>0.62</v>
      </c>
      <c r="K95" s="19">
        <v>0.71</v>
      </c>
      <c r="L95" s="19">
        <v>1.19</v>
      </c>
      <c r="M95" s="19">
        <v>0.68</v>
      </c>
      <c r="N95" s="18">
        <v>-0.8</v>
      </c>
      <c r="O95" s="18">
        <v>-0.07</v>
      </c>
      <c r="P95" s="18">
        <v>-0.7</v>
      </c>
      <c r="Q95" s="19">
        <v>0.59</v>
      </c>
      <c r="R95" s="18">
        <v>-1.81</v>
      </c>
      <c r="S95" s="18">
        <v>-3.26</v>
      </c>
      <c r="T95" s="18">
        <v>-3.0</v>
      </c>
      <c r="U95" s="18">
        <v>-0.08</v>
      </c>
      <c r="V95" s="18">
        <v>-0.63</v>
      </c>
      <c r="W95" s="18">
        <v>-0.4</v>
      </c>
    </row>
    <row r="96" ht="15.0" customHeight="1">
      <c r="A96" s="14" t="s">
        <v>144</v>
      </c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19">
        <v>0.9</v>
      </c>
      <c r="O96" s="19">
        <v>0.86</v>
      </c>
      <c r="P96" s="19">
        <v>0.86</v>
      </c>
      <c r="Q96" s="19">
        <v>0.84</v>
      </c>
      <c r="R96" s="19">
        <v>1.65</v>
      </c>
      <c r="S96" s="19">
        <v>2.57</v>
      </c>
      <c r="T96" s="19">
        <v>2.6</v>
      </c>
      <c r="U96" s="19">
        <v>2.61</v>
      </c>
      <c r="V96" s="21"/>
      <c r="W96" s="21"/>
    </row>
    <row r="97" ht="15.0" customHeight="1">
      <c r="A97" s="14" t="s">
        <v>88</v>
      </c>
      <c r="B97" s="21"/>
      <c r="C97" s="21"/>
      <c r="D97" s="21"/>
      <c r="E97" s="21"/>
      <c r="F97" s="21"/>
      <c r="G97" s="21"/>
      <c r="H97" s="21"/>
      <c r="I97" s="21"/>
      <c r="J97" s="21"/>
      <c r="K97" s="19">
        <v>63.83</v>
      </c>
      <c r="L97" s="19">
        <v>55.45</v>
      </c>
      <c r="M97" s="19">
        <v>53.28</v>
      </c>
      <c r="N97" s="19">
        <v>70.4</v>
      </c>
      <c r="O97" s="19">
        <v>61.02</v>
      </c>
      <c r="P97" s="19">
        <v>69.1</v>
      </c>
      <c r="Q97" s="19">
        <v>82.3</v>
      </c>
      <c r="R97" s="19">
        <v>97.11</v>
      </c>
      <c r="S97" s="15">
        <v>112.9</v>
      </c>
      <c r="T97" s="15">
        <v>121.34</v>
      </c>
      <c r="U97" s="15">
        <v>123.56</v>
      </c>
      <c r="V97" s="15">
        <v>119.2</v>
      </c>
      <c r="W97" s="15">
        <v>204.63</v>
      </c>
    </row>
    <row r="98" ht="15.0" customHeight="1">
      <c r="A98" s="14" t="s">
        <v>145</v>
      </c>
      <c r="B98" s="21"/>
      <c r="C98" s="21"/>
      <c r="D98" s="21"/>
      <c r="E98" s="21"/>
      <c r="F98" s="21"/>
      <c r="G98" s="21"/>
      <c r="H98" s="21"/>
      <c r="I98" s="21"/>
      <c r="J98" s="21"/>
      <c r="K98" s="21">
        <v>0.0</v>
      </c>
      <c r="L98" s="21">
        <v>0.0</v>
      </c>
      <c r="M98" s="21">
        <v>0.0</v>
      </c>
      <c r="N98" s="21"/>
      <c r="O98" s="19">
        <v>0.86</v>
      </c>
      <c r="P98" s="19">
        <v>0.86</v>
      </c>
      <c r="Q98" s="19">
        <v>2.52</v>
      </c>
      <c r="R98" s="19">
        <v>4.94</v>
      </c>
      <c r="S98" s="19">
        <v>5.13</v>
      </c>
      <c r="T98" s="19">
        <v>8.67</v>
      </c>
      <c r="U98" s="19">
        <v>11.31</v>
      </c>
      <c r="V98" s="19">
        <v>8.64</v>
      </c>
      <c r="W98" s="19">
        <v>7.34</v>
      </c>
    </row>
    <row r="99" ht="15.0" customHeight="1">
      <c r="A99" s="14" t="s">
        <v>146</v>
      </c>
      <c r="B99" s="21"/>
      <c r="C99" s="21">
        <v>0.0</v>
      </c>
      <c r="D99" s="21">
        <v>0.0</v>
      </c>
      <c r="E99" s="19">
        <v>3.8</v>
      </c>
      <c r="F99" s="19">
        <v>6.01</v>
      </c>
      <c r="G99" s="19">
        <v>5.12</v>
      </c>
      <c r="H99" s="19">
        <v>4.65</v>
      </c>
      <c r="I99" s="19">
        <v>4.68</v>
      </c>
      <c r="J99" s="19">
        <v>0.97</v>
      </c>
      <c r="K99" s="21">
        <v>0.0</v>
      </c>
      <c r="L99" s="21">
        <v>0.0</v>
      </c>
      <c r="M99" s="21">
        <v>0.0</v>
      </c>
      <c r="N99" s="21"/>
      <c r="O99" s="19">
        <v>0.86</v>
      </c>
      <c r="P99" s="19">
        <v>0.86</v>
      </c>
      <c r="Q99" s="19">
        <v>2.52</v>
      </c>
      <c r="R99" s="19">
        <v>4.94</v>
      </c>
      <c r="S99" s="19">
        <v>5.13</v>
      </c>
      <c r="T99" s="19">
        <v>8.67</v>
      </c>
      <c r="U99" s="19">
        <v>11.31</v>
      </c>
      <c r="V99" s="19">
        <v>8.64</v>
      </c>
      <c r="W99" s="19">
        <v>7.34</v>
      </c>
    </row>
    <row r="100" ht="15.0" customHeight="1">
      <c r="A100" s="14" t="s">
        <v>147</v>
      </c>
      <c r="B100" s="21"/>
      <c r="C100" s="15">
        <v>123.06</v>
      </c>
      <c r="D100" s="15">
        <v>117.44</v>
      </c>
      <c r="E100" s="15">
        <v>108.32</v>
      </c>
      <c r="F100" s="15">
        <v>113.25</v>
      </c>
      <c r="G100" s="15">
        <v>113.61</v>
      </c>
      <c r="H100" s="19">
        <v>94.92</v>
      </c>
      <c r="I100" s="19">
        <v>88.03</v>
      </c>
      <c r="J100" s="19">
        <v>86.18</v>
      </c>
      <c r="K100" s="19">
        <v>63.83</v>
      </c>
      <c r="L100" s="19">
        <v>55.45</v>
      </c>
      <c r="M100" s="19">
        <v>53.28</v>
      </c>
      <c r="N100" s="19">
        <v>70.4</v>
      </c>
      <c r="O100" s="19">
        <v>61.02</v>
      </c>
      <c r="P100" s="19">
        <v>69.1</v>
      </c>
      <c r="Q100" s="19">
        <v>82.3</v>
      </c>
      <c r="R100" s="19">
        <v>97.11</v>
      </c>
      <c r="S100" s="15">
        <v>112.9</v>
      </c>
      <c r="T100" s="15">
        <v>121.34</v>
      </c>
      <c r="U100" s="15">
        <v>123.56</v>
      </c>
      <c r="V100" s="15">
        <v>119.2</v>
      </c>
      <c r="W100" s="15">
        <v>204.63</v>
      </c>
    </row>
    <row r="101" ht="15.0" customHeight="1">
      <c r="A101" s="14" t="s">
        <v>148</v>
      </c>
      <c r="B101" s="15">
        <v>305.04</v>
      </c>
      <c r="C101" s="15">
        <v>123.06</v>
      </c>
      <c r="D101" s="15">
        <v>117.44</v>
      </c>
      <c r="E101" s="15">
        <v>112.12</v>
      </c>
      <c r="F101" s="15">
        <v>118.26</v>
      </c>
      <c r="G101" s="15">
        <v>118.72</v>
      </c>
      <c r="H101" s="19">
        <v>99.57</v>
      </c>
      <c r="I101" s="19">
        <v>92.71</v>
      </c>
      <c r="J101" s="19">
        <v>88.12</v>
      </c>
      <c r="K101" s="19">
        <v>63.83</v>
      </c>
      <c r="L101" s="19">
        <v>55.45</v>
      </c>
      <c r="M101" s="19">
        <v>54.2</v>
      </c>
      <c r="N101" s="15">
        <v>128.16</v>
      </c>
      <c r="O101" s="19">
        <v>47.27</v>
      </c>
      <c r="P101" s="15">
        <v>103.64</v>
      </c>
      <c r="Q101" s="19">
        <v>72.22</v>
      </c>
      <c r="R101" s="19">
        <v>85.59</v>
      </c>
      <c r="S101" s="15">
        <v>191.59</v>
      </c>
      <c r="T101" s="15">
        <v>377.9</v>
      </c>
      <c r="U101" s="15">
        <v>134.88</v>
      </c>
      <c r="V101" s="15">
        <v>119.2</v>
      </c>
      <c r="W101" s="15">
        <v>204.63</v>
      </c>
    </row>
    <row r="102" ht="15.0" customHeight="1">
      <c r="A102" s="14" t="s">
        <v>149</v>
      </c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>
        <v>0.0</v>
      </c>
      <c r="P102" s="19">
        <v>0.17</v>
      </c>
      <c r="Q102" s="19">
        <v>0.34</v>
      </c>
      <c r="R102" s="21"/>
      <c r="S102" s="21"/>
      <c r="T102" s="21"/>
      <c r="U102" s="21"/>
      <c r="V102" s="21"/>
      <c r="W102" s="21"/>
    </row>
    <row r="103" ht="15.0" customHeight="1">
      <c r="A103" s="14" t="s">
        <v>150</v>
      </c>
      <c r="B103" s="21"/>
      <c r="C103" s="19">
        <v>2.34</v>
      </c>
      <c r="D103" s="19">
        <v>1.69</v>
      </c>
      <c r="E103" s="19">
        <v>1.14</v>
      </c>
      <c r="F103" s="19">
        <v>1.1</v>
      </c>
      <c r="G103" s="19">
        <v>0.92</v>
      </c>
      <c r="H103" s="19">
        <v>1.02</v>
      </c>
      <c r="I103" s="21"/>
      <c r="J103" s="19">
        <v>1.65</v>
      </c>
      <c r="K103" s="19">
        <v>1.37</v>
      </c>
      <c r="L103" s="19">
        <v>1.43</v>
      </c>
      <c r="M103" s="19">
        <v>1.19</v>
      </c>
      <c r="N103" s="19">
        <v>1.17</v>
      </c>
      <c r="O103" s="19">
        <v>1.29</v>
      </c>
      <c r="P103" s="19">
        <v>1.81</v>
      </c>
      <c r="Q103" s="19">
        <v>1.43</v>
      </c>
      <c r="R103" s="19">
        <v>2.63</v>
      </c>
      <c r="S103" s="19">
        <v>3.42</v>
      </c>
      <c r="T103" s="19">
        <v>3.47</v>
      </c>
      <c r="U103" s="21"/>
      <c r="V103" s="21"/>
      <c r="W103" s="21"/>
    </row>
    <row r="104" ht="15.0" customHeight="1">
      <c r="A104" s="14" t="s">
        <v>151</v>
      </c>
      <c r="B104" s="21"/>
      <c r="C104" s="19">
        <v>1.63</v>
      </c>
      <c r="D104" s="19">
        <v>1.49</v>
      </c>
      <c r="E104" s="19">
        <v>1.14</v>
      </c>
      <c r="F104" s="19">
        <v>1.1</v>
      </c>
      <c r="G104" s="19">
        <v>0.92</v>
      </c>
      <c r="H104" s="19">
        <v>1.02</v>
      </c>
      <c r="I104" s="21"/>
      <c r="J104" s="19">
        <v>1.36</v>
      </c>
      <c r="K104" s="19">
        <v>1.28</v>
      </c>
      <c r="L104" s="19">
        <v>0.96</v>
      </c>
      <c r="M104" s="19">
        <v>1.1</v>
      </c>
      <c r="N104" s="19">
        <v>0.81</v>
      </c>
      <c r="O104" s="19">
        <v>0.86</v>
      </c>
      <c r="P104" s="19">
        <v>0.95</v>
      </c>
      <c r="Q104" s="19">
        <v>0.84</v>
      </c>
      <c r="R104" s="19">
        <v>1.4</v>
      </c>
      <c r="S104" s="19">
        <v>1.71</v>
      </c>
      <c r="T104" s="19">
        <v>1.73</v>
      </c>
      <c r="U104" s="21"/>
      <c r="V104" s="21"/>
      <c r="W104" s="21"/>
    </row>
    <row r="105" ht="15.0" customHeight="1">
      <c r="A105" s="14" t="s">
        <v>152</v>
      </c>
      <c r="B105" s="21"/>
      <c r="C105" s="19">
        <v>0.2</v>
      </c>
      <c r="D105" s="19">
        <v>0.2</v>
      </c>
      <c r="E105" s="21">
        <v>0.0</v>
      </c>
      <c r="F105" s="21">
        <v>0.0</v>
      </c>
      <c r="G105" s="21">
        <v>0.0</v>
      </c>
      <c r="H105" s="21">
        <v>0.0</v>
      </c>
      <c r="I105" s="21"/>
      <c r="J105" s="19">
        <v>0.29</v>
      </c>
      <c r="K105" s="19">
        <v>0.1</v>
      </c>
      <c r="L105" s="19">
        <v>0.19</v>
      </c>
      <c r="M105" s="19">
        <v>0.09</v>
      </c>
      <c r="N105" s="21"/>
      <c r="O105" s="19">
        <v>0.09</v>
      </c>
      <c r="P105" s="21"/>
      <c r="Q105" s="21"/>
      <c r="R105" s="21"/>
      <c r="S105" s="21"/>
      <c r="T105" s="21"/>
      <c r="U105" s="21"/>
      <c r="V105" s="21"/>
      <c r="W105" s="21"/>
    </row>
    <row r="106" ht="15.0" customHeight="1">
      <c r="A106" s="14" t="s">
        <v>153</v>
      </c>
      <c r="B106" s="21"/>
      <c r="C106" s="19">
        <v>0.51</v>
      </c>
      <c r="D106" s="21"/>
      <c r="E106" s="21"/>
      <c r="F106" s="21"/>
      <c r="G106" s="21"/>
      <c r="H106" s="21"/>
      <c r="I106" s="21"/>
      <c r="J106" s="21"/>
      <c r="K106" s="21"/>
      <c r="L106" s="19">
        <v>0.29</v>
      </c>
      <c r="M106" s="21">
        <v>0.0</v>
      </c>
      <c r="N106" s="19">
        <v>0.36</v>
      </c>
      <c r="O106" s="19">
        <v>0.34</v>
      </c>
      <c r="P106" s="19">
        <v>0.69</v>
      </c>
      <c r="Q106" s="19">
        <v>0.25</v>
      </c>
      <c r="R106" s="19">
        <v>1.23</v>
      </c>
      <c r="S106" s="19">
        <v>1.71</v>
      </c>
      <c r="T106" s="19">
        <v>1.73</v>
      </c>
      <c r="U106" s="21"/>
      <c r="V106" s="21"/>
      <c r="W106" s="21"/>
    </row>
    <row r="107" ht="15.0" customHeight="1">
      <c r="A107" s="14" t="s">
        <v>154</v>
      </c>
      <c r="B107" s="21"/>
      <c r="C107" s="21"/>
      <c r="D107" s="19">
        <v>5.97</v>
      </c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</row>
    <row r="108" ht="15.0" customHeight="1">
      <c r="A108" s="14" t="s">
        <v>155</v>
      </c>
      <c r="B108" s="15">
        <v>267.0</v>
      </c>
      <c r="C108" s="15">
        <v>178.45</v>
      </c>
      <c r="D108" s="15">
        <v>178.45</v>
      </c>
      <c r="E108" s="15">
        <v>178.45</v>
      </c>
      <c r="F108" s="15">
        <v>178.45</v>
      </c>
      <c r="G108" s="15">
        <v>178.45</v>
      </c>
      <c r="H108" s="15">
        <v>178.45</v>
      </c>
      <c r="I108" s="15">
        <v>178.45</v>
      </c>
      <c r="J108" s="15">
        <v>178.45</v>
      </c>
      <c r="K108" s="15">
        <v>178.45</v>
      </c>
      <c r="L108" s="15">
        <v>178.45</v>
      </c>
      <c r="M108" s="15">
        <v>178.45</v>
      </c>
      <c r="N108" s="15">
        <v>178.45</v>
      </c>
      <c r="O108" s="15">
        <v>178.45</v>
      </c>
      <c r="P108" s="21"/>
      <c r="Q108" s="21"/>
      <c r="R108" s="21"/>
      <c r="S108" s="21"/>
      <c r="T108" s="21"/>
      <c r="U108" s="21"/>
      <c r="V108" s="21"/>
      <c r="W108" s="21"/>
    </row>
    <row r="109" ht="15.0" customHeight="1">
      <c r="A109" s="14" t="s">
        <v>156</v>
      </c>
      <c r="B109" s="15">
        <v>267.0</v>
      </c>
      <c r="C109" s="15">
        <v>178.45</v>
      </c>
      <c r="D109" s="15">
        <v>178.45</v>
      </c>
      <c r="E109" s="15">
        <v>178.45</v>
      </c>
      <c r="F109" s="15">
        <v>178.45</v>
      </c>
      <c r="G109" s="15">
        <v>178.45</v>
      </c>
      <c r="H109" s="15">
        <v>178.45</v>
      </c>
      <c r="I109" s="15">
        <v>178.45</v>
      </c>
      <c r="J109" s="15">
        <v>178.45</v>
      </c>
      <c r="K109" s="15">
        <v>178.45</v>
      </c>
      <c r="L109" s="15">
        <v>178.45</v>
      </c>
      <c r="M109" s="15">
        <v>178.45</v>
      </c>
      <c r="N109" s="15">
        <v>178.45</v>
      </c>
      <c r="O109" s="15">
        <v>178.45</v>
      </c>
      <c r="P109" s="21"/>
      <c r="Q109" s="21"/>
      <c r="R109" s="21"/>
      <c r="S109" s="21"/>
      <c r="T109" s="21"/>
      <c r="U109" s="21"/>
      <c r="V109" s="21"/>
      <c r="W109" s="21"/>
    </row>
    <row r="110" ht="15.0" customHeight="1">
      <c r="A110" s="14" t="s">
        <v>157</v>
      </c>
      <c r="B110" s="18">
        <v>-2.22</v>
      </c>
      <c r="C110" s="19">
        <v>0.11</v>
      </c>
      <c r="D110" s="19">
        <v>0.67</v>
      </c>
      <c r="E110" s="19">
        <v>3.01</v>
      </c>
      <c r="F110" s="19">
        <v>1.11</v>
      </c>
      <c r="G110" s="18">
        <v>-0.29</v>
      </c>
      <c r="H110" s="19">
        <v>1.01</v>
      </c>
      <c r="I110" s="19">
        <v>1.16</v>
      </c>
      <c r="J110" s="19">
        <v>0.62</v>
      </c>
      <c r="K110" s="19">
        <v>0.71</v>
      </c>
      <c r="L110" s="19">
        <v>1.19</v>
      </c>
      <c r="M110" s="19">
        <v>0.68</v>
      </c>
      <c r="N110" s="18">
        <v>-0.8</v>
      </c>
      <c r="O110" s="18">
        <v>-0.07</v>
      </c>
      <c r="P110" s="21"/>
      <c r="Q110" s="21"/>
      <c r="R110" s="21"/>
      <c r="S110" s="21"/>
      <c r="T110" s="21"/>
      <c r="U110" s="21"/>
      <c r="V110" s="21"/>
      <c r="W110" s="21"/>
    </row>
    <row r="111" ht="15.0" customHeight="1">
      <c r="A111" s="14" t="s">
        <v>158</v>
      </c>
      <c r="B111" s="18">
        <v>-2.22</v>
      </c>
      <c r="C111" s="19">
        <v>0.11</v>
      </c>
      <c r="D111" s="19">
        <v>0.67</v>
      </c>
      <c r="E111" s="19">
        <v>3.01</v>
      </c>
      <c r="F111" s="19">
        <v>1.11</v>
      </c>
      <c r="G111" s="18">
        <v>-0.29</v>
      </c>
      <c r="H111" s="19">
        <v>1.01</v>
      </c>
      <c r="I111" s="19">
        <v>1.16</v>
      </c>
      <c r="J111" s="19">
        <v>0.62</v>
      </c>
      <c r="K111" s="19">
        <v>0.71</v>
      </c>
      <c r="L111" s="19">
        <v>1.19</v>
      </c>
      <c r="M111" s="19">
        <v>0.68</v>
      </c>
      <c r="N111" s="18">
        <v>-0.8</v>
      </c>
      <c r="O111" s="18">
        <v>-0.07</v>
      </c>
      <c r="P111" s="21"/>
      <c r="Q111" s="21"/>
      <c r="R111" s="21"/>
      <c r="S111" s="21"/>
      <c r="T111" s="21"/>
      <c r="U111" s="21"/>
      <c r="V111" s="21"/>
      <c r="W111" s="21"/>
    </row>
    <row r="112" ht="15.0" customHeight="1">
      <c r="A112" s="14" t="s">
        <v>159</v>
      </c>
      <c r="B112" s="18">
        <v>-2.22</v>
      </c>
      <c r="C112" s="19">
        <v>0.11</v>
      </c>
      <c r="D112" s="19">
        <v>0.67</v>
      </c>
      <c r="E112" s="19">
        <v>3.01</v>
      </c>
      <c r="F112" s="19">
        <v>1.11</v>
      </c>
      <c r="G112" s="18">
        <v>-0.29</v>
      </c>
      <c r="H112" s="19">
        <v>1.01</v>
      </c>
      <c r="I112" s="19">
        <v>1.16</v>
      </c>
      <c r="J112" s="19">
        <v>0.62</v>
      </c>
      <c r="K112" s="19">
        <v>0.71</v>
      </c>
      <c r="L112" s="19">
        <v>1.19</v>
      </c>
      <c r="M112" s="19">
        <v>0.68</v>
      </c>
      <c r="N112" s="18">
        <v>-0.8</v>
      </c>
      <c r="O112" s="18">
        <v>-0.07</v>
      </c>
      <c r="P112" s="21"/>
      <c r="Q112" s="21"/>
      <c r="R112" s="21"/>
      <c r="S112" s="21"/>
      <c r="T112" s="21"/>
      <c r="U112" s="21"/>
      <c r="V112" s="21"/>
      <c r="W112" s="21"/>
    </row>
    <row r="113" ht="15.0" customHeight="1">
      <c r="A113" s="14" t="s">
        <v>160</v>
      </c>
      <c r="B113" s="20">
        <v>-478.74</v>
      </c>
      <c r="C113" s="19">
        <v>20.34</v>
      </c>
      <c r="D113" s="15">
        <v>120.43</v>
      </c>
      <c r="E113" s="15">
        <v>536.83</v>
      </c>
      <c r="F113" s="15">
        <v>198.44</v>
      </c>
      <c r="G113" s="18">
        <v>-51.17</v>
      </c>
      <c r="H113" s="15">
        <v>180.53</v>
      </c>
      <c r="I113" s="15">
        <v>206.96</v>
      </c>
      <c r="J113" s="15">
        <v>110.39</v>
      </c>
      <c r="K113" s="15">
        <v>125.69</v>
      </c>
      <c r="L113" s="15">
        <v>213.21</v>
      </c>
      <c r="M113" s="15">
        <v>122.17</v>
      </c>
      <c r="N113" s="20">
        <v>-142.6</v>
      </c>
      <c r="O113" s="18">
        <v>-11.17</v>
      </c>
      <c r="P113" s="21"/>
      <c r="Q113" s="21"/>
      <c r="R113" s="21"/>
      <c r="S113" s="21"/>
      <c r="T113" s="21"/>
      <c r="U113" s="21"/>
      <c r="V113" s="21"/>
      <c r="W113" s="21"/>
    </row>
    <row r="114" ht="15.0" customHeight="1">
      <c r="A114" s="14" t="s">
        <v>161</v>
      </c>
      <c r="B114" s="20">
        <v>-478.74</v>
      </c>
      <c r="C114" s="19">
        <v>20.34</v>
      </c>
      <c r="D114" s="15">
        <v>120.43</v>
      </c>
      <c r="E114" s="15">
        <v>536.83</v>
      </c>
      <c r="F114" s="15">
        <v>198.44</v>
      </c>
      <c r="G114" s="18">
        <v>-51.17</v>
      </c>
      <c r="H114" s="15">
        <v>180.53</v>
      </c>
      <c r="I114" s="15">
        <v>206.96</v>
      </c>
      <c r="J114" s="15">
        <v>110.39</v>
      </c>
      <c r="K114" s="15">
        <v>125.69</v>
      </c>
      <c r="L114" s="15">
        <v>213.21</v>
      </c>
      <c r="M114" s="15">
        <v>122.17</v>
      </c>
      <c r="N114" s="20">
        <v>-142.6</v>
      </c>
      <c r="O114" s="18">
        <v>-11.17</v>
      </c>
      <c r="P114" s="21"/>
      <c r="Q114" s="21"/>
      <c r="R114" s="21"/>
      <c r="S114" s="21"/>
      <c r="T114" s="21"/>
      <c r="U114" s="21"/>
      <c r="V114" s="21"/>
      <c r="W114" s="21"/>
    </row>
    <row r="115" ht="15.0" customHeight="1">
      <c r="A115" s="14" t="s">
        <v>162</v>
      </c>
      <c r="B115" s="18">
        <v>-2.22</v>
      </c>
      <c r="C115" s="19">
        <v>0.11</v>
      </c>
      <c r="D115" s="19">
        <v>0.67</v>
      </c>
      <c r="E115" s="19">
        <v>3.01</v>
      </c>
      <c r="F115" s="19">
        <v>1.11</v>
      </c>
      <c r="G115" s="18">
        <v>-0.29</v>
      </c>
      <c r="H115" s="19">
        <v>1.01</v>
      </c>
      <c r="I115" s="19">
        <v>1.16</v>
      </c>
      <c r="J115" s="19">
        <v>0.62</v>
      </c>
      <c r="K115" s="19">
        <v>0.71</v>
      </c>
      <c r="L115" s="19">
        <v>1.19</v>
      </c>
      <c r="M115" s="19">
        <v>0.68</v>
      </c>
      <c r="N115" s="18">
        <v>-0.8</v>
      </c>
      <c r="O115" s="18">
        <v>-0.07</v>
      </c>
      <c r="P115" s="21"/>
      <c r="Q115" s="21"/>
      <c r="R115" s="21"/>
      <c r="S115" s="21"/>
      <c r="T115" s="21"/>
      <c r="U115" s="21"/>
      <c r="V115" s="21"/>
      <c r="W115" s="21"/>
    </row>
    <row r="116" ht="15.0" customHeight="1">
      <c r="A116" s="14" t="s">
        <v>163</v>
      </c>
      <c r="B116" s="20">
        <v>-478.74</v>
      </c>
      <c r="C116" s="19">
        <v>20.34</v>
      </c>
      <c r="D116" s="15">
        <v>120.43</v>
      </c>
      <c r="E116" s="15">
        <v>536.83</v>
      </c>
      <c r="F116" s="15">
        <v>198.44</v>
      </c>
      <c r="G116" s="18">
        <v>-51.17</v>
      </c>
      <c r="H116" s="15">
        <v>180.53</v>
      </c>
      <c r="I116" s="15">
        <v>206.96</v>
      </c>
      <c r="J116" s="15">
        <v>110.39</v>
      </c>
      <c r="K116" s="15">
        <v>125.69</v>
      </c>
      <c r="L116" s="15">
        <v>213.21</v>
      </c>
      <c r="M116" s="15">
        <v>122.17</v>
      </c>
      <c r="N116" s="20">
        <v>-142.6</v>
      </c>
      <c r="O116" s="18">
        <v>-11.17</v>
      </c>
      <c r="P116" s="21"/>
      <c r="Q116" s="21"/>
      <c r="R116" s="21"/>
      <c r="S116" s="21"/>
      <c r="T116" s="21"/>
      <c r="U116" s="21"/>
      <c r="V116" s="21"/>
      <c r="W116" s="21"/>
    </row>
    <row r="117" ht="15.0" customHeight="1">
      <c r="A117" s="14" t="s">
        <v>164</v>
      </c>
      <c r="B117" s="20">
        <v>-478.74</v>
      </c>
      <c r="C117" s="19">
        <v>20.34</v>
      </c>
      <c r="D117" s="15">
        <v>120.43</v>
      </c>
      <c r="E117" s="15">
        <v>536.83</v>
      </c>
      <c r="F117" s="15">
        <v>198.44</v>
      </c>
      <c r="G117" s="18">
        <v>-51.17</v>
      </c>
      <c r="H117" s="15">
        <v>180.53</v>
      </c>
      <c r="I117" s="15">
        <v>206.96</v>
      </c>
      <c r="J117" s="15">
        <v>110.39</v>
      </c>
      <c r="K117" s="15">
        <v>125.69</v>
      </c>
      <c r="L117" s="15">
        <v>213.21</v>
      </c>
      <c r="M117" s="15">
        <v>122.17</v>
      </c>
      <c r="N117" s="20">
        <v>-142.6</v>
      </c>
      <c r="O117" s="18">
        <v>-11.17</v>
      </c>
      <c r="P117" s="21"/>
      <c r="Q117" s="21"/>
      <c r="R117" s="21"/>
      <c r="S117" s="21"/>
      <c r="T117" s="21"/>
      <c r="U117" s="21"/>
      <c r="V117" s="21"/>
      <c r="W117" s="21"/>
    </row>
    <row r="118" ht="15.0" customHeight="1">
      <c r="A118" s="14" t="s">
        <v>165</v>
      </c>
      <c r="B118" s="19">
        <v>1.0</v>
      </c>
      <c r="C118" s="19">
        <v>1.0</v>
      </c>
      <c r="D118" s="19">
        <v>1.0</v>
      </c>
      <c r="E118" s="19">
        <v>1.0</v>
      </c>
      <c r="F118" s="19">
        <v>1.0</v>
      </c>
      <c r="G118" s="19">
        <v>1.0</v>
      </c>
      <c r="H118" s="19">
        <v>1.0</v>
      </c>
      <c r="I118" s="19">
        <v>1.0</v>
      </c>
      <c r="J118" s="19">
        <v>1.0</v>
      </c>
      <c r="K118" s="19">
        <v>1.0</v>
      </c>
      <c r="L118" s="19">
        <v>1.0</v>
      </c>
      <c r="M118" s="19">
        <v>1.0</v>
      </c>
      <c r="N118" s="19">
        <v>1.0</v>
      </c>
      <c r="O118" s="19">
        <v>1.0</v>
      </c>
      <c r="P118" s="21"/>
      <c r="Q118" s="21"/>
      <c r="R118" s="21"/>
      <c r="S118" s="21"/>
      <c r="T118" s="21"/>
      <c r="U118" s="21"/>
      <c r="V118" s="21"/>
      <c r="W118" s="21"/>
    </row>
    <row r="119" ht="15.0" customHeight="1">
      <c r="A119" s="14" t="s">
        <v>166</v>
      </c>
      <c r="B119" s="19">
        <v>1.0</v>
      </c>
      <c r="C119" s="19">
        <v>1.0</v>
      </c>
      <c r="D119" s="19">
        <v>1.0</v>
      </c>
      <c r="E119" s="19">
        <v>1.0</v>
      </c>
      <c r="F119" s="19">
        <v>1.0</v>
      </c>
      <c r="G119" s="19">
        <v>1.0</v>
      </c>
      <c r="H119" s="19">
        <v>1.0</v>
      </c>
      <c r="I119" s="19">
        <v>1.0</v>
      </c>
      <c r="J119" s="19">
        <v>1.0</v>
      </c>
      <c r="K119" s="19">
        <v>1.0</v>
      </c>
      <c r="L119" s="19">
        <v>1.0</v>
      </c>
      <c r="M119" s="19">
        <v>1.0</v>
      </c>
      <c r="N119" s="19">
        <v>1.0</v>
      </c>
      <c r="O119" s="19">
        <v>1.0</v>
      </c>
      <c r="P119" s="21"/>
      <c r="Q119" s="21"/>
      <c r="R119" s="21"/>
      <c r="S119" s="21"/>
      <c r="T119" s="21"/>
      <c r="U119" s="21"/>
      <c r="V119" s="21"/>
      <c r="W119" s="21"/>
    </row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167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46094.5631239468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42004.0</v>
      </c>
      <c r="O13" s="9">
        <v>41274.0</v>
      </c>
      <c r="P13" s="9">
        <v>40908.0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39447.0</v>
      </c>
      <c r="V13" s="9">
        <v>38990.0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168</v>
      </c>
      <c r="C15" s="10" t="s">
        <v>168</v>
      </c>
      <c r="D15" s="10" t="s">
        <v>168</v>
      </c>
      <c r="E15" s="10" t="s">
        <v>168</v>
      </c>
      <c r="F15" s="10" t="s">
        <v>168</v>
      </c>
      <c r="G15" s="10" t="s">
        <v>168</v>
      </c>
      <c r="H15" s="10" t="s">
        <v>168</v>
      </c>
      <c r="I15" s="10" t="s">
        <v>168</v>
      </c>
      <c r="J15" s="10" t="s">
        <v>168</v>
      </c>
      <c r="K15" s="10" t="s">
        <v>168</v>
      </c>
      <c r="L15" s="10" t="s">
        <v>168</v>
      </c>
      <c r="M15" s="10" t="s">
        <v>168</v>
      </c>
      <c r="N15" s="10" t="s">
        <v>168</v>
      </c>
      <c r="O15" s="10" t="s">
        <v>168</v>
      </c>
      <c r="P15" s="10" t="s">
        <v>168</v>
      </c>
      <c r="Q15" s="10" t="s">
        <v>168</v>
      </c>
      <c r="R15" s="10" t="s">
        <v>168</v>
      </c>
      <c r="S15" s="10" t="s">
        <v>168</v>
      </c>
      <c r="T15" s="10" t="s">
        <v>168</v>
      </c>
      <c r="U15" s="10" t="s">
        <v>168</v>
      </c>
      <c r="V15" s="10" t="s">
        <v>168</v>
      </c>
      <c r="W15" s="10" t="s">
        <v>168</v>
      </c>
    </row>
    <row r="16" ht="15.0" customHeight="1" outlineLevel="1">
      <c r="A16" s="8" t="s">
        <v>46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</row>
    <row r="18">
      <c r="A18" s="12" t="s">
        <v>169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170</v>
      </c>
      <c r="B20" s="15">
        <v>520.49</v>
      </c>
      <c r="C20" s="15">
        <v>606.58</v>
      </c>
      <c r="D20" s="15">
        <v>496.33</v>
      </c>
      <c r="E20" s="15">
        <v>410.39</v>
      </c>
      <c r="F20" s="15">
        <v>318.59</v>
      </c>
      <c r="G20" s="15">
        <v>370.69</v>
      </c>
      <c r="H20" s="15">
        <v>351.62</v>
      </c>
      <c r="I20" s="15">
        <v>379.61</v>
      </c>
      <c r="J20" s="15">
        <v>279.18</v>
      </c>
      <c r="K20" s="15">
        <v>263.63</v>
      </c>
      <c r="L20" s="15">
        <v>279.43</v>
      </c>
      <c r="M20" s="15">
        <v>244.42</v>
      </c>
      <c r="N20" s="15">
        <v>231.84</v>
      </c>
      <c r="O20" s="15">
        <v>205.45</v>
      </c>
      <c r="P20" s="15">
        <v>239.49</v>
      </c>
      <c r="Q20" s="15">
        <v>184.81</v>
      </c>
      <c r="R20" s="15">
        <v>173.96</v>
      </c>
      <c r="S20" s="15">
        <v>397.48</v>
      </c>
      <c r="T20" s="15">
        <v>414.61</v>
      </c>
      <c r="U20" s="21"/>
      <c r="V20" s="15">
        <v>365.14</v>
      </c>
      <c r="W20" s="21"/>
    </row>
    <row r="21" ht="15.0" customHeight="1">
      <c r="A21" s="14" t="s">
        <v>171</v>
      </c>
      <c r="B21" s="21"/>
      <c r="C21" s="15">
        <v>287.87</v>
      </c>
      <c r="D21" s="15">
        <v>243.64</v>
      </c>
      <c r="E21" s="15">
        <v>186.37</v>
      </c>
      <c r="F21" s="15">
        <v>160.76</v>
      </c>
      <c r="G21" s="15">
        <v>153.5</v>
      </c>
      <c r="H21" s="15">
        <v>126.58</v>
      </c>
      <c r="I21" s="15">
        <v>140.52</v>
      </c>
      <c r="J21" s="15">
        <v>109.07</v>
      </c>
      <c r="K21" s="15">
        <v>124.23</v>
      </c>
      <c r="L21" s="15">
        <v>122.45</v>
      </c>
      <c r="M21" s="15">
        <v>111.19</v>
      </c>
      <c r="N21" s="19">
        <v>98.02</v>
      </c>
      <c r="O21" s="19">
        <v>87.32</v>
      </c>
      <c r="P21" s="15">
        <v>110.2</v>
      </c>
      <c r="Q21" s="15">
        <v>104.99</v>
      </c>
      <c r="R21" s="19">
        <v>81.72</v>
      </c>
      <c r="S21" s="15">
        <v>132.49</v>
      </c>
      <c r="T21" s="15">
        <v>144.65</v>
      </c>
      <c r="U21" s="15">
        <v>141.13</v>
      </c>
      <c r="V21" s="21"/>
      <c r="W21" s="15">
        <v>161.67</v>
      </c>
    </row>
    <row r="22" ht="15.0" customHeight="1">
      <c r="A22" s="14" t="s">
        <v>172</v>
      </c>
      <c r="B22" s="21"/>
      <c r="C22" s="15">
        <v>318.71</v>
      </c>
      <c r="D22" s="15">
        <v>252.7</v>
      </c>
      <c r="E22" s="15">
        <v>224.02</v>
      </c>
      <c r="F22" s="15">
        <v>157.83</v>
      </c>
      <c r="G22" s="15">
        <v>217.19</v>
      </c>
      <c r="H22" s="15">
        <v>225.04</v>
      </c>
      <c r="I22" s="15">
        <v>239.09</v>
      </c>
      <c r="J22" s="15">
        <v>170.11</v>
      </c>
      <c r="K22" s="15">
        <v>130.87</v>
      </c>
      <c r="L22" s="15">
        <v>155.94</v>
      </c>
      <c r="M22" s="15">
        <v>128.44</v>
      </c>
      <c r="N22" s="19">
        <v>32.99</v>
      </c>
      <c r="O22" s="15">
        <v>118.13</v>
      </c>
      <c r="P22" s="15">
        <v>129.29</v>
      </c>
      <c r="Q22" s="19">
        <v>79.82</v>
      </c>
      <c r="R22" s="19">
        <v>92.24</v>
      </c>
      <c r="S22" s="15">
        <v>261.43</v>
      </c>
      <c r="T22" s="15">
        <v>264.91</v>
      </c>
      <c r="U22" s="15">
        <v>213.97</v>
      </c>
      <c r="V22" s="21"/>
      <c r="W22" s="15">
        <v>259.4</v>
      </c>
    </row>
    <row r="23" ht="15.0" customHeight="1">
      <c r="A23" s="14" t="s">
        <v>173</v>
      </c>
      <c r="B23" s="21"/>
      <c r="C23" s="21"/>
      <c r="D23" s="21"/>
      <c r="E23" s="21"/>
      <c r="F23" s="21"/>
      <c r="G23" s="21"/>
      <c r="H23" s="21"/>
      <c r="I23" s="21"/>
      <c r="J23" s="21">
        <v>0.0</v>
      </c>
      <c r="K23" s="19">
        <v>8.53</v>
      </c>
      <c r="L23" s="19">
        <v>1.05</v>
      </c>
      <c r="M23" s="19">
        <v>3.83</v>
      </c>
      <c r="N23" s="15">
        <v>100.84</v>
      </c>
      <c r="O23" s="21"/>
      <c r="P23" s="21"/>
      <c r="Q23" s="21"/>
      <c r="R23" s="21"/>
      <c r="S23" s="21"/>
      <c r="T23" s="21"/>
      <c r="U23" s="21"/>
      <c r="V23" s="21"/>
      <c r="W23" s="21"/>
    </row>
    <row r="24" ht="15.0" customHeight="1">
      <c r="A24" s="14" t="s">
        <v>170</v>
      </c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19">
        <v>0.96</v>
      </c>
      <c r="N24" s="21"/>
      <c r="O24" s="21"/>
      <c r="P24" s="21"/>
      <c r="Q24" s="21"/>
      <c r="R24" s="21"/>
      <c r="S24" s="21"/>
      <c r="T24" s="21"/>
      <c r="U24" s="21"/>
      <c r="V24" s="21"/>
      <c r="W24" s="21"/>
    </row>
    <row r="25" ht="15.0" customHeight="1">
      <c r="A25" s="14" t="s">
        <v>174</v>
      </c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>
        <v>0.0</v>
      </c>
      <c r="S25" s="19">
        <v>2.67</v>
      </c>
      <c r="T25" s="19">
        <v>2.52</v>
      </c>
      <c r="U25" s="19">
        <v>1.82</v>
      </c>
      <c r="V25" s="21"/>
      <c r="W25" s="19">
        <v>1.83</v>
      </c>
    </row>
    <row r="26" ht="15.0" customHeight="1">
      <c r="A26" s="14" t="s">
        <v>175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>
        <v>0.0</v>
      </c>
      <c r="S26" s="19">
        <v>0.89</v>
      </c>
      <c r="T26" s="19">
        <v>2.52</v>
      </c>
      <c r="U26" s="19">
        <v>4.55</v>
      </c>
      <c r="V26" s="21"/>
      <c r="W26" s="19">
        <v>10.05</v>
      </c>
    </row>
    <row r="27" ht="15.0" customHeight="1">
      <c r="A27" s="14" t="s">
        <v>176</v>
      </c>
      <c r="B27" s="15">
        <v>489.87</v>
      </c>
      <c r="C27" s="15">
        <v>454.42</v>
      </c>
      <c r="D27" s="15">
        <v>408.75</v>
      </c>
      <c r="E27" s="15">
        <v>424.51</v>
      </c>
      <c r="F27" s="15">
        <v>313.72</v>
      </c>
      <c r="G27" s="15">
        <v>228.68</v>
      </c>
      <c r="H27" s="15">
        <v>250.36</v>
      </c>
      <c r="I27" s="15">
        <v>325.94</v>
      </c>
      <c r="J27" s="15">
        <v>254.16</v>
      </c>
      <c r="K27" s="15">
        <v>196.3</v>
      </c>
      <c r="L27" s="15">
        <v>198.85</v>
      </c>
      <c r="M27" s="15">
        <v>164.86</v>
      </c>
      <c r="N27" s="15">
        <v>114.98</v>
      </c>
      <c r="O27" s="15">
        <v>129.26</v>
      </c>
      <c r="P27" s="15">
        <v>108.46</v>
      </c>
      <c r="Q27" s="21"/>
      <c r="R27" s="21"/>
      <c r="S27" s="21"/>
      <c r="T27" s="21"/>
      <c r="U27" s="21"/>
      <c r="V27" s="15">
        <v>505.25</v>
      </c>
      <c r="W27" s="15">
        <v>265.79</v>
      </c>
    </row>
    <row r="28" ht="15.0" customHeight="1">
      <c r="A28" s="14" t="s">
        <v>177</v>
      </c>
      <c r="B28" s="21"/>
      <c r="C28" s="15">
        <v>454.42</v>
      </c>
      <c r="D28" s="15">
        <v>408.75</v>
      </c>
      <c r="E28" s="15">
        <v>424.51</v>
      </c>
      <c r="F28" s="15">
        <v>313.72</v>
      </c>
      <c r="G28" s="15">
        <v>228.68</v>
      </c>
      <c r="H28" s="15">
        <v>250.36</v>
      </c>
      <c r="I28" s="15">
        <v>325.94</v>
      </c>
      <c r="J28" s="15">
        <v>254.16</v>
      </c>
      <c r="K28" s="15">
        <v>200.1</v>
      </c>
      <c r="L28" s="15">
        <v>203.03</v>
      </c>
      <c r="M28" s="15">
        <v>168.7</v>
      </c>
      <c r="N28" s="15">
        <v>117.81</v>
      </c>
      <c r="O28" s="15">
        <v>129.26</v>
      </c>
      <c r="P28" s="15">
        <v>109.33</v>
      </c>
      <c r="Q28" s="15">
        <v>130.15</v>
      </c>
      <c r="R28" s="15">
        <v>114.89</v>
      </c>
      <c r="S28" s="15">
        <v>232.98</v>
      </c>
      <c r="T28" s="15">
        <v>348.17</v>
      </c>
      <c r="U28" s="15">
        <v>366.94</v>
      </c>
      <c r="V28" s="21"/>
      <c r="W28" s="21"/>
    </row>
    <row r="29" ht="15.0" customHeight="1">
      <c r="A29" s="14" t="s">
        <v>178</v>
      </c>
      <c r="B29" s="21"/>
      <c r="C29" s="21">
        <v>0.0</v>
      </c>
      <c r="D29" s="21">
        <v>0.0</v>
      </c>
      <c r="E29" s="21">
        <v>0.0</v>
      </c>
      <c r="F29" s="21">
        <v>0.0</v>
      </c>
      <c r="G29" s="21">
        <v>0.0</v>
      </c>
      <c r="H29" s="21">
        <v>0.0</v>
      </c>
      <c r="I29" s="21">
        <v>0.0</v>
      </c>
      <c r="J29" s="21">
        <v>0.0</v>
      </c>
      <c r="K29" s="18">
        <v>-3.79</v>
      </c>
      <c r="L29" s="18">
        <v>-4.19</v>
      </c>
      <c r="M29" s="18">
        <v>-3.83</v>
      </c>
      <c r="N29" s="18">
        <v>-2.83</v>
      </c>
      <c r="O29" s="21">
        <v>0.0</v>
      </c>
      <c r="P29" s="18">
        <v>-0.87</v>
      </c>
      <c r="Q29" s="21">
        <v>0.0</v>
      </c>
      <c r="R29" s="18">
        <v>-3.24</v>
      </c>
      <c r="S29" s="18">
        <v>-3.56</v>
      </c>
      <c r="T29" s="18">
        <v>-2.52</v>
      </c>
      <c r="U29" s="18">
        <v>-0.91</v>
      </c>
      <c r="V29" s="21"/>
      <c r="W29" s="21"/>
    </row>
    <row r="30" ht="15.0" customHeight="1">
      <c r="A30" s="14" t="s">
        <v>179</v>
      </c>
      <c r="B30" s="21"/>
      <c r="C30" s="19">
        <v>93.56</v>
      </c>
      <c r="D30" s="15">
        <v>153.03</v>
      </c>
      <c r="E30" s="15">
        <v>111.07</v>
      </c>
      <c r="F30" s="19">
        <v>91.58</v>
      </c>
      <c r="G30" s="19">
        <v>51.17</v>
      </c>
      <c r="H30" s="19">
        <v>36.57</v>
      </c>
      <c r="I30" s="19">
        <v>71.24</v>
      </c>
      <c r="J30" s="19">
        <v>57.04</v>
      </c>
      <c r="K30" s="19">
        <v>56.9</v>
      </c>
      <c r="L30" s="19">
        <v>51.28</v>
      </c>
      <c r="M30" s="19">
        <v>47.93</v>
      </c>
      <c r="N30" s="19">
        <v>43.35</v>
      </c>
      <c r="O30" s="19">
        <v>46.23</v>
      </c>
      <c r="P30" s="21"/>
      <c r="Q30" s="21"/>
      <c r="R30" s="21"/>
      <c r="S30" s="21"/>
      <c r="T30" s="21"/>
      <c r="U30" s="21"/>
      <c r="V30" s="21"/>
      <c r="W30" s="21"/>
    </row>
    <row r="31" ht="15.0" customHeight="1">
      <c r="A31" s="14" t="s">
        <v>180</v>
      </c>
      <c r="B31" s="21"/>
      <c r="C31" s="19">
        <v>70.94</v>
      </c>
      <c r="D31" s="15">
        <v>138.93</v>
      </c>
      <c r="E31" s="15">
        <v>105.42</v>
      </c>
      <c r="F31" s="19">
        <v>86.71</v>
      </c>
      <c r="G31" s="19">
        <v>46.99</v>
      </c>
      <c r="H31" s="19">
        <v>30.01</v>
      </c>
      <c r="I31" s="19">
        <v>53.67</v>
      </c>
      <c r="J31" s="19">
        <v>41.03</v>
      </c>
      <c r="K31" s="19">
        <v>38.88</v>
      </c>
      <c r="L31" s="19">
        <v>36.63</v>
      </c>
      <c r="M31" s="19">
        <v>22.05</v>
      </c>
      <c r="N31" s="19">
        <v>29.22</v>
      </c>
      <c r="O31" s="19">
        <v>28.25</v>
      </c>
      <c r="P31" s="19">
        <v>41.65</v>
      </c>
      <c r="Q31" s="19">
        <v>45.99</v>
      </c>
      <c r="R31" s="19">
        <v>39.65</v>
      </c>
      <c r="S31" s="19">
        <v>59.58</v>
      </c>
      <c r="T31" s="19">
        <v>67.28</v>
      </c>
      <c r="U31" s="19">
        <v>97.43</v>
      </c>
      <c r="V31" s="21"/>
      <c r="W31" s="19">
        <v>83.12</v>
      </c>
    </row>
    <row r="32" ht="15.0" customHeight="1">
      <c r="A32" s="14" t="s">
        <v>181</v>
      </c>
      <c r="B32" s="21"/>
      <c r="C32" s="19">
        <v>18.51</v>
      </c>
      <c r="D32" s="19">
        <v>14.09</v>
      </c>
      <c r="E32" s="19">
        <v>5.65</v>
      </c>
      <c r="F32" s="19">
        <v>4.87</v>
      </c>
      <c r="G32" s="19">
        <v>4.18</v>
      </c>
      <c r="H32" s="19">
        <v>6.56</v>
      </c>
      <c r="I32" s="19">
        <v>17.57</v>
      </c>
      <c r="J32" s="19">
        <v>16.01</v>
      </c>
      <c r="K32" s="19">
        <v>18.02</v>
      </c>
      <c r="L32" s="19">
        <v>14.65</v>
      </c>
      <c r="M32" s="19">
        <v>25.88</v>
      </c>
      <c r="N32" s="19">
        <v>14.14</v>
      </c>
      <c r="O32" s="19">
        <v>16.26</v>
      </c>
      <c r="P32" s="19">
        <v>14.75</v>
      </c>
      <c r="Q32" s="19">
        <v>11.28</v>
      </c>
      <c r="R32" s="19">
        <v>12.14</v>
      </c>
      <c r="S32" s="19">
        <v>23.12</v>
      </c>
      <c r="T32" s="19">
        <v>33.64</v>
      </c>
      <c r="U32" s="19">
        <v>27.32</v>
      </c>
      <c r="V32" s="21"/>
      <c r="W32" s="19">
        <v>35.62</v>
      </c>
    </row>
    <row r="33" ht="15.0" customHeight="1">
      <c r="A33" s="14" t="s">
        <v>182</v>
      </c>
      <c r="B33" s="21"/>
      <c r="C33" s="21"/>
      <c r="D33" s="21"/>
      <c r="E33" s="21"/>
      <c r="F33" s="21"/>
      <c r="G33" s="19">
        <v>4.18</v>
      </c>
      <c r="H33" s="19">
        <v>4.69</v>
      </c>
      <c r="I33" s="19">
        <v>12.69</v>
      </c>
      <c r="J33" s="19">
        <v>10.01</v>
      </c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</row>
    <row r="34" ht="15.0" customHeight="1">
      <c r="A34" s="14" t="s">
        <v>183</v>
      </c>
      <c r="B34" s="21"/>
      <c r="C34" s="21"/>
      <c r="D34" s="21"/>
      <c r="E34" s="21"/>
      <c r="F34" s="21"/>
      <c r="G34" s="21"/>
      <c r="H34" s="21"/>
      <c r="I34" s="21"/>
      <c r="J34" s="21"/>
      <c r="K34" s="19">
        <v>11.38</v>
      </c>
      <c r="L34" s="19">
        <v>11.51</v>
      </c>
      <c r="M34" s="19">
        <v>14.38</v>
      </c>
      <c r="N34" s="19">
        <v>8.48</v>
      </c>
      <c r="O34" s="19">
        <v>11.13</v>
      </c>
      <c r="P34" s="21"/>
      <c r="Q34" s="21"/>
      <c r="R34" s="21"/>
      <c r="S34" s="21"/>
      <c r="T34" s="21"/>
      <c r="U34" s="21"/>
      <c r="V34" s="21"/>
      <c r="W34" s="21"/>
    </row>
    <row r="35" ht="15.0" customHeight="1">
      <c r="A35" s="14" t="s">
        <v>182</v>
      </c>
      <c r="B35" s="21"/>
      <c r="C35" s="21"/>
      <c r="D35" s="21"/>
      <c r="E35" s="21"/>
      <c r="F35" s="21"/>
      <c r="G35" s="21"/>
      <c r="H35" s="21"/>
      <c r="I35" s="21"/>
      <c r="J35" s="21"/>
      <c r="K35" s="19">
        <v>6.64</v>
      </c>
      <c r="L35" s="21"/>
      <c r="M35" s="21"/>
      <c r="N35" s="19">
        <v>0.94</v>
      </c>
      <c r="O35" s="21"/>
      <c r="P35" s="21"/>
      <c r="Q35" s="21"/>
      <c r="R35" s="21"/>
      <c r="S35" s="21"/>
      <c r="T35" s="21"/>
      <c r="U35" s="21"/>
      <c r="V35" s="21"/>
      <c r="W35" s="21"/>
    </row>
    <row r="36" ht="15.0" customHeight="1">
      <c r="A36" s="14" t="s">
        <v>184</v>
      </c>
      <c r="B36" s="21"/>
      <c r="C36" s="21"/>
      <c r="D36" s="21"/>
      <c r="E36" s="21"/>
      <c r="F36" s="21"/>
      <c r="G36" s="21"/>
      <c r="H36" s="21"/>
      <c r="I36" s="21"/>
      <c r="J36" s="21"/>
      <c r="K36" s="21">
        <v>0.0</v>
      </c>
      <c r="L36" s="19">
        <v>3.14</v>
      </c>
      <c r="M36" s="19">
        <v>11.5</v>
      </c>
      <c r="N36" s="19">
        <v>4.71</v>
      </c>
      <c r="O36" s="19">
        <v>5.14</v>
      </c>
      <c r="P36" s="19">
        <v>11.28</v>
      </c>
      <c r="Q36" s="19">
        <v>12.15</v>
      </c>
      <c r="R36" s="19">
        <v>12.95</v>
      </c>
      <c r="S36" s="19">
        <v>17.78</v>
      </c>
      <c r="T36" s="21"/>
      <c r="U36" s="21"/>
      <c r="V36" s="21"/>
      <c r="W36" s="21"/>
    </row>
    <row r="37" ht="15.0" customHeight="1">
      <c r="A37" s="14" t="s">
        <v>184</v>
      </c>
      <c r="B37" s="21"/>
      <c r="C37" s="19">
        <v>4.11</v>
      </c>
      <c r="D37" s="21">
        <v>0.0</v>
      </c>
      <c r="E37" s="21">
        <v>0.0</v>
      </c>
      <c r="F37" s="21">
        <v>0.0</v>
      </c>
      <c r="G37" s="21">
        <v>0.0</v>
      </c>
      <c r="H37" s="19">
        <v>1.88</v>
      </c>
      <c r="I37" s="19">
        <v>4.88</v>
      </c>
      <c r="J37" s="19">
        <v>6.0</v>
      </c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</row>
    <row r="38" ht="15.0" customHeight="1">
      <c r="A38" s="14" t="s">
        <v>185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19">
        <v>1.71</v>
      </c>
      <c r="P38" s="21"/>
      <c r="Q38" s="21"/>
      <c r="R38" s="21"/>
      <c r="S38" s="21"/>
      <c r="T38" s="21"/>
      <c r="U38" s="21"/>
      <c r="V38" s="21"/>
      <c r="W38" s="21"/>
    </row>
    <row r="39" ht="15.0" customHeight="1">
      <c r="A39" s="14" t="s">
        <v>186</v>
      </c>
      <c r="B39" s="21"/>
      <c r="C39" s="21"/>
      <c r="D39" s="21"/>
      <c r="E39" s="21"/>
      <c r="F39" s="21"/>
      <c r="G39" s="21"/>
      <c r="H39" s="21"/>
      <c r="I39" s="19">
        <v>3.9</v>
      </c>
      <c r="J39" s="19">
        <v>4.0</v>
      </c>
      <c r="K39" s="19">
        <v>4.74</v>
      </c>
      <c r="L39" s="19">
        <v>5.23</v>
      </c>
      <c r="M39" s="19">
        <v>3.83</v>
      </c>
      <c r="N39" s="19">
        <v>5.65</v>
      </c>
      <c r="O39" s="19">
        <v>5.14</v>
      </c>
      <c r="P39" s="19">
        <v>4.34</v>
      </c>
      <c r="Q39" s="19">
        <v>3.47</v>
      </c>
      <c r="R39" s="19">
        <v>5.66</v>
      </c>
      <c r="S39" s="19">
        <v>8.89</v>
      </c>
      <c r="T39" s="19">
        <v>6.73</v>
      </c>
      <c r="U39" s="19">
        <v>5.46</v>
      </c>
      <c r="V39" s="21"/>
      <c r="W39" s="21"/>
    </row>
    <row r="40" ht="15.0" customHeight="1">
      <c r="A40" s="14" t="s">
        <v>187</v>
      </c>
      <c r="B40" s="21"/>
      <c r="C40" s="21"/>
      <c r="D40" s="21"/>
      <c r="E40" s="21"/>
      <c r="F40" s="15">
        <v>156.86</v>
      </c>
      <c r="G40" s="15">
        <v>344.59</v>
      </c>
      <c r="H40" s="15">
        <v>352.56</v>
      </c>
      <c r="I40" s="15">
        <v>232.25</v>
      </c>
      <c r="J40" s="15">
        <v>326.21</v>
      </c>
      <c r="K40" s="19">
        <v>15.17</v>
      </c>
      <c r="L40" s="15">
        <v>176.87</v>
      </c>
      <c r="M40" s="19">
        <v>85.31</v>
      </c>
      <c r="N40" s="19">
        <v>32.99</v>
      </c>
      <c r="O40" s="19">
        <v>22.26</v>
      </c>
      <c r="P40" s="19">
        <v>18.22</v>
      </c>
      <c r="Q40" s="15">
        <v>134.49</v>
      </c>
      <c r="R40" s="21"/>
      <c r="S40" s="21"/>
      <c r="T40" s="15">
        <v>101.76</v>
      </c>
      <c r="U40" s="15">
        <v>111.08</v>
      </c>
      <c r="V40" s="15">
        <v>106.14</v>
      </c>
      <c r="W40" s="15">
        <v>143.4</v>
      </c>
    </row>
    <row r="41" ht="15.0" customHeight="1">
      <c r="A41" s="14" t="s">
        <v>187</v>
      </c>
      <c r="B41" s="19">
        <v>73.26</v>
      </c>
      <c r="C41" s="19">
        <v>19.53</v>
      </c>
      <c r="D41" s="15">
        <v>197.33</v>
      </c>
      <c r="E41" s="15">
        <v>437.69</v>
      </c>
      <c r="F41" s="15">
        <v>156.86</v>
      </c>
      <c r="G41" s="15">
        <v>344.59</v>
      </c>
      <c r="H41" s="15">
        <v>352.56</v>
      </c>
      <c r="I41" s="15">
        <v>232.25</v>
      </c>
      <c r="J41" s="15">
        <v>326.21</v>
      </c>
      <c r="K41" s="19">
        <v>15.17</v>
      </c>
      <c r="L41" s="15">
        <v>176.87</v>
      </c>
      <c r="M41" s="19">
        <v>85.31</v>
      </c>
      <c r="N41" s="19">
        <v>32.99</v>
      </c>
      <c r="O41" s="19">
        <v>22.26</v>
      </c>
      <c r="P41" s="21"/>
      <c r="Q41" s="21"/>
      <c r="R41" s="19">
        <v>89.81</v>
      </c>
      <c r="S41" s="19">
        <v>40.02</v>
      </c>
      <c r="T41" s="21"/>
      <c r="U41" s="21"/>
      <c r="V41" s="21"/>
      <c r="W41" s="21"/>
    </row>
    <row r="42" ht="15.0" customHeight="1">
      <c r="A42" s="14" t="s">
        <v>188</v>
      </c>
      <c r="B42" s="21"/>
      <c r="C42" s="19">
        <v>5.14</v>
      </c>
      <c r="D42" s="15">
        <v>100.68</v>
      </c>
      <c r="E42" s="15">
        <v>424.51</v>
      </c>
      <c r="F42" s="15">
        <v>135.42</v>
      </c>
      <c r="G42" s="19">
        <v>19.84</v>
      </c>
      <c r="H42" s="19">
        <v>33.76</v>
      </c>
      <c r="I42" s="19">
        <v>71.24</v>
      </c>
      <c r="J42" s="19">
        <v>9.01</v>
      </c>
      <c r="K42" s="19">
        <v>17.07</v>
      </c>
      <c r="L42" s="21"/>
      <c r="M42" s="21"/>
      <c r="N42" s="21"/>
      <c r="O42" s="19">
        <v>6.85</v>
      </c>
      <c r="P42" s="19">
        <v>0.87</v>
      </c>
      <c r="Q42" s="19">
        <v>21.69</v>
      </c>
      <c r="R42" s="19">
        <v>4.05</v>
      </c>
      <c r="S42" s="19">
        <v>8.89</v>
      </c>
      <c r="T42" s="19">
        <v>27.75</v>
      </c>
      <c r="U42" s="19">
        <v>22.76</v>
      </c>
      <c r="V42" s="21"/>
      <c r="W42" s="15">
        <v>137.92</v>
      </c>
    </row>
    <row r="43" ht="15.0" customHeight="1">
      <c r="A43" s="14" t="s">
        <v>189</v>
      </c>
      <c r="B43" s="21"/>
      <c r="C43" s="19">
        <v>1.03</v>
      </c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</row>
    <row r="44" ht="15.0" customHeight="1">
      <c r="A44" s="16" t="s">
        <v>190</v>
      </c>
      <c r="B44" s="17">
        <v>1083.63</v>
      </c>
      <c r="C44" s="17">
        <v>1180.25</v>
      </c>
      <c r="D44" s="17">
        <v>1356.11</v>
      </c>
      <c r="E44" s="17">
        <v>1808.17</v>
      </c>
      <c r="F44" s="17">
        <v>1016.17</v>
      </c>
      <c r="G44" s="17">
        <v>1014.96</v>
      </c>
      <c r="H44" s="17">
        <v>1024.87</v>
      </c>
      <c r="I44" s="17">
        <v>1084.18</v>
      </c>
      <c r="J44" s="17">
        <v>929.6</v>
      </c>
      <c r="K44" s="17">
        <v>553.82</v>
      </c>
      <c r="L44" s="17">
        <v>711.66</v>
      </c>
      <c r="M44" s="17">
        <v>546.35</v>
      </c>
      <c r="N44" s="17">
        <v>428.82</v>
      </c>
      <c r="O44" s="17">
        <v>415.17</v>
      </c>
      <c r="P44" s="17">
        <v>439.06</v>
      </c>
      <c r="Q44" s="17">
        <v>544.02</v>
      </c>
      <c r="R44" s="17">
        <v>449.87</v>
      </c>
      <c r="S44" s="17">
        <v>785.19</v>
      </c>
      <c r="T44" s="17">
        <v>997.42</v>
      </c>
      <c r="U44" s="17">
        <v>991.56</v>
      </c>
      <c r="V44" s="17">
        <v>976.53</v>
      </c>
      <c r="W44" s="17">
        <v>1098.8</v>
      </c>
    </row>
    <row r="45" ht="15.0" customHeight="1">
      <c r="A45" s="14" t="s">
        <v>191</v>
      </c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15">
        <v>1950.79</v>
      </c>
      <c r="M45" s="15">
        <v>1689.84</v>
      </c>
      <c r="N45" s="15">
        <v>1860.41</v>
      </c>
      <c r="O45" s="15">
        <v>1660.7</v>
      </c>
      <c r="P45" s="15">
        <v>1649.51</v>
      </c>
      <c r="Q45" s="21"/>
      <c r="R45" s="21"/>
      <c r="S45" s="21"/>
      <c r="T45" s="21"/>
      <c r="U45" s="21"/>
      <c r="V45" s="21"/>
      <c r="W45" s="21"/>
    </row>
    <row r="46" ht="15.0" customHeight="1">
      <c r="A46" s="14" t="s">
        <v>88</v>
      </c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0">
        <v>-1253.78</v>
      </c>
      <c r="M46" s="20">
        <v>-1093.65</v>
      </c>
      <c r="N46" s="20">
        <v>-1133.77</v>
      </c>
      <c r="O46" s="20">
        <v>-963.89</v>
      </c>
      <c r="P46" s="20">
        <v>-924.98</v>
      </c>
      <c r="Q46" s="20">
        <v>-897.16</v>
      </c>
      <c r="R46" s="20">
        <v>-785.65</v>
      </c>
      <c r="S46" s="20">
        <v>-1552.59</v>
      </c>
      <c r="T46" s="20">
        <v>-1399.42</v>
      </c>
      <c r="U46" s="20">
        <v>-1495.99</v>
      </c>
      <c r="V46" s="21"/>
      <c r="W46" s="20">
        <v>-1264.12</v>
      </c>
    </row>
    <row r="47" ht="15.0" customHeight="1">
      <c r="A47" s="14" t="s">
        <v>192</v>
      </c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18">
        <v>-7.33</v>
      </c>
      <c r="M47" s="18">
        <v>-6.71</v>
      </c>
      <c r="N47" s="20">
        <v>-116.86</v>
      </c>
      <c r="O47" s="18">
        <v>-50.51</v>
      </c>
      <c r="P47" s="18">
        <v>-65.08</v>
      </c>
      <c r="Q47" s="18">
        <v>-66.81</v>
      </c>
      <c r="R47" s="18">
        <v>-79.29</v>
      </c>
      <c r="S47" s="20">
        <v>-265.88</v>
      </c>
      <c r="T47" s="20">
        <v>-296.03</v>
      </c>
      <c r="U47" s="18">
        <v>-61.92</v>
      </c>
      <c r="V47" s="21"/>
      <c r="W47" s="18">
        <v>-63.94</v>
      </c>
    </row>
    <row r="48" ht="15.0" customHeight="1">
      <c r="A48" s="14" t="s">
        <v>193</v>
      </c>
      <c r="B48" s="15">
        <v>1593.18</v>
      </c>
      <c r="C48" s="15">
        <v>1623.36</v>
      </c>
      <c r="D48" s="15">
        <v>1282.62</v>
      </c>
      <c r="E48" s="15">
        <v>1120.11</v>
      </c>
      <c r="F48" s="15">
        <v>1181.8</v>
      </c>
      <c r="G48" s="15">
        <v>1256.17</v>
      </c>
      <c r="H48" s="15">
        <v>1123.32</v>
      </c>
      <c r="I48" s="15">
        <v>1150.54</v>
      </c>
      <c r="J48" s="15">
        <v>1020.66</v>
      </c>
      <c r="K48" s="15">
        <v>836.42</v>
      </c>
      <c r="L48" s="15">
        <v>689.69</v>
      </c>
      <c r="M48" s="15">
        <v>589.48</v>
      </c>
      <c r="N48" s="15">
        <v>609.77</v>
      </c>
      <c r="O48" s="15">
        <v>646.3</v>
      </c>
      <c r="P48" s="15">
        <v>659.46</v>
      </c>
      <c r="Q48" s="19">
        <f t="shared" ref="Q48:U48" si="1">SUM(Q51,Q57,Q65,Q68,Q47)</f>
        <v>151.84</v>
      </c>
      <c r="R48" s="19">
        <f t="shared" si="1"/>
        <v>40.46</v>
      </c>
      <c r="S48" s="19">
        <f t="shared" si="1"/>
        <v>156.5</v>
      </c>
      <c r="T48" s="19">
        <f t="shared" si="1"/>
        <v>126.99</v>
      </c>
      <c r="U48" s="19">
        <f t="shared" si="1"/>
        <v>348.73</v>
      </c>
      <c r="V48" s="19"/>
      <c r="W48" s="19">
        <f>SUM(W51,W57,W65,W68,W47)</f>
        <v>276.75</v>
      </c>
    </row>
    <row r="49" ht="15.0" customHeight="1">
      <c r="A49" s="14" t="s">
        <v>194</v>
      </c>
      <c r="B49" s="21"/>
      <c r="C49" s="19">
        <v>3.08</v>
      </c>
      <c r="D49" s="19">
        <v>3.02</v>
      </c>
      <c r="E49" s="19">
        <v>2.82</v>
      </c>
      <c r="F49" s="19">
        <v>2.92</v>
      </c>
      <c r="G49" s="19">
        <v>3.13</v>
      </c>
      <c r="H49" s="19">
        <v>2.81</v>
      </c>
      <c r="I49" s="19">
        <v>2.93</v>
      </c>
      <c r="J49" s="19">
        <v>3.0</v>
      </c>
      <c r="K49" s="19">
        <v>2.84</v>
      </c>
      <c r="L49" s="19">
        <v>3.14</v>
      </c>
      <c r="M49" s="19">
        <v>2.88</v>
      </c>
      <c r="N49" s="19">
        <v>2.83</v>
      </c>
      <c r="O49" s="19">
        <v>2.57</v>
      </c>
      <c r="P49" s="19">
        <v>2.6</v>
      </c>
      <c r="Q49" s="19">
        <v>13.88</v>
      </c>
      <c r="R49" s="19">
        <v>2.43</v>
      </c>
      <c r="S49" s="19">
        <v>24.01</v>
      </c>
      <c r="T49" s="19">
        <v>21.87</v>
      </c>
      <c r="U49" s="21"/>
      <c r="V49" s="21"/>
      <c r="W49" s="21"/>
    </row>
    <row r="50" ht="15.0" customHeight="1">
      <c r="A50" s="14" t="s">
        <v>195</v>
      </c>
      <c r="B50" s="21"/>
      <c r="C50" s="21">
        <v>0.0</v>
      </c>
      <c r="D50" s="21">
        <v>0.0</v>
      </c>
      <c r="E50" s="21">
        <v>0.0</v>
      </c>
      <c r="F50" s="21">
        <v>0.0</v>
      </c>
      <c r="G50" s="21">
        <v>0.0</v>
      </c>
      <c r="H50" s="21">
        <v>0.0</v>
      </c>
      <c r="I50" s="21">
        <v>0.0</v>
      </c>
      <c r="J50" s="21">
        <v>0.0</v>
      </c>
      <c r="K50" s="21">
        <v>0.0</v>
      </c>
      <c r="L50" s="21">
        <v>0.0</v>
      </c>
      <c r="M50" s="21">
        <v>0.0</v>
      </c>
      <c r="N50" s="21">
        <v>0.0</v>
      </c>
      <c r="O50" s="21">
        <v>0.0</v>
      </c>
      <c r="P50" s="21">
        <v>0.0</v>
      </c>
      <c r="Q50" s="18">
        <v>-7.81</v>
      </c>
      <c r="R50" s="21"/>
      <c r="S50" s="21"/>
      <c r="T50" s="18">
        <v>-5.05</v>
      </c>
      <c r="U50" s="21"/>
      <c r="V50" s="21"/>
      <c r="W50" s="21"/>
    </row>
    <row r="51" ht="15.0" customHeight="1">
      <c r="A51" s="14" t="s">
        <v>196</v>
      </c>
      <c r="B51" s="21"/>
      <c r="C51" s="19">
        <v>3.08</v>
      </c>
      <c r="D51" s="19">
        <v>3.02</v>
      </c>
      <c r="E51" s="19">
        <v>2.82</v>
      </c>
      <c r="F51" s="19">
        <v>2.92</v>
      </c>
      <c r="G51" s="19">
        <v>3.13</v>
      </c>
      <c r="H51" s="19">
        <v>2.81</v>
      </c>
      <c r="I51" s="19">
        <v>2.93</v>
      </c>
      <c r="J51" s="19">
        <v>3.0</v>
      </c>
      <c r="K51" s="19">
        <v>2.84</v>
      </c>
      <c r="L51" s="19">
        <v>3.14</v>
      </c>
      <c r="M51" s="19">
        <v>2.88</v>
      </c>
      <c r="N51" s="19">
        <v>2.83</v>
      </c>
      <c r="O51" s="19">
        <v>2.57</v>
      </c>
      <c r="P51" s="19">
        <v>2.6</v>
      </c>
      <c r="Q51" s="19">
        <v>2.6</v>
      </c>
      <c r="R51" s="19">
        <v>2.43</v>
      </c>
      <c r="S51" s="19">
        <v>24.01</v>
      </c>
      <c r="T51" s="19">
        <v>25.23</v>
      </c>
      <c r="U51" s="19">
        <v>27.32</v>
      </c>
      <c r="V51" s="21"/>
      <c r="W51" s="19">
        <v>26.49</v>
      </c>
    </row>
    <row r="52" ht="15.0" customHeight="1">
      <c r="A52" s="14" t="s">
        <v>197</v>
      </c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19">
        <v>19.09</v>
      </c>
      <c r="R52" s="21"/>
      <c r="S52" s="21"/>
      <c r="T52" s="19">
        <v>1.68</v>
      </c>
      <c r="U52" s="21"/>
      <c r="V52" s="21"/>
      <c r="W52" s="21"/>
    </row>
    <row r="53" ht="15.0" customHeight="1">
      <c r="A53" s="14" t="s">
        <v>198</v>
      </c>
      <c r="B53" s="21"/>
      <c r="C53" s="18">
        <v>-50.38</v>
      </c>
      <c r="D53" s="18">
        <v>-43.29</v>
      </c>
      <c r="E53" s="18">
        <v>-34.83</v>
      </c>
      <c r="F53" s="18">
        <v>-31.18</v>
      </c>
      <c r="G53" s="18">
        <v>-28.19</v>
      </c>
      <c r="H53" s="18">
        <v>-19.69</v>
      </c>
      <c r="I53" s="18">
        <v>-16.59</v>
      </c>
      <c r="J53" s="18">
        <v>-15.01</v>
      </c>
      <c r="K53" s="18">
        <v>-12.33</v>
      </c>
      <c r="L53" s="18">
        <v>-11.51</v>
      </c>
      <c r="M53" s="18">
        <v>-9.59</v>
      </c>
      <c r="N53" s="18">
        <v>-8.48</v>
      </c>
      <c r="O53" s="18">
        <v>-6.85</v>
      </c>
      <c r="P53" s="18">
        <v>-8.68</v>
      </c>
      <c r="Q53" s="21"/>
      <c r="R53" s="21"/>
      <c r="S53" s="21"/>
      <c r="T53" s="21"/>
      <c r="U53" s="21"/>
      <c r="V53" s="21"/>
      <c r="W53" s="21"/>
    </row>
    <row r="54" ht="15.0" customHeight="1">
      <c r="A54" s="14" t="s">
        <v>199</v>
      </c>
      <c r="B54" s="21"/>
      <c r="C54" s="15">
        <v>131.6</v>
      </c>
      <c r="D54" s="15">
        <v>128.87</v>
      </c>
      <c r="E54" s="15">
        <v>109.19</v>
      </c>
      <c r="F54" s="15">
        <v>102.3</v>
      </c>
      <c r="G54" s="15">
        <v>106.51</v>
      </c>
      <c r="H54" s="19">
        <v>90.95</v>
      </c>
      <c r="I54" s="19">
        <v>55.62</v>
      </c>
      <c r="J54" s="19">
        <v>41.03</v>
      </c>
      <c r="K54" s="19">
        <v>30.35</v>
      </c>
      <c r="L54" s="19">
        <v>33.49</v>
      </c>
      <c r="M54" s="19">
        <v>24.92</v>
      </c>
      <c r="N54" s="19">
        <v>19.79</v>
      </c>
      <c r="O54" s="19">
        <v>17.98</v>
      </c>
      <c r="P54" s="19">
        <v>19.09</v>
      </c>
      <c r="Q54" s="19">
        <v>19.09</v>
      </c>
      <c r="R54" s="19">
        <v>15.37</v>
      </c>
      <c r="S54" s="19">
        <v>19.56</v>
      </c>
      <c r="T54" s="19">
        <v>21.87</v>
      </c>
      <c r="U54" s="19">
        <v>24.58</v>
      </c>
      <c r="V54" s="21"/>
      <c r="W54" s="19">
        <v>21.92</v>
      </c>
    </row>
    <row r="55" ht="15.0" customHeight="1">
      <c r="A55" s="14" t="s">
        <v>200</v>
      </c>
      <c r="B55" s="21"/>
      <c r="C55" s="15">
        <v>157.3</v>
      </c>
      <c r="D55" s="15">
        <v>155.04</v>
      </c>
      <c r="E55" s="15">
        <v>147.78</v>
      </c>
      <c r="F55" s="15">
        <v>142.24</v>
      </c>
      <c r="G55" s="15">
        <v>160.81</v>
      </c>
      <c r="H55" s="15">
        <v>143.46</v>
      </c>
      <c r="I55" s="15">
        <v>102.47</v>
      </c>
      <c r="J55" s="19">
        <v>75.05</v>
      </c>
      <c r="K55" s="19">
        <v>77.76</v>
      </c>
      <c r="L55" s="19">
        <v>42.91</v>
      </c>
      <c r="M55" s="19">
        <v>38.34</v>
      </c>
      <c r="N55" s="19">
        <v>36.76</v>
      </c>
      <c r="O55" s="19">
        <v>37.67</v>
      </c>
      <c r="P55" s="19">
        <v>33.84</v>
      </c>
      <c r="Q55" s="19">
        <v>41.65</v>
      </c>
      <c r="R55" s="19">
        <v>42.07</v>
      </c>
      <c r="S55" s="19">
        <v>62.25</v>
      </c>
      <c r="T55" s="19">
        <v>62.23</v>
      </c>
      <c r="U55" s="21"/>
      <c r="V55" s="21"/>
      <c r="W55" s="21"/>
    </row>
    <row r="56" ht="15.0" customHeight="1">
      <c r="A56" s="14" t="s">
        <v>201</v>
      </c>
      <c r="B56" s="21"/>
      <c r="C56" s="20">
        <v>-179.92</v>
      </c>
      <c r="D56" s="20">
        <v>-163.1</v>
      </c>
      <c r="E56" s="20">
        <v>-111.07</v>
      </c>
      <c r="F56" s="20">
        <v>-103.27</v>
      </c>
      <c r="G56" s="18">
        <v>-98.15</v>
      </c>
      <c r="H56" s="18">
        <v>-77.83</v>
      </c>
      <c r="I56" s="18">
        <v>-69.29</v>
      </c>
      <c r="J56" s="18">
        <v>-62.04</v>
      </c>
      <c r="K56" s="18">
        <v>-51.21</v>
      </c>
      <c r="L56" s="18">
        <v>-55.47</v>
      </c>
      <c r="M56" s="18">
        <v>-46.97</v>
      </c>
      <c r="N56" s="18">
        <v>-41.47</v>
      </c>
      <c r="O56" s="18">
        <v>-33.39</v>
      </c>
      <c r="P56" s="18">
        <v>-36.44</v>
      </c>
      <c r="Q56" s="18">
        <v>-32.1</v>
      </c>
      <c r="R56" s="18">
        <v>-25.89</v>
      </c>
      <c r="S56" s="20">
        <v>-104.93</v>
      </c>
      <c r="T56" s="20">
        <v>-190.07</v>
      </c>
      <c r="U56" s="21"/>
      <c r="V56" s="21"/>
      <c r="W56" s="21"/>
    </row>
    <row r="57" ht="15.0" customHeight="1">
      <c r="A57" s="14" t="s">
        <v>202</v>
      </c>
      <c r="B57" s="21"/>
      <c r="C57" s="15">
        <v>337.22</v>
      </c>
      <c r="D57" s="15">
        <v>318.14</v>
      </c>
      <c r="E57" s="15">
        <v>258.85</v>
      </c>
      <c r="F57" s="15">
        <v>245.52</v>
      </c>
      <c r="G57" s="15">
        <v>258.96</v>
      </c>
      <c r="H57" s="15">
        <v>221.29</v>
      </c>
      <c r="I57" s="15">
        <v>171.75</v>
      </c>
      <c r="J57" s="15">
        <v>137.09</v>
      </c>
      <c r="K57" s="15">
        <v>128.97</v>
      </c>
      <c r="L57" s="19">
        <v>98.38</v>
      </c>
      <c r="M57" s="19">
        <v>85.31</v>
      </c>
      <c r="N57" s="19">
        <v>78.22</v>
      </c>
      <c r="O57" s="19">
        <v>71.05</v>
      </c>
      <c r="P57" s="19">
        <v>70.28</v>
      </c>
      <c r="Q57" s="19">
        <v>73.75</v>
      </c>
      <c r="R57" s="19">
        <v>67.97</v>
      </c>
      <c r="S57" s="15">
        <v>167.17</v>
      </c>
      <c r="T57" s="15">
        <v>252.3</v>
      </c>
      <c r="U57" s="15">
        <v>278.62</v>
      </c>
      <c r="V57" s="21"/>
      <c r="W57" s="15">
        <v>224.69</v>
      </c>
    </row>
    <row r="58" ht="15.0" customHeight="1">
      <c r="A58" s="14" t="s">
        <v>203</v>
      </c>
      <c r="B58" s="21"/>
      <c r="C58" s="15">
        <v>929.4</v>
      </c>
      <c r="D58" s="15">
        <v>868.84</v>
      </c>
      <c r="E58" s="15">
        <v>820.78</v>
      </c>
      <c r="F58" s="15">
        <v>833.01</v>
      </c>
      <c r="G58" s="15">
        <v>949.18</v>
      </c>
      <c r="H58" s="15">
        <v>852.34</v>
      </c>
      <c r="I58" s="15">
        <v>840.22</v>
      </c>
      <c r="J58" s="15">
        <v>654.42</v>
      </c>
      <c r="K58" s="15">
        <v>604.08</v>
      </c>
      <c r="L58" s="15">
        <v>535.84</v>
      </c>
      <c r="M58" s="15">
        <v>474.46</v>
      </c>
      <c r="N58" s="15">
        <v>527.77</v>
      </c>
      <c r="O58" s="15">
        <v>567.55</v>
      </c>
      <c r="P58" s="15">
        <v>429.52</v>
      </c>
      <c r="Q58" s="15">
        <v>472.01</v>
      </c>
      <c r="R58" s="15">
        <v>470.09</v>
      </c>
      <c r="S58" s="15">
        <v>651.8</v>
      </c>
      <c r="T58" s="15">
        <v>695.51</v>
      </c>
      <c r="U58" s="21"/>
      <c r="V58" s="21"/>
      <c r="W58" s="21"/>
    </row>
    <row r="59" ht="15.0" customHeight="1">
      <c r="A59" s="14" t="s">
        <v>204</v>
      </c>
      <c r="B59" s="21"/>
      <c r="C59" s="20">
        <v>-1878.33</v>
      </c>
      <c r="D59" s="20">
        <v>-1742.71</v>
      </c>
      <c r="E59" s="20">
        <v>-1528.61</v>
      </c>
      <c r="F59" s="20">
        <v>-1475.06</v>
      </c>
      <c r="G59" s="20">
        <v>-1493.21</v>
      </c>
      <c r="H59" s="20">
        <v>-1263.97</v>
      </c>
      <c r="I59" s="20">
        <v>-1238.37</v>
      </c>
      <c r="J59" s="20">
        <v>-1201.78</v>
      </c>
      <c r="K59" s="20">
        <v>-1066.86</v>
      </c>
      <c r="L59" s="20">
        <v>-1141.8</v>
      </c>
      <c r="M59" s="20">
        <v>-996.84</v>
      </c>
      <c r="N59" s="20">
        <v>-1045.18</v>
      </c>
      <c r="O59" s="20">
        <v>-934.79</v>
      </c>
      <c r="P59" s="20">
        <v>-907.62</v>
      </c>
      <c r="Q59" s="20">
        <v>-925.79</v>
      </c>
      <c r="R59" s="20">
        <v>-815.58</v>
      </c>
      <c r="S59" s="20">
        <v>-1690.42</v>
      </c>
      <c r="T59" s="20">
        <v>-1407.83</v>
      </c>
      <c r="U59" s="21"/>
      <c r="V59" s="21"/>
      <c r="W59" s="21"/>
    </row>
    <row r="60" ht="15.0" customHeight="1">
      <c r="A60" s="14" t="s">
        <v>205</v>
      </c>
      <c r="B60" s="21"/>
      <c r="C60" s="15">
        <v>2807.73</v>
      </c>
      <c r="D60" s="15">
        <v>2611.55</v>
      </c>
      <c r="E60" s="15">
        <v>2349.4</v>
      </c>
      <c r="F60" s="15">
        <v>2308.07</v>
      </c>
      <c r="G60" s="15">
        <v>2442.39</v>
      </c>
      <c r="H60" s="15">
        <v>2116.31</v>
      </c>
      <c r="I60" s="15">
        <v>2084.44</v>
      </c>
      <c r="J60" s="15">
        <v>1862.2</v>
      </c>
      <c r="K60" s="15">
        <v>1676.63</v>
      </c>
      <c r="L60" s="15">
        <v>1677.64</v>
      </c>
      <c r="M60" s="15">
        <v>1471.3</v>
      </c>
      <c r="N60" s="15">
        <v>1683.22</v>
      </c>
      <c r="O60" s="15">
        <v>1502.33</v>
      </c>
      <c r="P60" s="15">
        <v>1337.14</v>
      </c>
      <c r="Q60" s="15">
        <v>1352.68</v>
      </c>
      <c r="R60" s="15">
        <v>1279.21</v>
      </c>
      <c r="S60" s="15">
        <v>2269.3</v>
      </c>
      <c r="T60" s="15">
        <v>2103.34</v>
      </c>
      <c r="U60" s="15">
        <v>2239.89</v>
      </c>
      <c r="V60" s="21"/>
      <c r="W60" s="15">
        <v>1897.09</v>
      </c>
    </row>
    <row r="61" ht="15.0" customHeight="1">
      <c r="A61" s="14" t="s">
        <v>206</v>
      </c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19">
        <v>45.12</v>
      </c>
      <c r="R61" s="19">
        <v>6.47</v>
      </c>
      <c r="S61" s="19">
        <v>72.92</v>
      </c>
      <c r="T61" s="21"/>
      <c r="U61" s="21"/>
      <c r="V61" s="21"/>
      <c r="W61" s="21"/>
    </row>
    <row r="62" ht="15.0" customHeight="1">
      <c r="A62" s="14" t="s">
        <v>207</v>
      </c>
      <c r="B62" s="21"/>
      <c r="C62" s="21"/>
      <c r="D62" s="21"/>
      <c r="E62" s="21"/>
      <c r="F62" s="21"/>
      <c r="G62" s="21"/>
      <c r="H62" s="21"/>
      <c r="I62" s="18">
        <v>-5.86</v>
      </c>
      <c r="J62" s="18">
        <v>-6.0</v>
      </c>
      <c r="K62" s="18">
        <v>-5.69</v>
      </c>
      <c r="L62" s="21"/>
      <c r="M62" s="21"/>
      <c r="N62" s="20">
        <v>-110.27</v>
      </c>
      <c r="O62" s="21"/>
      <c r="P62" s="21"/>
      <c r="Q62" s="21"/>
      <c r="R62" s="21"/>
      <c r="S62" s="21"/>
      <c r="T62" s="21"/>
      <c r="U62" s="21"/>
      <c r="V62" s="21"/>
      <c r="W62" s="21"/>
    </row>
    <row r="63" ht="15.0" customHeight="1">
      <c r="A63" s="14" t="s">
        <v>208</v>
      </c>
      <c r="B63" s="21"/>
      <c r="C63" s="21"/>
      <c r="D63" s="21"/>
      <c r="E63" s="21"/>
      <c r="F63" s="21"/>
      <c r="G63" s="21"/>
      <c r="H63" s="21"/>
      <c r="I63" s="18">
        <v>-8.78</v>
      </c>
      <c r="J63" s="18">
        <v>-9.01</v>
      </c>
      <c r="K63" s="18">
        <v>-8.53</v>
      </c>
      <c r="L63" s="18">
        <v>-9.42</v>
      </c>
      <c r="M63" s="18">
        <v>-8.63</v>
      </c>
      <c r="N63" s="18">
        <v>-8.48</v>
      </c>
      <c r="O63" s="21"/>
      <c r="P63" s="21"/>
      <c r="Q63" s="21"/>
      <c r="R63" s="21"/>
      <c r="S63" s="21"/>
      <c r="T63" s="21"/>
      <c r="U63" s="21"/>
      <c r="V63" s="21"/>
      <c r="W63" s="21"/>
    </row>
    <row r="64" ht="15.0" customHeight="1">
      <c r="A64" s="14" t="s">
        <v>209</v>
      </c>
      <c r="B64" s="21"/>
      <c r="C64" s="18">
        <v>-93.56</v>
      </c>
      <c r="D64" s="18">
        <v>-91.62</v>
      </c>
      <c r="E64" s="18">
        <v>-77.18</v>
      </c>
      <c r="F64" s="18">
        <v>-71.12</v>
      </c>
      <c r="G64" s="18">
        <v>-68.92</v>
      </c>
      <c r="H64" s="18">
        <v>-56.26</v>
      </c>
      <c r="I64" s="18">
        <v>-42.94</v>
      </c>
      <c r="J64" s="18">
        <v>-39.03</v>
      </c>
      <c r="K64" s="18">
        <v>-35.09</v>
      </c>
      <c r="L64" s="18">
        <v>-45.0</v>
      </c>
      <c r="M64" s="18">
        <v>-40.26</v>
      </c>
      <c r="N64" s="18">
        <v>-38.64</v>
      </c>
      <c r="O64" s="18">
        <v>-41.09</v>
      </c>
      <c r="P64" s="18">
        <v>-39.05</v>
      </c>
      <c r="Q64" s="21"/>
      <c r="R64" s="21"/>
      <c r="S64" s="21"/>
      <c r="T64" s="21"/>
      <c r="U64" s="21"/>
      <c r="V64" s="21"/>
      <c r="W64" s="21"/>
    </row>
    <row r="65" ht="15.0" customHeight="1">
      <c r="A65" s="14" t="s">
        <v>210</v>
      </c>
      <c r="B65" s="21"/>
      <c r="C65" s="15">
        <v>116.17</v>
      </c>
      <c r="D65" s="15">
        <v>113.76</v>
      </c>
      <c r="E65" s="19">
        <v>93.19</v>
      </c>
      <c r="F65" s="19">
        <v>90.61</v>
      </c>
      <c r="G65" s="19">
        <v>98.15</v>
      </c>
      <c r="H65" s="19">
        <v>77.83</v>
      </c>
      <c r="I65" s="19">
        <v>77.09</v>
      </c>
      <c r="J65" s="19">
        <v>63.04</v>
      </c>
      <c r="K65" s="19">
        <v>52.16</v>
      </c>
      <c r="L65" s="19">
        <v>57.56</v>
      </c>
      <c r="M65" s="19">
        <v>50.8</v>
      </c>
      <c r="N65" s="19">
        <v>49.95</v>
      </c>
      <c r="O65" s="19">
        <v>46.23</v>
      </c>
      <c r="P65" s="19">
        <v>45.99</v>
      </c>
      <c r="Q65" s="19">
        <v>45.12</v>
      </c>
      <c r="R65" s="19">
        <v>41.26</v>
      </c>
      <c r="S65" s="15">
        <v>113.82</v>
      </c>
      <c r="T65" s="15">
        <v>105.12</v>
      </c>
      <c r="U65" s="15">
        <v>104.71</v>
      </c>
      <c r="V65" s="21"/>
      <c r="W65" s="19">
        <v>89.51</v>
      </c>
    </row>
    <row r="66" ht="15.0" customHeight="1">
      <c r="A66" s="14" t="s">
        <v>211</v>
      </c>
      <c r="B66" s="21"/>
      <c r="C66" s="21"/>
      <c r="D66" s="21"/>
      <c r="E66" s="21"/>
      <c r="F66" s="21"/>
      <c r="G66" s="21"/>
      <c r="H66" s="21"/>
      <c r="I66" s="19">
        <v>1.95</v>
      </c>
      <c r="J66" s="19">
        <v>2.0</v>
      </c>
      <c r="K66" s="19">
        <v>1.9</v>
      </c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</row>
    <row r="67" ht="15.0" customHeight="1">
      <c r="A67" s="14" t="s">
        <v>212</v>
      </c>
      <c r="B67" s="21"/>
      <c r="C67" s="21"/>
      <c r="D67" s="21"/>
      <c r="E67" s="21"/>
      <c r="F67" s="21"/>
      <c r="G67" s="19">
        <v>62.65</v>
      </c>
      <c r="H67" s="19">
        <v>45.95</v>
      </c>
      <c r="I67" s="18">
        <v>-63.43</v>
      </c>
      <c r="J67" s="20">
        <v>-183.12</v>
      </c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</row>
    <row r="68" ht="15.0" customHeight="1">
      <c r="A68" s="14" t="s">
        <v>213</v>
      </c>
      <c r="B68" s="21"/>
      <c r="C68" s="15">
        <v>429.74</v>
      </c>
      <c r="D68" s="15">
        <v>147.99</v>
      </c>
      <c r="E68" s="19">
        <v>58.36</v>
      </c>
      <c r="F68" s="15">
        <v>113.02</v>
      </c>
      <c r="G68" s="19">
        <v>35.5</v>
      </c>
      <c r="H68" s="19">
        <v>31.88</v>
      </c>
      <c r="I68" s="15">
        <v>140.52</v>
      </c>
      <c r="J68" s="15">
        <v>246.16</v>
      </c>
      <c r="K68" s="15">
        <v>125.18</v>
      </c>
      <c r="L68" s="19">
        <v>82.68</v>
      </c>
      <c r="M68" s="19">
        <v>56.55</v>
      </c>
      <c r="N68" s="19">
        <v>28.27</v>
      </c>
      <c r="O68" s="19">
        <v>22.26</v>
      </c>
      <c r="P68" s="15">
        <v>176.14</v>
      </c>
      <c r="Q68" s="19">
        <v>97.18</v>
      </c>
      <c r="R68" s="19">
        <v>8.09</v>
      </c>
      <c r="S68" s="15">
        <v>117.38</v>
      </c>
      <c r="T68" s="19">
        <v>40.37</v>
      </c>
      <c r="U68" s="21"/>
      <c r="V68" s="21"/>
      <c r="W68" s="21"/>
    </row>
    <row r="69" ht="15.0" customHeight="1">
      <c r="A69" s="14" t="s">
        <v>214</v>
      </c>
      <c r="B69" s="21"/>
      <c r="C69" s="21">
        <v>0.0</v>
      </c>
      <c r="D69" s="21">
        <v>0.0</v>
      </c>
      <c r="E69" s="21">
        <v>0.0</v>
      </c>
      <c r="F69" s="21">
        <v>0.0</v>
      </c>
      <c r="G69" s="21">
        <v>0.0</v>
      </c>
      <c r="H69" s="21">
        <v>0.0</v>
      </c>
      <c r="I69" s="21">
        <v>0.0</v>
      </c>
      <c r="J69" s="21">
        <v>0.0</v>
      </c>
      <c r="K69" s="21">
        <v>0.0</v>
      </c>
      <c r="L69" s="21">
        <v>0.0</v>
      </c>
      <c r="M69" s="21">
        <v>0.0</v>
      </c>
      <c r="N69" s="21">
        <v>0.0</v>
      </c>
      <c r="O69" s="19">
        <v>1.71</v>
      </c>
      <c r="P69" s="21"/>
      <c r="Q69" s="19">
        <v>1.74</v>
      </c>
      <c r="R69" s="21"/>
      <c r="S69" s="18">
        <v>-1.78</v>
      </c>
      <c r="T69" s="18">
        <v>-0.84</v>
      </c>
      <c r="U69" s="21"/>
      <c r="V69" s="21"/>
      <c r="W69" s="21"/>
    </row>
    <row r="70" ht="15.0" customHeight="1">
      <c r="A70" s="14" t="s">
        <v>215</v>
      </c>
      <c r="B70" s="21"/>
      <c r="C70" s="15">
        <v>429.74</v>
      </c>
      <c r="D70" s="15">
        <v>147.99</v>
      </c>
      <c r="E70" s="19">
        <v>58.36</v>
      </c>
      <c r="F70" s="15">
        <v>113.02</v>
      </c>
      <c r="G70" s="19">
        <v>35.5</v>
      </c>
      <c r="H70" s="19">
        <v>31.88</v>
      </c>
      <c r="I70" s="15">
        <v>138.57</v>
      </c>
      <c r="J70" s="15">
        <v>244.16</v>
      </c>
      <c r="K70" s="15">
        <v>123.28</v>
      </c>
      <c r="L70" s="19">
        <v>82.68</v>
      </c>
      <c r="M70" s="19">
        <v>56.55</v>
      </c>
      <c r="N70" s="19">
        <v>28.27</v>
      </c>
      <c r="O70" s="19">
        <v>20.54</v>
      </c>
      <c r="P70" s="21"/>
      <c r="Q70" s="19">
        <v>95.44</v>
      </c>
      <c r="R70" s="19">
        <v>6.47</v>
      </c>
      <c r="S70" s="15">
        <v>115.6</v>
      </c>
      <c r="T70" s="19">
        <v>41.21</v>
      </c>
      <c r="U70" s="19">
        <v>51.9</v>
      </c>
      <c r="V70" s="21"/>
      <c r="W70" s="15">
        <v>207.34</v>
      </c>
    </row>
    <row r="71" ht="15.0" customHeight="1">
      <c r="A71" s="14" t="s">
        <v>216</v>
      </c>
      <c r="B71" s="21"/>
      <c r="C71" s="21"/>
      <c r="D71" s="21"/>
      <c r="E71" s="21"/>
      <c r="F71" s="21"/>
      <c r="G71" s="21"/>
      <c r="H71" s="21"/>
      <c r="I71" s="21"/>
      <c r="J71" s="19">
        <v>1.0</v>
      </c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</row>
    <row r="72" ht="15.0" customHeight="1">
      <c r="A72" s="14" t="s">
        <v>217</v>
      </c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19">
        <v>10.67</v>
      </c>
      <c r="T72" s="19">
        <v>3.36</v>
      </c>
      <c r="U72" s="21"/>
      <c r="V72" s="21"/>
      <c r="W72" s="21"/>
    </row>
    <row r="73" ht="15.0" customHeight="1">
      <c r="A73" s="14" t="s">
        <v>218</v>
      </c>
      <c r="B73" s="19">
        <v>24.06</v>
      </c>
      <c r="C73" s="19">
        <v>21.59</v>
      </c>
      <c r="D73" s="19">
        <v>21.14</v>
      </c>
      <c r="E73" s="19">
        <v>19.77</v>
      </c>
      <c r="F73" s="19">
        <v>24.36</v>
      </c>
      <c r="G73" s="19">
        <v>31.33</v>
      </c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</row>
    <row r="74" ht="15.0" customHeight="1">
      <c r="A74" s="14" t="s">
        <v>219</v>
      </c>
      <c r="B74" s="21"/>
      <c r="C74" s="21">
        <v>0.0</v>
      </c>
      <c r="D74" s="21">
        <v>0.0</v>
      </c>
      <c r="E74" s="21">
        <v>0.0</v>
      </c>
      <c r="F74" s="19">
        <v>3.9</v>
      </c>
      <c r="G74" s="19">
        <v>9.4</v>
      </c>
      <c r="H74" s="19">
        <v>12.19</v>
      </c>
      <c r="I74" s="19">
        <v>16.59</v>
      </c>
      <c r="J74" s="19">
        <v>19.01</v>
      </c>
      <c r="K74" s="21">
        <v>0.0</v>
      </c>
      <c r="L74" s="21">
        <v>0.0</v>
      </c>
      <c r="M74" s="21">
        <v>0.0</v>
      </c>
      <c r="N74" s="21">
        <v>0.0</v>
      </c>
      <c r="O74" s="21">
        <v>0.0</v>
      </c>
      <c r="P74" s="19">
        <v>0.87</v>
      </c>
      <c r="Q74" s="19">
        <v>0.87</v>
      </c>
      <c r="R74" s="19">
        <v>2.43</v>
      </c>
      <c r="S74" s="19">
        <v>7.11</v>
      </c>
      <c r="T74" s="19">
        <v>10.93</v>
      </c>
      <c r="U74" s="21"/>
      <c r="V74" s="21"/>
      <c r="W74" s="21"/>
    </row>
    <row r="75" ht="15.0" customHeight="1">
      <c r="A75" s="14" t="s">
        <v>220</v>
      </c>
      <c r="B75" s="21"/>
      <c r="C75" s="18">
        <v>-44.21</v>
      </c>
      <c r="D75" s="18">
        <v>-43.29</v>
      </c>
      <c r="E75" s="18">
        <v>-40.47</v>
      </c>
      <c r="F75" s="18">
        <v>-38.0</v>
      </c>
      <c r="G75" s="18">
        <v>-34.46</v>
      </c>
      <c r="H75" s="18">
        <v>-44.07</v>
      </c>
      <c r="I75" s="18">
        <v>-40.99</v>
      </c>
      <c r="J75" s="18">
        <v>-38.02</v>
      </c>
      <c r="K75" s="18">
        <v>-36.04</v>
      </c>
      <c r="L75" s="18">
        <v>-39.77</v>
      </c>
      <c r="M75" s="18">
        <v>-36.42</v>
      </c>
      <c r="N75" s="18">
        <v>-35.81</v>
      </c>
      <c r="O75" s="18">
        <v>-32.53</v>
      </c>
      <c r="P75" s="18">
        <v>-32.11</v>
      </c>
      <c r="Q75" s="18">
        <v>-32.1</v>
      </c>
      <c r="R75" s="18">
        <v>-27.51</v>
      </c>
      <c r="S75" s="18">
        <v>-25.79</v>
      </c>
      <c r="T75" s="18">
        <v>-20.18</v>
      </c>
      <c r="U75" s="21"/>
      <c r="V75" s="21"/>
      <c r="W75" s="21"/>
    </row>
    <row r="76" ht="15.0" customHeight="1">
      <c r="A76" s="14" t="s">
        <v>221</v>
      </c>
      <c r="B76" s="21"/>
      <c r="C76" s="19">
        <v>44.21</v>
      </c>
      <c r="D76" s="19">
        <v>43.29</v>
      </c>
      <c r="E76" s="19">
        <v>40.47</v>
      </c>
      <c r="F76" s="19">
        <v>40.92</v>
      </c>
      <c r="G76" s="19">
        <v>43.86</v>
      </c>
      <c r="H76" s="19">
        <v>57.2</v>
      </c>
      <c r="I76" s="19">
        <v>57.58</v>
      </c>
      <c r="J76" s="19">
        <v>57.04</v>
      </c>
      <c r="K76" s="19">
        <v>36.04</v>
      </c>
      <c r="L76" s="19">
        <v>39.77</v>
      </c>
      <c r="M76" s="19">
        <v>36.42</v>
      </c>
      <c r="N76" s="19">
        <v>35.81</v>
      </c>
      <c r="O76" s="19">
        <v>32.53</v>
      </c>
      <c r="P76" s="19">
        <v>32.97</v>
      </c>
      <c r="Q76" s="19">
        <v>32.97</v>
      </c>
      <c r="R76" s="19">
        <v>29.94</v>
      </c>
      <c r="S76" s="19">
        <v>32.9</v>
      </c>
      <c r="T76" s="19">
        <v>31.12</v>
      </c>
      <c r="U76" s="21"/>
      <c r="V76" s="21"/>
      <c r="W76" s="21"/>
    </row>
    <row r="77" ht="15.0" customHeight="1">
      <c r="A77" s="14" t="s">
        <v>222</v>
      </c>
      <c r="B77" s="21"/>
      <c r="C77" s="21"/>
      <c r="D77" s="21"/>
      <c r="E77" s="21"/>
      <c r="F77" s="19">
        <v>0.97</v>
      </c>
      <c r="G77" s="21"/>
      <c r="H77" s="18">
        <v>-0.94</v>
      </c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</row>
    <row r="78" ht="15.0" customHeight="1">
      <c r="A78" s="14" t="s">
        <v>223</v>
      </c>
      <c r="B78" s="21"/>
      <c r="C78" s="21">
        <v>0.0</v>
      </c>
      <c r="D78" s="21">
        <v>0.0</v>
      </c>
      <c r="E78" s="21">
        <v>0.0</v>
      </c>
      <c r="F78" s="21">
        <v>0.0</v>
      </c>
      <c r="G78" s="21">
        <v>0.0</v>
      </c>
      <c r="H78" s="21">
        <v>0.0</v>
      </c>
      <c r="I78" s="21">
        <v>0.0</v>
      </c>
      <c r="J78" s="21">
        <v>0.0</v>
      </c>
      <c r="K78" s="21">
        <v>0.0</v>
      </c>
      <c r="L78" s="21">
        <v>0.0</v>
      </c>
      <c r="M78" s="21">
        <v>0.0</v>
      </c>
      <c r="N78" s="21">
        <v>0.0</v>
      </c>
      <c r="O78" s="21">
        <v>0.0</v>
      </c>
      <c r="P78" s="21">
        <v>0.0</v>
      </c>
      <c r="Q78" s="19">
        <v>0.87</v>
      </c>
      <c r="R78" s="19">
        <v>4.05</v>
      </c>
      <c r="S78" s="19">
        <v>3.56</v>
      </c>
      <c r="T78" s="19">
        <v>4.2</v>
      </c>
      <c r="U78" s="21"/>
      <c r="V78" s="21"/>
      <c r="W78" s="21"/>
    </row>
    <row r="79" ht="15.0" customHeight="1">
      <c r="A79" s="14" t="s">
        <v>224</v>
      </c>
      <c r="B79" s="21"/>
      <c r="C79" s="21">
        <v>0.0</v>
      </c>
      <c r="D79" s="21">
        <v>0.0</v>
      </c>
      <c r="E79" s="21">
        <v>0.0</v>
      </c>
      <c r="F79" s="21">
        <v>0.0</v>
      </c>
      <c r="G79" s="21">
        <v>0.0</v>
      </c>
      <c r="H79" s="18">
        <v>-1.88</v>
      </c>
      <c r="I79" s="18">
        <v>-1.95</v>
      </c>
      <c r="J79" s="18">
        <v>-2.0</v>
      </c>
      <c r="K79" s="18">
        <v>-1.9</v>
      </c>
      <c r="L79" s="18">
        <v>-2.09</v>
      </c>
      <c r="M79" s="18">
        <v>-1.92</v>
      </c>
      <c r="N79" s="18">
        <v>-1.88</v>
      </c>
      <c r="O79" s="18">
        <v>-1.71</v>
      </c>
      <c r="P79" s="18">
        <v>-1.74</v>
      </c>
      <c r="Q79" s="18">
        <v>-0.87</v>
      </c>
      <c r="R79" s="18">
        <v>-2.43</v>
      </c>
      <c r="S79" s="18">
        <v>-1.78</v>
      </c>
      <c r="T79" s="18">
        <v>-0.84</v>
      </c>
      <c r="U79" s="21"/>
      <c r="V79" s="21"/>
      <c r="W79" s="21"/>
    </row>
    <row r="80" ht="15.0" customHeight="1">
      <c r="A80" s="14" t="s">
        <v>225</v>
      </c>
      <c r="B80" s="21"/>
      <c r="C80" s="21">
        <v>0.0</v>
      </c>
      <c r="D80" s="21">
        <v>0.0</v>
      </c>
      <c r="E80" s="21">
        <v>0.0</v>
      </c>
      <c r="F80" s="21">
        <v>0.0</v>
      </c>
      <c r="G80" s="21">
        <v>0.0</v>
      </c>
      <c r="H80" s="19">
        <v>1.88</v>
      </c>
      <c r="I80" s="19">
        <v>1.95</v>
      </c>
      <c r="J80" s="19">
        <v>2.0</v>
      </c>
      <c r="K80" s="19">
        <v>1.9</v>
      </c>
      <c r="L80" s="19">
        <v>2.09</v>
      </c>
      <c r="M80" s="19">
        <v>1.92</v>
      </c>
      <c r="N80" s="19">
        <v>1.88</v>
      </c>
      <c r="O80" s="19">
        <v>1.71</v>
      </c>
      <c r="P80" s="19">
        <v>1.74</v>
      </c>
      <c r="Q80" s="19">
        <v>1.74</v>
      </c>
      <c r="R80" s="19">
        <v>6.47</v>
      </c>
      <c r="S80" s="19">
        <v>5.34</v>
      </c>
      <c r="T80" s="19">
        <v>5.05</v>
      </c>
      <c r="U80" s="21"/>
      <c r="V80" s="21"/>
      <c r="W80" s="21"/>
    </row>
    <row r="81" ht="15.0" customHeight="1">
      <c r="A81" s="14" t="s">
        <v>226</v>
      </c>
      <c r="B81" s="21"/>
      <c r="C81" s="21">
        <v>0.0</v>
      </c>
      <c r="D81" s="21">
        <v>0.0</v>
      </c>
      <c r="E81" s="21">
        <v>0.0</v>
      </c>
      <c r="F81" s="21">
        <v>0.0</v>
      </c>
      <c r="G81" s="21">
        <v>0.0</v>
      </c>
      <c r="H81" s="21">
        <v>0.0</v>
      </c>
      <c r="I81" s="21">
        <v>0.0</v>
      </c>
      <c r="J81" s="21">
        <v>0.0</v>
      </c>
      <c r="K81" s="19">
        <v>9.48</v>
      </c>
      <c r="L81" s="19">
        <v>7.33</v>
      </c>
      <c r="M81" s="19">
        <v>4.79</v>
      </c>
      <c r="N81" s="19">
        <v>3.77</v>
      </c>
      <c r="O81" s="19">
        <v>3.42</v>
      </c>
      <c r="P81" s="19">
        <v>1.74</v>
      </c>
      <c r="Q81" s="21"/>
      <c r="R81" s="21"/>
      <c r="S81" s="21"/>
      <c r="T81" s="21"/>
      <c r="U81" s="21"/>
      <c r="V81" s="21"/>
      <c r="W81" s="21"/>
    </row>
    <row r="82" ht="15.0" customHeight="1">
      <c r="A82" s="14" t="s">
        <v>227</v>
      </c>
      <c r="B82" s="21"/>
      <c r="C82" s="21">
        <v>0.0</v>
      </c>
      <c r="D82" s="21">
        <v>0.0</v>
      </c>
      <c r="E82" s="21">
        <v>0.0</v>
      </c>
      <c r="F82" s="21">
        <v>0.0</v>
      </c>
      <c r="G82" s="21">
        <v>0.0</v>
      </c>
      <c r="H82" s="18">
        <v>-5.63</v>
      </c>
      <c r="I82" s="18">
        <v>-5.86</v>
      </c>
      <c r="J82" s="18">
        <v>-6.0</v>
      </c>
      <c r="K82" s="18">
        <v>-5.69</v>
      </c>
      <c r="L82" s="21">
        <v>0.0</v>
      </c>
      <c r="M82" s="21">
        <v>0.0</v>
      </c>
      <c r="N82" s="21">
        <v>0.0</v>
      </c>
      <c r="O82" s="21">
        <v>0.0</v>
      </c>
      <c r="P82" s="21">
        <v>0.0</v>
      </c>
      <c r="Q82" s="21"/>
      <c r="R82" s="21"/>
      <c r="S82" s="21"/>
      <c r="T82" s="21"/>
      <c r="U82" s="21"/>
      <c r="V82" s="21"/>
      <c r="W82" s="21"/>
    </row>
    <row r="83" ht="15.0" customHeight="1">
      <c r="A83" s="14" t="s">
        <v>218</v>
      </c>
      <c r="B83" s="21"/>
      <c r="C83" s="21">
        <v>0.0</v>
      </c>
      <c r="D83" s="21">
        <v>0.0</v>
      </c>
      <c r="E83" s="21">
        <v>0.0</v>
      </c>
      <c r="F83" s="21">
        <v>0.0</v>
      </c>
      <c r="G83" s="21">
        <v>0.0</v>
      </c>
      <c r="H83" s="19">
        <v>5.63</v>
      </c>
      <c r="I83" s="19">
        <v>5.86</v>
      </c>
      <c r="J83" s="19">
        <v>6.0</v>
      </c>
      <c r="K83" s="19">
        <v>15.17</v>
      </c>
      <c r="L83" s="19">
        <v>7.33</v>
      </c>
      <c r="M83" s="19">
        <v>4.79</v>
      </c>
      <c r="N83" s="19">
        <v>3.77</v>
      </c>
      <c r="O83" s="19">
        <v>3.42</v>
      </c>
      <c r="P83" s="19">
        <v>1.74</v>
      </c>
      <c r="Q83" s="21"/>
      <c r="R83" s="21"/>
      <c r="S83" s="21"/>
      <c r="T83" s="21"/>
      <c r="U83" s="21"/>
      <c r="V83" s="21"/>
      <c r="W83" s="21"/>
    </row>
    <row r="84" ht="15.0" customHeight="1">
      <c r="A84" s="14" t="s">
        <v>228</v>
      </c>
      <c r="B84" s="21"/>
      <c r="C84" s="19">
        <v>21.59</v>
      </c>
      <c r="D84" s="19">
        <v>21.14</v>
      </c>
      <c r="E84" s="19">
        <v>19.77</v>
      </c>
      <c r="F84" s="19">
        <v>20.46</v>
      </c>
      <c r="G84" s="19">
        <v>21.93</v>
      </c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</row>
    <row r="85" ht="15.0" customHeight="1">
      <c r="A85" s="14" t="s">
        <v>229</v>
      </c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19">
        <v>75.35</v>
      </c>
      <c r="M85" s="19">
        <v>4.79</v>
      </c>
      <c r="N85" s="19">
        <v>65.03</v>
      </c>
      <c r="O85" s="19">
        <v>59.07</v>
      </c>
      <c r="P85" s="19">
        <v>58.14</v>
      </c>
      <c r="Q85" s="19">
        <v>56.4</v>
      </c>
      <c r="R85" s="19">
        <v>56.64</v>
      </c>
      <c r="S85" s="19">
        <v>71.14</v>
      </c>
      <c r="T85" s="19">
        <v>60.55</v>
      </c>
      <c r="U85" s="19">
        <v>69.2</v>
      </c>
      <c r="V85" s="21"/>
      <c r="W85" s="19">
        <v>47.5</v>
      </c>
    </row>
    <row r="86" ht="15.0" customHeight="1">
      <c r="A86" s="14" t="s">
        <v>230</v>
      </c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18">
        <v>-68.03</v>
      </c>
      <c r="M86" s="21">
        <v>0.0</v>
      </c>
      <c r="N86" s="18">
        <v>-61.26</v>
      </c>
      <c r="O86" s="18">
        <v>-55.64</v>
      </c>
      <c r="P86" s="18">
        <v>-55.53</v>
      </c>
      <c r="Q86" s="18">
        <v>-54.66</v>
      </c>
      <c r="R86" s="18">
        <v>-50.16</v>
      </c>
      <c r="S86" s="18">
        <v>-49.8</v>
      </c>
      <c r="T86" s="18">
        <v>-42.05</v>
      </c>
      <c r="U86" s="18">
        <v>-36.42</v>
      </c>
      <c r="V86" s="21"/>
      <c r="W86" s="18">
        <v>-15.53</v>
      </c>
    </row>
    <row r="87" ht="15.0" customHeight="1">
      <c r="A87" s="14" t="s">
        <v>231</v>
      </c>
      <c r="B87" s="21"/>
      <c r="C87" s="21"/>
      <c r="D87" s="21"/>
      <c r="E87" s="21"/>
      <c r="F87" s="21"/>
      <c r="G87" s="21"/>
      <c r="H87" s="19">
        <v>12.19</v>
      </c>
      <c r="I87" s="19">
        <v>16.59</v>
      </c>
      <c r="J87" s="19">
        <v>19.01</v>
      </c>
      <c r="K87" s="19">
        <v>9.48</v>
      </c>
      <c r="L87" s="19">
        <v>7.33</v>
      </c>
      <c r="M87" s="19">
        <v>4.79</v>
      </c>
      <c r="N87" s="19">
        <v>4.71</v>
      </c>
      <c r="O87" s="19">
        <v>3.42</v>
      </c>
      <c r="P87" s="19">
        <v>4.34</v>
      </c>
      <c r="Q87" s="19">
        <v>54.66</v>
      </c>
      <c r="R87" s="21"/>
      <c r="S87" s="21"/>
      <c r="T87" s="21"/>
      <c r="U87" s="21"/>
      <c r="V87" s="21"/>
      <c r="W87" s="21"/>
    </row>
    <row r="88" ht="15.0" customHeight="1">
      <c r="A88" s="14" t="s">
        <v>218</v>
      </c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19">
        <v>0.94</v>
      </c>
      <c r="O88" s="21"/>
      <c r="P88" s="21"/>
      <c r="Q88" s="21"/>
      <c r="R88" s="19">
        <v>51.78</v>
      </c>
      <c r="S88" s="19">
        <v>16.9</v>
      </c>
      <c r="T88" s="19">
        <v>0.84</v>
      </c>
      <c r="U88" s="19">
        <v>0.91</v>
      </c>
      <c r="V88" s="21"/>
      <c r="W88" s="19">
        <v>3.65</v>
      </c>
    </row>
    <row r="89" ht="15.0" customHeight="1">
      <c r="A89" s="14" t="s">
        <v>232</v>
      </c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19">
        <v>10.67</v>
      </c>
      <c r="T89" s="19">
        <v>3.36</v>
      </c>
      <c r="U89" s="21"/>
      <c r="V89" s="21"/>
      <c r="W89" s="21"/>
    </row>
    <row r="90" ht="15.0" customHeight="1">
      <c r="A90" s="14" t="s">
        <v>233</v>
      </c>
      <c r="B90" s="21"/>
      <c r="C90" s="21"/>
      <c r="D90" s="21"/>
      <c r="E90" s="21"/>
      <c r="F90" s="21"/>
      <c r="G90" s="21"/>
      <c r="H90" s="21"/>
      <c r="I90" s="21"/>
      <c r="J90" s="21"/>
      <c r="K90" s="21">
        <v>0.0</v>
      </c>
      <c r="L90" s="19">
        <v>39.77</v>
      </c>
      <c r="M90" s="19">
        <v>66.14</v>
      </c>
      <c r="N90" s="19">
        <v>49.95</v>
      </c>
      <c r="O90" s="19">
        <v>42.8</v>
      </c>
      <c r="P90" s="19">
        <v>63.34</v>
      </c>
      <c r="Q90" s="19">
        <v>71.15</v>
      </c>
      <c r="R90" s="19">
        <v>80.91</v>
      </c>
      <c r="S90" s="19">
        <v>92.48</v>
      </c>
      <c r="T90" s="19">
        <v>62.23</v>
      </c>
      <c r="U90" s="19">
        <v>16.39</v>
      </c>
      <c r="V90" s="21"/>
      <c r="W90" s="19">
        <v>17.35</v>
      </c>
    </row>
    <row r="91" ht="15.0" customHeight="1">
      <c r="A91" s="14" t="s">
        <v>234</v>
      </c>
      <c r="B91" s="19">
        <v>96.23</v>
      </c>
      <c r="C91" s="19">
        <v>38.04</v>
      </c>
      <c r="D91" s="19">
        <v>91.62</v>
      </c>
      <c r="E91" s="19">
        <v>58.36</v>
      </c>
      <c r="F91" s="19">
        <v>57.48</v>
      </c>
      <c r="G91" s="19">
        <v>52.21</v>
      </c>
      <c r="H91" s="19">
        <v>45.95</v>
      </c>
      <c r="I91" s="19">
        <v>24.4</v>
      </c>
      <c r="J91" s="19">
        <v>16.01</v>
      </c>
      <c r="K91" s="19">
        <v>12.33</v>
      </c>
      <c r="L91" s="19">
        <v>2.09</v>
      </c>
      <c r="M91" s="19">
        <v>1.92</v>
      </c>
      <c r="N91" s="19">
        <v>0.94</v>
      </c>
      <c r="O91" s="21"/>
      <c r="P91" s="21"/>
      <c r="Q91" s="21"/>
      <c r="R91" s="21"/>
      <c r="S91" s="21">
        <v>0.0</v>
      </c>
      <c r="T91" s="19">
        <v>9.25</v>
      </c>
      <c r="U91" s="19">
        <v>21.85</v>
      </c>
      <c r="V91" s="19">
        <v>43.31</v>
      </c>
      <c r="W91" s="19">
        <v>40.19</v>
      </c>
    </row>
    <row r="92" ht="15.0" customHeight="1">
      <c r="A92" s="14" t="s">
        <v>235</v>
      </c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19">
        <v>1.92</v>
      </c>
      <c r="N92" s="19">
        <v>0.94</v>
      </c>
      <c r="O92" s="21"/>
      <c r="P92" s="21"/>
      <c r="Q92" s="21"/>
      <c r="R92" s="21"/>
      <c r="S92" s="21"/>
      <c r="T92" s="21"/>
      <c r="U92" s="21"/>
      <c r="V92" s="21"/>
      <c r="W92" s="21"/>
    </row>
    <row r="93" ht="15.0" customHeight="1">
      <c r="A93" s="14" t="s">
        <v>236</v>
      </c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>
        <v>0.0</v>
      </c>
      <c r="V93" s="19">
        <v>22.08</v>
      </c>
      <c r="W93" s="19">
        <v>14.61</v>
      </c>
    </row>
    <row r="94" ht="15.0" customHeight="1">
      <c r="A94" s="14" t="s">
        <v>188</v>
      </c>
      <c r="B94" s="21"/>
      <c r="C94" s="21">
        <v>0.0</v>
      </c>
      <c r="D94" s="19">
        <v>18.12</v>
      </c>
      <c r="E94" s="15">
        <v>214.61</v>
      </c>
      <c r="F94" s="19">
        <v>40.92</v>
      </c>
      <c r="G94" s="19">
        <v>2.09</v>
      </c>
      <c r="H94" s="19">
        <v>18.75</v>
      </c>
      <c r="I94" s="19">
        <v>67.33</v>
      </c>
      <c r="J94" s="19">
        <v>23.01</v>
      </c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</row>
    <row r="95" ht="15.0" customHeight="1">
      <c r="A95" s="14" t="s">
        <v>237</v>
      </c>
      <c r="B95" s="21"/>
      <c r="C95" s="19">
        <v>62.71</v>
      </c>
      <c r="D95" s="19">
        <v>66.45</v>
      </c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</row>
    <row r="96" ht="15.0" customHeight="1">
      <c r="A96" s="14" t="s">
        <v>238</v>
      </c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19">
        <v>34.79</v>
      </c>
      <c r="S96" s="19">
        <v>40.9</v>
      </c>
      <c r="T96" s="19">
        <v>38.69</v>
      </c>
      <c r="U96" s="21"/>
      <c r="V96" s="21"/>
      <c r="W96" s="21"/>
    </row>
    <row r="97" ht="15.0" customHeight="1">
      <c r="A97" s="14" t="s">
        <v>239</v>
      </c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18">
        <v>-21.04</v>
      </c>
      <c r="S97" s="18">
        <v>-21.34</v>
      </c>
      <c r="T97" s="18">
        <v>-16.82</v>
      </c>
      <c r="U97" s="21"/>
      <c r="V97" s="21"/>
      <c r="W97" s="21"/>
    </row>
    <row r="98" ht="15.0" customHeight="1">
      <c r="A98" s="14" t="s">
        <v>240</v>
      </c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15">
        <v>1175.23</v>
      </c>
      <c r="W98" s="21"/>
    </row>
    <row r="99" ht="15.0" customHeight="1">
      <c r="A99" s="16" t="s">
        <v>241</v>
      </c>
      <c r="B99" s="17">
        <v>1713.46</v>
      </c>
      <c r="C99" s="17">
        <v>1745.71</v>
      </c>
      <c r="D99" s="17">
        <v>1479.94</v>
      </c>
      <c r="E99" s="17">
        <v>1412.84</v>
      </c>
      <c r="F99" s="17">
        <v>1304.56</v>
      </c>
      <c r="G99" s="17">
        <v>1341.8</v>
      </c>
      <c r="H99" s="17">
        <v>1200.21</v>
      </c>
      <c r="I99" s="17">
        <v>1258.86</v>
      </c>
      <c r="J99" s="17">
        <v>1078.7</v>
      </c>
      <c r="K99" s="17">
        <v>858.23</v>
      </c>
      <c r="L99" s="17">
        <v>738.87</v>
      </c>
      <c r="M99" s="17">
        <v>662.32</v>
      </c>
      <c r="N99" s="17">
        <v>665.37</v>
      </c>
      <c r="O99" s="17">
        <v>692.53</v>
      </c>
      <c r="P99" s="17">
        <v>729.74</v>
      </c>
      <c r="Q99" s="17">
        <v>287.19</v>
      </c>
      <c r="R99" s="17">
        <v>150.49</v>
      </c>
      <c r="S99" s="17">
        <v>352.13</v>
      </c>
      <c r="T99" s="17">
        <v>254.82</v>
      </c>
      <c r="U99" s="17">
        <v>2765.26</v>
      </c>
      <c r="V99" s="17">
        <v>1240.62</v>
      </c>
      <c r="W99" s="17">
        <v>2539.2</v>
      </c>
    </row>
    <row r="100" ht="15.0" customHeight="1">
      <c r="A100" s="14" t="s">
        <v>242</v>
      </c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15">
        <v>465.06</v>
      </c>
      <c r="R100" s="15">
        <v>536.44</v>
      </c>
      <c r="S100" s="15">
        <v>669.59</v>
      </c>
      <c r="T100" s="15">
        <v>689.62</v>
      </c>
      <c r="U100" s="20">
        <v>-1524.21</v>
      </c>
      <c r="V100" s="21"/>
      <c r="W100" s="20">
        <v>-1292.44</v>
      </c>
    </row>
    <row r="101" ht="15.0" customHeight="1">
      <c r="A101" s="16" t="s">
        <v>243</v>
      </c>
      <c r="B101" s="17">
        <v>2797.09</v>
      </c>
      <c r="C101" s="17">
        <v>2925.96</v>
      </c>
      <c r="D101" s="17">
        <v>2836.06</v>
      </c>
      <c r="E101" s="17">
        <v>3221.01</v>
      </c>
      <c r="F101" s="17">
        <v>2320.73</v>
      </c>
      <c r="G101" s="17">
        <v>2356.76</v>
      </c>
      <c r="H101" s="17">
        <v>2225.07</v>
      </c>
      <c r="I101" s="17">
        <v>2343.04</v>
      </c>
      <c r="J101" s="17">
        <v>2008.3</v>
      </c>
      <c r="K101" s="17">
        <v>1412.05</v>
      </c>
      <c r="L101" s="17">
        <v>1450.54</v>
      </c>
      <c r="M101" s="17">
        <v>1208.67</v>
      </c>
      <c r="N101" s="17">
        <v>1094.19</v>
      </c>
      <c r="O101" s="17">
        <v>1107.7</v>
      </c>
      <c r="P101" s="17">
        <v>1168.8</v>
      </c>
      <c r="Q101" s="17">
        <v>1296.28</v>
      </c>
      <c r="R101" s="17">
        <v>1136.8</v>
      </c>
      <c r="S101" s="17">
        <v>1806.91</v>
      </c>
      <c r="T101" s="17">
        <v>1941.87</v>
      </c>
      <c r="U101" s="17">
        <v>2232.6</v>
      </c>
      <c r="V101" s="17">
        <v>2217.15</v>
      </c>
      <c r="W101" s="17">
        <v>2345.57</v>
      </c>
    </row>
    <row r="102" ht="15.0" customHeight="1">
      <c r="A102" s="14" t="s">
        <v>244</v>
      </c>
      <c r="B102" s="15">
        <v>436.29</v>
      </c>
      <c r="C102" s="19">
        <v>72.99</v>
      </c>
      <c r="D102" s="19">
        <v>32.22</v>
      </c>
      <c r="E102" s="21">
        <v>0.0</v>
      </c>
      <c r="F102" s="21"/>
      <c r="G102" s="21"/>
      <c r="H102" s="21"/>
      <c r="I102" s="21"/>
      <c r="J102" s="21">
        <v>0.0</v>
      </c>
      <c r="K102" s="19">
        <v>13.28</v>
      </c>
      <c r="L102" s="21"/>
      <c r="M102" s="21">
        <v>0.0</v>
      </c>
      <c r="N102" s="19">
        <v>56.55</v>
      </c>
      <c r="O102" s="19">
        <f> 66.77 - O104</f>
        <v>61.63</v>
      </c>
      <c r="P102" s="19">
        <f>P103</f>
        <v>32.11</v>
      </c>
      <c r="Q102" s="19">
        <f>21.69-Q104</f>
        <v>18.22</v>
      </c>
      <c r="R102" s="19">
        <f>30.75-R104</f>
        <v>27.51</v>
      </c>
      <c r="S102" s="19">
        <f> 13.34 + S103 -S104</f>
        <v>65.8</v>
      </c>
      <c r="T102" s="19">
        <f> 338.92 +T103 - T104</f>
        <v>373.4</v>
      </c>
      <c r="U102" s="19">
        <f>U103</f>
        <v>273.16</v>
      </c>
      <c r="V102" s="21"/>
      <c r="W102" s="19">
        <f>W103</f>
        <v>51.15</v>
      </c>
    </row>
    <row r="103" ht="15.0" customHeight="1">
      <c r="A103" s="14" t="s">
        <v>245</v>
      </c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>
        <v>0.0</v>
      </c>
      <c r="N103" s="19">
        <v>56.55</v>
      </c>
      <c r="O103" s="19">
        <v>61.63</v>
      </c>
      <c r="P103" s="19">
        <v>32.11</v>
      </c>
      <c r="Q103" s="21">
        <v>0.0</v>
      </c>
      <c r="R103" s="21">
        <v>0.0</v>
      </c>
      <c r="S103" s="19">
        <v>56.02</v>
      </c>
      <c r="T103" s="19">
        <v>37.84</v>
      </c>
      <c r="U103" s="15">
        <v>273.16</v>
      </c>
      <c r="V103" s="21"/>
      <c r="W103" s="19">
        <v>51.15</v>
      </c>
    </row>
    <row r="104" ht="15.0" customHeight="1">
      <c r="A104" s="14" t="s">
        <v>246</v>
      </c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>
        <v>0.0</v>
      </c>
      <c r="N104" s="21">
        <v>0.0</v>
      </c>
      <c r="O104" s="19">
        <v>5.14</v>
      </c>
      <c r="P104" s="19">
        <v>4.34</v>
      </c>
      <c r="Q104" s="19">
        <v>3.47</v>
      </c>
      <c r="R104" s="19">
        <v>3.24</v>
      </c>
      <c r="S104" s="19">
        <v>3.56</v>
      </c>
      <c r="T104" s="19">
        <v>3.36</v>
      </c>
      <c r="U104" s="19">
        <v>3.64</v>
      </c>
      <c r="V104" s="21"/>
      <c r="W104" s="21"/>
    </row>
    <row r="105" ht="15.0" customHeight="1">
      <c r="A105" s="14" t="s">
        <v>247</v>
      </c>
      <c r="B105" s="21"/>
      <c r="C105" s="15">
        <v>299.18</v>
      </c>
      <c r="D105" s="15">
        <v>285.92</v>
      </c>
      <c r="E105" s="15">
        <v>267.32</v>
      </c>
      <c r="F105" s="15">
        <v>214.34</v>
      </c>
      <c r="G105" s="15">
        <v>213.02</v>
      </c>
      <c r="H105" s="15">
        <v>189.41</v>
      </c>
      <c r="I105" s="15">
        <v>169.8</v>
      </c>
      <c r="J105" s="15">
        <v>149.1</v>
      </c>
      <c r="K105" s="15">
        <v>144.14</v>
      </c>
      <c r="L105" s="15">
        <v>135.01</v>
      </c>
      <c r="M105" s="19">
        <v>99.68</v>
      </c>
      <c r="N105" s="15">
        <v>109.32</v>
      </c>
      <c r="O105" s="19">
        <v>65.06</v>
      </c>
      <c r="P105" s="15">
        <v>103.26</v>
      </c>
      <c r="Q105" s="19">
        <v>79.82</v>
      </c>
      <c r="R105" s="19">
        <v>79.29</v>
      </c>
      <c r="S105" s="15">
        <v>180.51</v>
      </c>
      <c r="T105" s="15">
        <v>234.64</v>
      </c>
      <c r="U105" s="15">
        <v>204.87</v>
      </c>
      <c r="V105" s="21"/>
      <c r="W105" s="15">
        <v>194.55</v>
      </c>
    </row>
    <row r="106" ht="15.0" customHeight="1">
      <c r="A106" s="14" t="s">
        <v>248</v>
      </c>
      <c r="B106" s="15">
        <v>594.85</v>
      </c>
      <c r="C106" s="15">
        <v>254.97</v>
      </c>
      <c r="D106" s="15">
        <v>341.29</v>
      </c>
      <c r="E106" s="15">
        <v>419.8</v>
      </c>
      <c r="F106" s="15">
        <v>267.93</v>
      </c>
      <c r="G106" s="15">
        <v>199.44</v>
      </c>
      <c r="H106" s="15">
        <v>191.28</v>
      </c>
      <c r="I106" s="15">
        <v>221.52</v>
      </c>
      <c r="J106" s="15">
        <v>197.13</v>
      </c>
      <c r="K106" s="15">
        <v>147.94</v>
      </c>
      <c r="L106" s="15">
        <v>169.54</v>
      </c>
      <c r="M106" s="15">
        <v>134.19</v>
      </c>
      <c r="N106" s="15">
        <v>121.58</v>
      </c>
      <c r="O106" s="15">
        <v>102.72</v>
      </c>
      <c r="P106" s="19">
        <v>9.54</v>
      </c>
      <c r="Q106" s="19">
        <v>13.88</v>
      </c>
      <c r="R106" s="19">
        <v>8.9</v>
      </c>
      <c r="S106" s="19">
        <v>33.79</v>
      </c>
      <c r="T106" s="15">
        <v>178.29</v>
      </c>
      <c r="U106" s="15">
        <v>188.48</v>
      </c>
      <c r="V106" s="15">
        <v>343.91</v>
      </c>
      <c r="W106" s="15">
        <v>176.28</v>
      </c>
    </row>
    <row r="107" ht="15.0" customHeight="1">
      <c r="A107" s="14" t="s">
        <v>249</v>
      </c>
      <c r="B107" s="21"/>
      <c r="C107" s="15">
        <v>225.15</v>
      </c>
      <c r="D107" s="15">
        <v>318.14</v>
      </c>
      <c r="E107" s="15">
        <v>320.03</v>
      </c>
      <c r="F107" s="15">
        <v>238.7</v>
      </c>
      <c r="G107" s="15">
        <v>155.59</v>
      </c>
      <c r="H107" s="15">
        <v>156.59</v>
      </c>
      <c r="I107" s="15">
        <v>187.37</v>
      </c>
      <c r="J107" s="15">
        <v>166.11</v>
      </c>
      <c r="K107" s="15">
        <v>135.61</v>
      </c>
      <c r="L107" s="15">
        <v>151.75</v>
      </c>
      <c r="M107" s="15">
        <v>123.65</v>
      </c>
      <c r="N107" s="15">
        <v>105.55</v>
      </c>
      <c r="O107" s="19">
        <v>70.19</v>
      </c>
      <c r="P107" s="19">
        <v>97.18</v>
      </c>
      <c r="Q107" s="19">
        <v>97.18</v>
      </c>
      <c r="R107" s="19">
        <v>73.63</v>
      </c>
      <c r="S107" s="15">
        <v>128.05</v>
      </c>
      <c r="T107" s="21"/>
      <c r="U107" s="21"/>
      <c r="V107" s="21"/>
      <c r="W107" s="21"/>
    </row>
    <row r="108" ht="15.0" customHeight="1">
      <c r="A108" s="14" t="s">
        <v>250</v>
      </c>
      <c r="B108" s="21"/>
      <c r="C108" s="19">
        <v>49.35</v>
      </c>
      <c r="D108" s="19">
        <v>62.42</v>
      </c>
      <c r="E108" s="19">
        <v>57.42</v>
      </c>
      <c r="F108" s="19">
        <v>55.53</v>
      </c>
      <c r="G108" s="19">
        <v>54.3</v>
      </c>
      <c r="H108" s="19">
        <v>47.82</v>
      </c>
      <c r="I108" s="21"/>
      <c r="J108" s="21"/>
      <c r="K108" s="21"/>
      <c r="L108" s="19">
        <v>43.96</v>
      </c>
      <c r="M108" s="19">
        <v>34.51</v>
      </c>
      <c r="N108" s="19">
        <v>33.93</v>
      </c>
      <c r="O108" s="19">
        <v>23.97</v>
      </c>
      <c r="P108" s="21"/>
      <c r="Q108" s="21"/>
      <c r="R108" s="21"/>
      <c r="S108" s="21"/>
      <c r="T108" s="21"/>
      <c r="U108" s="21"/>
      <c r="V108" s="21"/>
      <c r="W108" s="21"/>
    </row>
    <row r="109" ht="15.0" customHeight="1">
      <c r="A109" s="14" t="s">
        <v>251</v>
      </c>
      <c r="B109" s="21"/>
      <c r="C109" s="15">
        <v>174.78</v>
      </c>
      <c r="D109" s="15">
        <v>255.72</v>
      </c>
      <c r="E109" s="15">
        <v>248.49</v>
      </c>
      <c r="F109" s="15">
        <v>183.16</v>
      </c>
      <c r="G109" s="19">
        <v>92.93</v>
      </c>
      <c r="H109" s="15">
        <v>108.77</v>
      </c>
      <c r="I109" s="15">
        <v>183.46</v>
      </c>
      <c r="J109" s="15">
        <v>155.1</v>
      </c>
      <c r="K109" s="15">
        <v>120.44</v>
      </c>
      <c r="L109" s="19">
        <v>93.14</v>
      </c>
      <c r="M109" s="19">
        <v>82.43</v>
      </c>
      <c r="N109" s="19">
        <v>65.97</v>
      </c>
      <c r="O109" s="21"/>
      <c r="P109" s="21"/>
      <c r="Q109" s="21"/>
      <c r="R109" s="21"/>
      <c r="S109" s="21"/>
      <c r="T109" s="21"/>
      <c r="U109" s="21"/>
      <c r="V109" s="21"/>
      <c r="W109" s="21"/>
    </row>
    <row r="110" ht="15.0" customHeight="1">
      <c r="A110" s="14" t="s">
        <v>251</v>
      </c>
      <c r="B110" s="21"/>
      <c r="C110" s="19">
        <v>1.03</v>
      </c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</row>
    <row r="111" ht="15.0" customHeight="1">
      <c r="A111" s="14" t="s">
        <v>252</v>
      </c>
      <c r="B111" s="21"/>
      <c r="C111" s="21"/>
      <c r="D111" s="21">
        <v>0.0</v>
      </c>
      <c r="E111" s="19">
        <v>14.12</v>
      </c>
      <c r="F111" s="21">
        <v>0.0</v>
      </c>
      <c r="G111" s="19">
        <v>8.35</v>
      </c>
      <c r="H111" s="21">
        <v>0.0</v>
      </c>
      <c r="I111" s="19">
        <v>3.9</v>
      </c>
      <c r="J111" s="19">
        <v>11.01</v>
      </c>
      <c r="K111" s="19">
        <v>15.17</v>
      </c>
      <c r="L111" s="19">
        <v>14.65</v>
      </c>
      <c r="M111" s="19">
        <v>6.71</v>
      </c>
      <c r="N111" s="19">
        <v>5.65</v>
      </c>
      <c r="O111" s="21"/>
      <c r="P111" s="21"/>
      <c r="Q111" s="21"/>
      <c r="R111" s="21"/>
      <c r="S111" s="21"/>
      <c r="T111" s="21"/>
      <c r="U111" s="21"/>
      <c r="V111" s="21"/>
      <c r="W111" s="21"/>
    </row>
    <row r="112" ht="15.0" customHeight="1">
      <c r="A112" s="14" t="s">
        <v>253</v>
      </c>
      <c r="B112" s="21"/>
      <c r="C112" s="19">
        <v>29.81</v>
      </c>
      <c r="D112" s="19">
        <v>23.16</v>
      </c>
      <c r="E112" s="19">
        <v>29.18</v>
      </c>
      <c r="F112" s="19">
        <v>23.38</v>
      </c>
      <c r="G112" s="19">
        <v>19.84</v>
      </c>
      <c r="H112" s="19">
        <v>25.32</v>
      </c>
      <c r="I112" s="19">
        <v>34.16</v>
      </c>
      <c r="J112" s="19">
        <v>31.02</v>
      </c>
      <c r="K112" s="21"/>
      <c r="L112" s="21"/>
      <c r="M112" s="18">
        <v>-0.96</v>
      </c>
      <c r="N112" s="21"/>
      <c r="O112" s="21"/>
      <c r="P112" s="21"/>
      <c r="Q112" s="21"/>
      <c r="R112" s="21"/>
      <c r="S112" s="21"/>
      <c r="T112" s="21"/>
      <c r="U112" s="21"/>
      <c r="V112" s="21"/>
      <c r="W112" s="21"/>
    </row>
    <row r="113" ht="15.0" customHeight="1">
      <c r="A113" s="14" t="s">
        <v>254</v>
      </c>
      <c r="B113" s="21"/>
      <c r="C113" s="21"/>
      <c r="D113" s="21"/>
      <c r="E113" s="21"/>
      <c r="F113" s="21"/>
      <c r="G113" s="21"/>
      <c r="H113" s="21"/>
      <c r="I113" s="21"/>
      <c r="J113" s="21"/>
      <c r="K113" s="19">
        <v>12.33</v>
      </c>
      <c r="L113" s="19">
        <v>17.79</v>
      </c>
      <c r="M113" s="19">
        <v>11.5</v>
      </c>
      <c r="N113" s="19">
        <v>16.02</v>
      </c>
      <c r="O113" s="19">
        <v>8.56</v>
      </c>
      <c r="P113" s="21"/>
      <c r="Q113" s="21">
        <v>0.0</v>
      </c>
      <c r="R113" s="19">
        <v>1.62</v>
      </c>
      <c r="S113" s="21"/>
      <c r="T113" s="21"/>
      <c r="U113" s="21"/>
      <c r="V113" s="21"/>
      <c r="W113" s="21"/>
    </row>
    <row r="114" ht="15.0" customHeight="1">
      <c r="A114" s="14" t="s">
        <v>255</v>
      </c>
      <c r="B114" s="21"/>
      <c r="C114" s="19">
        <v>1.03</v>
      </c>
      <c r="D114" s="19">
        <v>22.15</v>
      </c>
      <c r="E114" s="19">
        <v>70.59</v>
      </c>
      <c r="F114" s="19">
        <v>5.85</v>
      </c>
      <c r="G114" s="19">
        <v>24.02</v>
      </c>
      <c r="H114" s="19">
        <v>9.38</v>
      </c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</row>
    <row r="115" ht="15.0" customHeight="1">
      <c r="A115" s="14" t="s">
        <v>256</v>
      </c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>
        <v>0.0</v>
      </c>
      <c r="Q115" s="21">
        <v>0.0</v>
      </c>
      <c r="R115" s="21">
        <v>0.0</v>
      </c>
      <c r="S115" s="19">
        <v>6.22</v>
      </c>
      <c r="T115" s="19">
        <v>69.8</v>
      </c>
      <c r="U115" s="19">
        <v>45.53</v>
      </c>
      <c r="V115" s="21"/>
      <c r="W115" s="19">
        <v>34.71</v>
      </c>
    </row>
    <row r="116" ht="15.0" customHeight="1">
      <c r="A116" s="14" t="s">
        <v>257</v>
      </c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19">
        <v>0.86</v>
      </c>
      <c r="P116" s="19">
        <v>12.15</v>
      </c>
      <c r="Q116" s="19">
        <v>6.07</v>
      </c>
      <c r="R116" s="19">
        <v>11.33</v>
      </c>
      <c r="S116" s="19">
        <v>37.35</v>
      </c>
      <c r="T116" s="19">
        <v>9.25</v>
      </c>
      <c r="U116" s="19">
        <v>0.91</v>
      </c>
      <c r="V116" s="21"/>
      <c r="W116" s="19">
        <v>22.83</v>
      </c>
    </row>
    <row r="117" ht="15.0" customHeight="1">
      <c r="A117" s="14" t="s">
        <v>258</v>
      </c>
      <c r="B117" s="21"/>
      <c r="C117" s="19">
        <v>7.2</v>
      </c>
      <c r="D117" s="21">
        <v>0.0</v>
      </c>
      <c r="E117" s="21">
        <v>0.0</v>
      </c>
      <c r="F117" s="19">
        <v>7.79</v>
      </c>
      <c r="G117" s="21">
        <v>0.0</v>
      </c>
      <c r="H117" s="21">
        <v>0.0</v>
      </c>
      <c r="I117" s="19">
        <v>7.81</v>
      </c>
      <c r="J117" s="19">
        <v>8.01</v>
      </c>
      <c r="K117" s="19">
        <v>1.9</v>
      </c>
      <c r="L117" s="19">
        <v>19.88</v>
      </c>
      <c r="M117" s="19">
        <v>2.88</v>
      </c>
      <c r="N117" s="19">
        <v>16.96</v>
      </c>
      <c r="O117" s="19">
        <v>9.42</v>
      </c>
      <c r="P117" s="19">
        <v>16.49</v>
      </c>
      <c r="Q117" s="21">
        <v>0.0</v>
      </c>
      <c r="R117" s="21"/>
      <c r="S117" s="21"/>
      <c r="T117" s="21"/>
      <c r="U117" s="21"/>
      <c r="V117" s="21"/>
      <c r="W117" s="21"/>
    </row>
    <row r="118" ht="15.0" customHeight="1">
      <c r="A118" s="14" t="s">
        <v>259</v>
      </c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15">
        <v>380.13</v>
      </c>
      <c r="U118" s="21"/>
      <c r="V118" s="21"/>
      <c r="W118" s="21"/>
    </row>
    <row r="119" ht="15.0" customHeight="1">
      <c r="A119" s="14" t="s">
        <v>260</v>
      </c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>
        <v>0.0</v>
      </c>
      <c r="U119" s="21">
        <v>0.0</v>
      </c>
      <c r="V119" s="21"/>
      <c r="W119" s="19">
        <v>2.74</v>
      </c>
    </row>
    <row r="120" ht="15.0" customHeight="1">
      <c r="A120" s="14" t="s">
        <v>261</v>
      </c>
      <c r="B120" s="21"/>
      <c r="C120" s="19">
        <v>1.03</v>
      </c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15">
        <v>318.43</v>
      </c>
      <c r="W120" s="21"/>
    </row>
    <row r="121" ht="15.0" customHeight="1">
      <c r="A121" s="16" t="s">
        <v>262</v>
      </c>
      <c r="B121" s="17">
        <v>1031.14</v>
      </c>
      <c r="C121" s="17">
        <v>636.39</v>
      </c>
      <c r="D121" s="17">
        <v>681.58</v>
      </c>
      <c r="E121" s="17">
        <v>687.12</v>
      </c>
      <c r="F121" s="17">
        <v>490.06</v>
      </c>
      <c r="G121" s="17">
        <v>412.46</v>
      </c>
      <c r="H121" s="17">
        <v>380.69</v>
      </c>
      <c r="I121" s="17">
        <v>399.13</v>
      </c>
      <c r="J121" s="17">
        <v>354.23</v>
      </c>
      <c r="K121" s="17">
        <v>307.26</v>
      </c>
      <c r="L121" s="17">
        <v>324.43</v>
      </c>
      <c r="M121" s="17">
        <v>236.75</v>
      </c>
      <c r="N121" s="17">
        <v>304.41</v>
      </c>
      <c r="O121" s="17">
        <v>244.82</v>
      </c>
      <c r="P121" s="17">
        <v>275.06</v>
      </c>
      <c r="Q121" s="17">
        <v>222.12</v>
      </c>
      <c r="R121" s="17">
        <v>208.75</v>
      </c>
      <c r="S121" s="17">
        <v>458.84</v>
      </c>
      <c r="T121" s="17">
        <v>872.12</v>
      </c>
      <c r="U121" s="17">
        <v>716.58</v>
      </c>
      <c r="V121" s="17">
        <v>662.34</v>
      </c>
      <c r="W121" s="17">
        <v>482.27</v>
      </c>
    </row>
    <row r="122" ht="15.0" customHeight="1">
      <c r="A122" s="26" t="s">
        <v>263</v>
      </c>
      <c r="B122" s="19">
        <v>7.65</v>
      </c>
      <c r="C122" s="15">
        <v>350.58</v>
      </c>
      <c r="D122" s="19">
        <v>59.4</v>
      </c>
      <c r="E122" s="15">
        <v>104.48</v>
      </c>
      <c r="F122" s="15">
        <v>141.27</v>
      </c>
      <c r="G122" s="15">
        <v>429.17</v>
      </c>
      <c r="H122" s="15">
        <v>385.38</v>
      </c>
      <c r="I122" s="15">
        <v>385.46</v>
      </c>
      <c r="J122" s="15">
        <v>394.25</v>
      </c>
      <c r="K122" s="21"/>
      <c r="L122" s="21">
        <v>0.0</v>
      </c>
      <c r="M122" s="19">
        <v>28.76</v>
      </c>
      <c r="N122" s="21">
        <v>0.0</v>
      </c>
      <c r="O122" s="21">
        <v>0.0</v>
      </c>
      <c r="P122" s="19">
        <v>4.34</v>
      </c>
      <c r="Q122" s="21">
        <v>0.0</v>
      </c>
      <c r="R122" s="21">
        <v>0.0</v>
      </c>
      <c r="S122" s="15">
        <v>133.38</v>
      </c>
      <c r="T122" s="15">
        <v>126.15</v>
      </c>
      <c r="U122" s="15">
        <v>136.58</v>
      </c>
      <c r="V122" s="15">
        <v>152.85</v>
      </c>
      <c r="W122" s="15">
        <v>169.89</v>
      </c>
    </row>
    <row r="123" ht="15.0" customHeight="1">
      <c r="A123" s="14" t="s">
        <v>264</v>
      </c>
      <c r="B123" s="21"/>
      <c r="C123" s="21"/>
      <c r="D123" s="21"/>
      <c r="E123" s="21"/>
      <c r="F123" s="21">
        <v>0.0</v>
      </c>
      <c r="G123" s="15">
        <v>414.55</v>
      </c>
      <c r="H123" s="15">
        <v>371.31</v>
      </c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</row>
    <row r="124" ht="15.0" customHeight="1">
      <c r="A124" s="14" t="s">
        <v>265</v>
      </c>
      <c r="B124" s="21"/>
      <c r="C124" s="15">
        <v>344.41</v>
      </c>
      <c r="D124" s="19">
        <v>51.34</v>
      </c>
      <c r="E124" s="19">
        <v>96.01</v>
      </c>
      <c r="F124" s="15">
        <v>129.58</v>
      </c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19">
        <v>33.98</v>
      </c>
      <c r="S124" s="15">
        <v>465.07</v>
      </c>
      <c r="T124" s="21">
        <v>0.0</v>
      </c>
      <c r="U124" s="21"/>
      <c r="V124" s="21"/>
      <c r="W124" s="21"/>
    </row>
    <row r="125" ht="15.0" customHeight="1">
      <c r="A125" s="14" t="s">
        <v>246</v>
      </c>
      <c r="B125" s="21"/>
      <c r="C125" s="19">
        <v>6.17</v>
      </c>
      <c r="D125" s="19">
        <v>8.05</v>
      </c>
      <c r="E125" s="19">
        <v>8.47</v>
      </c>
      <c r="F125" s="19">
        <v>11.69</v>
      </c>
      <c r="G125" s="19">
        <v>14.62</v>
      </c>
      <c r="H125" s="19">
        <v>14.06</v>
      </c>
      <c r="I125" s="21"/>
      <c r="J125" s="21"/>
      <c r="K125" s="21"/>
      <c r="L125" s="21"/>
      <c r="M125" s="21"/>
      <c r="N125" s="21"/>
      <c r="O125" s="21">
        <v>0.0</v>
      </c>
      <c r="P125" s="21"/>
      <c r="Q125" s="19">
        <v>8.68</v>
      </c>
      <c r="R125" s="19">
        <v>12.14</v>
      </c>
      <c r="S125" s="19">
        <v>16.9</v>
      </c>
      <c r="T125" s="19">
        <v>19.34</v>
      </c>
      <c r="U125" s="19">
        <v>24.58</v>
      </c>
      <c r="V125" s="21"/>
      <c r="W125" s="21"/>
    </row>
    <row r="126" ht="15.0" customHeight="1">
      <c r="A126" s="14" t="s">
        <v>188</v>
      </c>
      <c r="B126" s="21"/>
      <c r="C126" s="21"/>
      <c r="D126" s="21"/>
      <c r="E126" s="21"/>
      <c r="F126" s="21"/>
      <c r="G126" s="21"/>
      <c r="H126" s="21"/>
      <c r="I126" s="21"/>
      <c r="J126" s="21"/>
      <c r="K126" s="21">
        <v>0.0</v>
      </c>
      <c r="L126" s="19">
        <v>15.7</v>
      </c>
      <c r="M126" s="19">
        <v>8.63</v>
      </c>
      <c r="N126" s="19">
        <v>12.25</v>
      </c>
      <c r="O126" s="19">
        <v>12.84</v>
      </c>
      <c r="P126" s="21"/>
      <c r="Q126" s="21"/>
      <c r="R126" s="21"/>
      <c r="S126" s="21"/>
      <c r="T126" s="21"/>
      <c r="U126" s="21"/>
      <c r="V126" s="21"/>
      <c r="W126" s="21"/>
    </row>
    <row r="127" ht="15.0" customHeight="1">
      <c r="A127" s="14" t="s">
        <v>266</v>
      </c>
      <c r="B127" s="19">
        <v>63.42</v>
      </c>
      <c r="C127" s="19">
        <v>76.08</v>
      </c>
      <c r="D127" s="19">
        <v>65.44</v>
      </c>
      <c r="E127" s="19">
        <v>53.65</v>
      </c>
      <c r="F127" s="19">
        <v>52.61</v>
      </c>
      <c r="G127" s="19">
        <v>46.99</v>
      </c>
      <c r="H127" s="19">
        <v>38.44</v>
      </c>
      <c r="I127" s="19">
        <v>17.57</v>
      </c>
      <c r="J127" s="19">
        <v>10.01</v>
      </c>
      <c r="K127" s="19">
        <v>5.69</v>
      </c>
      <c r="L127" s="19">
        <v>3.14</v>
      </c>
      <c r="M127" s="21"/>
      <c r="N127" s="21"/>
      <c r="O127" s="21"/>
      <c r="P127" s="19">
        <v>9.54</v>
      </c>
      <c r="Q127" s="21">
        <v>0.0</v>
      </c>
      <c r="R127" s="19">
        <v>0.81</v>
      </c>
      <c r="S127" s="19">
        <v>12.45</v>
      </c>
      <c r="T127" s="19">
        <v>1.68</v>
      </c>
      <c r="U127" s="19">
        <v>0.91</v>
      </c>
      <c r="V127" s="15">
        <v>100.2</v>
      </c>
      <c r="W127" s="21">
        <v>0.0</v>
      </c>
    </row>
    <row r="128" ht="15.0" customHeight="1">
      <c r="A128" s="14" t="s">
        <v>267</v>
      </c>
      <c r="B128" s="21"/>
      <c r="C128" s="21"/>
      <c r="D128" s="21"/>
      <c r="E128" s="21"/>
      <c r="F128" s="21"/>
      <c r="G128" s="21"/>
      <c r="H128" s="21"/>
      <c r="I128" s="21"/>
      <c r="J128" s="21"/>
      <c r="K128" s="19">
        <v>7.59</v>
      </c>
      <c r="L128" s="21"/>
      <c r="M128" s="21"/>
      <c r="N128" s="21"/>
      <c r="O128" s="21"/>
      <c r="P128" s="21"/>
      <c r="Q128" s="21"/>
      <c r="R128" s="21"/>
      <c r="S128" s="21">
        <v>0.0</v>
      </c>
      <c r="T128" s="21">
        <v>0.0</v>
      </c>
      <c r="U128" s="19">
        <v>42.79</v>
      </c>
      <c r="V128" s="21"/>
      <c r="W128" s="15">
        <v>156.19</v>
      </c>
    </row>
    <row r="129" ht="15.0" customHeight="1">
      <c r="A129" s="14" t="s">
        <v>268</v>
      </c>
      <c r="B129" s="19">
        <v>12.03</v>
      </c>
      <c r="C129" s="15">
        <v>126.46</v>
      </c>
      <c r="D129" s="15">
        <v>159.07</v>
      </c>
      <c r="E129" s="15">
        <v>252.26</v>
      </c>
      <c r="F129" s="15">
        <v>149.06</v>
      </c>
      <c r="G129" s="15">
        <v>109.64</v>
      </c>
      <c r="H129" s="15">
        <v>126.58</v>
      </c>
      <c r="I129" s="15">
        <v>116.13</v>
      </c>
      <c r="J129" s="19">
        <v>42.03</v>
      </c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</row>
    <row r="130" ht="15.0" customHeight="1">
      <c r="A130" s="14" t="s">
        <v>269</v>
      </c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19">
        <v>8.49</v>
      </c>
      <c r="W130" s="19">
        <v>6.39</v>
      </c>
    </row>
    <row r="131" ht="15.0" customHeight="1">
      <c r="A131" s="14" t="s">
        <v>270</v>
      </c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>
        <v>0.0</v>
      </c>
      <c r="T131" s="19">
        <v>39.53</v>
      </c>
      <c r="U131" s="19">
        <v>33.69</v>
      </c>
      <c r="V131" s="21"/>
      <c r="W131" s="19">
        <v>2.74</v>
      </c>
    </row>
    <row r="132" ht="15.0" customHeight="1">
      <c r="A132" s="14" t="s">
        <v>271</v>
      </c>
      <c r="B132" s="19">
        <v>1.09</v>
      </c>
      <c r="C132" s="18">
        <v>-1.03</v>
      </c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</row>
    <row r="133" ht="15.0" customHeight="1">
      <c r="A133" s="16" t="s">
        <v>272</v>
      </c>
      <c r="B133" s="22">
        <v>84.2</v>
      </c>
      <c r="C133" s="17">
        <v>552.09</v>
      </c>
      <c r="D133" s="17">
        <v>283.91</v>
      </c>
      <c r="E133" s="17">
        <v>410.39</v>
      </c>
      <c r="F133" s="17">
        <v>342.95</v>
      </c>
      <c r="G133" s="17">
        <v>585.8</v>
      </c>
      <c r="H133" s="17">
        <v>550.41</v>
      </c>
      <c r="I133" s="17">
        <v>519.16</v>
      </c>
      <c r="J133" s="17">
        <v>446.29</v>
      </c>
      <c r="K133" s="22">
        <v>13.28</v>
      </c>
      <c r="L133" s="22">
        <v>18.84</v>
      </c>
      <c r="M133" s="22">
        <v>37.38</v>
      </c>
      <c r="N133" s="22">
        <v>12.25</v>
      </c>
      <c r="O133" s="22">
        <v>12.84</v>
      </c>
      <c r="P133" s="22">
        <v>13.88</v>
      </c>
      <c r="Q133" s="22">
        <v>8.68</v>
      </c>
      <c r="R133" s="22">
        <v>46.93</v>
      </c>
      <c r="S133" s="17">
        <v>627.79</v>
      </c>
      <c r="T133" s="17">
        <v>147.17</v>
      </c>
      <c r="U133" s="17">
        <v>204.87</v>
      </c>
      <c r="V133" s="17">
        <v>261.54</v>
      </c>
      <c r="W133" s="17">
        <v>332.47</v>
      </c>
    </row>
    <row r="134" ht="15.0" customHeight="1">
      <c r="A134" s="14" t="s">
        <v>273</v>
      </c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19">
        <v>39.53</v>
      </c>
      <c r="U134" s="19">
        <v>33.69</v>
      </c>
      <c r="V134" s="21"/>
      <c r="W134" s="19">
        <v>2.74</v>
      </c>
    </row>
    <row r="135" ht="15.0" customHeight="1">
      <c r="A135" s="16" t="s">
        <v>274</v>
      </c>
      <c r="B135" s="17">
        <v>1115.34</v>
      </c>
      <c r="C135" s="17">
        <v>1188.48</v>
      </c>
      <c r="D135" s="17">
        <v>965.49</v>
      </c>
      <c r="E135" s="17">
        <v>1097.52</v>
      </c>
      <c r="F135" s="17">
        <v>833.01</v>
      </c>
      <c r="G135" s="17">
        <v>998.26</v>
      </c>
      <c r="H135" s="17">
        <v>931.1</v>
      </c>
      <c r="I135" s="17">
        <v>918.28</v>
      </c>
      <c r="J135" s="17">
        <v>800.52</v>
      </c>
      <c r="K135" s="17">
        <v>320.53</v>
      </c>
      <c r="L135" s="17">
        <v>343.27</v>
      </c>
      <c r="M135" s="17">
        <v>274.13</v>
      </c>
      <c r="N135" s="17">
        <v>316.66</v>
      </c>
      <c r="O135" s="17">
        <v>257.67</v>
      </c>
      <c r="P135" s="17">
        <v>288.95</v>
      </c>
      <c r="Q135" s="17">
        <v>230.8</v>
      </c>
      <c r="R135" s="17">
        <v>255.68</v>
      </c>
      <c r="S135" s="17">
        <v>1086.63</v>
      </c>
      <c r="T135" s="17">
        <v>1058.82</v>
      </c>
      <c r="U135" s="17">
        <v>955.14</v>
      </c>
      <c r="V135" s="17">
        <v>923.88</v>
      </c>
      <c r="W135" s="17">
        <v>817.48</v>
      </c>
    </row>
    <row r="136" ht="15.0" customHeight="1">
      <c r="A136" s="14" t="s">
        <v>275</v>
      </c>
      <c r="B136" s="21"/>
      <c r="C136" s="18">
        <v>-58.6</v>
      </c>
      <c r="D136" s="19">
        <v>54.37</v>
      </c>
      <c r="E136" s="15">
        <v>338.86</v>
      </c>
      <c r="F136" s="15">
        <v>102.3</v>
      </c>
      <c r="G136" s="19">
        <v>9.4</v>
      </c>
      <c r="H136" s="19">
        <v>35.63</v>
      </c>
      <c r="I136" s="19">
        <v>95.63</v>
      </c>
      <c r="J136" s="19">
        <v>10.01</v>
      </c>
      <c r="K136" s="19">
        <v>6.64</v>
      </c>
      <c r="L136" s="18">
        <v>-35.58</v>
      </c>
      <c r="M136" s="18">
        <v>-15.34</v>
      </c>
      <c r="N136" s="18">
        <v>-30.16</v>
      </c>
      <c r="O136" s="18">
        <v>-18.83</v>
      </c>
      <c r="P136" s="18">
        <v>-25.16</v>
      </c>
      <c r="Q136" s="19">
        <v>8.68</v>
      </c>
      <c r="R136" s="18">
        <v>-3.24</v>
      </c>
      <c r="S136" s="19">
        <v>44.46</v>
      </c>
      <c r="T136" s="18">
        <v>-32.8</v>
      </c>
      <c r="U136" s="18">
        <v>-4.55</v>
      </c>
      <c r="V136" s="21"/>
      <c r="W136" s="15">
        <v>204.6</v>
      </c>
    </row>
    <row r="137" ht="15.0" customHeight="1">
      <c r="A137" s="14" t="s">
        <v>276</v>
      </c>
      <c r="B137" s="21"/>
      <c r="C137" s="19">
        <v>1.03</v>
      </c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</row>
    <row r="138" ht="15.0" customHeight="1">
      <c r="A138" s="14" t="s">
        <v>277</v>
      </c>
      <c r="B138" s="15">
        <v>1676.28</v>
      </c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</row>
    <row r="139" ht="15.0" customHeight="1">
      <c r="A139" s="14" t="s">
        <v>278</v>
      </c>
      <c r="B139" s="15">
        <v>293.05</v>
      </c>
      <c r="C139" s="15">
        <v>157.3</v>
      </c>
      <c r="D139" s="15">
        <v>154.03</v>
      </c>
      <c r="E139" s="15">
        <v>144.01</v>
      </c>
      <c r="F139" s="15">
        <v>149.06</v>
      </c>
      <c r="G139" s="15">
        <v>159.76</v>
      </c>
      <c r="H139" s="15">
        <v>143.46</v>
      </c>
      <c r="I139" s="15">
        <v>149.31</v>
      </c>
      <c r="J139" s="15">
        <v>153.1</v>
      </c>
      <c r="K139" s="15">
        <v>145.09</v>
      </c>
      <c r="L139" s="15">
        <v>160.12</v>
      </c>
      <c r="M139" s="15">
        <v>146.65</v>
      </c>
      <c r="N139" s="15">
        <v>144.2</v>
      </c>
      <c r="O139" s="15">
        <v>130.97</v>
      </c>
      <c r="P139" s="15">
        <v>132.76</v>
      </c>
      <c r="Q139" s="15">
        <v>132.75</v>
      </c>
      <c r="R139" s="15">
        <v>123.79</v>
      </c>
      <c r="S139" s="19">
        <v>83.59</v>
      </c>
      <c r="T139" s="19">
        <v>79.05</v>
      </c>
      <c r="U139" s="19">
        <v>85.59</v>
      </c>
      <c r="V139" s="21"/>
      <c r="W139" s="19">
        <v>85.86</v>
      </c>
    </row>
    <row r="140" ht="15.0" customHeight="1">
      <c r="A140" s="14" t="s">
        <v>279</v>
      </c>
      <c r="B140" s="15">
        <v>955.69</v>
      </c>
      <c r="C140" s="15">
        <v>750.51</v>
      </c>
      <c r="D140" s="15">
        <v>734.94</v>
      </c>
      <c r="E140" s="15">
        <v>687.12</v>
      </c>
      <c r="F140" s="15">
        <v>711.22</v>
      </c>
      <c r="G140" s="15">
        <v>762.27</v>
      </c>
      <c r="H140" s="15">
        <v>684.49</v>
      </c>
      <c r="I140" s="15">
        <v>712.38</v>
      </c>
      <c r="J140" s="15">
        <v>730.47</v>
      </c>
      <c r="K140" s="15">
        <v>692.27</v>
      </c>
      <c r="L140" s="15">
        <v>763.99</v>
      </c>
      <c r="M140" s="15">
        <v>699.71</v>
      </c>
      <c r="N140" s="15">
        <v>687.99</v>
      </c>
      <c r="O140" s="15">
        <v>624.9</v>
      </c>
      <c r="P140" s="15">
        <v>633.43</v>
      </c>
      <c r="Q140" s="15">
        <v>633.39</v>
      </c>
      <c r="R140" s="15">
        <v>590.65</v>
      </c>
      <c r="S140" s="15">
        <v>344.13</v>
      </c>
      <c r="T140" s="15">
        <v>325.47</v>
      </c>
      <c r="U140" s="15">
        <v>352.37</v>
      </c>
      <c r="V140" s="21"/>
      <c r="W140" s="15">
        <v>353.48</v>
      </c>
    </row>
    <row r="141" ht="15.0" customHeight="1">
      <c r="A141" s="14" t="s">
        <v>280</v>
      </c>
      <c r="B141" s="18">
        <v>-75.45</v>
      </c>
      <c r="C141" s="18">
        <v>-70.94</v>
      </c>
      <c r="D141" s="18">
        <v>-69.47</v>
      </c>
      <c r="E141" s="18">
        <v>-64.95</v>
      </c>
      <c r="F141" s="18">
        <v>-67.23</v>
      </c>
      <c r="G141" s="18">
        <v>-72.05</v>
      </c>
      <c r="H141" s="18">
        <v>-64.7</v>
      </c>
      <c r="I141" s="18">
        <v>-67.33</v>
      </c>
      <c r="J141" s="18">
        <v>-69.04</v>
      </c>
      <c r="K141" s="18">
        <v>-65.43</v>
      </c>
      <c r="L141" s="18">
        <v>-72.21</v>
      </c>
      <c r="M141" s="18">
        <v>-66.14</v>
      </c>
      <c r="N141" s="18">
        <v>-65.03</v>
      </c>
      <c r="O141" s="18">
        <v>-59.07</v>
      </c>
      <c r="P141" s="18">
        <v>-59.87</v>
      </c>
      <c r="Q141" s="18">
        <v>-59.87</v>
      </c>
      <c r="R141" s="18">
        <v>-55.83</v>
      </c>
      <c r="S141" s="18">
        <v>-61.36</v>
      </c>
      <c r="T141" s="18">
        <v>-58.03</v>
      </c>
      <c r="U141" s="18">
        <v>-62.83</v>
      </c>
      <c r="V141" s="21"/>
      <c r="W141" s="18">
        <v>-63.02</v>
      </c>
    </row>
    <row r="142" ht="15.0" customHeight="1">
      <c r="A142" s="14" t="s">
        <v>281</v>
      </c>
      <c r="B142" s="18">
        <v>-50.3</v>
      </c>
      <c r="C142" s="18">
        <v>-52.43</v>
      </c>
      <c r="D142" s="19">
        <v>61.41</v>
      </c>
      <c r="E142" s="15">
        <v>345.44</v>
      </c>
      <c r="F142" s="15">
        <v>111.07</v>
      </c>
      <c r="G142" s="19">
        <v>18.8</v>
      </c>
      <c r="H142" s="19">
        <v>43.13</v>
      </c>
      <c r="I142" s="15">
        <v>103.44</v>
      </c>
      <c r="J142" s="19">
        <v>18.01</v>
      </c>
      <c r="K142" s="21"/>
      <c r="L142" s="21"/>
      <c r="M142" s="21"/>
      <c r="N142" s="21"/>
      <c r="O142" s="18">
        <v>-11.13</v>
      </c>
      <c r="P142" s="21"/>
      <c r="Q142" s="21"/>
      <c r="R142" s="21"/>
      <c r="S142" s="21"/>
      <c r="T142" s="21"/>
      <c r="U142" s="21"/>
      <c r="V142" s="21"/>
      <c r="W142" s="21"/>
    </row>
    <row r="143" ht="15.0" customHeight="1">
      <c r="A143" s="14" t="s">
        <v>133</v>
      </c>
      <c r="B143" s="18">
        <v>-7.65</v>
      </c>
      <c r="C143" s="18">
        <v>-7.2</v>
      </c>
      <c r="D143" s="18">
        <v>-7.05</v>
      </c>
      <c r="E143" s="18">
        <v>-6.59</v>
      </c>
      <c r="F143" s="18">
        <v>-8.77</v>
      </c>
      <c r="G143" s="18">
        <v>-9.4</v>
      </c>
      <c r="H143" s="18">
        <v>-7.5</v>
      </c>
      <c r="I143" s="18">
        <v>-7.81</v>
      </c>
      <c r="J143" s="18">
        <v>-8.01</v>
      </c>
      <c r="K143" s="21"/>
      <c r="L143" s="21"/>
      <c r="M143" s="21"/>
      <c r="N143" s="21"/>
      <c r="O143" s="18">
        <v>-7.7</v>
      </c>
      <c r="P143" s="21"/>
      <c r="Q143" s="21"/>
      <c r="R143" s="21"/>
      <c r="S143" s="21"/>
      <c r="T143" s="21"/>
      <c r="U143" s="21"/>
      <c r="V143" s="21"/>
      <c r="W143" s="21"/>
    </row>
    <row r="144" ht="15.0" customHeight="1">
      <c r="A144" s="14" t="s">
        <v>282</v>
      </c>
      <c r="B144" s="15">
        <v>560.95</v>
      </c>
      <c r="C144" s="15">
        <v>960.24</v>
      </c>
      <c r="D144" s="15">
        <v>996.7</v>
      </c>
      <c r="E144" s="15">
        <v>1018.45</v>
      </c>
      <c r="F144" s="15">
        <v>592.36</v>
      </c>
      <c r="G144" s="15">
        <v>499.13</v>
      </c>
      <c r="H144" s="15">
        <v>495.09</v>
      </c>
      <c r="I144" s="15">
        <v>534.77</v>
      </c>
      <c r="J144" s="15">
        <v>383.25</v>
      </c>
      <c r="K144" s="15">
        <v>312.95</v>
      </c>
      <c r="L144" s="15">
        <v>290.94</v>
      </c>
      <c r="M144" s="15">
        <v>169.65</v>
      </c>
      <c r="N144" s="19">
        <v>40.53</v>
      </c>
      <c r="O144" s="15">
        <v>172.06</v>
      </c>
      <c r="P144" s="15">
        <v>198.71</v>
      </c>
      <c r="Q144" s="15">
        <v>350.53</v>
      </c>
      <c r="R144" s="15">
        <v>225.74</v>
      </c>
      <c r="S144" s="15">
        <v>309.45</v>
      </c>
      <c r="T144" s="15">
        <v>569.36</v>
      </c>
      <c r="U144" s="15">
        <v>906.88</v>
      </c>
      <c r="V144" s="21"/>
      <c r="W144" s="21"/>
    </row>
    <row r="145" ht="15.0" customHeight="1">
      <c r="A145" s="14" t="s">
        <v>283</v>
      </c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15">
        <v>947.18</v>
      </c>
    </row>
    <row r="146" ht="15.0" customHeight="1">
      <c r="A146" s="16" t="s">
        <v>284</v>
      </c>
      <c r="B146" s="17">
        <v>1676.28</v>
      </c>
      <c r="C146" s="17">
        <v>1738.51</v>
      </c>
      <c r="D146" s="17">
        <v>1870.57</v>
      </c>
      <c r="E146" s="17">
        <v>2123.49</v>
      </c>
      <c r="F146" s="17">
        <v>1487.72</v>
      </c>
      <c r="G146" s="17">
        <v>1358.51</v>
      </c>
      <c r="H146" s="17">
        <v>1293.97</v>
      </c>
      <c r="I146" s="17">
        <v>1424.76</v>
      </c>
      <c r="J146" s="17">
        <v>1207.78</v>
      </c>
      <c r="K146" s="17">
        <v>1091.51</v>
      </c>
      <c r="L146" s="17">
        <v>1107.26</v>
      </c>
      <c r="M146" s="17">
        <v>934.54</v>
      </c>
      <c r="N146" s="17">
        <v>777.53</v>
      </c>
      <c r="O146" s="17">
        <v>850.04</v>
      </c>
      <c r="P146" s="17">
        <v>879.86</v>
      </c>
      <c r="Q146" s="17">
        <v>1065.48</v>
      </c>
      <c r="R146" s="17">
        <v>881.12</v>
      </c>
      <c r="S146" s="17">
        <v>720.27</v>
      </c>
      <c r="T146" s="17">
        <v>883.05</v>
      </c>
      <c r="U146" s="17">
        <v>1277.46</v>
      </c>
      <c r="V146" s="17">
        <v>1293.27</v>
      </c>
      <c r="W146" s="17">
        <v>1528.09</v>
      </c>
    </row>
    <row r="147" ht="15.0" customHeight="1">
      <c r="A147" s="16" t="s">
        <v>285</v>
      </c>
      <c r="B147" s="17">
        <v>1676.28</v>
      </c>
      <c r="C147" s="17">
        <v>1738.51</v>
      </c>
      <c r="D147" s="17">
        <v>1870.57</v>
      </c>
      <c r="E147" s="17">
        <v>2123.49</v>
      </c>
      <c r="F147" s="17">
        <v>1487.72</v>
      </c>
      <c r="G147" s="17">
        <v>1358.51</v>
      </c>
      <c r="H147" s="17">
        <v>1293.97</v>
      </c>
      <c r="I147" s="17">
        <v>1424.76</v>
      </c>
      <c r="J147" s="17">
        <v>1207.78</v>
      </c>
      <c r="K147" s="17">
        <v>1091.51</v>
      </c>
      <c r="L147" s="17">
        <v>1107.26</v>
      </c>
      <c r="M147" s="17">
        <v>934.54</v>
      </c>
      <c r="N147" s="17">
        <v>777.53</v>
      </c>
      <c r="O147" s="17">
        <v>850.04</v>
      </c>
      <c r="P147" s="17">
        <v>879.86</v>
      </c>
      <c r="Q147" s="17">
        <v>1065.48</v>
      </c>
      <c r="R147" s="17">
        <v>881.12</v>
      </c>
      <c r="S147" s="17">
        <v>720.27</v>
      </c>
      <c r="T147" s="17">
        <v>883.05</v>
      </c>
      <c r="U147" s="17">
        <v>1277.46</v>
      </c>
      <c r="V147" s="17">
        <v>1293.27</v>
      </c>
      <c r="W147" s="17">
        <v>1528.09</v>
      </c>
    </row>
    <row r="148" ht="15.0" customHeight="1">
      <c r="A148" s="14" t="s">
        <v>286</v>
      </c>
      <c r="B148" s="19">
        <v>5.47</v>
      </c>
      <c r="C148" s="18">
        <v>-1.03</v>
      </c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</row>
    <row r="149" ht="15.0" customHeight="1">
      <c r="A149" s="16" t="s">
        <v>287</v>
      </c>
      <c r="B149" s="17">
        <v>2797.09</v>
      </c>
      <c r="C149" s="17">
        <v>2925.96</v>
      </c>
      <c r="D149" s="17">
        <v>2836.06</v>
      </c>
      <c r="E149" s="17">
        <v>3221.01</v>
      </c>
      <c r="F149" s="17">
        <v>2320.73</v>
      </c>
      <c r="G149" s="17">
        <v>2356.76</v>
      </c>
      <c r="H149" s="17">
        <v>2225.07</v>
      </c>
      <c r="I149" s="17">
        <v>2343.04</v>
      </c>
      <c r="J149" s="17">
        <v>2008.3</v>
      </c>
      <c r="K149" s="17">
        <v>1412.05</v>
      </c>
      <c r="L149" s="17">
        <v>1450.54</v>
      </c>
      <c r="M149" s="17">
        <v>1208.67</v>
      </c>
      <c r="N149" s="17">
        <v>1094.19</v>
      </c>
      <c r="O149" s="17">
        <v>1107.7</v>
      </c>
      <c r="P149" s="17">
        <v>1168.8</v>
      </c>
      <c r="Q149" s="17">
        <v>1296.28</v>
      </c>
      <c r="R149" s="17">
        <v>1136.8</v>
      </c>
      <c r="S149" s="17">
        <v>1806.91</v>
      </c>
      <c r="T149" s="17">
        <v>1941.87</v>
      </c>
      <c r="U149" s="17">
        <v>2232.6</v>
      </c>
      <c r="V149" s="17">
        <v>2217.15</v>
      </c>
      <c r="W149" s="17">
        <v>2345.57</v>
      </c>
    </row>
    <row r="150" ht="15.0" customHeight="1">
      <c r="A150" s="14" t="s">
        <v>288</v>
      </c>
      <c r="B150" s="15">
        <v>267.0</v>
      </c>
      <c r="C150" s="15">
        <v>178.45</v>
      </c>
      <c r="D150" s="15">
        <v>178.45</v>
      </c>
      <c r="E150" s="15">
        <v>178.45</v>
      </c>
      <c r="F150" s="15">
        <v>178.45</v>
      </c>
      <c r="G150" s="15">
        <v>178.45</v>
      </c>
      <c r="H150" s="15">
        <v>178.45</v>
      </c>
      <c r="I150" s="15">
        <v>178.45</v>
      </c>
      <c r="J150" s="15">
        <v>178.45</v>
      </c>
      <c r="K150" s="15">
        <v>178.45</v>
      </c>
      <c r="L150" s="15">
        <v>178.45</v>
      </c>
      <c r="M150" s="15">
        <v>178.45</v>
      </c>
      <c r="N150" s="15">
        <v>178.45</v>
      </c>
      <c r="O150" s="15">
        <v>178.45</v>
      </c>
      <c r="P150" s="15">
        <v>178.45</v>
      </c>
      <c r="Q150" s="15">
        <v>178.45</v>
      </c>
      <c r="R150" s="15">
        <v>178.45</v>
      </c>
      <c r="S150" s="19">
        <v>86.94</v>
      </c>
      <c r="T150" s="19">
        <v>86.94</v>
      </c>
      <c r="U150" s="19">
        <v>86.94</v>
      </c>
      <c r="V150" s="19">
        <v>86.94</v>
      </c>
      <c r="W150" s="19">
        <v>86.94</v>
      </c>
    </row>
    <row r="151" ht="15.0" customHeight="1">
      <c r="A151" s="14" t="s">
        <v>289</v>
      </c>
      <c r="B151" s="15">
        <v>267.82</v>
      </c>
      <c r="C151" s="15">
        <v>179.41</v>
      </c>
      <c r="D151" s="15">
        <v>179.41</v>
      </c>
      <c r="E151" s="15">
        <v>179.41</v>
      </c>
      <c r="F151" s="15">
        <v>179.41</v>
      </c>
      <c r="G151" s="15">
        <v>179.41</v>
      </c>
      <c r="H151" s="15">
        <v>179.41</v>
      </c>
      <c r="I151" s="15">
        <v>179.41</v>
      </c>
      <c r="J151" s="15">
        <v>179.41</v>
      </c>
      <c r="K151" s="15">
        <v>179.41</v>
      </c>
      <c r="L151" s="15">
        <v>179.41</v>
      </c>
      <c r="M151" s="15">
        <v>179.41</v>
      </c>
      <c r="N151" s="15">
        <v>179.41</v>
      </c>
      <c r="O151" s="15">
        <v>179.41</v>
      </c>
      <c r="P151" s="15">
        <v>179.41</v>
      </c>
      <c r="Q151" s="15">
        <v>179.41</v>
      </c>
      <c r="R151" s="15">
        <v>178.54</v>
      </c>
      <c r="S151" s="19">
        <v>88.58</v>
      </c>
      <c r="T151" s="19">
        <v>88.58</v>
      </c>
      <c r="U151" s="19">
        <v>88.58</v>
      </c>
      <c r="V151" s="19">
        <v>88.58</v>
      </c>
      <c r="W151" s="19">
        <v>88.58</v>
      </c>
    </row>
    <row r="152" ht="15.0" customHeight="1">
      <c r="A152" s="14" t="s">
        <v>290</v>
      </c>
      <c r="B152" s="19">
        <v>0.82</v>
      </c>
      <c r="C152" s="19">
        <v>0.96</v>
      </c>
      <c r="D152" s="19">
        <v>0.96</v>
      </c>
      <c r="E152" s="19">
        <v>0.96</v>
      </c>
      <c r="F152" s="19">
        <v>0.96</v>
      </c>
      <c r="G152" s="19">
        <v>0.96</v>
      </c>
      <c r="H152" s="19">
        <v>0.96</v>
      </c>
      <c r="I152" s="19">
        <v>0.96</v>
      </c>
      <c r="J152" s="19">
        <v>0.96</v>
      </c>
      <c r="K152" s="19">
        <v>0.96</v>
      </c>
      <c r="L152" s="19">
        <v>0.96</v>
      </c>
      <c r="M152" s="19">
        <v>0.96</v>
      </c>
      <c r="N152" s="19">
        <v>0.96</v>
      </c>
      <c r="O152" s="19">
        <v>0.96</v>
      </c>
      <c r="P152" s="19">
        <v>0.96</v>
      </c>
      <c r="Q152" s="19">
        <v>0.96</v>
      </c>
      <c r="R152" s="19">
        <v>0.1</v>
      </c>
      <c r="S152" s="19">
        <v>1.64</v>
      </c>
      <c r="T152" s="19">
        <v>1.64</v>
      </c>
      <c r="U152" s="19">
        <v>1.64</v>
      </c>
      <c r="V152" s="19">
        <v>1.64</v>
      </c>
      <c r="W152" s="19">
        <v>1.64</v>
      </c>
    </row>
    <row r="153" ht="15.0" customHeight="1">
      <c r="A153" s="14" t="s">
        <v>291</v>
      </c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19">
        <v>13.75</v>
      </c>
      <c r="S153" s="19">
        <v>19.56</v>
      </c>
      <c r="T153" s="19">
        <v>21.87</v>
      </c>
      <c r="U153" s="21"/>
      <c r="V153" s="21"/>
      <c r="W153" s="21"/>
    </row>
    <row r="154" ht="15.0" customHeight="1">
      <c r="A154" s="14" t="s">
        <v>292</v>
      </c>
      <c r="B154" s="21"/>
      <c r="C154" s="19">
        <v>72.99</v>
      </c>
      <c r="D154" s="19">
        <v>34.23</v>
      </c>
      <c r="E154" s="19">
        <v>0.94</v>
      </c>
      <c r="F154" s="19">
        <v>1.95</v>
      </c>
      <c r="G154" s="19">
        <v>2.09</v>
      </c>
      <c r="H154" s="19">
        <v>1.88</v>
      </c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</row>
    <row r="155" ht="15.0" customHeight="1">
      <c r="A155" s="14" t="s">
        <v>293</v>
      </c>
      <c r="B155" s="21"/>
      <c r="C155" s="15">
        <v>350.58</v>
      </c>
      <c r="D155" s="19">
        <v>57.39</v>
      </c>
      <c r="E155" s="15">
        <v>102.6</v>
      </c>
      <c r="F155" s="15">
        <v>136.4</v>
      </c>
      <c r="G155" s="15">
        <v>421.86</v>
      </c>
      <c r="H155" s="15">
        <v>376.94</v>
      </c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</row>
    <row r="156" ht="15.0" customHeight="1">
      <c r="A156" s="14" t="s">
        <v>294</v>
      </c>
      <c r="B156" s="21"/>
      <c r="C156" s="21">
        <v>0.0</v>
      </c>
      <c r="D156" s="21">
        <v>0.0</v>
      </c>
      <c r="E156" s="19">
        <v>0.94</v>
      </c>
      <c r="F156" s="19">
        <v>2.92</v>
      </c>
      <c r="G156" s="19">
        <v>5.22</v>
      </c>
      <c r="H156" s="19">
        <v>6.56</v>
      </c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</row>
    <row r="157" ht="15.0" customHeight="1">
      <c r="A157" s="14" t="s">
        <v>295</v>
      </c>
      <c r="B157" s="21"/>
      <c r="C157" s="21"/>
      <c r="D157" s="19">
        <v>91.62</v>
      </c>
      <c r="E157" s="15">
        <v>104.48</v>
      </c>
      <c r="F157" s="15">
        <v>141.27</v>
      </c>
      <c r="G157" s="15">
        <v>427.08</v>
      </c>
      <c r="H157" s="15">
        <v>385.38</v>
      </c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</row>
    <row r="158" ht="15.0" customHeight="1">
      <c r="A158" s="14" t="s">
        <v>296</v>
      </c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19">
        <v>5.14</v>
      </c>
      <c r="P158" s="19">
        <v>8.68</v>
      </c>
      <c r="Q158" s="19">
        <v>12.15</v>
      </c>
      <c r="R158" s="19">
        <v>15.37</v>
      </c>
      <c r="S158" s="19">
        <v>20.45</v>
      </c>
      <c r="T158" s="19">
        <v>19.34</v>
      </c>
      <c r="U158" s="19">
        <v>28.23</v>
      </c>
      <c r="V158" s="21"/>
      <c r="W158" s="19">
        <v>42.93</v>
      </c>
    </row>
    <row r="159" ht="15.0" customHeight="1">
      <c r="A159" s="14" t="s">
        <v>297</v>
      </c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19">
        <v>5.14</v>
      </c>
      <c r="P159" s="19">
        <v>4.34</v>
      </c>
      <c r="Q159" s="19">
        <v>3.47</v>
      </c>
      <c r="R159" s="19">
        <v>3.24</v>
      </c>
      <c r="S159" s="19">
        <v>3.56</v>
      </c>
      <c r="T159" s="19">
        <v>3.36</v>
      </c>
      <c r="U159" s="19">
        <v>4.55</v>
      </c>
      <c r="V159" s="21"/>
      <c r="W159" s="19">
        <v>6.39</v>
      </c>
    </row>
    <row r="160" ht="15.0" customHeight="1">
      <c r="A160" s="14" t="s">
        <v>298</v>
      </c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>
        <v>0.0</v>
      </c>
      <c r="P160" s="19">
        <v>4.34</v>
      </c>
      <c r="Q160" s="19">
        <v>8.68</v>
      </c>
      <c r="R160" s="19">
        <v>12.14</v>
      </c>
      <c r="S160" s="19">
        <v>16.9</v>
      </c>
      <c r="T160" s="19">
        <v>12.61</v>
      </c>
      <c r="U160" s="19">
        <v>15.48</v>
      </c>
      <c r="V160" s="21"/>
      <c r="W160" s="19">
        <v>22.83</v>
      </c>
    </row>
    <row r="161" ht="15.0" customHeight="1">
      <c r="A161" s="14" t="s">
        <v>299</v>
      </c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>
        <v>0.0</v>
      </c>
      <c r="R161" s="21">
        <v>0.0</v>
      </c>
      <c r="S161" s="21">
        <v>0.0</v>
      </c>
      <c r="T161" s="19">
        <v>3.36</v>
      </c>
      <c r="U161" s="19">
        <v>8.19</v>
      </c>
      <c r="V161" s="21"/>
      <c r="W161" s="19">
        <v>13.7</v>
      </c>
    </row>
    <row r="162" ht="15.0" customHeight="1">
      <c r="A162" s="14" t="s">
        <v>300</v>
      </c>
      <c r="B162" s="21"/>
      <c r="C162" s="15">
        <v>229.27</v>
      </c>
      <c r="D162" s="15">
        <v>183.23</v>
      </c>
      <c r="E162" s="15">
        <v>171.31</v>
      </c>
      <c r="F162" s="15">
        <v>177.32</v>
      </c>
      <c r="G162" s="15">
        <v>190.04</v>
      </c>
      <c r="H162" s="15">
        <v>170.65</v>
      </c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</row>
    <row r="163" ht="15.0" customHeight="1">
      <c r="A163" s="14" t="s">
        <v>301</v>
      </c>
      <c r="B163" s="15">
        <v>267.0</v>
      </c>
      <c r="C163" s="15">
        <v>178.45</v>
      </c>
      <c r="D163" s="15">
        <v>178.45</v>
      </c>
      <c r="E163" s="15">
        <v>178.45</v>
      </c>
      <c r="F163" s="15">
        <v>178.45</v>
      </c>
      <c r="G163" s="15">
        <v>178.45</v>
      </c>
      <c r="H163" s="15">
        <v>178.45</v>
      </c>
      <c r="I163" s="15">
        <v>178.45</v>
      </c>
      <c r="J163" s="15">
        <v>178.45</v>
      </c>
      <c r="K163" s="15">
        <v>178.45</v>
      </c>
      <c r="L163" s="15">
        <v>178.45</v>
      </c>
      <c r="M163" s="15">
        <v>178.45</v>
      </c>
      <c r="N163" s="15">
        <v>178.45</v>
      </c>
      <c r="O163" s="15">
        <v>178.45</v>
      </c>
      <c r="P163" s="15">
        <v>178.45</v>
      </c>
      <c r="Q163" s="15">
        <v>178.45</v>
      </c>
      <c r="R163" s="15">
        <v>178.45</v>
      </c>
      <c r="S163" s="19">
        <v>86.94</v>
      </c>
      <c r="T163" s="19">
        <v>86.94</v>
      </c>
      <c r="U163" s="19">
        <v>86.94</v>
      </c>
      <c r="V163" s="19">
        <v>86.94</v>
      </c>
      <c r="W163" s="19">
        <v>86.94</v>
      </c>
    </row>
    <row r="164" ht="15.0" customHeight="1">
      <c r="A164" s="14" t="s">
        <v>302</v>
      </c>
      <c r="B164" s="19">
        <v>1.0</v>
      </c>
      <c r="C164" s="19">
        <v>1.0</v>
      </c>
      <c r="D164" s="19">
        <v>1.0</v>
      </c>
      <c r="E164" s="19">
        <v>1.0</v>
      </c>
      <c r="F164" s="19">
        <v>1.0</v>
      </c>
      <c r="G164" s="19">
        <v>1.0</v>
      </c>
      <c r="H164" s="19">
        <v>1.0</v>
      </c>
      <c r="I164" s="19">
        <v>1.0</v>
      </c>
      <c r="J164" s="19">
        <v>1.0</v>
      </c>
      <c r="K164" s="19">
        <v>1.0</v>
      </c>
      <c r="L164" s="19">
        <v>1.0</v>
      </c>
      <c r="M164" s="19">
        <v>1.0</v>
      </c>
      <c r="N164" s="19">
        <v>1.0</v>
      </c>
      <c r="O164" s="19">
        <v>1.0</v>
      </c>
      <c r="P164" s="19">
        <v>1.0</v>
      </c>
      <c r="Q164" s="19">
        <v>1.0</v>
      </c>
      <c r="R164" s="19">
        <v>1.0</v>
      </c>
      <c r="S164" s="19">
        <v>1.0</v>
      </c>
      <c r="T164" s="19">
        <v>1.0</v>
      </c>
      <c r="U164" s="19">
        <v>1.0</v>
      </c>
      <c r="V164" s="19">
        <v>1.0</v>
      </c>
      <c r="W164" s="19">
        <v>1.0</v>
      </c>
    </row>
    <row r="165" ht="15.0" customHeight="1">
      <c r="A165" s="14" t="s">
        <v>303</v>
      </c>
      <c r="B165" s="19">
        <v>0.82</v>
      </c>
      <c r="C165" s="19">
        <v>0.96</v>
      </c>
      <c r="D165" s="19">
        <v>0.96</v>
      </c>
      <c r="E165" s="19">
        <v>0.96</v>
      </c>
      <c r="F165" s="19">
        <v>0.96</v>
      </c>
      <c r="G165" s="19">
        <v>0.96</v>
      </c>
      <c r="H165" s="19">
        <v>0.96</v>
      </c>
      <c r="I165" s="19">
        <v>0.96</v>
      </c>
      <c r="J165" s="19">
        <v>0.96</v>
      </c>
      <c r="K165" s="19">
        <v>0.96</v>
      </c>
      <c r="L165" s="19">
        <v>0.96</v>
      </c>
      <c r="M165" s="19">
        <v>0.96</v>
      </c>
      <c r="N165" s="19">
        <v>0.96</v>
      </c>
      <c r="O165" s="19">
        <v>0.96</v>
      </c>
      <c r="P165" s="19">
        <v>0.96</v>
      </c>
      <c r="Q165" s="19">
        <v>0.96</v>
      </c>
      <c r="R165" s="19">
        <v>0.1</v>
      </c>
      <c r="S165" s="19">
        <v>1.64</v>
      </c>
      <c r="T165" s="19">
        <v>1.64</v>
      </c>
      <c r="U165" s="19">
        <v>1.64</v>
      </c>
      <c r="V165" s="19">
        <v>1.64</v>
      </c>
      <c r="W165" s="19">
        <v>1.64</v>
      </c>
    </row>
    <row r="166" ht="15.0" customHeight="1">
      <c r="A166" s="14" t="s">
        <v>304</v>
      </c>
      <c r="B166" s="15">
        <v>267.82</v>
      </c>
      <c r="C166" s="15">
        <v>179.41</v>
      </c>
      <c r="D166" s="15">
        <v>179.41</v>
      </c>
      <c r="E166" s="15">
        <v>179.41</v>
      </c>
      <c r="F166" s="15">
        <v>179.41</v>
      </c>
      <c r="G166" s="15">
        <v>179.41</v>
      </c>
      <c r="H166" s="15">
        <v>179.41</v>
      </c>
      <c r="I166" s="15">
        <v>179.41</v>
      </c>
      <c r="J166" s="15">
        <v>179.41</v>
      </c>
      <c r="K166" s="15">
        <v>179.41</v>
      </c>
      <c r="L166" s="15">
        <v>179.41</v>
      </c>
      <c r="M166" s="15">
        <v>179.41</v>
      </c>
      <c r="N166" s="15">
        <v>179.41</v>
      </c>
      <c r="O166" s="15">
        <v>179.41</v>
      </c>
      <c r="P166" s="15">
        <v>179.41</v>
      </c>
      <c r="Q166" s="15">
        <v>179.41</v>
      </c>
      <c r="R166" s="15">
        <v>178.54</v>
      </c>
      <c r="S166" s="19">
        <v>88.58</v>
      </c>
      <c r="T166" s="19">
        <v>88.58</v>
      </c>
      <c r="U166" s="19">
        <v>88.58</v>
      </c>
      <c r="V166" s="19">
        <v>88.58</v>
      </c>
      <c r="W166" s="19">
        <v>88.58</v>
      </c>
    </row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305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46094.5631246644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42004.0</v>
      </c>
      <c r="O13" s="9">
        <v>41274.0</v>
      </c>
      <c r="P13" s="9">
        <v>40908.0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39082.0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306</v>
      </c>
      <c r="C15" s="10" t="s">
        <v>306</v>
      </c>
      <c r="D15" s="10" t="s">
        <v>306</v>
      </c>
      <c r="E15" s="10" t="s">
        <v>306</v>
      </c>
      <c r="F15" s="10" t="s">
        <v>306</v>
      </c>
      <c r="G15" s="10" t="s">
        <v>306</v>
      </c>
      <c r="H15" s="10" t="s">
        <v>306</v>
      </c>
      <c r="I15" s="10" t="s">
        <v>306</v>
      </c>
      <c r="J15" s="10" t="s">
        <v>306</v>
      </c>
      <c r="K15" s="10" t="s">
        <v>306</v>
      </c>
      <c r="L15" s="10" t="s">
        <v>306</v>
      </c>
      <c r="M15" s="10" t="s">
        <v>306</v>
      </c>
      <c r="N15" s="10" t="s">
        <v>306</v>
      </c>
      <c r="O15" s="10" t="s">
        <v>306</v>
      </c>
      <c r="P15" s="10" t="s">
        <v>306</v>
      </c>
      <c r="Q15" s="10" t="s">
        <v>306</v>
      </c>
      <c r="R15" s="10" t="s">
        <v>306</v>
      </c>
      <c r="S15" s="10" t="s">
        <v>306</v>
      </c>
      <c r="T15" s="10" t="s">
        <v>306</v>
      </c>
      <c r="U15" s="10" t="s">
        <v>306</v>
      </c>
      <c r="V15" s="10" t="s">
        <v>306</v>
      </c>
      <c r="W15" s="10" t="s">
        <v>306</v>
      </c>
    </row>
    <row r="16" ht="15.0" customHeight="1" outlineLevel="1">
      <c r="A16" s="8" t="s">
        <v>46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0.936468304929426</v>
      </c>
      <c r="J16" s="11">
        <v>0.96834600681371</v>
      </c>
      <c r="K16" s="11">
        <v>0.981956040987212</v>
      </c>
      <c r="L16" s="11">
        <v>0.95610518378966</v>
      </c>
      <c r="M16" s="11">
        <v>0.918581536572363</v>
      </c>
      <c r="N16" s="11">
        <v>0.902518708819346</v>
      </c>
      <c r="O16" s="11">
        <v>0.859419323174902</v>
      </c>
      <c r="P16" s="11">
        <v>0.86369584994385</v>
      </c>
      <c r="Q16" s="11">
        <v>0.839811231206512</v>
      </c>
      <c r="R16" s="11">
        <v>0.82300064527093</v>
      </c>
      <c r="S16" s="11">
        <v>0.855314520372559</v>
      </c>
      <c r="T16" s="11">
        <v>0.866747579107811</v>
      </c>
      <c r="U16" s="11">
        <v>0.870165462777514</v>
      </c>
      <c r="V16" s="11">
        <v>0.863734749832292</v>
      </c>
      <c r="W16" s="11">
        <v>0.91761880662035</v>
      </c>
    </row>
    <row r="18">
      <c r="A18" s="12" t="s">
        <v>307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308</v>
      </c>
      <c r="B20" s="15">
        <v>303.98</v>
      </c>
      <c r="C20" s="15">
        <v>135.26</v>
      </c>
      <c r="D20" s="21"/>
      <c r="E20" s="15">
        <v>133.97</v>
      </c>
      <c r="F20" s="15">
        <v>118.26</v>
      </c>
      <c r="G20" s="15">
        <v>121.79</v>
      </c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</row>
    <row r="21" ht="15.0" customHeight="1">
      <c r="A21" s="14" t="s">
        <v>309</v>
      </c>
      <c r="B21" s="19">
        <v>11.65</v>
      </c>
      <c r="C21" s="19">
        <v>15.25</v>
      </c>
      <c r="D21" s="18">
        <v>-3.98</v>
      </c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</row>
    <row r="22" ht="15.0" customHeight="1">
      <c r="A22" s="14" t="s">
        <v>310</v>
      </c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18">
        <v>-3.45</v>
      </c>
      <c r="Q22" s="18">
        <v>-17.64</v>
      </c>
      <c r="R22" s="18">
        <v>-48.56</v>
      </c>
      <c r="S22" s="18">
        <v>-15.4</v>
      </c>
      <c r="T22" s="19">
        <v>13.87</v>
      </c>
      <c r="U22" s="19">
        <v>2.61</v>
      </c>
      <c r="V22" s="18">
        <v>-31.96</v>
      </c>
      <c r="W22" s="19">
        <v>6.42</v>
      </c>
    </row>
    <row r="23" ht="15.0" customHeight="1">
      <c r="A23" s="14" t="s">
        <v>311</v>
      </c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19">
        <v>62.19</v>
      </c>
      <c r="Q23" s="21"/>
      <c r="R23" s="21"/>
      <c r="S23" s="21"/>
      <c r="T23" s="21"/>
      <c r="U23" s="21"/>
      <c r="V23" s="21"/>
      <c r="W23" s="21"/>
    </row>
    <row r="24" ht="15.0" customHeight="1">
      <c r="A24" s="14" t="s">
        <v>312</v>
      </c>
      <c r="B24" s="21"/>
      <c r="C24" s="19">
        <v>4.07</v>
      </c>
      <c r="D24" s="19">
        <v>13.93</v>
      </c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</row>
    <row r="25" ht="15.0" customHeight="1">
      <c r="A25" s="14" t="s">
        <v>313</v>
      </c>
      <c r="B25" s="21"/>
      <c r="C25" s="21"/>
      <c r="D25" s="21"/>
      <c r="E25" s="19">
        <v>2.85</v>
      </c>
      <c r="F25" s="19">
        <v>1.0</v>
      </c>
      <c r="G25" s="21"/>
      <c r="H25" s="21"/>
      <c r="I25" s="21"/>
      <c r="J25" s="21"/>
      <c r="K25" s="21"/>
      <c r="L25" s="21"/>
      <c r="M25" s="21"/>
      <c r="N25" s="21"/>
      <c r="O25" s="21">
        <v>0.0</v>
      </c>
      <c r="P25" s="18">
        <v>-4.32</v>
      </c>
      <c r="Q25" s="18">
        <v>-5.04</v>
      </c>
      <c r="R25" s="18">
        <v>-23.04</v>
      </c>
      <c r="S25" s="18">
        <v>-44.48</v>
      </c>
      <c r="T25" s="18">
        <v>-29.47</v>
      </c>
      <c r="U25" s="18">
        <v>-17.4</v>
      </c>
      <c r="V25" s="18">
        <v>-10.36</v>
      </c>
      <c r="W25" s="18">
        <v>-7.34</v>
      </c>
    </row>
    <row r="26" ht="15.0" customHeight="1">
      <c r="A26" s="14" t="s">
        <v>314</v>
      </c>
      <c r="B26" s="18">
        <v>-9.53</v>
      </c>
      <c r="C26" s="18">
        <v>-34.58</v>
      </c>
      <c r="D26" s="20">
        <v>-112.47</v>
      </c>
      <c r="E26" s="18">
        <v>-30.4</v>
      </c>
      <c r="F26" s="18">
        <v>-42.09</v>
      </c>
      <c r="G26" s="19">
        <v>2.05</v>
      </c>
      <c r="H26" s="21"/>
      <c r="I26" s="21"/>
      <c r="J26" s="21"/>
      <c r="K26" s="21">
        <v>0.0</v>
      </c>
      <c r="L26" s="18">
        <v>-0.96</v>
      </c>
      <c r="M26" s="21">
        <v>0.0</v>
      </c>
      <c r="N26" s="21">
        <v>0.0</v>
      </c>
      <c r="O26" s="18">
        <v>-0.86</v>
      </c>
      <c r="P26" s="18">
        <v>-0.86</v>
      </c>
      <c r="Q26" s="19">
        <v>1.68</v>
      </c>
      <c r="R26" s="19">
        <v>4.12</v>
      </c>
      <c r="S26" s="18">
        <v>-4.28</v>
      </c>
      <c r="T26" s="18">
        <v>-4.33</v>
      </c>
      <c r="U26" s="18">
        <v>-2.61</v>
      </c>
      <c r="V26" s="18">
        <v>-2.59</v>
      </c>
      <c r="W26" s="18">
        <v>-10.09</v>
      </c>
    </row>
    <row r="27" ht="15.0" customHeight="1">
      <c r="A27" s="14" t="s">
        <v>315</v>
      </c>
      <c r="B27" s="20">
        <v>-291.27</v>
      </c>
      <c r="C27" s="15">
        <v>151.53</v>
      </c>
      <c r="D27" s="15">
        <v>143.32</v>
      </c>
      <c r="E27" s="15">
        <v>624.25</v>
      </c>
      <c r="F27" s="15">
        <v>322.71</v>
      </c>
      <c r="G27" s="19">
        <v>61.41</v>
      </c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</row>
    <row r="28" ht="15.0" customHeight="1">
      <c r="A28" s="14" t="s">
        <v>316</v>
      </c>
      <c r="B28" s="15">
        <v>216.07</v>
      </c>
      <c r="C28" s="20">
        <v>-136.28</v>
      </c>
      <c r="D28" s="18">
        <v>-39.81</v>
      </c>
      <c r="E28" s="20">
        <v>-110.22</v>
      </c>
      <c r="F28" s="18">
        <v>-34.08</v>
      </c>
      <c r="G28" s="19">
        <v>25.59</v>
      </c>
      <c r="H28" s="19">
        <v>98.64</v>
      </c>
      <c r="I28" s="20">
        <v>-143.28</v>
      </c>
      <c r="J28" s="18">
        <v>-9.68</v>
      </c>
      <c r="K28" s="18">
        <v>-16.69</v>
      </c>
      <c r="L28" s="19">
        <v>17.21</v>
      </c>
      <c r="M28" s="18">
        <v>-65.22</v>
      </c>
      <c r="N28" s="19">
        <v>69.49</v>
      </c>
      <c r="O28" s="18">
        <v>-12.03</v>
      </c>
      <c r="P28" s="21"/>
      <c r="Q28" s="21"/>
      <c r="R28" s="21"/>
      <c r="S28" s="21"/>
      <c r="T28" s="21"/>
      <c r="U28" s="21"/>
      <c r="V28" s="21"/>
      <c r="W28" s="21"/>
    </row>
    <row r="29" ht="15.0" customHeight="1">
      <c r="A29" s="14" t="s">
        <v>170</v>
      </c>
      <c r="B29" s="21"/>
      <c r="C29" s="18">
        <v>-98.65</v>
      </c>
      <c r="D29" s="18">
        <v>-57.73</v>
      </c>
      <c r="E29" s="20">
        <v>-103.57</v>
      </c>
      <c r="F29" s="19">
        <v>28.06</v>
      </c>
      <c r="G29" s="19">
        <v>21.49</v>
      </c>
      <c r="H29" s="19">
        <v>13.03</v>
      </c>
      <c r="I29" s="20">
        <v>-102.08</v>
      </c>
      <c r="J29" s="18">
        <v>-0.97</v>
      </c>
      <c r="K29" s="18">
        <v>-10.8</v>
      </c>
      <c r="L29" s="18">
        <v>-10.52</v>
      </c>
      <c r="M29" s="18">
        <v>-9.19</v>
      </c>
      <c r="N29" s="18">
        <v>-5.42</v>
      </c>
      <c r="O29" s="19">
        <v>30.94</v>
      </c>
      <c r="P29" s="18">
        <v>-63.05</v>
      </c>
      <c r="Q29" s="19">
        <v>1.68</v>
      </c>
      <c r="R29" s="15">
        <v>130.86</v>
      </c>
      <c r="S29" s="19">
        <v>48.75</v>
      </c>
      <c r="T29" s="18">
        <v>-81.47</v>
      </c>
      <c r="U29" s="19">
        <v>26.1</v>
      </c>
      <c r="V29" s="19">
        <v>50.96</v>
      </c>
      <c r="W29" s="18">
        <v>-89.01</v>
      </c>
    </row>
    <row r="30" ht="15.0" customHeight="1">
      <c r="A30" s="14" t="s">
        <v>317</v>
      </c>
      <c r="B30" s="21"/>
      <c r="C30" s="19">
        <v>48.82</v>
      </c>
      <c r="D30" s="19">
        <v>41.8</v>
      </c>
      <c r="E30" s="20">
        <v>-158.67</v>
      </c>
      <c r="F30" s="20">
        <v>-187.41</v>
      </c>
      <c r="G30" s="19">
        <v>61.41</v>
      </c>
      <c r="H30" s="15">
        <v>102.36</v>
      </c>
      <c r="I30" s="20">
        <v>-161.07</v>
      </c>
      <c r="J30" s="18">
        <v>-50.35</v>
      </c>
      <c r="K30" s="18">
        <v>-45.17</v>
      </c>
      <c r="L30" s="18">
        <v>-24.86</v>
      </c>
      <c r="M30" s="18">
        <v>-59.71</v>
      </c>
      <c r="N30" s="19">
        <v>30.69</v>
      </c>
      <c r="O30" s="19">
        <v>5.16</v>
      </c>
      <c r="P30" s="19">
        <v>2.59</v>
      </c>
      <c r="Q30" s="15">
        <v>103.3</v>
      </c>
      <c r="R30" s="19">
        <v>18.93</v>
      </c>
      <c r="S30" s="15">
        <v>186.46</v>
      </c>
      <c r="T30" s="19">
        <v>5.2</v>
      </c>
      <c r="U30" s="19">
        <v>40.03</v>
      </c>
      <c r="V30" s="18">
        <v>-38.0</v>
      </c>
      <c r="W30" s="15">
        <v>226.65</v>
      </c>
    </row>
    <row r="31" ht="15.0" customHeight="1">
      <c r="A31" s="14" t="s">
        <v>318</v>
      </c>
      <c r="B31" s="21"/>
      <c r="C31" s="18">
        <v>-86.44</v>
      </c>
      <c r="D31" s="18">
        <v>-23.89</v>
      </c>
      <c r="E31" s="15">
        <v>152.02</v>
      </c>
      <c r="F31" s="15">
        <v>125.28</v>
      </c>
      <c r="G31" s="18">
        <v>-57.31</v>
      </c>
      <c r="H31" s="18">
        <v>-16.75</v>
      </c>
      <c r="I31" s="15">
        <v>119.87</v>
      </c>
      <c r="J31" s="19">
        <v>41.64</v>
      </c>
      <c r="K31" s="19">
        <v>39.28</v>
      </c>
      <c r="L31" s="19">
        <v>52.59</v>
      </c>
      <c r="M31" s="19">
        <v>3.67</v>
      </c>
      <c r="N31" s="19">
        <v>44.22</v>
      </c>
      <c r="O31" s="18">
        <v>-48.13</v>
      </c>
      <c r="P31" s="19">
        <v>18.14</v>
      </c>
      <c r="Q31" s="20">
        <v>-106.66</v>
      </c>
      <c r="R31" s="19">
        <v>9.88</v>
      </c>
      <c r="S31" s="20">
        <v>-153.96</v>
      </c>
      <c r="T31" s="19">
        <v>79.74</v>
      </c>
      <c r="U31" s="18">
        <v>-49.6</v>
      </c>
      <c r="V31" s="18">
        <v>-59.6</v>
      </c>
      <c r="W31" s="20">
        <v>-180.77</v>
      </c>
    </row>
    <row r="32" ht="15.0" customHeight="1">
      <c r="A32" s="14" t="s">
        <v>319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>
        <v>0.0</v>
      </c>
      <c r="R32" s="18">
        <v>-2.47</v>
      </c>
      <c r="S32" s="18">
        <v>-16.25</v>
      </c>
      <c r="T32" s="21"/>
      <c r="U32" s="21"/>
      <c r="V32" s="21"/>
      <c r="W32" s="21"/>
    </row>
    <row r="33" ht="15.0" customHeight="1">
      <c r="A33" s="14" t="s">
        <v>320</v>
      </c>
      <c r="B33" s="19">
        <v>1.06</v>
      </c>
      <c r="C33" s="18">
        <v>-1.02</v>
      </c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</row>
    <row r="34" ht="15.0" customHeight="1">
      <c r="A34" s="16" t="s">
        <v>321</v>
      </c>
      <c r="B34" s="24">
        <v>-75.2</v>
      </c>
      <c r="C34" s="22">
        <v>15.25</v>
      </c>
      <c r="D34" s="17">
        <v>103.51</v>
      </c>
      <c r="E34" s="17">
        <v>514.03</v>
      </c>
      <c r="F34" s="17">
        <v>288.64</v>
      </c>
      <c r="G34" s="22">
        <v>87.0</v>
      </c>
      <c r="H34" s="17">
        <v>429.93</v>
      </c>
      <c r="I34" s="17">
        <v>208.83</v>
      </c>
      <c r="J34" s="17">
        <v>214.97</v>
      </c>
      <c r="K34" s="17">
        <v>183.63</v>
      </c>
      <c r="L34" s="17">
        <v>320.3</v>
      </c>
      <c r="M34" s="22">
        <v>95.53</v>
      </c>
      <c r="N34" s="22">
        <v>55.96</v>
      </c>
      <c r="O34" s="22">
        <v>35.24</v>
      </c>
      <c r="P34" s="22">
        <v>30.23</v>
      </c>
      <c r="Q34" s="17">
        <v>169.64</v>
      </c>
      <c r="R34" s="22">
        <v>69.13</v>
      </c>
      <c r="S34" s="24">
        <v>-41.91</v>
      </c>
      <c r="T34" s="22">
        <v>54.61</v>
      </c>
      <c r="U34" s="17">
        <v>129.65</v>
      </c>
      <c r="V34" s="24">
        <v>-47.51</v>
      </c>
      <c r="W34" s="22">
        <v>49.55</v>
      </c>
    </row>
    <row r="35" ht="15.0" customHeight="1">
      <c r="A35" s="14" t="s">
        <v>322</v>
      </c>
      <c r="B35" s="20">
        <v>-175.82</v>
      </c>
      <c r="C35" s="20">
        <v>-457.65</v>
      </c>
      <c r="D35" s="20">
        <v>-204.03</v>
      </c>
      <c r="E35" s="20">
        <v>-106.42</v>
      </c>
      <c r="F35" s="20">
        <v>-125.28</v>
      </c>
      <c r="G35" s="20">
        <v>-117.7</v>
      </c>
      <c r="H35" s="18">
        <v>-99.57</v>
      </c>
      <c r="I35" s="20">
        <v>-236.93</v>
      </c>
      <c r="J35" s="20">
        <v>-219.81</v>
      </c>
      <c r="K35" s="20">
        <v>-264.15</v>
      </c>
      <c r="L35" s="18">
        <v>-96.57</v>
      </c>
      <c r="M35" s="18">
        <v>-53.28</v>
      </c>
      <c r="N35" s="18">
        <v>-32.49</v>
      </c>
      <c r="O35" s="18">
        <v>-42.97</v>
      </c>
      <c r="P35" s="20">
        <v>-133.87</v>
      </c>
      <c r="Q35" s="20">
        <v>-104.14</v>
      </c>
      <c r="R35" s="18">
        <v>-8.23</v>
      </c>
      <c r="S35" s="20">
        <v>-151.39</v>
      </c>
      <c r="T35" s="20">
        <v>-136.08</v>
      </c>
      <c r="U35" s="18">
        <v>-82.67</v>
      </c>
      <c r="V35" s="20">
        <v>-182.25</v>
      </c>
      <c r="W35" s="20">
        <v>-246.84</v>
      </c>
    </row>
    <row r="36" ht="15.0" customHeight="1">
      <c r="A36" s="14" t="s">
        <v>323</v>
      </c>
      <c r="B36" s="21">
        <v>0.0</v>
      </c>
      <c r="C36" s="19">
        <v>1.02</v>
      </c>
      <c r="D36" s="19">
        <v>6.97</v>
      </c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</row>
    <row r="37" ht="15.0" customHeight="1">
      <c r="A37" s="14" t="s">
        <v>324</v>
      </c>
      <c r="B37" s="21"/>
      <c r="C37" s="21">
        <v>0.0</v>
      </c>
      <c r="D37" s="21"/>
      <c r="E37" s="21">
        <v>0.0</v>
      </c>
      <c r="F37" s="21">
        <v>0.0</v>
      </c>
      <c r="G37" s="18">
        <v>-1.02</v>
      </c>
      <c r="H37" s="18">
        <v>-1.86</v>
      </c>
      <c r="I37" s="18">
        <v>-1.87</v>
      </c>
      <c r="J37" s="18">
        <v>-9.68</v>
      </c>
      <c r="K37" s="18">
        <v>-8.84</v>
      </c>
      <c r="L37" s="18">
        <v>-1.91</v>
      </c>
      <c r="M37" s="18">
        <v>-0.92</v>
      </c>
      <c r="N37" s="18">
        <v>-0.9</v>
      </c>
      <c r="O37" s="18">
        <v>-0.86</v>
      </c>
      <c r="P37" s="18">
        <v>-1.73</v>
      </c>
      <c r="Q37" s="18">
        <v>-0.84</v>
      </c>
      <c r="R37" s="21"/>
      <c r="S37" s="18">
        <v>-11.97</v>
      </c>
      <c r="T37" s="18">
        <v>-4.33</v>
      </c>
      <c r="U37" s="18">
        <v>-15.66</v>
      </c>
      <c r="V37" s="18">
        <v>-19.87</v>
      </c>
      <c r="W37" s="18">
        <v>-12.85</v>
      </c>
    </row>
    <row r="38" ht="15.0" customHeight="1">
      <c r="A38" s="14" t="s">
        <v>325</v>
      </c>
      <c r="B38" s="21"/>
      <c r="C38" s="21"/>
      <c r="D38" s="21"/>
      <c r="E38" s="21">
        <v>0.0</v>
      </c>
      <c r="F38" s="19">
        <v>2.0</v>
      </c>
      <c r="G38" s="19">
        <v>3.07</v>
      </c>
      <c r="H38" s="21"/>
      <c r="I38" s="21"/>
      <c r="J38" s="21"/>
      <c r="K38" s="21"/>
      <c r="L38" s="21">
        <v>0.0</v>
      </c>
      <c r="M38" s="19">
        <v>35.82</v>
      </c>
      <c r="N38" s="19">
        <v>1.81</v>
      </c>
      <c r="O38" s="19">
        <v>0.86</v>
      </c>
      <c r="P38" s="19">
        <v>3.45</v>
      </c>
      <c r="Q38" s="19">
        <v>6.72</v>
      </c>
      <c r="R38" s="19">
        <v>98.76</v>
      </c>
      <c r="S38" s="19">
        <v>17.96</v>
      </c>
      <c r="T38" s="21"/>
      <c r="U38" s="21">
        <v>0.0</v>
      </c>
      <c r="V38" s="19">
        <v>33.69</v>
      </c>
      <c r="W38" s="21"/>
    </row>
    <row r="39" ht="15.0" customHeight="1">
      <c r="A39" s="14" t="s">
        <v>326</v>
      </c>
      <c r="B39" s="21"/>
      <c r="C39" s="21"/>
      <c r="D39" s="21"/>
      <c r="E39" s="21">
        <v>0.0</v>
      </c>
      <c r="F39" s="21">
        <v>0.0</v>
      </c>
      <c r="G39" s="18">
        <v>-15.35</v>
      </c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</row>
    <row r="40" ht="15.0" customHeight="1">
      <c r="A40" s="14" t="s">
        <v>80</v>
      </c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>
        <v>0.0</v>
      </c>
      <c r="Q40" s="19">
        <v>11.76</v>
      </c>
      <c r="R40" s="21"/>
      <c r="S40" s="21"/>
      <c r="T40" s="21"/>
      <c r="U40" s="21"/>
      <c r="V40" s="21"/>
      <c r="W40" s="21"/>
    </row>
    <row r="41" ht="15.0" customHeight="1">
      <c r="A41" s="14" t="s">
        <v>327</v>
      </c>
      <c r="B41" s="21">
        <v>0.0</v>
      </c>
      <c r="C41" s="19">
        <v>12.2</v>
      </c>
      <c r="D41" s="15">
        <v>153.27</v>
      </c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</row>
    <row r="42" ht="15.0" customHeight="1">
      <c r="A42" s="14" t="s">
        <v>328</v>
      </c>
      <c r="B42" s="21">
        <v>0.0</v>
      </c>
      <c r="C42" s="21">
        <v>0.0</v>
      </c>
      <c r="D42" s="18">
        <v>-95.55</v>
      </c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</row>
    <row r="43" ht="15.0" customHeight="1">
      <c r="A43" s="14" t="s">
        <v>329</v>
      </c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>
        <v>0.0</v>
      </c>
      <c r="P43" s="19">
        <v>4.32</v>
      </c>
      <c r="Q43" s="18">
        <v>-4.2</v>
      </c>
      <c r="R43" s="19">
        <v>4.12</v>
      </c>
      <c r="S43" s="21"/>
      <c r="T43" s="21">
        <v>0.0</v>
      </c>
      <c r="U43" s="19">
        <v>1.74</v>
      </c>
      <c r="V43" s="19">
        <v>0.86</v>
      </c>
      <c r="W43" s="21">
        <v>0.0</v>
      </c>
    </row>
    <row r="44" ht="15.0" customHeight="1">
      <c r="A44" s="14" t="s">
        <v>330</v>
      </c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>
        <v>0.0</v>
      </c>
      <c r="T44" s="18">
        <v>-0.87</v>
      </c>
      <c r="U44" s="21"/>
      <c r="V44" s="21"/>
      <c r="W44" s="21"/>
    </row>
    <row r="45" ht="15.0" customHeight="1">
      <c r="A45" s="14" t="s">
        <v>331</v>
      </c>
      <c r="B45" s="21"/>
      <c r="C45" s="19">
        <v>1.02</v>
      </c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</row>
    <row r="46" ht="15.0" customHeight="1">
      <c r="A46" s="16" t="s">
        <v>332</v>
      </c>
      <c r="B46" s="25">
        <v>-175.82</v>
      </c>
      <c r="C46" s="25">
        <v>-443.41</v>
      </c>
      <c r="D46" s="25">
        <v>-139.34</v>
      </c>
      <c r="E46" s="25">
        <v>-106.42</v>
      </c>
      <c r="F46" s="25">
        <v>-123.27</v>
      </c>
      <c r="G46" s="25">
        <v>-131.01</v>
      </c>
      <c r="H46" s="25">
        <v>-101.43</v>
      </c>
      <c r="I46" s="25">
        <v>-238.8</v>
      </c>
      <c r="J46" s="25">
        <v>-229.5</v>
      </c>
      <c r="K46" s="25">
        <v>-272.98</v>
      </c>
      <c r="L46" s="24">
        <v>-98.48</v>
      </c>
      <c r="M46" s="24">
        <v>-18.37</v>
      </c>
      <c r="N46" s="24">
        <v>-31.59</v>
      </c>
      <c r="O46" s="24">
        <v>-42.97</v>
      </c>
      <c r="P46" s="25">
        <v>-127.83</v>
      </c>
      <c r="Q46" s="24">
        <v>-90.7</v>
      </c>
      <c r="R46" s="22">
        <v>94.65</v>
      </c>
      <c r="S46" s="25">
        <v>-145.4</v>
      </c>
      <c r="T46" s="25">
        <v>-141.28</v>
      </c>
      <c r="U46" s="24">
        <v>-96.59</v>
      </c>
      <c r="V46" s="25">
        <v>-167.56</v>
      </c>
      <c r="W46" s="25">
        <v>-259.69</v>
      </c>
    </row>
    <row r="47" ht="15.0" customHeight="1">
      <c r="A47" s="14" t="s">
        <v>333</v>
      </c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>
        <v>0.0</v>
      </c>
      <c r="M47" s="19">
        <v>27.56</v>
      </c>
      <c r="N47" s="21">
        <v>0.0</v>
      </c>
      <c r="O47" s="19">
        <v>30.08</v>
      </c>
      <c r="P47" s="19">
        <v>31.96</v>
      </c>
      <c r="Q47" s="21">
        <v>0.0</v>
      </c>
      <c r="R47" s="19">
        <v>75.72</v>
      </c>
      <c r="S47" s="15">
        <v>479.83</v>
      </c>
      <c r="T47" s="15">
        <v>103.14</v>
      </c>
      <c r="U47" s="21">
        <v>0.0</v>
      </c>
      <c r="V47" s="15">
        <v>222.84</v>
      </c>
      <c r="W47" s="15">
        <v>183.52</v>
      </c>
    </row>
    <row r="48" ht="15.0" customHeight="1">
      <c r="A48" s="14" t="s">
        <v>334</v>
      </c>
      <c r="B48" s="21"/>
      <c r="C48" s="21"/>
      <c r="D48" s="21"/>
      <c r="E48" s="21"/>
      <c r="F48" s="21"/>
      <c r="G48" s="21"/>
      <c r="H48" s="21"/>
      <c r="I48" s="21"/>
      <c r="J48" s="21"/>
      <c r="K48" s="21">
        <v>0.0</v>
      </c>
      <c r="L48" s="18">
        <v>-28.68</v>
      </c>
      <c r="M48" s="18">
        <v>-55.11</v>
      </c>
      <c r="N48" s="18">
        <v>-16.25</v>
      </c>
      <c r="O48" s="18">
        <v>-5.16</v>
      </c>
      <c r="P48" s="18">
        <v>-24.18</v>
      </c>
      <c r="Q48" s="18">
        <v>-42.83</v>
      </c>
      <c r="R48" s="20">
        <v>-334.96</v>
      </c>
      <c r="S48" s="20">
        <v>-364.36</v>
      </c>
      <c r="T48" s="18">
        <v>-3.47</v>
      </c>
      <c r="U48" s="18">
        <v>-15.66</v>
      </c>
      <c r="V48" s="18">
        <v>-5.18</v>
      </c>
      <c r="W48" s="18">
        <v>-5.51</v>
      </c>
    </row>
    <row r="49" ht="15.0" customHeight="1">
      <c r="A49" s="14" t="s">
        <v>333</v>
      </c>
      <c r="B49" s="21"/>
      <c r="C49" s="21"/>
      <c r="D49" s="21"/>
      <c r="E49" s="21">
        <v>0.0</v>
      </c>
      <c r="F49" s="21">
        <v>0.0</v>
      </c>
      <c r="G49" s="21">
        <v>0.0</v>
      </c>
      <c r="H49" s="21">
        <v>0.0</v>
      </c>
      <c r="I49" s="21">
        <v>0.0</v>
      </c>
      <c r="J49" s="15">
        <v>387.34</v>
      </c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</row>
    <row r="50" ht="15.0" customHeight="1">
      <c r="A50" s="14" t="s">
        <v>335</v>
      </c>
      <c r="B50" s="21">
        <v>0.0</v>
      </c>
      <c r="C50" s="15">
        <v>415.95</v>
      </c>
      <c r="D50" s="19">
        <v>99.53</v>
      </c>
      <c r="E50" s="21">
        <v>0.0</v>
      </c>
      <c r="F50" s="15">
        <v>150.33</v>
      </c>
      <c r="G50" s="21"/>
      <c r="H50" s="21">
        <v>0.0</v>
      </c>
      <c r="I50" s="21">
        <v>0.0</v>
      </c>
      <c r="J50" s="19">
        <v>77.47</v>
      </c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</row>
    <row r="51" ht="15.0" customHeight="1">
      <c r="A51" s="14" t="s">
        <v>336</v>
      </c>
      <c r="B51" s="21">
        <v>0.0</v>
      </c>
      <c r="C51" s="18">
        <v>-77.29</v>
      </c>
      <c r="D51" s="20">
        <v>-211.99</v>
      </c>
      <c r="E51" s="18">
        <v>-86.46</v>
      </c>
      <c r="F51" s="18">
        <v>-68.15</v>
      </c>
      <c r="G51" s="21">
        <v>0.0</v>
      </c>
      <c r="H51" s="20">
        <v>-199.14</v>
      </c>
      <c r="I51" s="18">
        <v>-52.44</v>
      </c>
      <c r="J51" s="18">
        <v>-59.07</v>
      </c>
      <c r="K51" s="18">
        <v>-74.63</v>
      </c>
      <c r="L51" s="20">
        <v>-116.64</v>
      </c>
      <c r="M51" s="21"/>
      <c r="N51" s="21"/>
      <c r="O51" s="18">
        <v>-12.89</v>
      </c>
      <c r="P51" s="18">
        <v>-25.91</v>
      </c>
      <c r="Q51" s="21"/>
      <c r="R51" s="21"/>
      <c r="S51" s="21">
        <v>0.0</v>
      </c>
      <c r="T51" s="18">
        <v>-15.6</v>
      </c>
      <c r="U51" s="18">
        <v>-15.66</v>
      </c>
      <c r="V51" s="18">
        <v>-31.09</v>
      </c>
      <c r="W51" s="18">
        <v>-49.55</v>
      </c>
    </row>
    <row r="52" ht="15.0" customHeight="1">
      <c r="A52" s="14" t="s">
        <v>337</v>
      </c>
      <c r="B52" s="20">
        <v>-112.27</v>
      </c>
      <c r="C52" s="18">
        <v>-92.55</v>
      </c>
      <c r="D52" s="20">
        <v>-119.43</v>
      </c>
      <c r="E52" s="18">
        <v>-32.3</v>
      </c>
      <c r="F52" s="20">
        <v>-416.92</v>
      </c>
      <c r="G52" s="18">
        <v>-3.07</v>
      </c>
      <c r="H52" s="21">
        <v>0.0</v>
      </c>
      <c r="I52" s="21">
        <v>0.0</v>
      </c>
      <c r="J52" s="18">
        <v>-77.47</v>
      </c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</row>
    <row r="53" ht="15.0" customHeight="1">
      <c r="A53" s="14" t="s">
        <v>338</v>
      </c>
      <c r="B53" s="15">
        <v>308.22</v>
      </c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</row>
    <row r="54" ht="15.0" customHeight="1">
      <c r="A54" s="14" t="s">
        <v>339</v>
      </c>
      <c r="B54" s="15">
        <v>105.92</v>
      </c>
      <c r="C54" s="21"/>
      <c r="D54" s="21"/>
      <c r="E54" s="21"/>
      <c r="F54" s="21"/>
      <c r="G54" s="21"/>
      <c r="H54" s="21">
        <v>0.0</v>
      </c>
      <c r="I54" s="21">
        <v>0.0</v>
      </c>
      <c r="J54" s="18">
        <v>-13.56</v>
      </c>
      <c r="K54" s="19">
        <v>13.75</v>
      </c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</row>
    <row r="55" ht="15.0" customHeight="1">
      <c r="A55" s="14" t="s">
        <v>340</v>
      </c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>
        <v>0.0</v>
      </c>
      <c r="R55" s="15">
        <v>149.79</v>
      </c>
      <c r="S55" s="21"/>
      <c r="T55" s="21"/>
      <c r="U55" s="21">
        <v>0.0</v>
      </c>
      <c r="V55" s="21">
        <v>0.0</v>
      </c>
      <c r="W55" s="18">
        <v>-4.59</v>
      </c>
    </row>
    <row r="56" ht="15.0" customHeight="1">
      <c r="A56" s="14" t="s">
        <v>341</v>
      </c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>
        <v>0.0</v>
      </c>
      <c r="Q56" s="19">
        <v>0.84</v>
      </c>
      <c r="R56" s="21"/>
      <c r="S56" s="21"/>
      <c r="T56" s="21"/>
      <c r="U56" s="21"/>
      <c r="V56" s="21"/>
      <c r="W56" s="21"/>
    </row>
    <row r="57" ht="15.0" customHeight="1">
      <c r="A57" s="14" t="s">
        <v>342</v>
      </c>
      <c r="B57" s="19">
        <v>1.06</v>
      </c>
      <c r="C57" s="19">
        <v>2.03</v>
      </c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</row>
    <row r="58" ht="15.0" customHeight="1">
      <c r="A58" s="16" t="s">
        <v>343</v>
      </c>
      <c r="B58" s="17">
        <v>302.92</v>
      </c>
      <c r="C58" s="17">
        <v>248.15</v>
      </c>
      <c r="D58" s="25">
        <v>-231.9</v>
      </c>
      <c r="E58" s="25">
        <v>-118.77</v>
      </c>
      <c r="F58" s="25">
        <v>-334.74</v>
      </c>
      <c r="G58" s="24">
        <v>-3.07</v>
      </c>
      <c r="H58" s="25">
        <v>-199.14</v>
      </c>
      <c r="I58" s="24">
        <v>-52.44</v>
      </c>
      <c r="J58" s="17">
        <v>314.71</v>
      </c>
      <c r="K58" s="24">
        <v>-60.88</v>
      </c>
      <c r="L58" s="25">
        <v>-145.33</v>
      </c>
      <c r="M58" s="24">
        <v>-27.56</v>
      </c>
      <c r="N58" s="24">
        <v>-16.25</v>
      </c>
      <c r="O58" s="22">
        <v>12.03</v>
      </c>
      <c r="P58" s="24">
        <v>-18.14</v>
      </c>
      <c r="Q58" s="24">
        <v>-41.99</v>
      </c>
      <c r="R58" s="25">
        <v>-109.46</v>
      </c>
      <c r="S58" s="17">
        <v>115.47</v>
      </c>
      <c r="T58" s="22">
        <v>84.07</v>
      </c>
      <c r="U58" s="24">
        <v>-31.33</v>
      </c>
      <c r="V58" s="17">
        <v>186.57</v>
      </c>
      <c r="W58" s="17">
        <v>123.88</v>
      </c>
    </row>
    <row r="59" ht="15.0" customHeight="1">
      <c r="A59" s="14" t="s">
        <v>344</v>
      </c>
      <c r="B59" s="21">
        <v>0.0</v>
      </c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>
        <v>0.0</v>
      </c>
      <c r="P59" s="21">
        <v>0.0</v>
      </c>
      <c r="Q59" s="21">
        <v>0.0</v>
      </c>
      <c r="R59" s="21">
        <v>0.0</v>
      </c>
      <c r="S59" s="19">
        <v>6.84</v>
      </c>
      <c r="T59" s="19">
        <v>1.73</v>
      </c>
      <c r="U59" s="18">
        <v>-4.35</v>
      </c>
      <c r="V59" s="19">
        <v>0.86</v>
      </c>
      <c r="W59" s="18">
        <v>-0.92</v>
      </c>
    </row>
    <row r="60" ht="15.0" customHeight="1">
      <c r="A60" s="14" t="s">
        <v>345</v>
      </c>
      <c r="B60" s="19">
        <v>20.78</v>
      </c>
      <c r="C60" s="15">
        <v>201.51</v>
      </c>
      <c r="D60" s="15">
        <v>468.15</v>
      </c>
      <c r="E60" s="15">
        <v>151.54</v>
      </c>
      <c r="F60" s="15">
        <v>321.51</v>
      </c>
      <c r="G60" s="15">
        <v>392.62</v>
      </c>
      <c r="H60" s="15">
        <v>223.16</v>
      </c>
      <c r="I60" s="15">
        <v>318.13</v>
      </c>
      <c r="J60" s="19">
        <v>16.01</v>
      </c>
      <c r="K60" s="15">
        <v>160.27</v>
      </c>
      <c r="L60" s="19">
        <v>93.14</v>
      </c>
      <c r="M60" s="19">
        <v>33.55</v>
      </c>
      <c r="N60" s="19">
        <v>24.5</v>
      </c>
      <c r="O60" s="19">
        <v>17.98</v>
      </c>
      <c r="P60" s="15">
        <v>134.49</v>
      </c>
      <c r="Q60" s="19">
        <v>96.31</v>
      </c>
      <c r="R60" s="19">
        <v>36.41</v>
      </c>
      <c r="S60" s="15">
        <v>107.6</v>
      </c>
      <c r="T60" s="15">
        <v>102.6</v>
      </c>
      <c r="U60" s="15">
        <v>113.82</v>
      </c>
      <c r="V60" s="15">
        <v>133.32</v>
      </c>
      <c r="W60" s="15">
        <v>230.17</v>
      </c>
    </row>
    <row r="61" ht="15.0" customHeight="1">
      <c r="A61" s="14" t="s">
        <v>346</v>
      </c>
      <c r="B61" s="19">
        <v>73.26</v>
      </c>
      <c r="C61" s="19">
        <v>19.53</v>
      </c>
      <c r="D61" s="15">
        <v>197.33</v>
      </c>
      <c r="E61" s="15">
        <v>437.69</v>
      </c>
      <c r="F61" s="15">
        <v>156.86</v>
      </c>
      <c r="G61" s="15">
        <v>344.59</v>
      </c>
      <c r="H61" s="15">
        <v>352.56</v>
      </c>
      <c r="I61" s="15">
        <v>232.25</v>
      </c>
      <c r="J61" s="15">
        <v>326.21</v>
      </c>
      <c r="K61" s="19">
        <v>15.17</v>
      </c>
      <c r="L61" s="15">
        <v>176.87</v>
      </c>
      <c r="M61" s="19">
        <v>85.31</v>
      </c>
      <c r="N61" s="19">
        <v>32.99</v>
      </c>
      <c r="O61" s="19">
        <v>22.26</v>
      </c>
      <c r="P61" s="19">
        <v>18.22</v>
      </c>
      <c r="Q61" s="15">
        <v>134.49</v>
      </c>
      <c r="R61" s="19">
        <v>89.81</v>
      </c>
      <c r="S61" s="19">
        <v>40.02</v>
      </c>
      <c r="T61" s="15">
        <v>101.76</v>
      </c>
      <c r="U61" s="15">
        <v>111.08</v>
      </c>
      <c r="V61" s="15">
        <v>106.14</v>
      </c>
      <c r="W61" s="15">
        <v>143.4</v>
      </c>
    </row>
    <row r="62" ht="15.0" customHeight="1">
      <c r="A62" s="14" t="s">
        <v>347</v>
      </c>
      <c r="B62" s="18">
        <v>-1.06</v>
      </c>
      <c r="C62" s="21"/>
      <c r="D62" s="21"/>
      <c r="E62" s="21"/>
      <c r="F62" s="21"/>
      <c r="G62" s="21"/>
      <c r="H62" s="18">
        <v>-0.93</v>
      </c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</row>
    <row r="63" ht="15.0" customHeight="1">
      <c r="A63" s="16" t="s">
        <v>348</v>
      </c>
      <c r="B63" s="22">
        <v>50.84</v>
      </c>
      <c r="C63" s="25">
        <v>-180.01</v>
      </c>
      <c r="D63" s="25">
        <v>-267.73</v>
      </c>
      <c r="E63" s="17">
        <v>288.84</v>
      </c>
      <c r="F63" s="25">
        <v>-169.37</v>
      </c>
      <c r="G63" s="24">
        <v>-47.08</v>
      </c>
      <c r="H63" s="17">
        <v>128.42</v>
      </c>
      <c r="I63" s="24">
        <v>-82.41</v>
      </c>
      <c r="J63" s="17">
        <v>300.19</v>
      </c>
      <c r="K63" s="25">
        <v>-150.24</v>
      </c>
      <c r="L63" s="22">
        <v>76.49</v>
      </c>
      <c r="M63" s="22">
        <v>49.6</v>
      </c>
      <c r="N63" s="22">
        <v>8.12</v>
      </c>
      <c r="O63" s="22">
        <v>4.3</v>
      </c>
      <c r="P63" s="25">
        <v>-115.74</v>
      </c>
      <c r="Q63" s="22">
        <v>36.95</v>
      </c>
      <c r="R63" s="22">
        <v>54.32</v>
      </c>
      <c r="S63" s="24">
        <v>-65.0</v>
      </c>
      <c r="T63" s="24">
        <v>-0.87</v>
      </c>
      <c r="U63" s="24">
        <v>-2.61</v>
      </c>
      <c r="V63" s="24">
        <v>-27.64</v>
      </c>
      <c r="W63" s="24">
        <v>-87.17</v>
      </c>
    </row>
    <row r="64" ht="15.0" customHeight="1">
      <c r="A64" s="14" t="s">
        <v>349</v>
      </c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18">
        <v>-5.04</v>
      </c>
      <c r="R64" s="18">
        <v>-23.04</v>
      </c>
      <c r="S64" s="18">
        <v>-44.48</v>
      </c>
      <c r="T64" s="18">
        <v>-29.47</v>
      </c>
      <c r="U64" s="18">
        <v>-17.4</v>
      </c>
      <c r="V64" s="18">
        <v>-10.36</v>
      </c>
      <c r="W64" s="18">
        <v>-7.34</v>
      </c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8" width="15.71"/>
  </cols>
  <sheetData>
    <row r="1" ht="15.0" customHeight="1">
      <c r="A1" s="1" t="s">
        <v>350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46094.5631248843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  <c r="P11" s="7" t="s">
        <v>33</v>
      </c>
      <c r="Q11" s="7" t="s">
        <v>34</v>
      </c>
      <c r="R11" s="7" t="s">
        <v>35</v>
      </c>
      <c r="S11" s="7" t="s">
        <v>36</v>
      </c>
      <c r="T11" s="7" t="s">
        <v>37</v>
      </c>
      <c r="U11" s="7" t="s">
        <v>38</v>
      </c>
      <c r="V11" s="7" t="s">
        <v>39</v>
      </c>
      <c r="W11" s="7" t="s">
        <v>351</v>
      </c>
      <c r="X11" s="7" t="s">
        <v>352</v>
      </c>
      <c r="Y11" s="7" t="s">
        <v>353</v>
      </c>
      <c r="Z11" s="7" t="s">
        <v>354</v>
      </c>
      <c r="AA11" s="7" t="s">
        <v>355</v>
      </c>
      <c r="AB11" s="7" t="s">
        <v>356</v>
      </c>
    </row>
    <row r="12" ht="15.0" customHeight="1" outlineLevel="1">
      <c r="A12" s="8" t="s">
        <v>40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  <c r="U12" s="9">
        <v>38717.0</v>
      </c>
      <c r="V12" s="9">
        <v>38352.0</v>
      </c>
      <c r="W12" s="9">
        <v>37986.0</v>
      </c>
      <c r="X12" s="9">
        <v>37621.0</v>
      </c>
      <c r="Y12" s="9">
        <v>37256.0</v>
      </c>
      <c r="Z12" s="9">
        <v>36891.0</v>
      </c>
      <c r="AA12" s="9">
        <v>36525.0</v>
      </c>
      <c r="AB12" s="9">
        <v>36160.0</v>
      </c>
    </row>
    <row r="13" ht="15.0" customHeight="1" outlineLevel="1">
      <c r="A13" s="8" t="s">
        <v>41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43465.0</v>
      </c>
      <c r="I13" s="9">
        <v>43100.0</v>
      </c>
      <c r="J13" s="9">
        <v>42735.0</v>
      </c>
      <c r="K13" s="9">
        <v>42369.0</v>
      </c>
      <c r="L13" s="9">
        <v>42004.0</v>
      </c>
      <c r="M13" s="9">
        <v>41639.0</v>
      </c>
      <c r="N13" s="9">
        <v>41274.0</v>
      </c>
      <c r="O13" s="9">
        <v>40908.0</v>
      </c>
      <c r="P13" s="9">
        <v>40543.0</v>
      </c>
      <c r="Q13" s="9">
        <v>40178.0</v>
      </c>
      <c r="R13" s="9">
        <v>39813.0</v>
      </c>
      <c r="S13" s="9">
        <v>39447.0</v>
      </c>
      <c r="T13" s="9">
        <v>39082.0</v>
      </c>
      <c r="U13" s="9">
        <v>38717.0</v>
      </c>
      <c r="V13" s="9">
        <v>38717.0</v>
      </c>
      <c r="W13" s="9">
        <v>37986.0</v>
      </c>
      <c r="X13" s="9">
        <v>37986.0</v>
      </c>
      <c r="Y13" s="9">
        <v>37256.0</v>
      </c>
      <c r="Z13" s="9">
        <v>36891.0</v>
      </c>
      <c r="AA13" s="9">
        <v>36525.0</v>
      </c>
      <c r="AB13" s="9">
        <v>36525.0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  <c r="X14" s="10" t="s">
        <v>43</v>
      </c>
      <c r="Y14" s="10" t="s">
        <v>43</v>
      </c>
      <c r="Z14" s="10" t="s">
        <v>43</v>
      </c>
      <c r="AA14" s="10" t="s">
        <v>43</v>
      </c>
      <c r="AB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45</v>
      </c>
      <c r="R15" s="10" t="s">
        <v>45</v>
      </c>
      <c r="S15" s="10" t="s">
        <v>45</v>
      </c>
      <c r="T15" s="10" t="s">
        <v>45</v>
      </c>
      <c r="U15" s="10" t="s">
        <v>45</v>
      </c>
      <c r="V15" s="10" t="s">
        <v>45</v>
      </c>
      <c r="W15" s="10" t="s">
        <v>45</v>
      </c>
      <c r="X15" s="10" t="s">
        <v>45</v>
      </c>
      <c r="Y15" s="10" t="s">
        <v>45</v>
      </c>
      <c r="Z15" s="10" t="s">
        <v>45</v>
      </c>
      <c r="AA15" s="10" t="s">
        <v>45</v>
      </c>
      <c r="AB15" s="10" t="s">
        <v>45</v>
      </c>
    </row>
    <row r="16" ht="15.0" customHeight="1" outlineLevel="1">
      <c r="A16" s="8" t="s">
        <v>46</v>
      </c>
      <c r="B16" s="11">
        <v>1.01699749198751</v>
      </c>
      <c r="C16" s="11">
        <v>0.995276511143584</v>
      </c>
      <c r="D16" s="11">
        <v>0.950144630129112</v>
      </c>
      <c r="E16" s="11">
        <v>1.00220710308605</v>
      </c>
      <c r="F16" s="11">
        <v>1.02348203284554</v>
      </c>
      <c r="G16" s="11">
        <v>0.93058373355382</v>
      </c>
      <c r="H16" s="11">
        <v>0.936468304929426</v>
      </c>
      <c r="I16" s="11">
        <v>0.96834600681371</v>
      </c>
      <c r="J16" s="11">
        <v>0.981956040987212</v>
      </c>
      <c r="K16" s="11">
        <v>0.95610518378966</v>
      </c>
      <c r="L16" s="11">
        <v>0.918581536572363</v>
      </c>
      <c r="M16" s="11">
        <v>0.902518708819346</v>
      </c>
      <c r="N16" s="11">
        <v>0.859419323174902</v>
      </c>
      <c r="O16" s="11">
        <v>0.86369584994385</v>
      </c>
      <c r="P16" s="11">
        <v>0.839811231206512</v>
      </c>
      <c r="Q16" s="11">
        <v>0.82300064527093</v>
      </c>
      <c r="R16" s="11">
        <v>0.855314520372559</v>
      </c>
      <c r="S16" s="11">
        <v>0.866747579107811</v>
      </c>
      <c r="T16" s="11">
        <v>0.870165462777514</v>
      </c>
      <c r="U16" s="11">
        <v>0.863734749832292</v>
      </c>
      <c r="V16" s="11">
        <v>0.91761880662035</v>
      </c>
      <c r="W16" s="11">
        <v>0.877920652773552</v>
      </c>
      <c r="X16" s="11">
        <v>0.820263458212303</v>
      </c>
      <c r="Y16" s="11">
        <v>0.870704955122434</v>
      </c>
      <c r="Z16" s="11">
        <v>0.961136803001569</v>
      </c>
      <c r="AA16" s="11">
        <v>0.944098462075684</v>
      </c>
      <c r="AB16" s="11">
        <v>0.949808320907217</v>
      </c>
    </row>
    <row r="18">
      <c r="A18" s="12" t="s">
        <v>357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</row>
    <row r="19">
      <c r="A19" s="12" t="s">
        <v>48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358</v>
      </c>
      <c r="X19" s="13" t="s">
        <v>359</v>
      </c>
      <c r="Y19" s="13" t="s">
        <v>360</v>
      </c>
      <c r="Z19" s="13" t="s">
        <v>361</v>
      </c>
      <c r="AA19" s="13" t="s">
        <v>362</v>
      </c>
      <c r="AB19" s="13" t="s">
        <v>363</v>
      </c>
    </row>
    <row r="20" ht="15.0" customHeight="1">
      <c r="A20" s="27" t="s">
        <v>364</v>
      </c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</row>
    <row r="21" ht="15.0" customHeight="1">
      <c r="A21" s="29" t="s">
        <v>364</v>
      </c>
      <c r="B21" s="30">
        <v>1817.07</v>
      </c>
      <c r="C21" s="30">
        <v>1775.27</v>
      </c>
      <c r="D21" s="30">
        <v>1431.17</v>
      </c>
      <c r="E21" s="30">
        <v>1541.66</v>
      </c>
      <c r="F21" s="30">
        <v>1390.0</v>
      </c>
      <c r="G21" s="30">
        <v>1672.5</v>
      </c>
      <c r="H21" s="30">
        <v>1386.66</v>
      </c>
      <c r="I21" s="30">
        <v>1165.52</v>
      </c>
      <c r="J21" s="30">
        <v>1169.11</v>
      </c>
      <c r="K21" s="30">
        <v>1131.5</v>
      </c>
      <c r="L21" s="30">
        <v>493.33</v>
      </c>
      <c r="M21" s="30">
        <v>311.25</v>
      </c>
      <c r="N21" s="30">
        <v>307.13</v>
      </c>
      <c r="O21" s="30">
        <v>303.4</v>
      </c>
      <c r="P21" s="30">
        <v>480.97</v>
      </c>
      <c r="Q21" s="30">
        <v>846.67</v>
      </c>
      <c r="R21" s="30">
        <v>824.18</v>
      </c>
      <c r="S21" s="30">
        <v>1170.06</v>
      </c>
      <c r="T21" s="30">
        <v>1450.67</v>
      </c>
      <c r="U21" s="30">
        <v>1150.76</v>
      </c>
      <c r="V21" s="30">
        <v>1383.47</v>
      </c>
      <c r="W21" s="30">
        <v>1310.05</v>
      </c>
      <c r="X21" s="30">
        <v>849.01</v>
      </c>
      <c r="Y21" s="30">
        <v>1405.81</v>
      </c>
      <c r="Z21" s="30">
        <v>856.02</v>
      </c>
      <c r="AA21" s="30">
        <v>2334.09</v>
      </c>
      <c r="AB21" s="30">
        <v>642.89</v>
      </c>
    </row>
    <row r="22" ht="15.0" customHeight="1">
      <c r="A22" s="29" t="s">
        <v>365</v>
      </c>
      <c r="B22" s="30">
        <v>1637.7</v>
      </c>
      <c r="C22" s="30">
        <v>1607.0</v>
      </c>
      <c r="D22" s="30">
        <v>1438.0</v>
      </c>
      <c r="E22" s="30">
        <v>1419.12</v>
      </c>
      <c r="F22" s="30">
        <v>1447.97</v>
      </c>
      <c r="G22" s="30">
        <v>1253.36</v>
      </c>
      <c r="H22" s="30">
        <v>1056.74</v>
      </c>
      <c r="I22" s="30">
        <v>865.3</v>
      </c>
      <c r="J22" s="30">
        <v>667.18</v>
      </c>
      <c r="K22" s="30">
        <v>551.45</v>
      </c>
      <c r="L22" s="30">
        <v>404.05</v>
      </c>
      <c r="M22" s="30">
        <v>497.51</v>
      </c>
      <c r="N22" s="30">
        <v>554.03</v>
      </c>
      <c r="O22" s="30">
        <v>740.77</v>
      </c>
      <c r="P22" s="30">
        <v>956.52</v>
      </c>
      <c r="Q22" s="30">
        <v>1021.58</v>
      </c>
      <c r="R22" s="30">
        <v>1206.01</v>
      </c>
      <c r="S22" s="30">
        <v>1222.38</v>
      </c>
      <c r="T22" s="30">
        <v>1263.8</v>
      </c>
      <c r="U22" s="30">
        <v>1186.9</v>
      </c>
      <c r="V22" s="30">
        <v>1196.96</v>
      </c>
      <c r="W22" s="30">
        <v>1393.42</v>
      </c>
      <c r="X22" s="30">
        <v>1083.11</v>
      </c>
      <c r="Y22" s="31"/>
      <c r="Z22" s="31"/>
      <c r="AA22" s="31"/>
      <c r="AB22" s="31"/>
    </row>
    <row r="23" ht="15.0" customHeight="1">
      <c r="A23" s="27" t="s">
        <v>366</v>
      </c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</row>
    <row r="24" ht="15.0" customHeight="1">
      <c r="A24" s="29" t="s">
        <v>366</v>
      </c>
      <c r="B24" s="30">
        <v>1413.02</v>
      </c>
      <c r="C24" s="30">
        <v>1880.98</v>
      </c>
      <c r="D24" s="30">
        <v>1764.38</v>
      </c>
      <c r="E24" s="30">
        <v>1557.25</v>
      </c>
      <c r="F24" s="30">
        <v>1305.42</v>
      </c>
      <c r="G24" s="30">
        <v>1639.68</v>
      </c>
      <c r="H24" s="30">
        <v>1233.45</v>
      </c>
      <c r="I24" s="30">
        <v>1097.48</v>
      </c>
      <c r="J24" s="30">
        <v>1171.0</v>
      </c>
      <c r="K24" s="30">
        <v>1308.37</v>
      </c>
      <c r="L24" s="30">
        <v>549.89</v>
      </c>
      <c r="M24" s="30">
        <v>287.69</v>
      </c>
      <c r="N24" s="30">
        <v>262.62</v>
      </c>
      <c r="O24" s="30">
        <v>280.84</v>
      </c>
      <c r="P24" s="30">
        <v>581.62</v>
      </c>
      <c r="Q24" s="30">
        <v>856.38</v>
      </c>
      <c r="R24" s="30">
        <v>175.94</v>
      </c>
      <c r="S24" s="30">
        <v>366.07</v>
      </c>
      <c r="T24" s="30">
        <v>1123.79</v>
      </c>
      <c r="U24" s="30">
        <v>1104.06</v>
      </c>
      <c r="V24" s="30">
        <v>1299.43</v>
      </c>
      <c r="W24" s="30">
        <v>1493.61</v>
      </c>
      <c r="X24" s="30">
        <v>1120.36</v>
      </c>
      <c r="Y24" s="30">
        <v>1765.41</v>
      </c>
      <c r="Z24" s="30">
        <v>1501.62</v>
      </c>
      <c r="AA24" s="30">
        <v>2228.57</v>
      </c>
      <c r="AB24" s="30">
        <v>625.97</v>
      </c>
    </row>
    <row r="25" ht="15.0" customHeight="1">
      <c r="A25" s="29" t="s">
        <v>367</v>
      </c>
      <c r="B25" s="30">
        <v>1637.91</v>
      </c>
      <c r="C25" s="30">
        <v>1679.29</v>
      </c>
      <c r="D25" s="30">
        <v>1456.26</v>
      </c>
      <c r="E25" s="30">
        <v>1355.8</v>
      </c>
      <c r="F25" s="30">
        <v>1377.18</v>
      </c>
      <c r="G25" s="30">
        <v>1236.67</v>
      </c>
      <c r="H25" s="30">
        <v>1057.72</v>
      </c>
      <c r="I25" s="30">
        <v>892.72</v>
      </c>
      <c r="J25" s="30">
        <v>696.2</v>
      </c>
      <c r="K25" s="30">
        <v>577.61</v>
      </c>
      <c r="L25" s="30">
        <v>417.85</v>
      </c>
      <c r="M25" s="30">
        <v>502.23</v>
      </c>
      <c r="N25" s="30">
        <v>437.78</v>
      </c>
      <c r="O25" s="30">
        <v>466.05</v>
      </c>
      <c r="P25" s="30">
        <v>624.04</v>
      </c>
      <c r="Q25" s="30">
        <v>683.86</v>
      </c>
      <c r="R25" s="30">
        <v>816.35</v>
      </c>
      <c r="S25" s="30">
        <v>1009.78</v>
      </c>
      <c r="T25" s="30">
        <v>1269.63</v>
      </c>
      <c r="U25" s="30">
        <v>1324.63</v>
      </c>
      <c r="V25" s="30">
        <v>1481.75</v>
      </c>
      <c r="W25" s="30">
        <v>1678.78</v>
      </c>
      <c r="X25" s="30">
        <v>1294.28</v>
      </c>
      <c r="Y25" s="31"/>
      <c r="Z25" s="31"/>
      <c r="AA25" s="31"/>
      <c r="AB25" s="31"/>
    </row>
    <row r="26" ht="15.0" customHeight="1">
      <c r="A26" s="27" t="s">
        <v>368</v>
      </c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</row>
    <row r="27" ht="15.0" customHeight="1">
      <c r="A27" s="29" t="s">
        <v>369</v>
      </c>
      <c r="B27" s="32">
        <v>7.88</v>
      </c>
      <c r="C27" s="32">
        <v>10.48</v>
      </c>
      <c r="D27" s="32">
        <v>9.83</v>
      </c>
      <c r="E27" s="32">
        <v>8.68</v>
      </c>
      <c r="F27" s="32">
        <v>7.28</v>
      </c>
      <c r="G27" s="32">
        <v>9.14</v>
      </c>
      <c r="H27" s="32">
        <v>6.88</v>
      </c>
      <c r="I27" s="32">
        <v>6.12</v>
      </c>
      <c r="J27" s="32">
        <v>6.53</v>
      </c>
      <c r="K27" s="32">
        <v>7.29</v>
      </c>
      <c r="L27" s="32">
        <v>3.07</v>
      </c>
      <c r="M27" s="32">
        <v>1.6</v>
      </c>
      <c r="N27" s="32">
        <v>1.46</v>
      </c>
      <c r="O27" s="32">
        <v>1.57</v>
      </c>
      <c r="P27" s="32">
        <v>3.24</v>
      </c>
      <c r="Q27" s="32">
        <v>4.77</v>
      </c>
      <c r="R27" s="32">
        <v>1.94</v>
      </c>
      <c r="S27" s="32">
        <v>4.03</v>
      </c>
      <c r="T27" s="32">
        <v>12.36</v>
      </c>
      <c r="U27" s="32">
        <v>12.14</v>
      </c>
      <c r="V27" s="32">
        <v>14.29</v>
      </c>
      <c r="W27" s="32">
        <v>16.43</v>
      </c>
      <c r="X27" s="32">
        <v>12.32</v>
      </c>
      <c r="Y27" s="32">
        <v>17.48</v>
      </c>
      <c r="Z27" s="32">
        <v>14.87</v>
      </c>
      <c r="AA27" s="32">
        <v>22.07</v>
      </c>
      <c r="AB27" s="32">
        <v>6.2</v>
      </c>
    </row>
    <row r="28" ht="15.0" customHeight="1">
      <c r="A28" s="29" t="s">
        <v>370</v>
      </c>
      <c r="B28" s="32">
        <v>9.13</v>
      </c>
      <c r="C28" s="32">
        <v>9.36</v>
      </c>
      <c r="D28" s="32">
        <v>8.12</v>
      </c>
      <c r="E28" s="32">
        <v>7.56</v>
      </c>
      <c r="F28" s="32">
        <v>7.68</v>
      </c>
      <c r="G28" s="32">
        <v>6.89</v>
      </c>
      <c r="H28" s="32">
        <v>5.9</v>
      </c>
      <c r="I28" s="32">
        <v>4.98</v>
      </c>
      <c r="J28" s="32">
        <v>3.88</v>
      </c>
      <c r="K28" s="32">
        <v>3.22</v>
      </c>
      <c r="L28" s="32">
        <v>2.33</v>
      </c>
      <c r="M28" s="32">
        <v>2.8</v>
      </c>
      <c r="N28" s="32">
        <v>2.62</v>
      </c>
      <c r="O28" s="32">
        <v>3.19</v>
      </c>
      <c r="P28" s="32">
        <v>5.24</v>
      </c>
      <c r="Q28" s="32">
        <v>6.59</v>
      </c>
      <c r="R28" s="32">
        <v>8.98</v>
      </c>
      <c r="S28" s="32">
        <v>11.11</v>
      </c>
      <c r="T28" s="32">
        <v>13.97</v>
      </c>
      <c r="U28" s="32">
        <v>14.19</v>
      </c>
      <c r="V28" s="32">
        <v>15.56</v>
      </c>
      <c r="W28" s="32">
        <v>17.24</v>
      </c>
      <c r="X28" s="32">
        <v>13.06</v>
      </c>
      <c r="Y28" s="31"/>
      <c r="Z28" s="31"/>
      <c r="AA28" s="31"/>
      <c r="AB28" s="31"/>
    </row>
    <row r="29" ht="15.0" customHeight="1">
      <c r="A29" s="27" t="s">
        <v>371</v>
      </c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</row>
    <row r="30" ht="15.0" customHeight="1">
      <c r="A30" s="29" t="s">
        <v>372</v>
      </c>
      <c r="B30" s="33">
        <v>-31.82</v>
      </c>
      <c r="C30" s="33">
        <v>-5.43</v>
      </c>
      <c r="D30" s="34">
        <v>23.01</v>
      </c>
      <c r="E30" s="34">
        <v>10.25</v>
      </c>
      <c r="F30" s="33">
        <v>-2.49</v>
      </c>
      <c r="G30" s="34">
        <v>20.24</v>
      </c>
      <c r="H30" s="33">
        <v>-2.55</v>
      </c>
      <c r="I30" s="33">
        <v>-1.38</v>
      </c>
      <c r="J30" s="33">
        <v>-7.41</v>
      </c>
      <c r="K30" s="34">
        <v>18.66</v>
      </c>
      <c r="L30" s="34">
        <v>7.89</v>
      </c>
      <c r="M30" s="34">
        <v>8.23</v>
      </c>
      <c r="N30" s="33">
        <v>-3.28</v>
      </c>
      <c r="O30" s="33">
        <v>-37.9</v>
      </c>
      <c r="P30" s="34">
        <v>11.55</v>
      </c>
      <c r="Q30" s="34">
        <v>39.89</v>
      </c>
      <c r="R30" s="33">
        <v>-126.83</v>
      </c>
      <c r="S30" s="33">
        <v>-23.78</v>
      </c>
      <c r="T30" s="34">
        <v>3.05</v>
      </c>
      <c r="U30" s="33">
        <v>-23.24</v>
      </c>
      <c r="V30" s="33">
        <v>-16.81</v>
      </c>
      <c r="W30" s="33">
        <v>-2.71</v>
      </c>
      <c r="X30" s="33">
        <v>-1.72</v>
      </c>
      <c r="Y30" s="34">
        <v>5.07</v>
      </c>
      <c r="Z30" s="34">
        <v>54.6</v>
      </c>
      <c r="AA30" s="33">
        <v>-5.5</v>
      </c>
      <c r="AB30" s="34">
        <v>1.65</v>
      </c>
    </row>
    <row r="31" ht="15.0" customHeight="1">
      <c r="A31" s="29" t="s">
        <v>373</v>
      </c>
      <c r="B31" s="34">
        <v>0.32</v>
      </c>
      <c r="C31" s="34">
        <v>9.79</v>
      </c>
      <c r="D31" s="34">
        <v>11.45</v>
      </c>
      <c r="E31" s="34">
        <v>6.31</v>
      </c>
      <c r="F31" s="34">
        <v>2.79</v>
      </c>
      <c r="G31" s="34">
        <v>6.8</v>
      </c>
      <c r="H31" s="34">
        <v>2.58</v>
      </c>
      <c r="I31" s="34">
        <v>4.42</v>
      </c>
      <c r="J31" s="34">
        <v>5.51</v>
      </c>
      <c r="K31" s="34">
        <v>6.19</v>
      </c>
      <c r="L31" s="34">
        <v>0.69</v>
      </c>
      <c r="M31" s="34">
        <v>14.71</v>
      </c>
      <c r="N31" s="33">
        <v>-4.67</v>
      </c>
      <c r="O31" s="33">
        <v>-9.77</v>
      </c>
      <c r="P31" s="33">
        <v>-2.32</v>
      </c>
      <c r="Q31" s="33">
        <v>-10.94</v>
      </c>
      <c r="R31" s="33">
        <v>-18.7</v>
      </c>
      <c r="S31" s="33">
        <v>-10.84</v>
      </c>
      <c r="T31" s="33">
        <v>-8.2</v>
      </c>
      <c r="U31" s="33">
        <v>-6.78</v>
      </c>
      <c r="V31" s="34">
        <v>7.48</v>
      </c>
      <c r="W31" s="34">
        <v>8.3</v>
      </c>
      <c r="X31" s="34">
        <v>10.15</v>
      </c>
      <c r="Y31" s="34"/>
      <c r="Z31" s="34"/>
      <c r="AA31" s="34"/>
      <c r="AB31" s="34"/>
    </row>
    <row r="32" ht="15.0" customHeight="1">
      <c r="A32" s="27" t="s">
        <v>374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</row>
    <row r="33" ht="15.0" customHeight="1">
      <c r="A33" s="29" t="s">
        <v>375</v>
      </c>
      <c r="B33" s="34">
        <v>3.91</v>
      </c>
      <c r="C33" s="34">
        <v>8.05</v>
      </c>
      <c r="D33" s="34">
        <v>3.44</v>
      </c>
      <c r="E33" s="34">
        <v>3.02</v>
      </c>
      <c r="F33" s="34">
        <v>0.0</v>
      </c>
      <c r="G33" s="34">
        <v>8.6</v>
      </c>
      <c r="H33" s="34">
        <v>3.14</v>
      </c>
      <c r="I33" s="34">
        <v>3.92</v>
      </c>
      <c r="J33" s="34">
        <v>4.35</v>
      </c>
      <c r="K33" s="34">
        <v>6.87</v>
      </c>
      <c r="L33" s="34">
        <v>0.0</v>
      </c>
      <c r="M33" s="34">
        <v>0.0</v>
      </c>
      <c r="N33" s="34">
        <v>3.5</v>
      </c>
      <c r="O33" s="34">
        <v>6.64</v>
      </c>
      <c r="P33" s="34">
        <v>0.0</v>
      </c>
      <c r="Q33" s="34">
        <v>0.0</v>
      </c>
      <c r="R33" s="34">
        <v>0.0</v>
      </c>
      <c r="S33" s="34">
        <v>3.03</v>
      </c>
      <c r="T33" s="34">
        <v>1.07</v>
      </c>
      <c r="U33" s="34">
        <v>2.9</v>
      </c>
      <c r="V33" s="34">
        <v>3.97</v>
      </c>
      <c r="W33" s="34">
        <v>3.51</v>
      </c>
      <c r="X33" s="34">
        <v>4.7</v>
      </c>
      <c r="Y33" s="34">
        <v>5.08</v>
      </c>
      <c r="Z33" s="34">
        <v>3.25</v>
      </c>
      <c r="AA33" s="34">
        <v>0.88</v>
      </c>
      <c r="AB33" s="34">
        <v>6.29</v>
      </c>
    </row>
    <row r="34" ht="15.0" customHeight="1">
      <c r="A34" s="29" t="s">
        <v>376</v>
      </c>
      <c r="B34" s="34">
        <v>3.98</v>
      </c>
      <c r="C34" s="34">
        <v>4.96</v>
      </c>
      <c r="D34" s="34">
        <v>3.91</v>
      </c>
      <c r="E34" s="34">
        <v>4.04</v>
      </c>
      <c r="F34" s="34">
        <v>4.35</v>
      </c>
      <c r="G34" s="34">
        <v>5.65</v>
      </c>
      <c r="H34" s="34">
        <v>4.1</v>
      </c>
      <c r="I34" s="34">
        <v>4.09</v>
      </c>
      <c r="J34" s="34">
        <v>4.1</v>
      </c>
      <c r="K34" s="34">
        <v>4.28</v>
      </c>
      <c r="L34" s="34">
        <v>1.48</v>
      </c>
      <c r="M34" s="34">
        <v>1.21</v>
      </c>
      <c r="N34" s="34">
        <v>1.17</v>
      </c>
      <c r="O34" s="34">
        <v>1.44</v>
      </c>
      <c r="P34" s="34">
        <v>0.96</v>
      </c>
      <c r="Q34" s="34">
        <v>1.73</v>
      </c>
      <c r="R34" s="34">
        <v>2.63</v>
      </c>
      <c r="S34" s="34">
        <v>2.95</v>
      </c>
      <c r="T34" s="34">
        <v>3.3</v>
      </c>
      <c r="U34" s="34">
        <v>4.09</v>
      </c>
      <c r="V34" s="34">
        <v>4.14</v>
      </c>
      <c r="W34" s="34">
        <v>3.34</v>
      </c>
      <c r="X34" s="34">
        <v>3.55</v>
      </c>
      <c r="Y34" s="34"/>
      <c r="Z34" s="34"/>
      <c r="AA34" s="34"/>
      <c r="AB34" s="34"/>
    </row>
    <row r="35" ht="15.0" customHeight="1">
      <c r="A35" s="29" t="s">
        <v>377</v>
      </c>
      <c r="B35" s="34">
        <v>5.58</v>
      </c>
      <c r="C35" s="34">
        <v>11.49</v>
      </c>
      <c r="D35" s="34">
        <v>4.91</v>
      </c>
      <c r="E35" s="34">
        <v>4.32</v>
      </c>
      <c r="F35" s="34">
        <v>0.0</v>
      </c>
      <c r="G35" s="34">
        <v>12.28</v>
      </c>
      <c r="H35" s="34">
        <v>4.49</v>
      </c>
      <c r="I35" s="34">
        <v>5.59</v>
      </c>
      <c r="J35" s="34">
        <v>6.21</v>
      </c>
      <c r="K35" s="34">
        <v>9.82</v>
      </c>
      <c r="L35" s="34">
        <v>0.0</v>
      </c>
      <c r="M35" s="34">
        <v>0.0</v>
      </c>
      <c r="N35" s="34">
        <v>5.0</v>
      </c>
      <c r="O35" s="34">
        <v>9.48</v>
      </c>
      <c r="P35" s="34">
        <v>0.0</v>
      </c>
      <c r="Q35" s="34">
        <v>0.0</v>
      </c>
      <c r="R35" s="34">
        <v>0.0</v>
      </c>
      <c r="S35" s="34">
        <v>4.33</v>
      </c>
      <c r="T35" s="34">
        <v>1.53</v>
      </c>
      <c r="U35" s="34">
        <v>2.9</v>
      </c>
      <c r="V35" s="34">
        <v>3.97</v>
      </c>
      <c r="W35" s="34">
        <v>3.51</v>
      </c>
      <c r="X35" s="34">
        <v>4.7</v>
      </c>
      <c r="Y35" s="34">
        <v>5.08</v>
      </c>
      <c r="Z35" s="34">
        <v>3.25</v>
      </c>
      <c r="AA35" s="34">
        <v>0.88</v>
      </c>
      <c r="AB35" s="34">
        <v>6.29</v>
      </c>
    </row>
    <row r="36" ht="15.0" customHeight="1">
      <c r="A36" s="29" t="s">
        <v>378</v>
      </c>
      <c r="B36" s="34">
        <v>5.68</v>
      </c>
      <c r="C36" s="34">
        <v>7.08</v>
      </c>
      <c r="D36" s="34">
        <v>5.59</v>
      </c>
      <c r="E36" s="34">
        <v>5.78</v>
      </c>
      <c r="F36" s="34">
        <v>6.21</v>
      </c>
      <c r="G36" s="34">
        <v>8.07</v>
      </c>
      <c r="H36" s="34">
        <v>5.86</v>
      </c>
      <c r="I36" s="34">
        <v>5.85</v>
      </c>
      <c r="J36" s="34">
        <v>5.85</v>
      </c>
      <c r="K36" s="34">
        <v>6.11</v>
      </c>
      <c r="L36" s="34">
        <v>2.11</v>
      </c>
      <c r="M36" s="34">
        <v>1.73</v>
      </c>
      <c r="N36" s="34">
        <v>1.67</v>
      </c>
      <c r="O36" s="34">
        <v>2.06</v>
      </c>
      <c r="P36" s="34">
        <v>1.37</v>
      </c>
      <c r="Q36" s="34">
        <v>2.03</v>
      </c>
      <c r="R36" s="34">
        <v>2.87</v>
      </c>
      <c r="S36" s="34">
        <v>3.14</v>
      </c>
      <c r="T36" s="34">
        <v>3.38</v>
      </c>
      <c r="U36" s="34">
        <v>4.09</v>
      </c>
      <c r="V36" s="34">
        <v>4.14</v>
      </c>
      <c r="W36" s="34">
        <v>3.34</v>
      </c>
      <c r="X36" s="34">
        <v>3.55</v>
      </c>
      <c r="Y36" s="34"/>
      <c r="Z36" s="34"/>
      <c r="AA36" s="34"/>
      <c r="AB36" s="34"/>
    </row>
    <row r="37" ht="15.0" customHeight="1">
      <c r="A37" s="27" t="s">
        <v>379</v>
      </c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</row>
    <row r="38" ht="15.0" customHeight="1">
      <c r="A38" s="29" t="s">
        <v>380</v>
      </c>
      <c r="B38" s="32">
        <v>0.81</v>
      </c>
      <c r="C38" s="32">
        <v>1.0</v>
      </c>
      <c r="D38" s="32">
        <v>0.83</v>
      </c>
      <c r="E38" s="32">
        <v>1.04</v>
      </c>
      <c r="F38" s="32">
        <v>0.96</v>
      </c>
      <c r="G38" s="32">
        <v>1.26</v>
      </c>
      <c r="H38" s="32">
        <v>0.86</v>
      </c>
      <c r="I38" s="32">
        <v>0.9</v>
      </c>
      <c r="J38" s="32">
        <v>1.07</v>
      </c>
      <c r="K38" s="32">
        <v>1.18</v>
      </c>
      <c r="L38" s="32">
        <v>0.59</v>
      </c>
      <c r="M38" s="32">
        <v>0.37</v>
      </c>
      <c r="N38" s="32">
        <v>0.31</v>
      </c>
      <c r="O38" s="32">
        <v>0.32</v>
      </c>
      <c r="P38" s="32">
        <v>0.54</v>
      </c>
      <c r="Q38" s="32">
        <v>0.97</v>
      </c>
      <c r="R38" s="32">
        <v>0.23</v>
      </c>
      <c r="S38" s="32">
        <v>0.4</v>
      </c>
      <c r="T38" s="32">
        <v>0.84</v>
      </c>
      <c r="U38" s="32">
        <v>0.82</v>
      </c>
      <c r="V38" s="32">
        <v>0.81</v>
      </c>
      <c r="W38" s="32">
        <v>0.9</v>
      </c>
      <c r="X38" s="32">
        <v>0.8</v>
      </c>
      <c r="Y38" s="32">
        <v>1.05</v>
      </c>
      <c r="Z38" s="32">
        <v>0.85</v>
      </c>
      <c r="AA38" s="32">
        <v>1.84</v>
      </c>
      <c r="AB38" s="32">
        <v>0.55</v>
      </c>
    </row>
    <row r="39" ht="15.0" customHeight="1">
      <c r="A39" s="29" t="s">
        <v>381</v>
      </c>
      <c r="B39" s="32">
        <v>0.92</v>
      </c>
      <c r="C39" s="32">
        <v>1.0</v>
      </c>
      <c r="D39" s="32">
        <v>0.97</v>
      </c>
      <c r="E39" s="32">
        <v>1.01</v>
      </c>
      <c r="F39" s="32">
        <v>1.01</v>
      </c>
      <c r="G39" s="32">
        <v>1.05</v>
      </c>
      <c r="H39" s="32">
        <v>0.92</v>
      </c>
      <c r="I39" s="32">
        <v>0.85</v>
      </c>
      <c r="J39" s="32">
        <v>0.73</v>
      </c>
      <c r="K39" s="32">
        <v>0.56</v>
      </c>
      <c r="L39" s="32">
        <v>0.43</v>
      </c>
      <c r="M39" s="32">
        <v>0.51</v>
      </c>
      <c r="N39" s="32">
        <v>0.46</v>
      </c>
      <c r="O39" s="32">
        <v>0.46</v>
      </c>
      <c r="P39" s="32">
        <v>0.6</v>
      </c>
      <c r="Q39" s="32">
        <v>0.67</v>
      </c>
      <c r="R39" s="32">
        <v>0.68</v>
      </c>
      <c r="S39" s="32">
        <v>0.78</v>
      </c>
      <c r="T39" s="32">
        <v>0.83</v>
      </c>
      <c r="U39" s="32">
        <v>0.88</v>
      </c>
      <c r="V39" s="32">
        <v>0.88</v>
      </c>
      <c r="W39" s="32">
        <v>1.03</v>
      </c>
      <c r="X39" s="32">
        <v>0.99</v>
      </c>
      <c r="Y39" s="31"/>
      <c r="Z39" s="31"/>
      <c r="AA39" s="31"/>
      <c r="AB39" s="31"/>
    </row>
    <row r="40" ht="15.0" customHeight="1">
      <c r="A40" s="27" t="s">
        <v>382</v>
      </c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</row>
    <row r="41" ht="15.0" customHeight="1">
      <c r="A41" s="29" t="s">
        <v>383</v>
      </c>
      <c r="B41" s="32">
        <v>0.82</v>
      </c>
      <c r="C41" s="32">
        <v>1.01</v>
      </c>
      <c r="D41" s="32">
        <v>0.83</v>
      </c>
      <c r="E41" s="32">
        <v>1.06</v>
      </c>
      <c r="F41" s="32">
        <v>0.98</v>
      </c>
      <c r="G41" s="32">
        <v>1.27</v>
      </c>
      <c r="H41" s="32">
        <v>0.87</v>
      </c>
      <c r="I41" s="32">
        <v>0.92</v>
      </c>
      <c r="J41" s="32">
        <v>1.08</v>
      </c>
      <c r="K41" s="32">
        <v>1.18</v>
      </c>
      <c r="L41" s="32">
        <v>0.59</v>
      </c>
      <c r="M41" s="32">
        <v>0.37</v>
      </c>
      <c r="N41" s="32">
        <v>0.31</v>
      </c>
      <c r="O41" s="32">
        <v>0.32</v>
      </c>
      <c r="P41" s="32">
        <v>0.57</v>
      </c>
      <c r="Q41" s="32">
        <v>1.04</v>
      </c>
      <c r="R41" s="32">
        <v>0.24</v>
      </c>
      <c r="S41" s="32">
        <v>0.4</v>
      </c>
      <c r="T41" s="32">
        <v>0.84</v>
      </c>
      <c r="U41" s="32">
        <v>0.82</v>
      </c>
      <c r="V41" s="32">
        <v>0.82</v>
      </c>
      <c r="W41" s="32">
        <v>0.92</v>
      </c>
      <c r="X41" s="32">
        <v>0.81</v>
      </c>
      <c r="Y41" s="32">
        <v>1.05</v>
      </c>
      <c r="Z41" s="32">
        <v>0.86</v>
      </c>
      <c r="AA41" s="32">
        <v>2.08</v>
      </c>
      <c r="AB41" s="32">
        <v>0.6</v>
      </c>
    </row>
    <row r="42" ht="15.0" customHeight="1">
      <c r="A42" s="29" t="s">
        <v>384</v>
      </c>
      <c r="B42" s="32">
        <v>0.93</v>
      </c>
      <c r="C42" s="32">
        <v>1.01</v>
      </c>
      <c r="D42" s="32">
        <v>0.98</v>
      </c>
      <c r="E42" s="32">
        <v>1.02</v>
      </c>
      <c r="F42" s="32">
        <v>1.02</v>
      </c>
      <c r="G42" s="32">
        <v>1.06</v>
      </c>
      <c r="H42" s="32">
        <v>0.93</v>
      </c>
      <c r="I42" s="32">
        <v>0.86</v>
      </c>
      <c r="J42" s="32">
        <v>0.73</v>
      </c>
      <c r="K42" s="32">
        <v>0.57</v>
      </c>
      <c r="L42" s="32">
        <v>0.44</v>
      </c>
      <c r="M42" s="32">
        <v>0.53</v>
      </c>
      <c r="N42" s="32">
        <v>0.47</v>
      </c>
      <c r="O42" s="32">
        <v>0.48</v>
      </c>
      <c r="P42" s="32">
        <v>0.61</v>
      </c>
      <c r="Q42" s="32">
        <v>0.68</v>
      </c>
      <c r="R42" s="32">
        <v>0.69</v>
      </c>
      <c r="S42" s="32">
        <v>0.79</v>
      </c>
      <c r="T42" s="32">
        <v>0.84</v>
      </c>
      <c r="U42" s="32">
        <v>0.89</v>
      </c>
      <c r="V42" s="32">
        <v>0.89</v>
      </c>
      <c r="W42" s="32">
        <v>1.06</v>
      </c>
      <c r="X42" s="32">
        <v>1.03</v>
      </c>
      <c r="Y42" s="31"/>
      <c r="Z42" s="31"/>
      <c r="AA42" s="31"/>
      <c r="AB42" s="31"/>
    </row>
    <row r="43" ht="15.0" customHeight="1">
      <c r="A43" s="27" t="s">
        <v>385</v>
      </c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</row>
    <row r="44" ht="15.0" customHeight="1">
      <c r="A44" s="29" t="s">
        <v>386</v>
      </c>
      <c r="B44" s="32">
        <v>0.5</v>
      </c>
      <c r="C44" s="32">
        <v>0.67</v>
      </c>
      <c r="D44" s="32">
        <v>0.63</v>
      </c>
      <c r="E44" s="32">
        <v>0.69</v>
      </c>
      <c r="F44" s="32">
        <v>0.59</v>
      </c>
      <c r="G44" s="32">
        <v>0.73</v>
      </c>
      <c r="H44" s="32">
        <v>0.56</v>
      </c>
      <c r="I44" s="32">
        <v>0.57</v>
      </c>
      <c r="J44" s="32">
        <v>0.71</v>
      </c>
      <c r="K44" s="32">
        <v>0.69</v>
      </c>
      <c r="L44" s="32">
        <v>0.37</v>
      </c>
      <c r="M44" s="32">
        <v>0.22</v>
      </c>
      <c r="N44" s="32">
        <v>0.21</v>
      </c>
      <c r="O44" s="32">
        <v>0.21</v>
      </c>
      <c r="P44" s="32">
        <v>0.4</v>
      </c>
      <c r="Q44" s="32">
        <v>0.12</v>
      </c>
      <c r="R44" s="32">
        <v>0.07</v>
      </c>
      <c r="S44" s="32">
        <v>0.14</v>
      </c>
      <c r="T44" s="32">
        <v>0.44</v>
      </c>
      <c r="U44" s="32">
        <v>0.51</v>
      </c>
      <c r="V44" s="32">
        <v>0.58</v>
      </c>
      <c r="W44" s="32">
        <v>0.65</v>
      </c>
      <c r="X44" s="32">
        <v>0.56</v>
      </c>
      <c r="Y44" s="32">
        <v>0.73</v>
      </c>
      <c r="Z44" s="32">
        <v>0.48</v>
      </c>
      <c r="AA44" s="32">
        <v>1.13</v>
      </c>
      <c r="AB44" s="32">
        <v>0.42</v>
      </c>
    </row>
    <row r="45" ht="15.0" customHeight="1">
      <c r="A45" s="29" t="s">
        <v>387</v>
      </c>
      <c r="B45" s="32">
        <v>0.62</v>
      </c>
      <c r="C45" s="32">
        <v>0.66</v>
      </c>
      <c r="D45" s="32">
        <v>0.64</v>
      </c>
      <c r="E45" s="32">
        <v>0.63</v>
      </c>
      <c r="F45" s="32">
        <v>0.63</v>
      </c>
      <c r="G45" s="32">
        <v>0.65</v>
      </c>
      <c r="H45" s="32">
        <v>0.58</v>
      </c>
      <c r="I45" s="32">
        <v>0.53</v>
      </c>
      <c r="J45" s="32">
        <v>0.46</v>
      </c>
      <c r="K45" s="32">
        <v>0.36</v>
      </c>
      <c r="L45" s="32">
        <v>0.29</v>
      </c>
      <c r="M45" s="32">
        <v>0.18</v>
      </c>
      <c r="N45" s="32">
        <v>0.15</v>
      </c>
      <c r="O45" s="32">
        <v>0.14</v>
      </c>
      <c r="P45" s="32">
        <v>0.2</v>
      </c>
      <c r="Q45" s="32">
        <v>0.24</v>
      </c>
      <c r="R45" s="32">
        <v>0.34</v>
      </c>
      <c r="S45" s="32">
        <v>0.45</v>
      </c>
      <c r="T45" s="32">
        <v>0.55</v>
      </c>
      <c r="U45" s="32">
        <v>0.61</v>
      </c>
      <c r="V45" s="32">
        <v>0.6</v>
      </c>
      <c r="W45" s="32">
        <v>0.68</v>
      </c>
      <c r="X45" s="32">
        <v>0.65</v>
      </c>
      <c r="Y45" s="31"/>
      <c r="Z45" s="31"/>
      <c r="AA45" s="31"/>
      <c r="AB45" s="31"/>
    </row>
    <row r="46" ht="15.0" customHeight="1">
      <c r="A46" s="27" t="s">
        <v>388</v>
      </c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</row>
    <row r="47" ht="15.0" customHeight="1">
      <c r="A47" s="29" t="s">
        <v>389</v>
      </c>
      <c r="B47" s="31"/>
      <c r="C47" s="31"/>
      <c r="D47" s="32">
        <v>4.35</v>
      </c>
      <c r="E47" s="32">
        <v>9.75</v>
      </c>
      <c r="F47" s="31"/>
      <c r="G47" s="32">
        <v>4.94</v>
      </c>
      <c r="H47" s="31"/>
      <c r="I47" s="31"/>
      <c r="J47" s="31"/>
      <c r="K47" s="32">
        <v>5.36</v>
      </c>
      <c r="L47" s="32">
        <v>12.68</v>
      </c>
      <c r="M47" s="32">
        <v>12.14</v>
      </c>
      <c r="N47" s="31"/>
      <c r="O47" s="31"/>
      <c r="P47" s="32">
        <v>8.66</v>
      </c>
      <c r="Q47" s="32">
        <v>2.51</v>
      </c>
      <c r="R47" s="31"/>
      <c r="S47" s="31"/>
      <c r="T47" s="32">
        <v>32.79</v>
      </c>
      <c r="U47" s="31"/>
      <c r="V47" s="31"/>
      <c r="W47" s="31"/>
      <c r="X47" s="31"/>
      <c r="Y47" s="32">
        <v>19.71</v>
      </c>
      <c r="Z47" s="32">
        <v>1.83</v>
      </c>
      <c r="AA47" s="31"/>
      <c r="AB47" s="32">
        <v>60.52</v>
      </c>
    </row>
    <row r="48" ht="15.0" customHeight="1">
      <c r="A48" s="29" t="s">
        <v>390</v>
      </c>
      <c r="B48" s="30">
        <v>316.92</v>
      </c>
      <c r="C48" s="32">
        <v>10.22</v>
      </c>
      <c r="D48" s="32">
        <v>8.73</v>
      </c>
      <c r="E48" s="32">
        <v>15.84</v>
      </c>
      <c r="F48" s="32">
        <v>35.84</v>
      </c>
      <c r="G48" s="32">
        <v>14.71</v>
      </c>
      <c r="H48" s="32">
        <v>38.78</v>
      </c>
      <c r="I48" s="32">
        <v>22.64</v>
      </c>
      <c r="J48" s="32">
        <v>18.16</v>
      </c>
      <c r="K48" s="32">
        <v>16.15</v>
      </c>
      <c r="L48" s="30">
        <v>144.54</v>
      </c>
      <c r="M48" s="32">
        <v>6.8</v>
      </c>
      <c r="N48" s="31"/>
      <c r="O48" s="31"/>
      <c r="P48" s="31"/>
      <c r="Q48" s="31"/>
      <c r="R48" s="31"/>
      <c r="S48" s="31"/>
      <c r="T48" s="31"/>
      <c r="U48" s="31"/>
      <c r="V48" s="32">
        <v>13.37</v>
      </c>
      <c r="W48" s="32">
        <v>12.05</v>
      </c>
      <c r="X48" s="32">
        <v>9.85</v>
      </c>
      <c r="Y48" s="31"/>
      <c r="Z48" s="31"/>
      <c r="AA48" s="31"/>
      <c r="AB48" s="31"/>
    </row>
    <row r="49" ht="15.0" customHeight="1">
      <c r="A49" s="27" t="s">
        <v>391</v>
      </c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</row>
    <row r="50" ht="15.0" customHeight="1">
      <c r="A50" s="29" t="s">
        <v>392</v>
      </c>
      <c r="B50" s="32">
        <v>9.7</v>
      </c>
      <c r="C50" s="32">
        <v>7.78</v>
      </c>
      <c r="D50" s="32">
        <v>2.73</v>
      </c>
      <c r="E50" s="32">
        <v>5.02</v>
      </c>
      <c r="F50" s="32">
        <v>18.84</v>
      </c>
      <c r="G50" s="32">
        <v>5.78</v>
      </c>
      <c r="H50" s="32">
        <v>3.93</v>
      </c>
      <c r="I50" s="32">
        <v>5.32</v>
      </c>
      <c r="J50" s="32">
        <v>6.36</v>
      </c>
      <c r="K50" s="32">
        <v>4.43</v>
      </c>
      <c r="L50" s="32">
        <v>2.97</v>
      </c>
      <c r="M50" s="31"/>
      <c r="N50" s="32">
        <v>5.17</v>
      </c>
      <c r="O50" s="31"/>
      <c r="P50" s="32">
        <v>2.95</v>
      </c>
      <c r="Q50" s="32">
        <v>3.37</v>
      </c>
      <c r="R50" s="31"/>
      <c r="S50" s="32">
        <v>3.08</v>
      </c>
      <c r="T50" s="32">
        <v>8.03</v>
      </c>
      <c r="U50" s="32">
        <v>14.63</v>
      </c>
      <c r="V50" s="32">
        <v>9.73</v>
      </c>
      <c r="W50" s="32">
        <v>7.68</v>
      </c>
      <c r="X50" s="32">
        <v>8.32</v>
      </c>
      <c r="Y50" s="32">
        <v>8.31</v>
      </c>
      <c r="Z50" s="32">
        <v>2.04</v>
      </c>
      <c r="AA50" s="32">
        <v>12.79</v>
      </c>
      <c r="AB50" s="32">
        <v>3.38</v>
      </c>
    </row>
    <row r="51" ht="15.0" customHeight="1">
      <c r="A51" s="29" t="s">
        <v>393</v>
      </c>
      <c r="B51" s="32">
        <v>5.48</v>
      </c>
      <c r="C51" s="32">
        <v>5.17</v>
      </c>
      <c r="D51" s="32">
        <v>4.56</v>
      </c>
      <c r="E51" s="32">
        <v>5.72</v>
      </c>
      <c r="F51" s="32">
        <v>6.05</v>
      </c>
      <c r="G51" s="32">
        <v>5.05</v>
      </c>
      <c r="H51" s="32">
        <v>4.53</v>
      </c>
      <c r="I51" s="32">
        <v>5.61</v>
      </c>
      <c r="J51" s="32">
        <v>5.66</v>
      </c>
      <c r="K51" s="32">
        <v>6.41</v>
      </c>
      <c r="L51" s="32">
        <v>5.81</v>
      </c>
      <c r="M51" s="32">
        <v>5.37</v>
      </c>
      <c r="N51" s="32">
        <v>7.74</v>
      </c>
      <c r="O51" s="32">
        <v>5.75</v>
      </c>
      <c r="P51" s="32">
        <v>6.0</v>
      </c>
      <c r="Q51" s="32">
        <v>8.6</v>
      </c>
      <c r="R51" s="32">
        <v>10.98</v>
      </c>
      <c r="S51" s="32">
        <v>8.12</v>
      </c>
      <c r="T51" s="32">
        <v>9.09</v>
      </c>
      <c r="U51" s="32">
        <v>9.07</v>
      </c>
      <c r="V51" s="32">
        <v>5.31</v>
      </c>
      <c r="W51" s="32">
        <v>5.72</v>
      </c>
      <c r="X51" s="32">
        <v>5.14</v>
      </c>
      <c r="Y51" s="31"/>
      <c r="Z51" s="31"/>
      <c r="AA51" s="31"/>
      <c r="AB51" s="31"/>
    </row>
    <row r="52" ht="15.0" customHeight="1">
      <c r="A52" s="27" t="s">
        <v>394</v>
      </c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</row>
    <row r="53" ht="15.0" customHeight="1">
      <c r="A53" s="29" t="s">
        <v>395</v>
      </c>
      <c r="B53" s="32">
        <v>68.35</v>
      </c>
      <c r="C53" s="32">
        <v>15.36</v>
      </c>
      <c r="D53" s="32">
        <v>3.3</v>
      </c>
      <c r="E53" s="32">
        <v>8.03</v>
      </c>
      <c r="F53" s="31"/>
      <c r="G53" s="32">
        <v>8.97</v>
      </c>
      <c r="H53" s="32">
        <v>5.69</v>
      </c>
      <c r="I53" s="32">
        <v>9.57</v>
      </c>
      <c r="J53" s="32">
        <v>9.6</v>
      </c>
      <c r="K53" s="32">
        <v>5.58</v>
      </c>
      <c r="L53" s="32">
        <v>4.29</v>
      </c>
      <c r="M53" s="31"/>
      <c r="N53" s="31"/>
      <c r="O53" s="31"/>
      <c r="P53" s="32">
        <v>5.33</v>
      </c>
      <c r="Q53" s="31"/>
      <c r="R53" s="31"/>
      <c r="S53" s="31"/>
      <c r="T53" s="31"/>
      <c r="U53" s="31"/>
      <c r="V53" s="31"/>
      <c r="W53" s="32">
        <v>18.25</v>
      </c>
      <c r="X53" s="32">
        <v>25.43</v>
      </c>
      <c r="Y53" s="32">
        <v>12.97</v>
      </c>
      <c r="Z53" s="32">
        <v>2.51</v>
      </c>
      <c r="AA53" s="32">
        <v>25.99</v>
      </c>
      <c r="AB53" s="32">
        <v>5.5</v>
      </c>
    </row>
    <row r="54" ht="15.0" customHeight="1">
      <c r="A54" s="29" t="s">
        <v>396</v>
      </c>
      <c r="B54" s="32">
        <v>9.28</v>
      </c>
      <c r="C54" s="32">
        <v>8.07</v>
      </c>
      <c r="D54" s="32">
        <v>6.82</v>
      </c>
      <c r="E54" s="32">
        <v>10.22</v>
      </c>
      <c r="F54" s="32">
        <v>10.81</v>
      </c>
      <c r="G54" s="32">
        <v>7.45</v>
      </c>
      <c r="H54" s="32">
        <v>6.58</v>
      </c>
      <c r="I54" s="32">
        <v>10.08</v>
      </c>
      <c r="J54" s="32">
        <v>11.66</v>
      </c>
      <c r="K54" s="32">
        <v>66.95</v>
      </c>
      <c r="L54" s="31"/>
      <c r="M54" s="31"/>
      <c r="N54" s="31"/>
      <c r="O54" s="31"/>
      <c r="P54" s="31"/>
      <c r="Q54" s="31"/>
      <c r="R54" s="31"/>
      <c r="S54" s="31"/>
      <c r="T54" s="31"/>
      <c r="U54" s="32">
        <v>60.43</v>
      </c>
      <c r="V54" s="32">
        <v>10.07</v>
      </c>
      <c r="W54" s="32">
        <v>8.93</v>
      </c>
      <c r="X54" s="32">
        <v>7.69</v>
      </c>
      <c r="Y54" s="31"/>
      <c r="Z54" s="31"/>
      <c r="AA54" s="31"/>
      <c r="AB54" s="31"/>
    </row>
    <row r="55" ht="15.0" customHeight="1">
      <c r="A55" s="27" t="s">
        <v>397</v>
      </c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</row>
    <row r="56" ht="15.0" customHeight="1">
      <c r="A56" s="29" t="s">
        <v>398</v>
      </c>
      <c r="B56" s="32">
        <v>33.34</v>
      </c>
      <c r="C56" s="32">
        <v>19.36</v>
      </c>
      <c r="D56" s="32">
        <v>4.42</v>
      </c>
      <c r="E56" s="32">
        <v>8.03</v>
      </c>
      <c r="F56" s="31"/>
      <c r="G56" s="32">
        <v>8.97</v>
      </c>
      <c r="H56" s="32">
        <v>5.69</v>
      </c>
      <c r="I56" s="32">
        <v>8.87</v>
      </c>
      <c r="J56" s="32">
        <v>7.58</v>
      </c>
      <c r="K56" s="32">
        <v>5.73</v>
      </c>
      <c r="L56" s="32">
        <v>4.08</v>
      </c>
      <c r="M56" s="31"/>
      <c r="N56" s="31"/>
      <c r="O56" s="31"/>
      <c r="P56" s="32">
        <v>5.33</v>
      </c>
      <c r="Q56" s="31"/>
      <c r="R56" s="31"/>
      <c r="S56" s="31"/>
      <c r="T56" s="31"/>
      <c r="U56" s="31"/>
      <c r="V56" s="31"/>
      <c r="W56" s="32">
        <v>18.25</v>
      </c>
      <c r="X56" s="32">
        <v>25.43</v>
      </c>
      <c r="Y56" s="32">
        <v>12.49</v>
      </c>
      <c r="Z56" s="32">
        <v>2.52</v>
      </c>
      <c r="AA56" s="32">
        <v>34.28</v>
      </c>
      <c r="AB56" s="31"/>
    </row>
    <row r="57" ht="15.0" customHeight="1">
      <c r="A57" s="29" t="s">
        <v>399</v>
      </c>
      <c r="B57" s="32">
        <v>0.92</v>
      </c>
      <c r="C57" s="32">
        <v>1.0</v>
      </c>
      <c r="D57" s="32">
        <v>0.97</v>
      </c>
      <c r="E57" s="32">
        <v>1.01</v>
      </c>
      <c r="F57" s="32">
        <v>1.01</v>
      </c>
      <c r="G57" s="32">
        <v>1.05</v>
      </c>
      <c r="H57" s="32">
        <v>0.92</v>
      </c>
      <c r="I57" s="32">
        <v>0.85</v>
      </c>
      <c r="J57" s="32">
        <v>0.73</v>
      </c>
      <c r="K57" s="32">
        <v>0.56</v>
      </c>
      <c r="L57" s="32">
        <v>0.43</v>
      </c>
      <c r="M57" s="32">
        <v>0.51</v>
      </c>
      <c r="N57" s="32">
        <v>0.46</v>
      </c>
      <c r="O57" s="32">
        <v>0.46</v>
      </c>
      <c r="P57" s="32">
        <v>0.6</v>
      </c>
      <c r="Q57" s="32">
        <v>0.67</v>
      </c>
      <c r="R57" s="32">
        <v>0.68</v>
      </c>
      <c r="S57" s="32">
        <v>0.78</v>
      </c>
      <c r="T57" s="32">
        <v>0.83</v>
      </c>
      <c r="U57" s="32">
        <v>0.88</v>
      </c>
      <c r="V57" s="32">
        <v>0.88</v>
      </c>
      <c r="W57" s="32">
        <v>1.03</v>
      </c>
      <c r="X57" s="32">
        <v>0.99</v>
      </c>
      <c r="Y57" s="31"/>
      <c r="Z57" s="31"/>
      <c r="AA57" s="31"/>
      <c r="AB57" s="31"/>
    </row>
    <row r="58" ht="15.0" customHeight="1">
      <c r="A58" s="27" t="s">
        <v>400</v>
      </c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</row>
    <row r="59" ht="15.0" customHeight="1">
      <c r="A59" s="29" t="s">
        <v>401</v>
      </c>
      <c r="B59" s="35">
        <v>-0.82</v>
      </c>
      <c r="C59" s="35">
        <v>-0.2</v>
      </c>
      <c r="D59" s="32">
        <v>0.02</v>
      </c>
      <c r="E59" s="32">
        <v>0.02</v>
      </c>
      <c r="F59" s="31"/>
      <c r="G59" s="35">
        <v>-0.73</v>
      </c>
      <c r="H59" s="32">
        <v>0.06</v>
      </c>
      <c r="I59" s="35">
        <v>-0.87</v>
      </c>
      <c r="J59" s="35">
        <v>-0.23</v>
      </c>
      <c r="K59" s="32">
        <v>0.08</v>
      </c>
      <c r="L59" s="32">
        <v>0.02</v>
      </c>
      <c r="M59" s="31"/>
      <c r="N59" s="31"/>
      <c r="O59" s="31"/>
      <c r="P59" s="32">
        <v>0.04</v>
      </c>
      <c r="Q59" s="31"/>
      <c r="R59" s="31"/>
      <c r="S59" s="31"/>
      <c r="T59" s="31"/>
      <c r="U59" s="31"/>
      <c r="V59" s="31"/>
      <c r="W59" s="32">
        <v>0.3</v>
      </c>
      <c r="X59" s="35">
        <v>-0.41</v>
      </c>
      <c r="Y59" s="35">
        <v>-0.17</v>
      </c>
      <c r="Z59" s="31">
        <v>0.0</v>
      </c>
      <c r="AA59" s="35">
        <v>-1.05</v>
      </c>
      <c r="AB59" s="31"/>
    </row>
    <row r="60" ht="15.0" customHeight="1">
      <c r="A60" s="29" t="s">
        <v>402</v>
      </c>
      <c r="B60" s="35">
        <v>-0.25</v>
      </c>
      <c r="C60" s="35">
        <v>-0.71</v>
      </c>
      <c r="D60" s="32">
        <v>0.18</v>
      </c>
      <c r="E60" s="32">
        <v>1.12</v>
      </c>
      <c r="F60" s="31"/>
      <c r="G60" s="32">
        <v>0.95</v>
      </c>
      <c r="H60" s="31"/>
      <c r="I60" s="31"/>
      <c r="J60" s="31"/>
      <c r="K60" s="32">
        <v>5.45</v>
      </c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5">
        <v>-2.17</v>
      </c>
      <c r="X60" s="31"/>
      <c r="Y60" s="31"/>
      <c r="Z60" s="31"/>
      <c r="AA60" s="31"/>
      <c r="AB60" s="31"/>
    </row>
    <row r="61" ht="15.0" customHeight="1">
      <c r="A61" s="27" t="s">
        <v>403</v>
      </c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</row>
    <row r="62" ht="15.0" customHeight="1">
      <c r="A62" s="29" t="s">
        <v>404</v>
      </c>
      <c r="B62" s="32">
        <v>0.65</v>
      </c>
      <c r="C62" s="32">
        <v>0.64</v>
      </c>
      <c r="D62" s="32">
        <v>0.51</v>
      </c>
      <c r="E62" s="32">
        <v>0.69</v>
      </c>
      <c r="F62" s="32">
        <v>0.64</v>
      </c>
      <c r="G62" s="32">
        <v>0.75</v>
      </c>
      <c r="H62" s="32">
        <v>0.63</v>
      </c>
      <c r="I62" s="32">
        <v>0.61</v>
      </c>
      <c r="J62" s="32">
        <v>0.71</v>
      </c>
      <c r="K62" s="32">
        <v>0.6</v>
      </c>
      <c r="L62" s="32">
        <v>0.33</v>
      </c>
      <c r="M62" s="32">
        <v>0.24</v>
      </c>
      <c r="N62" s="32">
        <v>0.25</v>
      </c>
      <c r="O62" s="32">
        <v>0.23</v>
      </c>
      <c r="P62" s="32">
        <v>0.33</v>
      </c>
      <c r="Q62" s="32">
        <v>0.69</v>
      </c>
      <c r="R62" s="32">
        <v>0.35</v>
      </c>
      <c r="S62" s="32">
        <v>0.48</v>
      </c>
      <c r="T62" s="32">
        <v>0.59</v>
      </c>
      <c r="U62" s="32">
        <v>0.56</v>
      </c>
      <c r="V62" s="32">
        <v>0.64</v>
      </c>
      <c r="W62" s="32">
        <v>0.59</v>
      </c>
      <c r="X62" s="32">
        <v>0.43</v>
      </c>
      <c r="Y62" s="32">
        <v>0.6</v>
      </c>
      <c r="Z62" s="32">
        <v>0.27</v>
      </c>
      <c r="AA62" s="32">
        <v>1.18</v>
      </c>
      <c r="AB62" s="32">
        <v>0.43</v>
      </c>
    </row>
    <row r="63" ht="15.0" customHeight="1">
      <c r="A63" s="29" t="s">
        <v>405</v>
      </c>
      <c r="B63" s="32">
        <v>0.62</v>
      </c>
      <c r="C63" s="32">
        <v>0.64</v>
      </c>
      <c r="D63" s="32">
        <v>0.64</v>
      </c>
      <c r="E63" s="32">
        <v>0.67</v>
      </c>
      <c r="F63" s="32">
        <v>0.67</v>
      </c>
      <c r="G63" s="32">
        <v>0.66</v>
      </c>
      <c r="H63" s="32">
        <v>0.59</v>
      </c>
      <c r="I63" s="32">
        <v>0.52</v>
      </c>
      <c r="J63" s="32">
        <v>0.45</v>
      </c>
      <c r="K63" s="32">
        <v>0.34</v>
      </c>
      <c r="L63" s="32">
        <v>0.28</v>
      </c>
      <c r="M63" s="32">
        <v>0.35</v>
      </c>
      <c r="N63" s="32">
        <v>0.37</v>
      </c>
      <c r="O63" s="32">
        <v>0.41</v>
      </c>
      <c r="P63" s="32">
        <v>0.48</v>
      </c>
      <c r="Q63" s="32">
        <v>0.52</v>
      </c>
      <c r="R63" s="32">
        <v>0.52</v>
      </c>
      <c r="S63" s="32">
        <v>0.57</v>
      </c>
      <c r="T63" s="32">
        <v>0.56</v>
      </c>
      <c r="U63" s="32">
        <v>0.56</v>
      </c>
      <c r="V63" s="32">
        <v>0.49</v>
      </c>
      <c r="W63" s="32">
        <v>0.57</v>
      </c>
      <c r="X63" s="32">
        <v>0.55</v>
      </c>
      <c r="Y63" s="31"/>
      <c r="Z63" s="31"/>
      <c r="AA63" s="31"/>
      <c r="AB63" s="31"/>
    </row>
    <row r="64" ht="15.0" customHeight="1">
      <c r="A64" s="27" t="s">
        <v>406</v>
      </c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</row>
    <row r="65" ht="15.0" customHeight="1">
      <c r="A65" s="29" t="s">
        <v>407</v>
      </c>
      <c r="B65" s="32">
        <v>9.82</v>
      </c>
      <c r="C65" s="32">
        <v>7.29</v>
      </c>
      <c r="D65" s="32">
        <v>2.2</v>
      </c>
      <c r="E65" s="32">
        <v>4.1</v>
      </c>
      <c r="F65" s="32">
        <v>17.07</v>
      </c>
      <c r="G65" s="32">
        <v>4.82</v>
      </c>
      <c r="H65" s="32">
        <v>3.75</v>
      </c>
      <c r="I65" s="32">
        <v>4.38</v>
      </c>
      <c r="J65" s="32">
        <v>4.8</v>
      </c>
      <c r="K65" s="32">
        <v>3.5</v>
      </c>
      <c r="L65" s="32">
        <v>3.14</v>
      </c>
      <c r="M65" s="31"/>
      <c r="N65" s="32">
        <v>4.72</v>
      </c>
      <c r="O65" s="31"/>
      <c r="P65" s="32">
        <v>2.55</v>
      </c>
      <c r="Q65" s="31"/>
      <c r="R65" s="31"/>
      <c r="S65" s="32">
        <v>18.31</v>
      </c>
      <c r="T65" s="32">
        <v>10.77</v>
      </c>
      <c r="U65" s="32">
        <v>23.37</v>
      </c>
      <c r="V65" s="32">
        <v>12.95</v>
      </c>
      <c r="W65" s="32">
        <v>5.91</v>
      </c>
      <c r="X65" s="32">
        <v>6.26</v>
      </c>
      <c r="Y65" s="32">
        <v>5.51</v>
      </c>
      <c r="Z65" s="32">
        <v>0.87</v>
      </c>
      <c r="AA65" s="32">
        <v>12.7</v>
      </c>
      <c r="AB65" s="30">
        <v>136.74</v>
      </c>
    </row>
    <row r="66" ht="15.0" customHeight="1">
      <c r="A66" s="29" t="s">
        <v>408</v>
      </c>
      <c r="B66" s="32">
        <v>5.05</v>
      </c>
      <c r="C66" s="32">
        <v>4.52</v>
      </c>
      <c r="D66" s="32">
        <v>4.01</v>
      </c>
      <c r="E66" s="32">
        <v>4.92</v>
      </c>
      <c r="F66" s="32">
        <v>5.14</v>
      </c>
      <c r="G66" s="32">
        <v>4.23</v>
      </c>
      <c r="H66" s="32">
        <v>3.94</v>
      </c>
      <c r="I66" s="32">
        <v>4.4</v>
      </c>
      <c r="J66" s="32">
        <v>4.44</v>
      </c>
      <c r="K66" s="32">
        <v>4.93</v>
      </c>
      <c r="L66" s="32">
        <v>4.77</v>
      </c>
      <c r="M66" s="32">
        <v>11.18</v>
      </c>
      <c r="N66" s="32">
        <v>19.26</v>
      </c>
      <c r="O66" s="32">
        <v>25.41</v>
      </c>
      <c r="P66" s="32">
        <v>17.39</v>
      </c>
      <c r="Q66" s="32">
        <v>39.96</v>
      </c>
      <c r="R66" s="32">
        <v>21.39</v>
      </c>
      <c r="S66" s="32">
        <v>11.39</v>
      </c>
      <c r="T66" s="32">
        <v>9.48</v>
      </c>
      <c r="U66" s="32">
        <v>7.92</v>
      </c>
      <c r="V66" s="32">
        <v>3.49</v>
      </c>
      <c r="W66" s="32">
        <v>3.84</v>
      </c>
      <c r="X66" s="32">
        <v>3.94</v>
      </c>
      <c r="Y66" s="31"/>
      <c r="Z66" s="31"/>
      <c r="AA66" s="31"/>
      <c r="AB66" s="31"/>
    </row>
    <row r="67" ht="15.0" customHeight="1">
      <c r="A67" s="27" t="s">
        <v>409</v>
      </c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</row>
    <row r="68" ht="15.0" customHeight="1">
      <c r="A68" s="29" t="s">
        <v>410</v>
      </c>
      <c r="B68" s="30">
        <v>117.83</v>
      </c>
      <c r="C68" s="32">
        <v>16.96</v>
      </c>
      <c r="D68" s="32">
        <v>2.81</v>
      </c>
      <c r="E68" s="32">
        <v>5.49</v>
      </c>
      <c r="F68" s="32">
        <v>15.66</v>
      </c>
      <c r="G68" s="32">
        <v>3.87</v>
      </c>
      <c r="H68" s="32">
        <v>6.37</v>
      </c>
      <c r="I68" s="32">
        <v>5.25</v>
      </c>
      <c r="J68" s="32">
        <v>6.59</v>
      </c>
      <c r="K68" s="32">
        <v>3.23</v>
      </c>
      <c r="L68" s="32">
        <v>4.95</v>
      </c>
      <c r="M68" s="32">
        <v>5.33</v>
      </c>
      <c r="N68" s="32">
        <v>8.75</v>
      </c>
      <c r="O68" s="32">
        <v>9.99</v>
      </c>
      <c r="P68" s="32">
        <v>2.74</v>
      </c>
      <c r="Q68" s="32">
        <v>12.46</v>
      </c>
      <c r="R68" s="31"/>
      <c r="S68" s="32">
        <v>22.08</v>
      </c>
      <c r="T68" s="32">
        <v>10.69</v>
      </c>
      <c r="U68" s="31"/>
      <c r="V68" s="32">
        <v>28.05</v>
      </c>
      <c r="W68" s="32">
        <v>9.36</v>
      </c>
      <c r="X68" s="32">
        <v>4.84</v>
      </c>
      <c r="Y68" s="32">
        <v>5.76</v>
      </c>
      <c r="Z68" s="32">
        <v>0.95</v>
      </c>
      <c r="AA68" s="32">
        <v>22.12</v>
      </c>
      <c r="AB68" s="32">
        <v>3.09</v>
      </c>
    </row>
    <row r="69" ht="15.0" customHeight="1">
      <c r="A69" s="29" t="s">
        <v>411</v>
      </c>
      <c r="B69" s="32">
        <v>7.71</v>
      </c>
      <c r="C69" s="32">
        <v>5.4</v>
      </c>
      <c r="D69" s="32">
        <v>4.78</v>
      </c>
      <c r="E69" s="32">
        <v>5.69</v>
      </c>
      <c r="F69" s="32">
        <v>5.89</v>
      </c>
      <c r="G69" s="32">
        <v>4.68</v>
      </c>
      <c r="H69" s="32">
        <v>5.06</v>
      </c>
      <c r="I69" s="32">
        <v>4.75</v>
      </c>
      <c r="J69" s="32">
        <v>4.83</v>
      </c>
      <c r="K69" s="32">
        <v>4.57</v>
      </c>
      <c r="L69" s="32">
        <v>4.75</v>
      </c>
      <c r="M69" s="32">
        <v>6.23</v>
      </c>
      <c r="N69" s="32">
        <v>10.34</v>
      </c>
      <c r="O69" s="32">
        <v>12.74</v>
      </c>
      <c r="P69" s="32">
        <v>12.28</v>
      </c>
      <c r="Q69" s="32">
        <v>32.88</v>
      </c>
      <c r="R69" s="32">
        <v>41.86</v>
      </c>
      <c r="S69" s="32">
        <v>20.08</v>
      </c>
      <c r="T69" s="32">
        <v>13.37</v>
      </c>
      <c r="U69" s="32">
        <v>10.67</v>
      </c>
      <c r="V69" s="32">
        <v>3.91</v>
      </c>
      <c r="W69" s="32">
        <v>4.34</v>
      </c>
      <c r="X69" s="32">
        <v>3.76</v>
      </c>
      <c r="Y69" s="31"/>
      <c r="Z69" s="31"/>
      <c r="AA69" s="31"/>
      <c r="AB69" s="31"/>
    </row>
    <row r="70" ht="15.0" customHeight="1">
      <c r="A70" s="27" t="s">
        <v>412</v>
      </c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</row>
    <row r="71" ht="15.0" customHeight="1">
      <c r="A71" s="29" t="s">
        <v>413</v>
      </c>
      <c r="B71" s="31"/>
      <c r="C71" s="31"/>
      <c r="D71" s="32">
        <v>3.54</v>
      </c>
      <c r="E71" s="32">
        <v>9.71</v>
      </c>
      <c r="F71" s="31"/>
      <c r="G71" s="32">
        <v>5.07</v>
      </c>
      <c r="H71" s="31"/>
      <c r="I71" s="31"/>
      <c r="J71" s="31"/>
      <c r="K71" s="32">
        <v>4.66</v>
      </c>
      <c r="L71" s="32">
        <v>11.44</v>
      </c>
      <c r="M71" s="32">
        <v>13.21</v>
      </c>
      <c r="N71" s="31"/>
      <c r="O71" s="31"/>
      <c r="P71" s="32">
        <v>7.2</v>
      </c>
      <c r="Q71" s="32">
        <v>14.14</v>
      </c>
      <c r="R71" s="31"/>
      <c r="S71" s="31"/>
      <c r="T71" s="32">
        <v>44.26</v>
      </c>
      <c r="U71" s="31"/>
      <c r="V71" s="31"/>
      <c r="W71" s="31"/>
      <c r="X71" s="31"/>
      <c r="Y71" s="32">
        <v>16.1</v>
      </c>
      <c r="Z71" s="32">
        <v>1.04</v>
      </c>
      <c r="AA71" s="31"/>
      <c r="AB71" s="32">
        <v>62.15</v>
      </c>
    </row>
    <row r="72" ht="15.0" customHeight="1">
      <c r="A72" s="29" t="s">
        <v>414</v>
      </c>
      <c r="B72" s="30">
        <v>318.59</v>
      </c>
      <c r="C72" s="32">
        <v>9.83</v>
      </c>
      <c r="D72" s="32">
        <v>8.67</v>
      </c>
      <c r="E72" s="32">
        <v>16.67</v>
      </c>
      <c r="F72" s="32">
        <v>37.89</v>
      </c>
      <c r="G72" s="32">
        <v>14.99</v>
      </c>
      <c r="H72" s="32">
        <v>38.95</v>
      </c>
      <c r="I72" s="32">
        <v>22.06</v>
      </c>
      <c r="J72" s="32">
        <v>17.5</v>
      </c>
      <c r="K72" s="32">
        <v>15.5</v>
      </c>
      <c r="L72" s="30">
        <v>140.52</v>
      </c>
      <c r="M72" s="32">
        <v>59.99</v>
      </c>
      <c r="N72" s="31"/>
      <c r="O72" s="31"/>
      <c r="P72" s="31"/>
      <c r="Q72" s="31"/>
      <c r="R72" s="31"/>
      <c r="S72" s="31"/>
      <c r="T72" s="31"/>
      <c r="U72" s="31"/>
      <c r="V72" s="32">
        <v>9.54</v>
      </c>
      <c r="W72" s="32">
        <v>9.56</v>
      </c>
      <c r="X72" s="32">
        <v>8.09</v>
      </c>
      <c r="Y72" s="31"/>
      <c r="Z72" s="31"/>
      <c r="AA72" s="31"/>
      <c r="AB72" s="31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