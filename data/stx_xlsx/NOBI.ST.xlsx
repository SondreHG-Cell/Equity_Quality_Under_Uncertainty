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/i7QEL30LzD6a9GY+GCwP2/bhgEPZ586YR99Q0uICo="/>
    </ext>
  </extLst>
</workbook>
</file>

<file path=xl/sharedStrings.xml><?xml version="1.0" encoding="utf-8"?>
<sst xmlns="http://schemas.openxmlformats.org/spreadsheetml/2006/main" count="840" uniqueCount="433">
  <si>
    <t>Company Fundamentals - Income Statement</t>
  </si>
  <si>
    <t>Company Name</t>
  </si>
  <si>
    <t>Nobia AB (NOBI.ST)</t>
  </si>
  <si>
    <t>Country of Exchange</t>
  </si>
  <si>
    <t>Sweden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</si>
  <si>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</si>
  <si>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</si>
  <si>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</si>
  <si>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</si>
  <si>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</si>
  <si>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</si>
  <si>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</si>
  <si>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</si>
  <si>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</si>
  <si>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</si>
  <si>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</si>
  <si>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</si>
  <si>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</si>
  <si>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</si>
  <si>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</si>
  <si>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</si>
  <si>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</si>
  <si>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</si>
  <si>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</si>
  <si>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</si>
  <si>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</si>
  <si>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</si>
  <si>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</si>
  <si>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</si>
  <si>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</si>
  <si>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</si>
  <si>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</si>
  <si>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</si>
  <si>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</si>
  <si>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</si>
  <si>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</si>
  <si>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</si>
  <si>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</si>
  <si>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</si>
  <si>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</si>
  <si>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</si>
  <si>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</si>
  <si>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</si>
  <si>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</si>
  <si>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</si>
  <si>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</si>
  <si>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</si>
  <si>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</si>
  <si>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</si>
  <si>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</si>
  <si>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</si>
  <si>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</si>
  <si>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</si>
  <si>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</si>
  <si>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</si>
  <si>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</si>
  <si>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</si>
  <si>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</si>
  <si>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</si>
  <si>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</si>
  <si>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</si>
  <si>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</si>
  <si>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</si>
  <si>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</si>
  <si>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</si>
  <si>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</si>
  <si>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</si>
  <si>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</si>
  <si>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</si>
  <si>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</si>
  <si>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</si>
  <si>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</si>
  <si>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</si>
  <si>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</si>
  <si>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Cost of Goods Sold - Balancing value</t>
  </si>
  <si>
    <t>Depreciation in COR/COGS</t>
  </si>
  <si>
    <t>Depreciation of RoU in COR/COGS</t>
  </si>
  <si>
    <t>Impairment of Fixed Assets</t>
  </si>
  <si>
    <t>Cost of revenues/COGS</t>
  </si>
  <si>
    <t>Gross profit</t>
  </si>
  <si>
    <t>Selling expenses</t>
  </si>
  <si>
    <t>Amortization in Selling</t>
  </si>
  <si>
    <t>Depreciation of RoU Assets in Selling Expenses</t>
  </si>
  <si>
    <t>Other Selling Expense</t>
  </si>
  <si>
    <t>Administrative expenses</t>
  </si>
  <si>
    <t>Depreciation/ amortisation</t>
  </si>
  <si>
    <t>Depreciation of RoU Assets in Administrative Expenses</t>
  </si>
  <si>
    <t>Impairment - Intangibles excluding Goodwill</t>
  </si>
  <si>
    <t>Other administration Expense</t>
  </si>
  <si>
    <t>Other Operating Income</t>
  </si>
  <si>
    <t>Gains/Losses on Sale of Tangible and Intangible Fixed Assets</t>
  </si>
  <si>
    <t>Exchange-rate gains from operating receivables/ liabilities</t>
  </si>
  <si>
    <t>Rental income</t>
  </si>
  <si>
    <t>Government Grants</t>
  </si>
  <si>
    <t>Insurance income</t>
  </si>
  <si>
    <t>Other Operating Income - Balancing value</t>
  </si>
  <si>
    <t>Other operating expenses</t>
  </si>
  <si>
    <t>Foreign Exchange Gain/Loss</t>
  </si>
  <si>
    <t>Other</t>
  </si>
  <si>
    <t>Loss attributable to sale of fixed assets</t>
  </si>
  <si>
    <t>Other Operating Expense</t>
  </si>
  <si>
    <t>Impairment of Goodwill</t>
  </si>
  <si>
    <t>Other operating expenses - Balancing value</t>
  </si>
  <si>
    <t>Gain/Loss on Sale and Acquisition of Group Companies</t>
  </si>
  <si>
    <t>One-time Cost for Defined Benefit Plans UK</t>
  </si>
  <si>
    <t>Restructuring Charges/Provisions</t>
  </si>
  <si>
    <t>Selling and administrative expenses</t>
  </si>
  <si>
    <t>Other income/expenses</t>
  </si>
  <si>
    <t>Share in Associated Companies</t>
  </si>
  <si>
    <t>EQUITY A/C PROFITS</t>
  </si>
  <si>
    <t>Depreciation</t>
  </si>
  <si>
    <t>Operating (Income)/Expense, net</t>
  </si>
  <si>
    <t>Operating profit</t>
  </si>
  <si>
    <t>Financial income</t>
  </si>
  <si>
    <t>Exchange Gains/Losses</t>
  </si>
  <si>
    <t>Interest Income</t>
  </si>
  <si>
    <t>Total Financial Income - Balancing value</t>
  </si>
  <si>
    <t>Net financial items</t>
  </si>
  <si>
    <t>Financial expenses</t>
  </si>
  <si>
    <t>Interest expense pertaining to pension liabilities</t>
  </si>
  <si>
    <t>Interest expense for leases</t>
  </si>
  <si>
    <t>Interest Expense</t>
  </si>
  <si>
    <t>Interest Capitalized</t>
  </si>
  <si>
    <t>Interest Expense - Gross</t>
  </si>
  <si>
    <t>Sale of Group Companies - Gain/Loss</t>
  </si>
  <si>
    <t>Return on pension assets excluding interest income</t>
  </si>
  <si>
    <t>Net Financial Income/Expense - Other</t>
  </si>
  <si>
    <t>Net financing income/expense</t>
  </si>
  <si>
    <t>Non-operating Income/(Expense), Net</t>
  </si>
  <si>
    <t>Profit after financial items</t>
  </si>
  <si>
    <t>Tax on net profit for the year</t>
  </si>
  <si>
    <t>Current tax expenses for the period</t>
  </si>
  <si>
    <t>Deferred Tax</t>
  </si>
  <si>
    <t>Income Taxes - Total</t>
  </si>
  <si>
    <t>Profit after tax</t>
  </si>
  <si>
    <t>Profit from continued operations</t>
  </si>
  <si>
    <t>Discontinued Operations - Net of Taxes</t>
  </si>
  <si>
    <t>Profit/loss from divested operations</t>
  </si>
  <si>
    <t>Discontinued Operations before Tax - Income/Expense</t>
  </si>
  <si>
    <t>Discontinued Operations - Tax Impacts - Current Income/Expense</t>
  </si>
  <si>
    <t>Sale of Discontinued Operations - Net - Gain/Loss</t>
  </si>
  <si>
    <t>Extraordinary Items (After Tax)</t>
  </si>
  <si>
    <t>Total profit/loss</t>
  </si>
  <si>
    <t>Non-controlling interests</t>
  </si>
  <si>
    <t>Minority interests</t>
  </si>
  <si>
    <t>Parent Company shareholders</t>
  </si>
  <si>
    <t>Income Available to Com Excl Extra Ord</t>
  </si>
  <si>
    <t>Income Available to Com Incl Extra Ord</t>
  </si>
  <si>
    <t>foreign operations</t>
  </si>
  <si>
    <t>Cash flow hedges before tax</t>
  </si>
  <si>
    <t>Tax attributable to change in hedging reserve for the period</t>
  </si>
  <si>
    <t>Remeasurements of defined benefit pension plans Tax relating to remeasurements of defined benefit</t>
  </si>
  <si>
    <t>pension plans</t>
  </si>
  <si>
    <t>Other comprehensive income</t>
  </si>
  <si>
    <t>Total Comprehensive Income - Owners of Parent Company</t>
  </si>
  <si>
    <t>Balancing Item - Total Comprehensive Income</t>
  </si>
  <si>
    <t>Total Comprehensive Income attributable to Minority Interest</t>
  </si>
  <si>
    <t>Total Comprehensive Income before Minority Interest</t>
  </si>
  <si>
    <t>Basic Weighted Average Shares</t>
  </si>
  <si>
    <t>Diluted Weighted Average Shares</t>
  </si>
  <si>
    <t>Earnings per share before dilution, SEK</t>
  </si>
  <si>
    <t>Earnings per share after dilution, SEK</t>
  </si>
  <si>
    <t>Basic EPS Excluding ExtraOrdinary Items</t>
  </si>
  <si>
    <t>Diluted EPS Excluding ExtraOrd Items</t>
  </si>
  <si>
    <t>Profit/loss after tax</t>
  </si>
  <si>
    <t>Diluted Net Income excluding Extra Items applicable to Common - (Company Level)</t>
  </si>
  <si>
    <t>Total depreciation and amortization</t>
  </si>
  <si>
    <t>Amortization of Intangibles</t>
  </si>
  <si>
    <t>Rental Expense</t>
  </si>
  <si>
    <t>Share in Associates</t>
  </si>
  <si>
    <t>Total depreciation</t>
  </si>
  <si>
    <t>Depreciation of Financial Lease Right-of-Use Assets - Supplemental</t>
  </si>
  <si>
    <t>Audit Fees</t>
  </si>
  <si>
    <t>Audit-related Fees</t>
  </si>
  <si>
    <t>Tax Fees</t>
  </si>
  <si>
    <t>Other Fees</t>
  </si>
  <si>
    <t>STAFF EXPENSES</t>
  </si>
  <si>
    <t>Share-Based Compensation</t>
  </si>
  <si>
    <t>Total Depreciation &amp; Amortization (Combined)</t>
  </si>
  <si>
    <t>Total Depreciation of Fixed Assets</t>
  </si>
  <si>
    <t>Auditor Fees - Total</t>
  </si>
  <si>
    <t>Amortization of Intangible Assets excluding Goodwill - Total</t>
  </si>
  <si>
    <t>Interest Expense on Financial Lease Liabilities - Supplemental</t>
  </si>
  <si>
    <t>Restructuring</t>
  </si>
  <si>
    <t>Legal Provisions &amp; Litigation Expenses</t>
  </si>
  <si>
    <t>Impairment/ Reversal of impairment</t>
  </si>
  <si>
    <t>Total impairment</t>
  </si>
  <si>
    <t>Restructuring costs</t>
  </si>
  <si>
    <t>Factory transition costs</t>
  </si>
  <si>
    <t>Impairment and writedowns</t>
  </si>
  <si>
    <t>Capital gain</t>
  </si>
  <si>
    <t>Non-Recurring Income/Expense - Other</t>
  </si>
  <si>
    <t>Reversal write-downs</t>
  </si>
  <si>
    <t>Restructuring Charges &amp; Provisions</t>
  </si>
  <si>
    <t>Non-GAAP Adjusted EBITDA</t>
  </si>
  <si>
    <t>Non-GAAP Income from Operations</t>
  </si>
  <si>
    <t>Non-GAAP Operating Margin %</t>
  </si>
  <si>
    <t>Non-GAAP Adjusted Net Earnings</t>
  </si>
  <si>
    <t>Net Income excluding Extra Items applicable to Common - (Instrument Level)</t>
  </si>
  <si>
    <t>Diluted Net Income excluding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</si>
  <si>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</si>
  <si>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</si>
  <si>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</si>
  <si>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</si>
  <si>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</si>
  <si>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</si>
  <si>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</si>
  <si>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</si>
  <si>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Basic Weighted Average Shares used to Calculate EPS - (Instrument Level)</t>
  </si>
  <si>
    <t>Diluted Weighted Average Shares used to Calculate EPS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</si>
  <si>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</si>
  <si>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</si>
  <si>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</si>
  <si>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</si>
  <si>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</si>
  <si>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Products in progress</t>
  </si>
  <si>
    <t>Finished products</t>
  </si>
  <si>
    <t>Goods for resale</t>
  </si>
  <si>
    <t>Current tax assets</t>
  </si>
  <si>
    <t>Total current receivables</t>
  </si>
  <si>
    <t>Accounts receivable</t>
  </si>
  <si>
    <t>Interest-bearing current receivables (IB)</t>
  </si>
  <si>
    <t>Other receivables</t>
  </si>
  <si>
    <t>Prepaid expenses and accrued income</t>
  </si>
  <si>
    <t>Accrued Income - Short-Term</t>
  </si>
  <si>
    <t>Prepaid expenses and accrued income - Balancing value</t>
  </si>
  <si>
    <t>Derivatives</t>
  </si>
  <si>
    <t>Assets held for sale</t>
  </si>
  <si>
    <t>Cash and cash equivalents (IB)</t>
  </si>
  <si>
    <t>Cash in Hand &amp; with Banks</t>
  </si>
  <si>
    <t>Accrued Income</t>
  </si>
  <si>
    <t>Total current assets</t>
  </si>
  <si>
    <t>Total Intangible Assets, Net</t>
  </si>
  <si>
    <t>Goodwill</t>
  </si>
  <si>
    <t>Other intangible fixed assets</t>
  </si>
  <si>
    <t>Accumulated Intangible Amortization</t>
  </si>
  <si>
    <t>Other Intangibles, Gross</t>
  </si>
  <si>
    <t>Brands, patents, net</t>
  </si>
  <si>
    <t>Other Intangibles, Net</t>
  </si>
  <si>
    <t>Computer Software, net</t>
  </si>
  <si>
    <t>Tangible fixed assets</t>
  </si>
  <si>
    <t>Buildings-NBV</t>
  </si>
  <si>
    <t>Buildings</t>
  </si>
  <si>
    <t>Buildings - Depreciation</t>
  </si>
  <si>
    <t>Land and Improvements- Net</t>
  </si>
  <si>
    <t>Land</t>
  </si>
  <si>
    <t>Land- depreciation</t>
  </si>
  <si>
    <t>Investments in progress and advance payments</t>
  </si>
  <si>
    <t>Machinery and other technical equipment</t>
  </si>
  <si>
    <t>Machinery and other technical equipment - Depreciation</t>
  </si>
  <si>
    <t>Machinery and other technical equipment Gross</t>
  </si>
  <si>
    <t>Machinery and other technical equipment - Balancing value</t>
  </si>
  <si>
    <t>Equipment, tools and installations- Net</t>
  </si>
  <si>
    <t>Acc Depreciation Equipment, tools and installations</t>
  </si>
  <si>
    <t>Equipment, tools and installations- Gross</t>
  </si>
  <si>
    <t>Right-of-use assets</t>
  </si>
  <si>
    <t>Right of Use Assets - Gross</t>
  </si>
  <si>
    <t>Right of Use Assets - Accumulated Depreciation</t>
  </si>
  <si>
    <t>Interest-bearing long-term receivables (IB)</t>
  </si>
  <si>
    <t>Long-term receivables</t>
  </si>
  <si>
    <t>Deferred tax assets</t>
  </si>
  <si>
    <t>Constructions</t>
  </si>
  <si>
    <t>Acc Depreciation</t>
  </si>
  <si>
    <t>Share Associate</t>
  </si>
  <si>
    <t>Prepayments</t>
  </si>
  <si>
    <t>Total fixed assets</t>
  </si>
  <si>
    <t>Balancing Item - Assets</t>
  </si>
  <si>
    <t>Total assets</t>
  </si>
  <si>
    <t>Current Lease Liabilities, interest-bearing</t>
  </si>
  <si>
    <t>Other current liabilities, interest-bearing (IB)</t>
  </si>
  <si>
    <t>Accounts payable</t>
  </si>
  <si>
    <t>Current liabilities and provisions</t>
  </si>
  <si>
    <t>Liabilities attributable to assets held for sale</t>
  </si>
  <si>
    <t>Credit Institutions</t>
  </si>
  <si>
    <t>Other liabilities</t>
  </si>
  <si>
    <t>Advance payments from customers</t>
  </si>
  <si>
    <t>Current tax liabilities</t>
  </si>
  <si>
    <t>Provisions</t>
  </si>
  <si>
    <t>Short-Term Credit Facility</t>
  </si>
  <si>
    <t>Accrued expenses and deferred income</t>
  </si>
  <si>
    <t>Customer Advances - Current</t>
  </si>
  <si>
    <t>Accrued Payroll</t>
  </si>
  <si>
    <t>Rents</t>
  </si>
  <si>
    <t>Accrued interest</t>
  </si>
  <si>
    <t>Other Accrued Expenses</t>
  </si>
  <si>
    <t>Interest accrued</t>
  </si>
  <si>
    <t>Total current liabilities</t>
  </si>
  <si>
    <t>Provisions for pensions (IB)</t>
  </si>
  <si>
    <t>Other provisions</t>
  </si>
  <si>
    <t>Deferred tax liabilities</t>
  </si>
  <si>
    <t>Lease Liabilities, Interest-bearing</t>
  </si>
  <si>
    <t>Other long term liabilities, interest bearing</t>
  </si>
  <si>
    <t>Other Liabilities, Non interest-bearing</t>
  </si>
  <si>
    <t>Provisions for guarantees</t>
  </si>
  <si>
    <t>Other liabilities (IB)</t>
  </si>
  <si>
    <t>Total long-term liabilities</t>
  </si>
  <si>
    <t>Total Liabilities</t>
  </si>
  <si>
    <t>Share capital</t>
  </si>
  <si>
    <t>Other capital contributions</t>
  </si>
  <si>
    <t>Reserves</t>
  </si>
  <si>
    <t>Exchange rate differences attributable to translation of foreign operations</t>
  </si>
  <si>
    <t>Hedging Reserves</t>
  </si>
  <si>
    <t>Other Reserves</t>
  </si>
  <si>
    <t>Profit brought forward</t>
  </si>
  <si>
    <t>Total shareholders equity attributable to Parent Company shareholders</t>
  </si>
  <si>
    <t>Minority Interest</t>
  </si>
  <si>
    <t>Total shareholders equity</t>
  </si>
  <si>
    <t>Total shareholders equity and liabilities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</si>
  <si>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</si>
  <si>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</si>
  <si>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</si>
  <si>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</si>
  <si>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LT Debt Within 1 Year</t>
  </si>
  <si>
    <t>LT Debt Within 5 Years</t>
  </si>
  <si>
    <t>S/O-A-Shares</t>
  </si>
  <si>
    <t>Asset Allocation Factor - (Instrument Level)</t>
  </si>
  <si>
    <t>Common Shares Treasury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</si>
  <si>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</si>
  <si>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</si>
  <si>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</si>
  <si>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</si>
  <si>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Operating profit/loss for discontinued operations</t>
  </si>
  <si>
    <t>Depreciation/Impairment</t>
  </si>
  <si>
    <t>Impairment</t>
  </si>
  <si>
    <t>Depreciation/Impairment -Remaining value</t>
  </si>
  <si>
    <t>Adjustments for non-cash items</t>
  </si>
  <si>
    <t>Tax paid</t>
  </si>
  <si>
    <t>Change in working capital</t>
  </si>
  <si>
    <t>Change in inventories</t>
  </si>
  <si>
    <t>Change in operating receivables</t>
  </si>
  <si>
    <t>Change in operating liabilities</t>
  </si>
  <si>
    <t>Interest Received</t>
  </si>
  <si>
    <t>Cash Interest Paid</t>
  </si>
  <si>
    <t>Pensions</t>
  </si>
  <si>
    <t>Balancing Item - Operating (Indirect)</t>
  </si>
  <si>
    <t>Cash flow from operating activities Investing activities</t>
  </si>
  <si>
    <t>Investments in intangible and tangible fixed assets</t>
  </si>
  <si>
    <t>Other items in investing activities</t>
  </si>
  <si>
    <t>Change in interest-bearing assets</t>
  </si>
  <si>
    <t>Divestment of operations</t>
  </si>
  <si>
    <t>Investments in tangible fixed assets</t>
  </si>
  <si>
    <t>Investments in intangible assets</t>
  </si>
  <si>
    <t>Sale of tangible fixed assets</t>
  </si>
  <si>
    <t>Purchase/Intangibles</t>
  </si>
  <si>
    <t>Acquisition of businesses</t>
  </si>
  <si>
    <t>Sale of Subsidiary</t>
  </si>
  <si>
    <t>Increase in Interest Bearing Assets</t>
  </si>
  <si>
    <t>Purchase/Associate</t>
  </si>
  <si>
    <t>Cash flow from investing activities Total cashflow from operating and</t>
  </si>
  <si>
    <t>Change in interest-bearing liabilities</t>
  </si>
  <si>
    <t>Interest paid</t>
  </si>
  <si>
    <t>New Share Issue</t>
  </si>
  <si>
    <t>Repurchase of Shares</t>
  </si>
  <si>
    <t>Change in lease liabilities</t>
  </si>
  <si>
    <t>Treasury share reissued</t>
  </si>
  <si>
    <t>Dividends</t>
  </si>
  <si>
    <t>Dividend Paid to Minority</t>
  </si>
  <si>
    <t>Loans Raised</t>
  </si>
  <si>
    <t>ST Debt , Net</t>
  </si>
  <si>
    <t>Cash flow from financing activities Cash flow for the period excluding exchange-rate differences in</t>
  </si>
  <si>
    <t>Cash and cash equivalents at beginning of the period</t>
  </si>
  <si>
    <t>Cash flow for the period</t>
  </si>
  <si>
    <t>Exchange-rate differences in cash and cash equivalents</t>
  </si>
  <si>
    <t>Cash and cash equivalents at period-end</t>
  </si>
  <si>
    <t>Net change in cash and cash equivalents</t>
  </si>
  <si>
    <t>Net inc adjustment -non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</si>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</sst>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46094.5303435764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42094.0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39903.0</v>
      </c>
      <c r="T13" s="9">
        <v>39538.0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5953.55</v>
      </c>
      <c r="C20" s="16">
        <v>10717.12</v>
      </c>
      <c r="D20" s="16">
        <v>11616.87</v>
      </c>
      <c r="E20" s="16">
        <v>14184.71</v>
      </c>
      <c r="F20" s="16">
        <v>13749.28</v>
      </c>
      <c r="G20" s="16">
        <v>13040.18</v>
      </c>
      <c r="H20" s="16">
        <v>12963.03</v>
      </c>
      <c r="I20" s="16">
        <v>12369.81</v>
      </c>
      <c r="J20" s="16">
        <v>12340.6</v>
      </c>
      <c r="K20" s="16">
        <v>12419.78</v>
      </c>
      <c r="L20" s="16">
        <v>11727.59</v>
      </c>
      <c r="M20" s="16">
        <v>10481.93</v>
      </c>
      <c r="N20" s="16">
        <v>10625.35</v>
      </c>
      <c r="O20" s="16">
        <v>10607.81</v>
      </c>
      <c r="P20" s="16">
        <v>11326.51</v>
      </c>
      <c r="Q20" s="16">
        <v>11828.74</v>
      </c>
      <c r="R20" s="16">
        <v>12689.02</v>
      </c>
      <c r="S20" s="16">
        <v>13677.33</v>
      </c>
      <c r="T20" s="16">
        <v>13984.11</v>
      </c>
      <c r="U20" s="16">
        <v>13565.88</v>
      </c>
      <c r="V20" s="16">
        <v>10746.59</v>
      </c>
      <c r="W20" s="16">
        <v>10403.04</v>
      </c>
    </row>
    <row r="21" ht="15.0" customHeight="1">
      <c r="A21" s="17" t="s">
        <v>72</v>
      </c>
      <c r="B21" s="18">
        <v>5953.55</v>
      </c>
      <c r="C21" s="19">
        <v>10717.12</v>
      </c>
      <c r="D21" s="19">
        <v>11616.87</v>
      </c>
      <c r="E21" s="19">
        <v>14184.71</v>
      </c>
      <c r="F21" s="19">
        <v>13749.28</v>
      </c>
      <c r="G21" s="19">
        <v>13040.18</v>
      </c>
      <c r="H21" s="19">
        <v>12963.03</v>
      </c>
      <c r="I21" s="19">
        <v>12369.81</v>
      </c>
      <c r="J21" s="19">
        <v>12340.6</v>
      </c>
      <c r="K21" s="19">
        <v>12419.78</v>
      </c>
      <c r="L21" s="19">
        <v>11727.59</v>
      </c>
      <c r="M21" s="19">
        <v>10481.93</v>
      </c>
      <c r="N21" s="19">
        <v>10625.35</v>
      </c>
      <c r="O21" s="19">
        <v>10607.81</v>
      </c>
      <c r="P21" s="19">
        <v>11326.51</v>
      </c>
      <c r="Q21" s="19">
        <v>11828.74</v>
      </c>
      <c r="R21" s="19">
        <v>12689.02</v>
      </c>
      <c r="S21" s="19">
        <v>13677.33</v>
      </c>
      <c r="T21" s="19">
        <v>13984.11</v>
      </c>
      <c r="U21" s="19">
        <v>13565.88</v>
      </c>
      <c r="V21" s="19">
        <v>10746.59</v>
      </c>
      <c r="W21" s="19">
        <v>10403.04</v>
      </c>
    </row>
    <row r="22" ht="15.0" customHeight="1">
      <c r="A22" s="14" t="s">
        <v>73</v>
      </c>
      <c r="B22" s="15">
        <v>3940.09</v>
      </c>
      <c r="C22" s="15">
        <v>6808.8</v>
      </c>
      <c r="D22" s="15">
        <v>7524.29</v>
      </c>
      <c r="E22" s="15">
        <v>9089.08</v>
      </c>
      <c r="F22" s="15">
        <v>8459.63</v>
      </c>
      <c r="G22" s="15">
        <v>8491.83</v>
      </c>
      <c r="H22" s="15">
        <v>8026.28</v>
      </c>
      <c r="I22" s="15">
        <v>7603.19</v>
      </c>
      <c r="J22" s="15">
        <v>7485.31</v>
      </c>
      <c r="K22" s="15">
        <v>7575.79</v>
      </c>
      <c r="L22" s="15">
        <v>7036.93</v>
      </c>
      <c r="M22" s="15">
        <v>6240.84</v>
      </c>
      <c r="N22" s="15">
        <v>6271.6</v>
      </c>
      <c r="O22" s="15">
        <v>6490.33</v>
      </c>
      <c r="P22" s="15">
        <v>6966.57</v>
      </c>
      <c r="Q22" s="15">
        <v>7181.23</v>
      </c>
      <c r="R22" s="15">
        <v>8210.25</v>
      </c>
      <c r="S22" s="15">
        <v>8690.85</v>
      </c>
      <c r="T22" s="15">
        <v>8879.83</v>
      </c>
      <c r="U22" s="15">
        <v>8288.33</v>
      </c>
      <c r="V22" s="15">
        <v>6546.25</v>
      </c>
      <c r="W22" s="15">
        <v>6352.67</v>
      </c>
    </row>
    <row r="23" ht="15.0" customHeight="1">
      <c r="A23" s="14" t="s">
        <v>74</v>
      </c>
      <c r="B23" s="16"/>
      <c r="C23" s="15">
        <v>6557.6</v>
      </c>
      <c r="D23" s="15">
        <v>7304.33</v>
      </c>
      <c r="E23" s="15">
        <v>8863.9</v>
      </c>
      <c r="F23" s="15">
        <v>8223.11</v>
      </c>
      <c r="G23" s="15">
        <v>8137.71</v>
      </c>
      <c r="H23" s="15">
        <v>7808.53</v>
      </c>
      <c r="I23" s="15">
        <v>7463.65</v>
      </c>
      <c r="J23" s="15">
        <v>7349.75</v>
      </c>
      <c r="K23" s="15">
        <v>7437.34</v>
      </c>
      <c r="L23" s="15">
        <v>6895.43</v>
      </c>
      <c r="M23" s="16"/>
      <c r="N23" s="15">
        <v>6136.22</v>
      </c>
      <c r="O23" s="15">
        <v>6286.65</v>
      </c>
      <c r="P23" s="15">
        <v>6818.02</v>
      </c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75</v>
      </c>
      <c r="B24" s="16"/>
      <c r="C24" s="15">
        <v>108.82</v>
      </c>
      <c r="D24" s="15">
        <v>119.43</v>
      </c>
      <c r="E24" s="15">
        <v>149.17</v>
      </c>
      <c r="F24" s="15">
        <v>157.35</v>
      </c>
      <c r="G24" s="15">
        <v>166.83</v>
      </c>
      <c r="H24" s="15">
        <v>146.1</v>
      </c>
      <c r="I24" s="15">
        <v>139.53</v>
      </c>
      <c r="J24" s="15">
        <v>135.57</v>
      </c>
      <c r="K24" s="15">
        <v>138.46</v>
      </c>
      <c r="L24" s="15">
        <v>141.5</v>
      </c>
      <c r="M24" s="16"/>
      <c r="N24" s="15">
        <v>135.38</v>
      </c>
      <c r="O24" s="15">
        <v>131.49</v>
      </c>
      <c r="P24" s="15">
        <v>133.87</v>
      </c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6"/>
      <c r="C25" s="15">
        <v>109.84</v>
      </c>
      <c r="D25" s="20">
        <v>61.71</v>
      </c>
      <c r="E25" s="20">
        <v>73.16</v>
      </c>
      <c r="F25" s="20">
        <v>79.17</v>
      </c>
      <c r="G25" s="20">
        <v>79.83</v>
      </c>
      <c r="H25" s="20">
        <v>71.65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20">
        <v>32.54</v>
      </c>
      <c r="D26" s="20">
        <v>38.82</v>
      </c>
      <c r="E26" s="20">
        <v>2.85</v>
      </c>
      <c r="F26" s="16">
        <v>0.0</v>
      </c>
      <c r="G26" s="15">
        <v>107.47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/>
      <c r="N26" s="16">
        <v>0.0</v>
      </c>
      <c r="O26" s="20">
        <v>72.19</v>
      </c>
      <c r="P26" s="20">
        <v>14.68</v>
      </c>
      <c r="Q26" s="16"/>
      <c r="R26" s="16"/>
      <c r="S26" s="16"/>
      <c r="T26" s="16"/>
      <c r="U26" s="16"/>
      <c r="V26" s="16"/>
      <c r="W26" s="16"/>
    </row>
    <row r="27" ht="15.0" customHeight="1">
      <c r="A27" s="17" t="s">
        <v>78</v>
      </c>
      <c r="B27" s="18">
        <v>3940.09</v>
      </c>
      <c r="C27" s="18">
        <v>6808.8</v>
      </c>
      <c r="D27" s="18">
        <v>7524.29</v>
      </c>
      <c r="E27" s="18">
        <v>9089.08</v>
      </c>
      <c r="F27" s="18">
        <v>8459.63</v>
      </c>
      <c r="G27" s="18">
        <v>8491.83</v>
      </c>
      <c r="H27" s="18">
        <v>8026.28</v>
      </c>
      <c r="I27" s="18">
        <v>7603.19</v>
      </c>
      <c r="J27" s="18">
        <v>7485.31</v>
      </c>
      <c r="K27" s="18">
        <v>7575.79</v>
      </c>
      <c r="L27" s="18">
        <v>7036.93</v>
      </c>
      <c r="M27" s="18">
        <v>6240.84</v>
      </c>
      <c r="N27" s="18">
        <v>6271.6</v>
      </c>
      <c r="O27" s="18">
        <v>6490.33</v>
      </c>
      <c r="P27" s="18">
        <v>6966.57</v>
      </c>
      <c r="Q27" s="18">
        <v>7181.23</v>
      </c>
      <c r="R27" s="18">
        <v>8210.25</v>
      </c>
      <c r="S27" s="18">
        <v>8690.85</v>
      </c>
      <c r="T27" s="18">
        <v>8879.83</v>
      </c>
      <c r="U27" s="18">
        <v>8288.33</v>
      </c>
      <c r="V27" s="18">
        <v>6546.25</v>
      </c>
      <c r="W27" s="18">
        <v>6352.67</v>
      </c>
    </row>
    <row r="28" ht="15.0" customHeight="1">
      <c r="A28" s="17" t="s">
        <v>79</v>
      </c>
      <c r="B28" s="18">
        <v>2013.47</v>
      </c>
      <c r="C28" s="18">
        <v>3908.32</v>
      </c>
      <c r="D28" s="18">
        <v>4092.58</v>
      </c>
      <c r="E28" s="18">
        <v>5095.63</v>
      </c>
      <c r="F28" s="18">
        <v>5289.65</v>
      </c>
      <c r="G28" s="18">
        <v>4548.35</v>
      </c>
      <c r="H28" s="18">
        <v>4936.75</v>
      </c>
      <c r="I28" s="18">
        <v>4766.62</v>
      </c>
      <c r="J28" s="18">
        <v>4855.29</v>
      </c>
      <c r="K28" s="18">
        <v>4843.99</v>
      </c>
      <c r="L28" s="18">
        <v>4690.65</v>
      </c>
      <c r="M28" s="18">
        <v>4241.09</v>
      </c>
      <c r="N28" s="18">
        <v>4353.75</v>
      </c>
      <c r="O28" s="18">
        <v>4117.48</v>
      </c>
      <c r="P28" s="18">
        <v>4359.94</v>
      </c>
      <c r="Q28" s="18">
        <v>4647.52</v>
      </c>
      <c r="R28" s="18">
        <v>4478.77</v>
      </c>
      <c r="S28" s="18">
        <v>4986.48</v>
      </c>
      <c r="T28" s="18">
        <v>5104.28</v>
      </c>
      <c r="U28" s="18">
        <v>5277.55</v>
      </c>
      <c r="V28" s="18">
        <v>4200.34</v>
      </c>
      <c r="W28" s="18">
        <v>4050.37</v>
      </c>
    </row>
    <row r="29" ht="15.0" customHeight="1">
      <c r="A29" s="14" t="s">
        <v>80</v>
      </c>
      <c r="B29" s="16"/>
      <c r="C29" s="15">
        <v>3492.37</v>
      </c>
      <c r="D29" s="15">
        <v>3744.23</v>
      </c>
      <c r="E29" s="15">
        <v>3954.5</v>
      </c>
      <c r="F29" s="15">
        <v>3426.55</v>
      </c>
      <c r="G29" s="15">
        <v>3332.46</v>
      </c>
      <c r="H29" s="15">
        <v>3137.0</v>
      </c>
      <c r="I29" s="15">
        <v>3048.2</v>
      </c>
      <c r="J29" s="15">
        <v>2926.34</v>
      </c>
      <c r="K29" s="15">
        <v>2933.1</v>
      </c>
      <c r="L29" s="15">
        <v>2971.57</v>
      </c>
      <c r="M29" s="16"/>
      <c r="N29" s="15">
        <v>3136.25</v>
      </c>
      <c r="O29" s="15">
        <v>3680.89</v>
      </c>
      <c r="P29" s="15">
        <v>3488.47</v>
      </c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77</v>
      </c>
      <c r="B30" s="16"/>
      <c r="C30" s="20">
        <v>35.59</v>
      </c>
      <c r="D30" s="20">
        <v>34.83</v>
      </c>
      <c r="E30" s="16">
        <v>0.0</v>
      </c>
      <c r="F30" s="16">
        <v>0.0</v>
      </c>
      <c r="G30" s="16">
        <v>0.0</v>
      </c>
      <c r="H30" s="21">
        <v>-2.79</v>
      </c>
      <c r="I30" s="20">
        <v>10.3</v>
      </c>
      <c r="J30" s="20">
        <v>1.94</v>
      </c>
      <c r="K30" s="16">
        <v>0.0</v>
      </c>
      <c r="L30" s="21">
        <v>-4.78</v>
      </c>
      <c r="M30" s="16"/>
      <c r="N30" s="20">
        <v>11.73</v>
      </c>
      <c r="O30" s="15">
        <v>456.35</v>
      </c>
      <c r="P30" s="20">
        <v>32.82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81</v>
      </c>
      <c r="B31" s="16"/>
      <c r="C31" s="15">
        <v>117.97</v>
      </c>
      <c r="D31" s="20">
        <v>96.54</v>
      </c>
      <c r="E31" s="20">
        <v>94.06</v>
      </c>
      <c r="F31" s="20">
        <v>99.22</v>
      </c>
      <c r="G31" s="15">
        <v>112.58</v>
      </c>
      <c r="H31" s="15">
        <v>116.32</v>
      </c>
      <c r="I31" s="15">
        <v>103.95</v>
      </c>
      <c r="J31" s="20">
        <v>98.77</v>
      </c>
      <c r="K31" s="15">
        <v>106.05</v>
      </c>
      <c r="L31" s="15">
        <v>117.6</v>
      </c>
      <c r="M31" s="16"/>
      <c r="N31" s="15">
        <v>169.67</v>
      </c>
      <c r="O31" s="15">
        <v>172.74</v>
      </c>
      <c r="P31" s="15">
        <v>164.1</v>
      </c>
      <c r="Q31" s="15">
        <v>632.38</v>
      </c>
      <c r="R31" s="15">
        <v>689.67</v>
      </c>
      <c r="S31" s="16"/>
      <c r="T31" s="15">
        <v>652.66</v>
      </c>
      <c r="U31" s="15">
        <v>725.72</v>
      </c>
      <c r="V31" s="15">
        <v>583.88</v>
      </c>
      <c r="W31" s="15">
        <v>616.64</v>
      </c>
    </row>
    <row r="32" ht="15.0" customHeight="1">
      <c r="A32" s="14" t="s">
        <v>82</v>
      </c>
      <c r="B32" s="16"/>
      <c r="C32" s="15">
        <v>347.81</v>
      </c>
      <c r="D32" s="15">
        <v>379.2</v>
      </c>
      <c r="E32" s="15">
        <v>362.01</v>
      </c>
      <c r="F32" s="15">
        <v>376.83</v>
      </c>
      <c r="G32" s="15">
        <v>418.6</v>
      </c>
      <c r="H32" s="15">
        <v>375.03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83</v>
      </c>
      <c r="B33" s="16"/>
      <c r="C33" s="15">
        <v>2990.99</v>
      </c>
      <c r="D33" s="15">
        <v>3233.65</v>
      </c>
      <c r="E33" s="15">
        <v>3498.43</v>
      </c>
      <c r="F33" s="15">
        <v>2950.5</v>
      </c>
      <c r="G33" s="15">
        <v>2801.27</v>
      </c>
      <c r="H33" s="15">
        <v>2648.44</v>
      </c>
      <c r="I33" s="15">
        <v>2933.96</v>
      </c>
      <c r="J33" s="15">
        <v>2825.63</v>
      </c>
      <c r="K33" s="15">
        <v>2827.05</v>
      </c>
      <c r="L33" s="15">
        <v>2858.75</v>
      </c>
      <c r="M33" s="16"/>
      <c r="N33" s="15">
        <v>2954.85</v>
      </c>
      <c r="O33" s="15">
        <v>3051.8</v>
      </c>
      <c r="P33" s="15">
        <v>3291.54</v>
      </c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84</v>
      </c>
      <c r="B34" s="16"/>
      <c r="C34" s="15">
        <v>826.82</v>
      </c>
      <c r="D34" s="15">
        <v>874.85</v>
      </c>
      <c r="E34" s="15">
        <v>1097.42</v>
      </c>
      <c r="F34" s="15">
        <v>950.09</v>
      </c>
      <c r="G34" s="15">
        <v>993.8</v>
      </c>
      <c r="H34" s="15">
        <v>858.0</v>
      </c>
      <c r="I34" s="15">
        <v>726.7</v>
      </c>
      <c r="J34" s="15">
        <v>705.92</v>
      </c>
      <c r="K34" s="15">
        <v>682.46</v>
      </c>
      <c r="L34" s="15">
        <v>611.91</v>
      </c>
      <c r="M34" s="16"/>
      <c r="N34" s="15">
        <v>620.93</v>
      </c>
      <c r="O34" s="15">
        <v>628.24</v>
      </c>
      <c r="P34" s="15">
        <v>701.32</v>
      </c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85</v>
      </c>
      <c r="B35" s="16"/>
      <c r="C35" s="20">
        <v>54.92</v>
      </c>
      <c r="D35" s="20">
        <v>32.84</v>
      </c>
      <c r="E35" s="20">
        <v>58.91</v>
      </c>
      <c r="F35" s="20">
        <v>64.14</v>
      </c>
      <c r="G35" s="20">
        <v>70.62</v>
      </c>
      <c r="H35" s="20">
        <v>60.49</v>
      </c>
      <c r="I35" s="20">
        <v>51.51</v>
      </c>
      <c r="J35" s="20">
        <v>41.64</v>
      </c>
      <c r="K35" s="20">
        <v>37.31</v>
      </c>
      <c r="L35" s="20">
        <v>29.64</v>
      </c>
      <c r="M35" s="16"/>
      <c r="N35" s="20">
        <v>35.2</v>
      </c>
      <c r="O35" s="20">
        <v>35.24</v>
      </c>
      <c r="P35" s="20">
        <v>38.87</v>
      </c>
      <c r="Q35" s="16"/>
      <c r="R35" s="20">
        <v>30.45</v>
      </c>
      <c r="S35" s="16"/>
      <c r="T35" s="16"/>
      <c r="U35" s="16"/>
      <c r="V35" s="16"/>
      <c r="W35" s="16"/>
    </row>
    <row r="36" ht="15.0" customHeight="1">
      <c r="A36" s="14" t="s">
        <v>86</v>
      </c>
      <c r="B36" s="16"/>
      <c r="C36" s="20">
        <v>23.39</v>
      </c>
      <c r="D36" s="20">
        <v>25.88</v>
      </c>
      <c r="E36" s="20">
        <v>26.6</v>
      </c>
      <c r="F36" s="20">
        <v>25.06</v>
      </c>
      <c r="G36" s="20">
        <v>23.54</v>
      </c>
      <c r="H36" s="20">
        <v>10.24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6"/>
      <c r="C37" s="20">
        <v>2.03</v>
      </c>
      <c r="D37" s="16">
        <v>0.0</v>
      </c>
      <c r="E37" s="20">
        <v>87.41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77</v>
      </c>
      <c r="B38" s="16"/>
      <c r="C38" s="16"/>
      <c r="D38" s="16"/>
      <c r="E38" s="16"/>
      <c r="F38" s="16">
        <v>0.0</v>
      </c>
      <c r="G38" s="20">
        <v>32.75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/>
      <c r="N38" s="16">
        <v>0.0</v>
      </c>
      <c r="O38" s="20">
        <v>2.58</v>
      </c>
      <c r="P38" s="20">
        <v>2.59</v>
      </c>
      <c r="Q38" s="20">
        <v>81.46</v>
      </c>
      <c r="R38" s="16"/>
      <c r="S38" s="16"/>
      <c r="T38" s="16"/>
      <c r="U38" s="16"/>
      <c r="V38" s="16"/>
      <c r="W38" s="16"/>
    </row>
    <row r="39" ht="15.0" customHeight="1">
      <c r="A39" s="14" t="s">
        <v>88</v>
      </c>
      <c r="B39" s="16"/>
      <c r="C39" s="15">
        <v>746.48</v>
      </c>
      <c r="D39" s="15">
        <v>816.13</v>
      </c>
      <c r="E39" s="15">
        <v>924.49</v>
      </c>
      <c r="F39" s="15">
        <v>860.9</v>
      </c>
      <c r="G39" s="15">
        <v>866.89</v>
      </c>
      <c r="H39" s="15">
        <v>787.27</v>
      </c>
      <c r="I39" s="15">
        <v>675.19</v>
      </c>
      <c r="J39" s="15">
        <v>664.29</v>
      </c>
      <c r="K39" s="15">
        <v>645.15</v>
      </c>
      <c r="L39" s="15">
        <v>582.27</v>
      </c>
      <c r="M39" s="16"/>
      <c r="N39" s="15">
        <v>585.73</v>
      </c>
      <c r="O39" s="15">
        <v>590.42</v>
      </c>
      <c r="P39" s="15">
        <v>659.86</v>
      </c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89</v>
      </c>
      <c r="B40" s="16"/>
      <c r="C40" s="22">
        <v>-369.17</v>
      </c>
      <c r="D40" s="22">
        <v>-661.86</v>
      </c>
      <c r="E40" s="22">
        <v>-696.46</v>
      </c>
      <c r="F40" s="22">
        <v>-535.18</v>
      </c>
      <c r="G40" s="22">
        <v>-719.51</v>
      </c>
      <c r="H40" s="22">
        <v>-402.01</v>
      </c>
      <c r="I40" s="22">
        <v>-139.53</v>
      </c>
      <c r="J40" s="22">
        <v>-124.92</v>
      </c>
      <c r="K40" s="22">
        <v>-153.19</v>
      </c>
      <c r="L40" s="21">
        <v>-66.93</v>
      </c>
      <c r="M40" s="16"/>
      <c r="N40" s="21">
        <v>-68.59</v>
      </c>
      <c r="O40" s="21">
        <v>-72.19</v>
      </c>
      <c r="P40" s="21">
        <v>-44.05</v>
      </c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90</v>
      </c>
      <c r="B41" s="16"/>
      <c r="C41" s="21">
        <v>-16.27</v>
      </c>
      <c r="D41" s="21">
        <v>-15.92</v>
      </c>
      <c r="E41" s="21">
        <v>-11.4</v>
      </c>
      <c r="F41" s="21">
        <v>-8.02</v>
      </c>
      <c r="G41" s="21">
        <v>-14.33</v>
      </c>
      <c r="H41" s="21">
        <v>-37.22</v>
      </c>
      <c r="I41" s="21">
        <v>-5.62</v>
      </c>
      <c r="J41" s="21">
        <v>-6.78</v>
      </c>
      <c r="K41" s="21">
        <v>-2.95</v>
      </c>
      <c r="L41" s="21">
        <v>-14.34</v>
      </c>
      <c r="M41" s="16"/>
      <c r="N41" s="21">
        <v>-16.25</v>
      </c>
      <c r="O41" s="21">
        <v>-6.02</v>
      </c>
      <c r="P41" s="16">
        <v>0.0</v>
      </c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91</v>
      </c>
      <c r="B42" s="16"/>
      <c r="C42" s="22">
        <v>-289.84</v>
      </c>
      <c r="D42" s="22">
        <v>-405.08</v>
      </c>
      <c r="E42" s="22">
        <v>-552.03</v>
      </c>
      <c r="F42" s="22">
        <v>-394.87</v>
      </c>
      <c r="G42" s="22">
        <v>-477.97</v>
      </c>
      <c r="H42" s="22">
        <v>-286.62</v>
      </c>
      <c r="I42" s="22">
        <v>-107.69</v>
      </c>
      <c r="J42" s="21">
        <v>-99.74</v>
      </c>
      <c r="K42" s="22">
        <v>-116.85</v>
      </c>
      <c r="L42" s="21">
        <v>-35.38</v>
      </c>
      <c r="M42" s="16"/>
      <c r="N42" s="21">
        <v>-35.2</v>
      </c>
      <c r="O42" s="21">
        <v>-32.66</v>
      </c>
      <c r="P42" s="21">
        <v>-26.77</v>
      </c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92</v>
      </c>
      <c r="B43" s="16"/>
      <c r="C43" s="21">
        <v>-37.63</v>
      </c>
      <c r="D43" s="21">
        <v>-60.71</v>
      </c>
      <c r="E43" s="21">
        <v>-77.91</v>
      </c>
      <c r="F43" s="21">
        <v>-73.16</v>
      </c>
      <c r="G43" s="21">
        <v>-71.64</v>
      </c>
      <c r="H43" s="21">
        <v>-60.49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89</v>
      </c>
      <c r="B44" s="16"/>
      <c r="C44" s="21">
        <v>-25.42</v>
      </c>
      <c r="D44" s="21">
        <v>-36.83</v>
      </c>
      <c r="E44" s="21">
        <v>-16.15</v>
      </c>
      <c r="F44" s="21">
        <v>-27.06</v>
      </c>
      <c r="G44" s="21">
        <v>-4.09</v>
      </c>
      <c r="H44" s="21">
        <v>-17.68</v>
      </c>
      <c r="I44" s="21">
        <v>-26.22</v>
      </c>
      <c r="J44" s="21">
        <v>-18.4</v>
      </c>
      <c r="K44" s="21">
        <v>-33.39</v>
      </c>
      <c r="L44" s="21">
        <v>-17.21</v>
      </c>
      <c r="M44" s="16"/>
      <c r="N44" s="21">
        <v>-17.15</v>
      </c>
      <c r="O44" s="21">
        <v>-33.52</v>
      </c>
      <c r="P44" s="21">
        <v>-17.27</v>
      </c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93</v>
      </c>
      <c r="B45" s="16"/>
      <c r="C45" s="16"/>
      <c r="D45" s="16"/>
      <c r="E45" s="21">
        <v>-8.55</v>
      </c>
      <c r="F45" s="21">
        <v>-32.07</v>
      </c>
      <c r="G45" s="22">
        <v>-151.48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94</v>
      </c>
      <c r="B46" s="16"/>
      <c r="C46" s="16">
        <v>0.0</v>
      </c>
      <c r="D46" s="16">
        <v>0.0</v>
      </c>
      <c r="E46" s="21">
        <v>-30.4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95</v>
      </c>
      <c r="B47" s="16"/>
      <c r="C47" s="16"/>
      <c r="D47" s="22">
        <v>-143.32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96</v>
      </c>
      <c r="B48" s="16"/>
      <c r="C48" s="15">
        <v>799.36</v>
      </c>
      <c r="D48" s="15">
        <v>377.21</v>
      </c>
      <c r="E48" s="15">
        <v>558.69</v>
      </c>
      <c r="F48" s="15">
        <v>436.96</v>
      </c>
      <c r="G48" s="15">
        <v>494.34</v>
      </c>
      <c r="H48" s="15">
        <v>290.34</v>
      </c>
      <c r="I48" s="15">
        <v>177.93</v>
      </c>
      <c r="J48" s="15">
        <v>102.64</v>
      </c>
      <c r="K48" s="15">
        <v>107.03</v>
      </c>
      <c r="L48" s="20">
        <v>37.29</v>
      </c>
      <c r="M48" s="16"/>
      <c r="N48" s="20">
        <v>74.91</v>
      </c>
      <c r="O48" s="15">
        <v>116.02</v>
      </c>
      <c r="P48" s="20">
        <v>55.28</v>
      </c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97</v>
      </c>
      <c r="B49" s="16"/>
      <c r="C49" s="15">
        <v>310.18</v>
      </c>
      <c r="D49" s="15">
        <v>360.29</v>
      </c>
      <c r="E49" s="15">
        <v>540.63</v>
      </c>
      <c r="F49" s="15">
        <v>427.94</v>
      </c>
      <c r="G49" s="15">
        <v>451.36</v>
      </c>
      <c r="H49" s="15">
        <v>279.18</v>
      </c>
      <c r="I49" s="15">
        <v>107.69</v>
      </c>
      <c r="J49" s="15">
        <v>100.71</v>
      </c>
      <c r="K49" s="15">
        <v>100.16</v>
      </c>
      <c r="L49" s="20">
        <v>25.81</v>
      </c>
      <c r="M49" s="16"/>
      <c r="N49" s="20">
        <v>40.61</v>
      </c>
      <c r="O49" s="20">
        <v>55.0</v>
      </c>
      <c r="P49" s="20">
        <v>40.59</v>
      </c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98</v>
      </c>
      <c r="B50" s="16"/>
      <c r="C50" s="20">
        <v>2.03</v>
      </c>
      <c r="D50" s="20">
        <v>16.92</v>
      </c>
      <c r="E50" s="20">
        <v>9.5</v>
      </c>
      <c r="F50" s="20">
        <v>4.01</v>
      </c>
      <c r="G50" s="20">
        <v>29.68</v>
      </c>
      <c r="H50" s="20">
        <v>10.24</v>
      </c>
      <c r="I50" s="20">
        <v>70.24</v>
      </c>
      <c r="J50" s="20">
        <v>1.94</v>
      </c>
      <c r="K50" s="20">
        <v>6.87</v>
      </c>
      <c r="L50" s="20">
        <v>11.47</v>
      </c>
      <c r="M50" s="16"/>
      <c r="N50" s="16"/>
      <c r="O50" s="16"/>
      <c r="P50" s="20">
        <v>19.0</v>
      </c>
      <c r="Q50" s="20">
        <v>63.83</v>
      </c>
      <c r="R50" s="20">
        <v>53.5</v>
      </c>
      <c r="S50" s="16"/>
      <c r="T50" s="20">
        <v>39.87</v>
      </c>
      <c r="U50" s="20">
        <v>55.69</v>
      </c>
      <c r="V50" s="20">
        <v>65.64</v>
      </c>
      <c r="W50" s="20">
        <v>78.0</v>
      </c>
    </row>
    <row r="51" ht="15.0" customHeight="1">
      <c r="A51" s="14" t="s">
        <v>99</v>
      </c>
      <c r="B51" s="16"/>
      <c r="C51" s="16">
        <v>0.0</v>
      </c>
      <c r="D51" s="16">
        <v>0.0</v>
      </c>
      <c r="E51" s="20">
        <v>8.55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100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20">
        <v>1.81</v>
      </c>
      <c r="O52" s="20">
        <v>61.02</v>
      </c>
      <c r="P52" s="20">
        <v>5.18</v>
      </c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101</v>
      </c>
      <c r="B53" s="16"/>
      <c r="C53" s="15">
        <v>486.12</v>
      </c>
      <c r="D53" s="16">
        <v>0.0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102</v>
      </c>
      <c r="B54" s="16"/>
      <c r="C54" s="20">
        <v>1.02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20">
        <v>32.49</v>
      </c>
      <c r="O55" s="16">
        <v>0.0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90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>
        <v>0.0</v>
      </c>
      <c r="O56" s="16">
        <v>0.0</v>
      </c>
      <c r="P56" s="21">
        <v>-9.5</v>
      </c>
      <c r="Q56" s="21">
        <v>-0.84</v>
      </c>
      <c r="R56" s="16"/>
      <c r="S56" s="16"/>
      <c r="T56" s="16"/>
      <c r="U56" s="16"/>
      <c r="V56" s="16"/>
      <c r="W56" s="16"/>
    </row>
    <row r="57" ht="15.0" customHeight="1">
      <c r="A57" s="14" t="s">
        <v>104</v>
      </c>
      <c r="B57" s="16"/>
      <c r="C57" s="16"/>
      <c r="D57" s="16"/>
      <c r="E57" s="16"/>
      <c r="F57" s="16">
        <v>0.0</v>
      </c>
      <c r="G57" s="20">
        <v>8.19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84</v>
      </c>
      <c r="B58" s="16"/>
      <c r="C58" s="16"/>
      <c r="D58" s="16"/>
      <c r="E58" s="16"/>
      <c r="F58" s="20">
        <v>5.01</v>
      </c>
      <c r="G58" s="20">
        <v>5.12</v>
      </c>
      <c r="H58" s="20">
        <v>0.93</v>
      </c>
      <c r="I58" s="16"/>
      <c r="J58" s="16"/>
      <c r="K58" s="16"/>
      <c r="L58" s="16"/>
      <c r="M58" s="16"/>
      <c r="N58" s="16"/>
      <c r="O58" s="16"/>
      <c r="P58" s="16"/>
      <c r="Q58" s="20">
        <v>21.84</v>
      </c>
      <c r="R58" s="16"/>
      <c r="S58" s="16"/>
      <c r="T58" s="16"/>
      <c r="U58" s="16"/>
      <c r="V58" s="16"/>
      <c r="W58" s="16"/>
    </row>
    <row r="59" ht="15.0" customHeight="1">
      <c r="A59" s="14" t="s">
        <v>105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5">
        <v>136.05</v>
      </c>
      <c r="R59" s="16"/>
      <c r="S59" s="16"/>
      <c r="T59" s="16"/>
      <c r="U59" s="16"/>
      <c r="V59" s="16"/>
      <c r="W59" s="16"/>
    </row>
    <row r="60" ht="15.0" customHeight="1">
      <c r="A60" s="14" t="s">
        <v>106</v>
      </c>
      <c r="B60" s="15">
        <v>2060.07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5">
        <v>3438.25</v>
      </c>
      <c r="N60" s="16"/>
      <c r="O60" s="16"/>
      <c r="P60" s="16"/>
      <c r="Q60" s="15">
        <v>3492.77</v>
      </c>
      <c r="R60" s="15">
        <v>3394.88</v>
      </c>
      <c r="S60" s="15">
        <v>4305.65</v>
      </c>
      <c r="T60" s="15">
        <v>3319.64</v>
      </c>
      <c r="U60" s="15">
        <v>3440.63</v>
      </c>
      <c r="V60" s="15">
        <v>2776.04</v>
      </c>
      <c r="W60" s="15">
        <v>2595.03</v>
      </c>
    </row>
    <row r="61" ht="15.0" customHeight="1">
      <c r="A61" s="14" t="s">
        <v>107</v>
      </c>
      <c r="B61" s="15">
        <v>170.53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21">
        <v>-3.67</v>
      </c>
      <c r="N61" s="16"/>
      <c r="O61" s="16"/>
      <c r="P61" s="16"/>
      <c r="Q61" s="21">
        <v>-47.87</v>
      </c>
      <c r="R61" s="22">
        <v>-119.34</v>
      </c>
      <c r="S61" s="21">
        <v>-83.82</v>
      </c>
      <c r="T61" s="21">
        <v>-83.21</v>
      </c>
      <c r="U61" s="22">
        <v>-100.94</v>
      </c>
      <c r="V61" s="21">
        <v>-83.78</v>
      </c>
      <c r="W61" s="21">
        <v>-95.43</v>
      </c>
    </row>
    <row r="62" ht="15.0" customHeight="1">
      <c r="A62" s="14" t="s">
        <v>108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20">
        <v>6.72</v>
      </c>
      <c r="R62" s="20">
        <v>1.65</v>
      </c>
      <c r="S62" s="21">
        <v>-17.96</v>
      </c>
      <c r="T62" s="20">
        <v>2.6</v>
      </c>
      <c r="U62" s="20">
        <v>1.74</v>
      </c>
      <c r="V62" s="20">
        <v>0.86</v>
      </c>
      <c r="W62" s="20">
        <v>2.75</v>
      </c>
    </row>
    <row r="63" ht="15.0" customHeight="1">
      <c r="A63" s="14" t="s">
        <v>109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21">
        <v>-2.6</v>
      </c>
      <c r="U63" s="21">
        <v>-1.74</v>
      </c>
      <c r="V63" s="21">
        <v>-0.86</v>
      </c>
      <c r="W63" s="21">
        <v>-2.75</v>
      </c>
    </row>
    <row r="64" ht="15.0" customHeight="1">
      <c r="A64" s="14" t="s">
        <v>110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5">
        <v>256.14</v>
      </c>
      <c r="R64" s="15">
        <v>396.69</v>
      </c>
      <c r="S64" s="16"/>
      <c r="T64" s="16"/>
      <c r="U64" s="16"/>
      <c r="V64" s="16"/>
      <c r="W64" s="16"/>
    </row>
    <row r="65" ht="15.0" customHeight="1">
      <c r="A65" s="17" t="s">
        <v>111</v>
      </c>
      <c r="B65" s="18">
        <v>2230.6</v>
      </c>
      <c r="C65" s="18">
        <v>4749.38</v>
      </c>
      <c r="D65" s="18">
        <v>4334.43</v>
      </c>
      <c r="E65" s="18">
        <v>4914.15</v>
      </c>
      <c r="F65" s="18">
        <v>4278.42</v>
      </c>
      <c r="G65" s="18">
        <v>4101.09</v>
      </c>
      <c r="H65" s="18">
        <v>3883.33</v>
      </c>
      <c r="I65" s="18">
        <v>3813.3</v>
      </c>
      <c r="J65" s="18">
        <v>3609.99</v>
      </c>
      <c r="K65" s="18">
        <v>3569.41</v>
      </c>
      <c r="L65" s="18">
        <v>3553.84</v>
      </c>
      <c r="M65" s="18">
        <v>3434.58</v>
      </c>
      <c r="N65" s="18">
        <v>3763.5</v>
      </c>
      <c r="O65" s="18">
        <v>4352.96</v>
      </c>
      <c r="P65" s="18">
        <v>4201.02</v>
      </c>
      <c r="Q65" s="18">
        <v>4642.48</v>
      </c>
      <c r="R65" s="18">
        <v>4447.5</v>
      </c>
      <c r="S65" s="18">
        <v>4203.87</v>
      </c>
      <c r="T65" s="18">
        <v>3931.57</v>
      </c>
      <c r="U65" s="18">
        <v>4122.84</v>
      </c>
      <c r="V65" s="18">
        <v>3342.65</v>
      </c>
      <c r="W65" s="18">
        <v>3196.98</v>
      </c>
    </row>
    <row r="66" ht="15.0" customHeight="1">
      <c r="A66" s="17" t="s">
        <v>112</v>
      </c>
      <c r="B66" s="23">
        <v>-217.13</v>
      </c>
      <c r="C66" s="23">
        <v>-841.06</v>
      </c>
      <c r="D66" s="23">
        <v>-241.85</v>
      </c>
      <c r="E66" s="18">
        <v>181.48</v>
      </c>
      <c r="F66" s="18">
        <v>1011.23</v>
      </c>
      <c r="G66" s="18">
        <v>447.26</v>
      </c>
      <c r="H66" s="18">
        <v>1053.42</v>
      </c>
      <c r="I66" s="18">
        <v>953.32</v>
      </c>
      <c r="J66" s="18">
        <v>1245.29</v>
      </c>
      <c r="K66" s="18">
        <v>1274.58</v>
      </c>
      <c r="L66" s="18">
        <v>1136.81</v>
      </c>
      <c r="M66" s="18">
        <v>806.51</v>
      </c>
      <c r="N66" s="18">
        <v>590.25</v>
      </c>
      <c r="O66" s="23">
        <v>-235.48</v>
      </c>
      <c r="P66" s="18">
        <v>158.92</v>
      </c>
      <c r="Q66" s="24">
        <v>5.04</v>
      </c>
      <c r="R66" s="24">
        <v>31.27</v>
      </c>
      <c r="S66" s="18">
        <v>782.61</v>
      </c>
      <c r="T66" s="18">
        <v>1172.71</v>
      </c>
      <c r="U66" s="18">
        <v>1154.71</v>
      </c>
      <c r="V66" s="18">
        <v>857.69</v>
      </c>
      <c r="W66" s="18">
        <v>853.39</v>
      </c>
    </row>
    <row r="67" ht="15.0" customHeight="1">
      <c r="A67" s="14" t="s">
        <v>113</v>
      </c>
      <c r="B67" s="16"/>
      <c r="C67" s="20">
        <v>35.59</v>
      </c>
      <c r="D67" s="20">
        <v>25.88</v>
      </c>
      <c r="E67" s="15">
        <v>253.69</v>
      </c>
      <c r="F67" s="15">
        <v>148.33</v>
      </c>
      <c r="G67" s="20">
        <v>7.16</v>
      </c>
      <c r="H67" s="20">
        <v>0.93</v>
      </c>
      <c r="I67" s="20">
        <v>9.36</v>
      </c>
      <c r="J67" s="20">
        <v>8.72</v>
      </c>
      <c r="K67" s="20">
        <v>21.6</v>
      </c>
      <c r="L67" s="20">
        <v>32.51</v>
      </c>
      <c r="M67" s="16"/>
      <c r="N67" s="20">
        <v>11.73</v>
      </c>
      <c r="O67" s="20">
        <v>9.45</v>
      </c>
      <c r="P67" s="20">
        <v>7.77</v>
      </c>
      <c r="Q67" s="20">
        <v>15.12</v>
      </c>
      <c r="R67" s="20">
        <v>33.74</v>
      </c>
      <c r="S67" s="16"/>
      <c r="T67" s="20">
        <v>19.94</v>
      </c>
      <c r="U67" s="20">
        <v>12.18</v>
      </c>
      <c r="V67" s="20">
        <v>11.23</v>
      </c>
      <c r="W67" s="20">
        <v>11.93</v>
      </c>
    </row>
    <row r="68" ht="15.0" customHeight="1">
      <c r="A68" s="14" t="s">
        <v>114</v>
      </c>
      <c r="B68" s="16"/>
      <c r="C68" s="20">
        <v>10.17</v>
      </c>
      <c r="D68" s="20">
        <v>3.98</v>
      </c>
      <c r="E68" s="15">
        <v>249.89</v>
      </c>
      <c r="F68" s="15">
        <v>146.32</v>
      </c>
      <c r="G68" s="20">
        <v>5.12</v>
      </c>
      <c r="H68" s="16">
        <v>0.0</v>
      </c>
      <c r="I68" s="20">
        <v>7.49</v>
      </c>
      <c r="J68" s="20">
        <v>5.81</v>
      </c>
      <c r="K68" s="20">
        <v>19.64</v>
      </c>
      <c r="L68" s="20">
        <v>26.77</v>
      </c>
      <c r="M68" s="16"/>
      <c r="N68" s="20">
        <v>8.12</v>
      </c>
      <c r="O68" s="20">
        <v>4.3</v>
      </c>
      <c r="P68" s="20">
        <v>0.86</v>
      </c>
      <c r="Q68" s="20">
        <v>10.92</v>
      </c>
      <c r="R68" s="20">
        <v>10.7</v>
      </c>
      <c r="S68" s="16"/>
      <c r="T68" s="21">
        <v>-1.73</v>
      </c>
      <c r="U68" s="21">
        <v>-0.87</v>
      </c>
      <c r="V68" s="16">
        <v>0.0</v>
      </c>
      <c r="W68" s="16">
        <v>0.0</v>
      </c>
    </row>
    <row r="69" ht="15.0" customHeight="1">
      <c r="A69" s="14" t="s">
        <v>115</v>
      </c>
      <c r="B69" s="16"/>
      <c r="C69" s="20">
        <v>25.42</v>
      </c>
      <c r="D69" s="20">
        <v>21.9</v>
      </c>
      <c r="E69" s="20">
        <v>3.8</v>
      </c>
      <c r="F69" s="20">
        <v>2.0</v>
      </c>
      <c r="G69" s="20">
        <v>2.05</v>
      </c>
      <c r="H69" s="20">
        <v>0.93</v>
      </c>
      <c r="I69" s="20">
        <v>1.87</v>
      </c>
      <c r="J69" s="20">
        <v>2.91</v>
      </c>
      <c r="K69" s="20">
        <v>1.96</v>
      </c>
      <c r="L69" s="20">
        <v>5.74</v>
      </c>
      <c r="M69" s="16"/>
      <c r="N69" s="20">
        <v>3.61</v>
      </c>
      <c r="O69" s="20">
        <v>5.16</v>
      </c>
      <c r="P69" s="20">
        <v>6.91</v>
      </c>
      <c r="Q69" s="20">
        <v>15.12</v>
      </c>
      <c r="R69" s="20">
        <v>23.04</v>
      </c>
      <c r="S69" s="16"/>
      <c r="T69" s="20">
        <v>19.94</v>
      </c>
      <c r="U69" s="20">
        <v>14.79</v>
      </c>
      <c r="V69" s="20">
        <v>11.23</v>
      </c>
      <c r="W69" s="20">
        <v>11.93</v>
      </c>
    </row>
    <row r="70" ht="15.0" customHeight="1">
      <c r="A70" s="14" t="s">
        <v>116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1">
        <v>-10.92</v>
      </c>
      <c r="R70" s="16"/>
      <c r="S70" s="16"/>
      <c r="T70" s="20">
        <v>1.73</v>
      </c>
      <c r="U70" s="21">
        <v>-1.74</v>
      </c>
      <c r="V70" s="16"/>
      <c r="W70" s="16"/>
    </row>
    <row r="71" ht="15.0" customHeight="1">
      <c r="A71" s="14" t="s">
        <v>117</v>
      </c>
      <c r="B71" s="22">
        <v>-311.39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21">
        <v>-71.65</v>
      </c>
      <c r="N71" s="16"/>
      <c r="O71" s="16"/>
      <c r="P71" s="16"/>
      <c r="Q71" s="16"/>
      <c r="R71" s="16"/>
      <c r="S71" s="22">
        <v>-139.42</v>
      </c>
      <c r="T71" s="16"/>
      <c r="U71" s="22">
        <v>-113.99</v>
      </c>
      <c r="V71" s="22">
        <v>-104.51</v>
      </c>
      <c r="W71" s="16"/>
    </row>
    <row r="72" ht="15.0" customHeight="1">
      <c r="A72" s="14" t="s">
        <v>118</v>
      </c>
      <c r="B72" s="16"/>
      <c r="C72" s="22">
        <v>-332.56</v>
      </c>
      <c r="D72" s="22">
        <v>-296.59</v>
      </c>
      <c r="E72" s="22">
        <v>-406.66</v>
      </c>
      <c r="F72" s="22">
        <v>-250.55</v>
      </c>
      <c r="G72" s="21">
        <v>-93.14</v>
      </c>
      <c r="H72" s="21">
        <v>-87.47</v>
      </c>
      <c r="I72" s="21">
        <v>-39.33</v>
      </c>
      <c r="J72" s="21">
        <v>-43.58</v>
      </c>
      <c r="K72" s="21">
        <v>-71.68</v>
      </c>
      <c r="L72" s="21">
        <v>-87.01</v>
      </c>
      <c r="M72" s="16"/>
      <c r="N72" s="21">
        <v>-96.57</v>
      </c>
      <c r="O72" s="21">
        <v>-91.96</v>
      </c>
      <c r="P72" s="21">
        <v>-79.46</v>
      </c>
      <c r="Q72" s="21">
        <v>-86.5</v>
      </c>
      <c r="R72" s="21">
        <v>-95.47</v>
      </c>
      <c r="S72" s="16"/>
      <c r="T72" s="22">
        <v>-111.81</v>
      </c>
      <c r="U72" s="16"/>
      <c r="V72" s="16"/>
      <c r="W72" s="21">
        <v>-94.51</v>
      </c>
    </row>
    <row r="73" ht="15.0" customHeight="1">
      <c r="A73" s="14" t="s">
        <v>119</v>
      </c>
      <c r="B73" s="16"/>
      <c r="C73" s="21">
        <v>-22.37</v>
      </c>
      <c r="D73" s="21">
        <v>-23.89</v>
      </c>
      <c r="E73" s="21">
        <v>-19.95</v>
      </c>
      <c r="F73" s="21">
        <v>-19.04</v>
      </c>
      <c r="G73" s="21">
        <v>-17.4</v>
      </c>
      <c r="H73" s="21">
        <v>-19.54</v>
      </c>
      <c r="I73" s="21">
        <v>-26.22</v>
      </c>
      <c r="J73" s="21">
        <v>-32.92</v>
      </c>
      <c r="K73" s="21">
        <v>-33.39</v>
      </c>
      <c r="L73" s="21">
        <v>-40.16</v>
      </c>
      <c r="M73" s="16"/>
      <c r="N73" s="21">
        <v>-37.0</v>
      </c>
      <c r="O73" s="21">
        <v>-36.1</v>
      </c>
      <c r="P73" s="21">
        <v>-22.46</v>
      </c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120</v>
      </c>
      <c r="B74" s="16"/>
      <c r="C74" s="22">
        <v>-137.29</v>
      </c>
      <c r="D74" s="21">
        <v>-50.76</v>
      </c>
      <c r="E74" s="21">
        <v>-35.16</v>
      </c>
      <c r="F74" s="21">
        <v>-38.08</v>
      </c>
      <c r="G74" s="21">
        <v>-49.13</v>
      </c>
      <c r="H74" s="21">
        <v>-51.18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121</v>
      </c>
      <c r="B75" s="16"/>
      <c r="C75" s="22">
        <v>-153.57</v>
      </c>
      <c r="D75" s="22">
        <v>-219.96</v>
      </c>
      <c r="E75" s="21">
        <v>-52.26</v>
      </c>
      <c r="F75" s="21">
        <v>-43.09</v>
      </c>
      <c r="G75" s="21">
        <v>-26.61</v>
      </c>
      <c r="H75" s="21">
        <v>-16.75</v>
      </c>
      <c r="I75" s="21">
        <v>-13.11</v>
      </c>
      <c r="J75" s="21">
        <v>-8.72</v>
      </c>
      <c r="K75" s="21">
        <v>-23.57</v>
      </c>
      <c r="L75" s="21">
        <v>-23.9</v>
      </c>
      <c r="M75" s="16"/>
      <c r="N75" s="21">
        <v>-51.44</v>
      </c>
      <c r="O75" s="21">
        <v>-54.14</v>
      </c>
      <c r="P75" s="21">
        <v>-57.0</v>
      </c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122</v>
      </c>
      <c r="B76" s="16"/>
      <c r="C76" s="15">
        <v>148.48</v>
      </c>
      <c r="D76" s="20">
        <v>41.8</v>
      </c>
      <c r="E76" s="20">
        <v>18.05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123</v>
      </c>
      <c r="B77" s="16"/>
      <c r="C77" s="22">
        <v>-302.05</v>
      </c>
      <c r="D77" s="22">
        <v>-261.76</v>
      </c>
      <c r="E77" s="21">
        <v>-70.31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124</v>
      </c>
      <c r="B78" s="16"/>
      <c r="C78" s="21">
        <v>-4.07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125</v>
      </c>
      <c r="B79" s="16"/>
      <c r="C79" s="21">
        <v>-3.05</v>
      </c>
      <c r="D79" s="21">
        <v>-1.99</v>
      </c>
      <c r="E79" s="22">
        <v>-299.3</v>
      </c>
      <c r="F79" s="22">
        <v>-150.33</v>
      </c>
      <c r="G79" s="16">
        <v>0.0</v>
      </c>
      <c r="H79" s="16">
        <v>0.0</v>
      </c>
      <c r="I79" s="16">
        <v>0.0</v>
      </c>
      <c r="J79" s="21">
        <v>-1.94</v>
      </c>
      <c r="K79" s="21">
        <v>-14.73</v>
      </c>
      <c r="L79" s="21">
        <v>-22.95</v>
      </c>
      <c r="M79" s="16"/>
      <c r="N79" s="21">
        <v>-8.12</v>
      </c>
      <c r="O79" s="21">
        <v>-1.72</v>
      </c>
      <c r="P79" s="16">
        <v>0.0</v>
      </c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126</v>
      </c>
      <c r="B80" s="16"/>
      <c r="C80" s="21">
        <v>-12.2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127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20">
        <v>71.38</v>
      </c>
      <c r="R81" s="20">
        <v>61.73</v>
      </c>
      <c r="S81" s="15">
        <v>139.42</v>
      </c>
      <c r="T81" s="16"/>
      <c r="U81" s="15">
        <v>101.81</v>
      </c>
      <c r="V81" s="20">
        <v>93.28</v>
      </c>
      <c r="W81" s="20">
        <v>73.41</v>
      </c>
    </row>
    <row r="82" ht="15.0" customHeight="1">
      <c r="A82" s="14" t="s">
        <v>121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20">
        <v>75.58</v>
      </c>
      <c r="R82" s="20">
        <v>95.47</v>
      </c>
      <c r="S82" s="16"/>
      <c r="T82" s="15">
        <v>110.08</v>
      </c>
      <c r="U82" s="15">
        <v>115.73</v>
      </c>
      <c r="V82" s="15">
        <v>104.51</v>
      </c>
      <c r="W82" s="20">
        <v>94.51</v>
      </c>
    </row>
    <row r="83" ht="15.0" customHeight="1">
      <c r="A83" s="14" t="s">
        <v>121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21">
        <v>-75.58</v>
      </c>
      <c r="R83" s="21">
        <v>-95.47</v>
      </c>
      <c r="S83" s="16"/>
      <c r="T83" s="22">
        <v>-110.08</v>
      </c>
      <c r="U83" s="22">
        <v>-115.73</v>
      </c>
      <c r="V83" s="22">
        <v>-104.51</v>
      </c>
      <c r="W83" s="21">
        <v>-94.51</v>
      </c>
    </row>
    <row r="84" ht="15.0" customHeight="1">
      <c r="A84" s="17" t="s">
        <v>128</v>
      </c>
      <c r="B84" s="23">
        <v>-311.39</v>
      </c>
      <c r="C84" s="23">
        <v>-296.96</v>
      </c>
      <c r="D84" s="23">
        <v>-270.72</v>
      </c>
      <c r="E84" s="23">
        <v>-152.97</v>
      </c>
      <c r="F84" s="23">
        <v>-102.23</v>
      </c>
      <c r="G84" s="25">
        <v>-85.97</v>
      </c>
      <c r="H84" s="25">
        <v>-86.54</v>
      </c>
      <c r="I84" s="25">
        <v>-29.97</v>
      </c>
      <c r="J84" s="25">
        <v>-34.86</v>
      </c>
      <c r="K84" s="25">
        <v>-50.08</v>
      </c>
      <c r="L84" s="25">
        <v>-54.5</v>
      </c>
      <c r="M84" s="25">
        <v>-71.65</v>
      </c>
      <c r="N84" s="25">
        <v>-84.84</v>
      </c>
      <c r="O84" s="25">
        <v>-82.5</v>
      </c>
      <c r="P84" s="25">
        <v>-71.69</v>
      </c>
      <c r="Q84" s="25">
        <v>-71.38</v>
      </c>
      <c r="R84" s="25">
        <v>-61.73</v>
      </c>
      <c r="S84" s="23">
        <v>-139.42</v>
      </c>
      <c r="T84" s="25">
        <v>-91.88</v>
      </c>
      <c r="U84" s="23">
        <v>-101.81</v>
      </c>
      <c r="V84" s="25">
        <v>-93.28</v>
      </c>
      <c r="W84" s="25">
        <v>-82.59</v>
      </c>
    </row>
    <row r="85" ht="15.0" customHeight="1">
      <c r="A85" s="17" t="s">
        <v>129</v>
      </c>
      <c r="B85" s="23">
        <v>-528.52</v>
      </c>
      <c r="C85" s="23">
        <v>-1138.02</v>
      </c>
      <c r="D85" s="23">
        <v>-512.57</v>
      </c>
      <c r="E85" s="24">
        <v>28.5</v>
      </c>
      <c r="F85" s="18">
        <v>909.0</v>
      </c>
      <c r="G85" s="18">
        <v>361.29</v>
      </c>
      <c r="H85" s="18">
        <v>966.88</v>
      </c>
      <c r="I85" s="18">
        <v>923.36</v>
      </c>
      <c r="J85" s="18">
        <v>1210.43</v>
      </c>
      <c r="K85" s="18">
        <v>1224.5</v>
      </c>
      <c r="L85" s="18">
        <v>1082.31</v>
      </c>
      <c r="M85" s="18">
        <v>734.87</v>
      </c>
      <c r="N85" s="18">
        <v>505.41</v>
      </c>
      <c r="O85" s="23">
        <v>-317.99</v>
      </c>
      <c r="P85" s="24">
        <v>87.23</v>
      </c>
      <c r="Q85" s="25">
        <v>-66.35</v>
      </c>
      <c r="R85" s="25">
        <v>-30.45</v>
      </c>
      <c r="S85" s="18">
        <v>643.2</v>
      </c>
      <c r="T85" s="18">
        <v>1080.83</v>
      </c>
      <c r="U85" s="18">
        <v>1052.9</v>
      </c>
      <c r="V85" s="18">
        <v>764.41</v>
      </c>
      <c r="W85" s="18">
        <v>770.8</v>
      </c>
    </row>
    <row r="86" ht="15.0" customHeight="1">
      <c r="A86" s="14" t="s">
        <v>130</v>
      </c>
      <c r="B86" s="15">
        <v>145.11</v>
      </c>
      <c r="C86" s="20">
        <v>77.29</v>
      </c>
      <c r="D86" s="21">
        <v>-59.72</v>
      </c>
      <c r="E86" s="20">
        <v>30.4</v>
      </c>
      <c r="F86" s="15">
        <v>201.44</v>
      </c>
      <c r="G86" s="15">
        <v>102.35</v>
      </c>
      <c r="H86" s="15">
        <v>213.1</v>
      </c>
      <c r="I86" s="15">
        <v>218.2</v>
      </c>
      <c r="J86" s="15">
        <v>247.9</v>
      </c>
      <c r="K86" s="15">
        <v>264.15</v>
      </c>
      <c r="L86" s="15">
        <v>251.46</v>
      </c>
      <c r="M86" s="15">
        <v>188.31</v>
      </c>
      <c r="N86" s="15">
        <v>175.99</v>
      </c>
      <c r="O86" s="15">
        <v>133.21</v>
      </c>
      <c r="P86" s="20">
        <v>13.82</v>
      </c>
      <c r="Q86" s="21">
        <v>-21.0</v>
      </c>
      <c r="R86" s="21">
        <v>-28.81</v>
      </c>
      <c r="S86" s="15">
        <v>184.75</v>
      </c>
      <c r="T86" s="15">
        <v>250.49</v>
      </c>
      <c r="U86" s="15">
        <v>300.21</v>
      </c>
      <c r="V86" s="15">
        <v>210.75</v>
      </c>
      <c r="W86" s="15">
        <v>226.65</v>
      </c>
    </row>
    <row r="87" ht="15.0" customHeight="1">
      <c r="A87" s="14" t="s">
        <v>131</v>
      </c>
      <c r="B87" s="16"/>
      <c r="C87" s="15">
        <v>126.11</v>
      </c>
      <c r="D87" s="15">
        <v>100.52</v>
      </c>
      <c r="E87" s="15">
        <v>127.32</v>
      </c>
      <c r="F87" s="15">
        <v>204.45</v>
      </c>
      <c r="G87" s="15">
        <v>140.22</v>
      </c>
      <c r="H87" s="15">
        <v>207.52</v>
      </c>
      <c r="I87" s="15">
        <v>224.75</v>
      </c>
      <c r="J87" s="15">
        <v>238.21</v>
      </c>
      <c r="K87" s="15">
        <v>249.42</v>
      </c>
      <c r="L87" s="15">
        <v>217.99</v>
      </c>
      <c r="M87" s="16"/>
      <c r="N87" s="15">
        <v>152.53</v>
      </c>
      <c r="O87" s="15">
        <v>135.79</v>
      </c>
      <c r="P87" s="20">
        <v>57.87</v>
      </c>
      <c r="Q87" s="20">
        <v>79.78</v>
      </c>
      <c r="R87" s="20">
        <v>27.16</v>
      </c>
      <c r="S87" s="16"/>
      <c r="T87" s="15">
        <v>305.1</v>
      </c>
      <c r="U87" s="15">
        <v>266.27</v>
      </c>
      <c r="V87" s="15">
        <v>214.21</v>
      </c>
      <c r="W87" s="15">
        <v>186.28</v>
      </c>
    </row>
    <row r="88" ht="15.0" customHeight="1">
      <c r="A88" s="14" t="s">
        <v>132</v>
      </c>
      <c r="B88" s="16"/>
      <c r="C88" s="21">
        <v>-48.82</v>
      </c>
      <c r="D88" s="22">
        <v>-160.24</v>
      </c>
      <c r="E88" s="21">
        <v>-96.91</v>
      </c>
      <c r="F88" s="21">
        <v>-3.01</v>
      </c>
      <c r="G88" s="21">
        <v>-37.87</v>
      </c>
      <c r="H88" s="20">
        <v>5.58</v>
      </c>
      <c r="I88" s="21">
        <v>-6.56</v>
      </c>
      <c r="J88" s="20">
        <v>9.68</v>
      </c>
      <c r="K88" s="20">
        <v>14.73</v>
      </c>
      <c r="L88" s="20">
        <v>33.46</v>
      </c>
      <c r="M88" s="16"/>
      <c r="N88" s="20">
        <v>23.47</v>
      </c>
      <c r="O88" s="21">
        <v>-2.58</v>
      </c>
      <c r="P88" s="21">
        <v>-44.05</v>
      </c>
      <c r="Q88" s="22">
        <v>-100.78</v>
      </c>
      <c r="R88" s="21">
        <v>-55.96</v>
      </c>
      <c r="S88" s="16"/>
      <c r="T88" s="21">
        <v>-54.61</v>
      </c>
      <c r="U88" s="20">
        <v>33.94</v>
      </c>
      <c r="V88" s="21">
        <v>-3.45</v>
      </c>
      <c r="W88" s="20">
        <v>40.38</v>
      </c>
    </row>
    <row r="89" ht="15.0" customHeight="1">
      <c r="A89" s="17" t="s">
        <v>133</v>
      </c>
      <c r="B89" s="18">
        <v>145.11</v>
      </c>
      <c r="C89" s="24">
        <v>77.29</v>
      </c>
      <c r="D89" s="25">
        <v>-59.72</v>
      </c>
      <c r="E89" s="24">
        <v>30.4</v>
      </c>
      <c r="F89" s="18">
        <v>201.44</v>
      </c>
      <c r="G89" s="18">
        <v>102.35</v>
      </c>
      <c r="H89" s="18">
        <v>213.1</v>
      </c>
      <c r="I89" s="18">
        <v>218.2</v>
      </c>
      <c r="J89" s="18">
        <v>247.9</v>
      </c>
      <c r="K89" s="18">
        <v>264.15</v>
      </c>
      <c r="L89" s="18">
        <v>251.46</v>
      </c>
      <c r="M89" s="18">
        <v>188.31</v>
      </c>
      <c r="N89" s="18">
        <v>175.99</v>
      </c>
      <c r="O89" s="18">
        <v>133.21</v>
      </c>
      <c r="P89" s="24">
        <v>13.82</v>
      </c>
      <c r="Q89" s="25">
        <v>-21.0</v>
      </c>
      <c r="R89" s="25">
        <v>-28.81</v>
      </c>
      <c r="S89" s="18">
        <v>184.75</v>
      </c>
      <c r="T89" s="18">
        <v>250.49</v>
      </c>
      <c r="U89" s="18">
        <v>300.21</v>
      </c>
      <c r="V89" s="18">
        <v>210.75</v>
      </c>
      <c r="W89" s="18">
        <v>226.65</v>
      </c>
    </row>
    <row r="90" ht="15.0" customHeight="1">
      <c r="A90" s="17" t="s">
        <v>134</v>
      </c>
      <c r="B90" s="23">
        <v>-673.63</v>
      </c>
      <c r="C90" s="23">
        <v>-1215.31</v>
      </c>
      <c r="D90" s="23">
        <v>-452.85</v>
      </c>
      <c r="E90" s="25">
        <v>-1.9</v>
      </c>
      <c r="F90" s="18">
        <v>707.56</v>
      </c>
      <c r="G90" s="18">
        <v>258.94</v>
      </c>
      <c r="H90" s="18">
        <v>753.77</v>
      </c>
      <c r="I90" s="18">
        <v>705.16</v>
      </c>
      <c r="J90" s="18">
        <v>962.54</v>
      </c>
      <c r="K90" s="18">
        <v>960.35</v>
      </c>
      <c r="L90" s="18">
        <v>830.86</v>
      </c>
      <c r="M90" s="18">
        <v>546.56</v>
      </c>
      <c r="N90" s="18">
        <v>329.42</v>
      </c>
      <c r="O90" s="23">
        <v>-451.2</v>
      </c>
      <c r="P90" s="24">
        <v>73.41</v>
      </c>
      <c r="Q90" s="25">
        <v>-45.35</v>
      </c>
      <c r="R90" s="25">
        <v>-1.65</v>
      </c>
      <c r="S90" s="18">
        <v>458.45</v>
      </c>
      <c r="T90" s="18">
        <v>830.34</v>
      </c>
      <c r="U90" s="18">
        <v>752.69</v>
      </c>
      <c r="V90" s="18">
        <v>553.65</v>
      </c>
      <c r="W90" s="18">
        <v>544.15</v>
      </c>
    </row>
    <row r="91" ht="15.0" customHeight="1">
      <c r="A91" s="17" t="s">
        <v>135</v>
      </c>
      <c r="B91" s="23">
        <v>-673.63</v>
      </c>
      <c r="C91" s="23">
        <v>-1215.31</v>
      </c>
      <c r="D91" s="23">
        <v>-452.85</v>
      </c>
      <c r="E91" s="25">
        <v>-1.9</v>
      </c>
      <c r="F91" s="18">
        <v>707.56</v>
      </c>
      <c r="G91" s="18">
        <v>258.94</v>
      </c>
      <c r="H91" s="18">
        <v>753.77</v>
      </c>
      <c r="I91" s="18">
        <v>705.16</v>
      </c>
      <c r="J91" s="18">
        <v>962.54</v>
      </c>
      <c r="K91" s="18">
        <v>960.35</v>
      </c>
      <c r="L91" s="18">
        <v>830.86</v>
      </c>
      <c r="M91" s="18">
        <v>546.56</v>
      </c>
      <c r="N91" s="18">
        <v>329.42</v>
      </c>
      <c r="O91" s="23">
        <v>-451.2</v>
      </c>
      <c r="P91" s="24">
        <v>73.41</v>
      </c>
      <c r="Q91" s="25">
        <v>-45.35</v>
      </c>
      <c r="R91" s="25">
        <v>-1.65</v>
      </c>
      <c r="S91" s="18">
        <v>458.45</v>
      </c>
      <c r="T91" s="18">
        <v>830.34</v>
      </c>
      <c r="U91" s="18">
        <v>752.69</v>
      </c>
      <c r="V91" s="18">
        <v>553.65</v>
      </c>
      <c r="W91" s="18">
        <v>544.15</v>
      </c>
    </row>
    <row r="92" ht="15.0" customHeight="1">
      <c r="A92" s="14" t="s">
        <v>136</v>
      </c>
      <c r="B92" s="22">
        <v>-2771.83</v>
      </c>
      <c r="C92" s="22">
        <v>-150.52</v>
      </c>
      <c r="D92" s="15">
        <v>107.49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137</v>
      </c>
      <c r="B93" s="16"/>
      <c r="C93" s="20">
        <v>16.27</v>
      </c>
      <c r="D93" s="15">
        <v>107.49</v>
      </c>
      <c r="E93" s="16"/>
      <c r="F93" s="16"/>
      <c r="G93" s="16"/>
      <c r="H93" s="16"/>
      <c r="I93" s="16">
        <v>0.0</v>
      </c>
      <c r="J93" s="20">
        <v>20.34</v>
      </c>
      <c r="K93" s="22">
        <v>-513.56</v>
      </c>
      <c r="L93" s="21">
        <v>-39.2</v>
      </c>
      <c r="M93" s="22">
        <v>-571.36</v>
      </c>
      <c r="N93" s="21">
        <v>-13.54</v>
      </c>
      <c r="O93" s="21">
        <v>-17.19</v>
      </c>
      <c r="P93" s="21">
        <v>-13.82</v>
      </c>
      <c r="Q93" s="21">
        <v>-29.39</v>
      </c>
      <c r="R93" s="21">
        <v>-63.37</v>
      </c>
      <c r="S93" s="21">
        <v>-5.99</v>
      </c>
      <c r="T93" s="16">
        <v>0.0</v>
      </c>
      <c r="U93" s="16"/>
      <c r="V93" s="16"/>
      <c r="W93" s="16"/>
    </row>
    <row r="94" ht="15.0" customHeight="1">
      <c r="A94" s="14" t="s">
        <v>138</v>
      </c>
      <c r="B94" s="16"/>
      <c r="C94" s="20">
        <v>21.36</v>
      </c>
      <c r="D94" s="15">
        <v>141.33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139</v>
      </c>
      <c r="B95" s="16"/>
      <c r="C95" s="21">
        <v>-5.08</v>
      </c>
      <c r="D95" s="21">
        <v>-33.84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140</v>
      </c>
      <c r="B96" s="16"/>
      <c r="C96" s="22">
        <v>-166.79</v>
      </c>
      <c r="D96" s="16">
        <v>0.0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7" t="s">
        <v>141</v>
      </c>
      <c r="B97" s="23">
        <v>-2771.83</v>
      </c>
      <c r="C97" s="23">
        <v>-150.52</v>
      </c>
      <c r="D97" s="18">
        <v>107.49</v>
      </c>
      <c r="E97" s="19"/>
      <c r="F97" s="19"/>
      <c r="G97" s="19"/>
      <c r="H97" s="19"/>
      <c r="I97" s="19">
        <v>0.0</v>
      </c>
      <c r="J97" s="24">
        <v>20.34</v>
      </c>
      <c r="K97" s="23">
        <v>-513.56</v>
      </c>
      <c r="L97" s="25">
        <v>-39.2</v>
      </c>
      <c r="M97" s="23">
        <v>-571.36</v>
      </c>
      <c r="N97" s="25">
        <v>-13.54</v>
      </c>
      <c r="O97" s="25">
        <v>-17.19</v>
      </c>
      <c r="P97" s="25">
        <v>-13.82</v>
      </c>
      <c r="Q97" s="25">
        <v>-29.39</v>
      </c>
      <c r="R97" s="25">
        <v>-63.37</v>
      </c>
      <c r="S97" s="25">
        <v>-5.99</v>
      </c>
      <c r="T97" s="19">
        <v>0.0</v>
      </c>
      <c r="U97" s="19"/>
      <c r="V97" s="19"/>
      <c r="W97" s="19"/>
    </row>
    <row r="98" ht="15.0" customHeight="1">
      <c r="A98" s="17" t="s">
        <v>142</v>
      </c>
      <c r="B98" s="23">
        <v>-3445.46</v>
      </c>
      <c r="C98" s="23">
        <v>-1365.83</v>
      </c>
      <c r="D98" s="23">
        <v>-345.36</v>
      </c>
      <c r="E98" s="25">
        <v>-1.9</v>
      </c>
      <c r="F98" s="18">
        <v>707.56</v>
      </c>
      <c r="G98" s="18">
        <v>258.94</v>
      </c>
      <c r="H98" s="18">
        <v>753.77</v>
      </c>
      <c r="I98" s="18">
        <v>705.16</v>
      </c>
      <c r="J98" s="18">
        <v>982.87</v>
      </c>
      <c r="K98" s="18">
        <v>446.79</v>
      </c>
      <c r="L98" s="18">
        <v>791.66</v>
      </c>
      <c r="M98" s="25">
        <v>-24.8</v>
      </c>
      <c r="N98" s="18">
        <v>315.88</v>
      </c>
      <c r="O98" s="23">
        <v>-468.38</v>
      </c>
      <c r="P98" s="24">
        <v>59.6</v>
      </c>
      <c r="Q98" s="25">
        <v>-74.74</v>
      </c>
      <c r="R98" s="25">
        <v>-65.02</v>
      </c>
      <c r="S98" s="18">
        <v>452.46</v>
      </c>
      <c r="T98" s="18">
        <v>830.34</v>
      </c>
      <c r="U98" s="18">
        <v>752.69</v>
      </c>
      <c r="V98" s="18">
        <v>553.65</v>
      </c>
      <c r="W98" s="18">
        <v>544.15</v>
      </c>
    </row>
    <row r="99" ht="15.0" customHeight="1">
      <c r="A99" s="14" t="s">
        <v>143</v>
      </c>
      <c r="B99" s="16"/>
      <c r="C99" s="16"/>
      <c r="D99" s="16"/>
      <c r="E99" s="16"/>
      <c r="F99" s="16"/>
      <c r="G99" s="16"/>
      <c r="H99" s="16">
        <v>0.0</v>
      </c>
      <c r="I99" s="16">
        <v>0.0</v>
      </c>
      <c r="J99" s="16">
        <v>0.0</v>
      </c>
      <c r="K99" s="21">
        <v>-0.98</v>
      </c>
      <c r="L99" s="21">
        <v>-0.96</v>
      </c>
      <c r="M99" s="20">
        <v>0.92</v>
      </c>
      <c r="N99" s="21">
        <v>-0.9</v>
      </c>
      <c r="O99" s="20">
        <v>0.86</v>
      </c>
      <c r="P99" s="21">
        <v>-0.86</v>
      </c>
      <c r="Q99" s="16">
        <v>0.0</v>
      </c>
      <c r="R99" s="16">
        <v>0.0</v>
      </c>
      <c r="S99" s="16">
        <v>0.0</v>
      </c>
      <c r="T99" s="16">
        <v>0.0</v>
      </c>
      <c r="U99" s="20">
        <v>0.87</v>
      </c>
      <c r="V99" s="20">
        <v>0.86</v>
      </c>
      <c r="W99" s="20">
        <v>0.92</v>
      </c>
    </row>
    <row r="100" ht="15.0" customHeight="1">
      <c r="A100" s="17" t="s">
        <v>144</v>
      </c>
      <c r="B100" s="19"/>
      <c r="C100" s="19"/>
      <c r="D100" s="19"/>
      <c r="E100" s="19"/>
      <c r="F100" s="19"/>
      <c r="G100" s="19"/>
      <c r="H100" s="19">
        <v>0.0</v>
      </c>
      <c r="I100" s="19">
        <v>0.0</v>
      </c>
      <c r="J100" s="19">
        <v>0.0</v>
      </c>
      <c r="K100" s="25">
        <v>-0.98</v>
      </c>
      <c r="L100" s="25">
        <v>-0.96</v>
      </c>
      <c r="M100" s="24">
        <v>0.92</v>
      </c>
      <c r="N100" s="25">
        <v>-0.9</v>
      </c>
      <c r="O100" s="24">
        <v>0.86</v>
      </c>
      <c r="P100" s="25">
        <v>-0.86</v>
      </c>
      <c r="Q100" s="19">
        <v>0.0</v>
      </c>
      <c r="R100" s="19">
        <v>0.0</v>
      </c>
      <c r="S100" s="19">
        <v>0.0</v>
      </c>
      <c r="T100" s="19">
        <v>0.0</v>
      </c>
      <c r="U100" s="24">
        <v>0.87</v>
      </c>
      <c r="V100" s="24">
        <v>0.86</v>
      </c>
      <c r="W100" s="24">
        <v>0.92</v>
      </c>
    </row>
    <row r="101" ht="15.0" customHeight="1">
      <c r="A101" s="17" t="s">
        <v>145</v>
      </c>
      <c r="B101" s="23">
        <v>-3445.46</v>
      </c>
      <c r="C101" s="23">
        <v>-1365.83</v>
      </c>
      <c r="D101" s="23">
        <v>-345.36</v>
      </c>
      <c r="E101" s="25">
        <v>-1.9</v>
      </c>
      <c r="F101" s="18">
        <v>707.56</v>
      </c>
      <c r="G101" s="18">
        <v>258.94</v>
      </c>
      <c r="H101" s="18">
        <v>753.77</v>
      </c>
      <c r="I101" s="18">
        <v>705.16</v>
      </c>
      <c r="J101" s="18">
        <v>982.87</v>
      </c>
      <c r="K101" s="18">
        <v>447.77</v>
      </c>
      <c r="L101" s="18">
        <v>792.61</v>
      </c>
      <c r="M101" s="25">
        <v>-25.72</v>
      </c>
      <c r="N101" s="18">
        <v>316.78</v>
      </c>
      <c r="O101" s="23">
        <v>-469.24</v>
      </c>
      <c r="P101" s="24">
        <v>60.46</v>
      </c>
      <c r="Q101" s="25">
        <v>-74.74</v>
      </c>
      <c r="R101" s="25">
        <v>-65.02</v>
      </c>
      <c r="S101" s="18">
        <v>452.46</v>
      </c>
      <c r="T101" s="18">
        <v>830.34</v>
      </c>
      <c r="U101" s="18">
        <v>751.82</v>
      </c>
      <c r="V101" s="18">
        <v>552.79</v>
      </c>
      <c r="W101" s="18">
        <v>543.23</v>
      </c>
    </row>
    <row r="102" ht="15.0" customHeight="1">
      <c r="A102" s="17" t="s">
        <v>146</v>
      </c>
      <c r="B102" s="23">
        <v>-673.63</v>
      </c>
      <c r="C102" s="23">
        <v>-1215.31</v>
      </c>
      <c r="D102" s="23">
        <v>-452.85</v>
      </c>
      <c r="E102" s="25">
        <v>-1.9</v>
      </c>
      <c r="F102" s="18">
        <v>707.56</v>
      </c>
      <c r="G102" s="18">
        <v>258.94</v>
      </c>
      <c r="H102" s="18">
        <v>753.77</v>
      </c>
      <c r="I102" s="18">
        <v>705.16</v>
      </c>
      <c r="J102" s="18">
        <v>962.54</v>
      </c>
      <c r="K102" s="18">
        <v>961.33</v>
      </c>
      <c r="L102" s="18">
        <v>831.81</v>
      </c>
      <c r="M102" s="18">
        <v>545.64</v>
      </c>
      <c r="N102" s="18">
        <v>330.32</v>
      </c>
      <c r="O102" s="23">
        <v>-452.05</v>
      </c>
      <c r="P102" s="24">
        <v>74.28</v>
      </c>
      <c r="Q102" s="25">
        <v>-45.35</v>
      </c>
      <c r="R102" s="25">
        <v>-1.65</v>
      </c>
      <c r="S102" s="18">
        <v>458.45</v>
      </c>
      <c r="T102" s="18">
        <v>830.34</v>
      </c>
      <c r="U102" s="18">
        <v>751.82</v>
      </c>
      <c r="V102" s="18">
        <v>552.79</v>
      </c>
      <c r="W102" s="18">
        <v>543.23</v>
      </c>
    </row>
    <row r="103" ht="15.0" customHeight="1">
      <c r="A103" s="17" t="s">
        <v>147</v>
      </c>
      <c r="B103" s="23">
        <v>-3445.46</v>
      </c>
      <c r="C103" s="23">
        <v>-1365.83</v>
      </c>
      <c r="D103" s="23">
        <v>-345.36</v>
      </c>
      <c r="E103" s="25">
        <v>-1.9</v>
      </c>
      <c r="F103" s="18">
        <v>707.56</v>
      </c>
      <c r="G103" s="18">
        <v>258.94</v>
      </c>
      <c r="H103" s="18">
        <v>753.77</v>
      </c>
      <c r="I103" s="18">
        <v>705.16</v>
      </c>
      <c r="J103" s="18">
        <v>982.87</v>
      </c>
      <c r="K103" s="18">
        <v>447.77</v>
      </c>
      <c r="L103" s="18">
        <v>792.61</v>
      </c>
      <c r="M103" s="25">
        <v>-25.72</v>
      </c>
      <c r="N103" s="18">
        <v>316.78</v>
      </c>
      <c r="O103" s="23">
        <v>-469.24</v>
      </c>
      <c r="P103" s="24">
        <v>60.46</v>
      </c>
      <c r="Q103" s="25">
        <v>-74.74</v>
      </c>
      <c r="R103" s="25">
        <v>-65.02</v>
      </c>
      <c r="S103" s="18">
        <v>452.46</v>
      </c>
      <c r="T103" s="18">
        <v>830.34</v>
      </c>
      <c r="U103" s="18">
        <v>751.82</v>
      </c>
      <c r="V103" s="18">
        <v>552.79</v>
      </c>
      <c r="W103" s="18">
        <v>543.23</v>
      </c>
    </row>
    <row r="104" ht="15.0" customHeight="1">
      <c r="A104" s="14" t="s">
        <v>134</v>
      </c>
      <c r="B104" s="22">
        <v>-3576.79</v>
      </c>
      <c r="C104" s="22">
        <v>-1365.83</v>
      </c>
      <c r="D104" s="22">
        <v>-345.36</v>
      </c>
      <c r="E104" s="21">
        <v>-1.9</v>
      </c>
      <c r="F104" s="15">
        <v>707.56</v>
      </c>
      <c r="G104" s="15">
        <v>258.94</v>
      </c>
      <c r="H104" s="15">
        <v>753.77</v>
      </c>
      <c r="I104" s="15">
        <v>705.16</v>
      </c>
      <c r="J104" s="15">
        <v>982.87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148</v>
      </c>
      <c r="B105" s="22">
        <v>-172.64</v>
      </c>
      <c r="C105" s="15">
        <v>107.8</v>
      </c>
      <c r="D105" s="20">
        <v>15.92</v>
      </c>
      <c r="E105" s="15">
        <v>312.6</v>
      </c>
      <c r="F105" s="15">
        <v>321.71</v>
      </c>
      <c r="G105" s="22">
        <v>-408.37</v>
      </c>
      <c r="H105" s="15">
        <v>224.27</v>
      </c>
      <c r="I105" s="20">
        <v>91.77</v>
      </c>
      <c r="J105" s="21">
        <v>-17.43</v>
      </c>
      <c r="K105" s="16"/>
      <c r="L105" s="16"/>
      <c r="M105" s="16"/>
      <c r="N105" s="16"/>
      <c r="O105" s="16"/>
      <c r="P105" s="20">
        <v>9.5</v>
      </c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149</v>
      </c>
      <c r="B106" s="21">
        <v>-1.06</v>
      </c>
      <c r="C106" s="20">
        <v>19.32</v>
      </c>
      <c r="D106" s="21">
        <v>-56.73</v>
      </c>
      <c r="E106" s="20">
        <v>37.06</v>
      </c>
      <c r="F106" s="20">
        <v>13.03</v>
      </c>
      <c r="G106" s="20">
        <v>1.02</v>
      </c>
      <c r="H106" s="21">
        <v>-17.68</v>
      </c>
      <c r="I106" s="21">
        <v>-6.56</v>
      </c>
      <c r="J106" s="20">
        <v>13.56</v>
      </c>
      <c r="K106" s="16"/>
      <c r="L106" s="16"/>
      <c r="M106" s="16"/>
      <c r="N106" s="16"/>
      <c r="O106" s="16"/>
      <c r="P106" s="21">
        <v>-7.77</v>
      </c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150</v>
      </c>
      <c r="B107" s="16">
        <v>0.0</v>
      </c>
      <c r="C107" s="21">
        <v>-4.07</v>
      </c>
      <c r="D107" s="20">
        <v>10.95</v>
      </c>
      <c r="E107" s="21">
        <v>-6.65</v>
      </c>
      <c r="F107" s="21">
        <v>-3.01</v>
      </c>
      <c r="G107" s="21">
        <v>-2.05</v>
      </c>
      <c r="H107" s="20">
        <v>3.72</v>
      </c>
      <c r="I107" s="20">
        <v>1.87</v>
      </c>
      <c r="J107" s="21">
        <v>-2.91</v>
      </c>
      <c r="K107" s="16"/>
      <c r="L107" s="16"/>
      <c r="M107" s="16"/>
      <c r="N107" s="16"/>
      <c r="O107" s="16"/>
      <c r="P107" s="20">
        <v>1.73</v>
      </c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151</v>
      </c>
      <c r="B108" s="20">
        <v>55.08</v>
      </c>
      <c r="C108" s="20">
        <v>71.19</v>
      </c>
      <c r="D108" s="21">
        <v>-11.94</v>
      </c>
      <c r="E108" s="22">
        <v>-177.68</v>
      </c>
      <c r="F108" s="15">
        <v>286.63</v>
      </c>
      <c r="G108" s="22">
        <v>-138.17</v>
      </c>
      <c r="H108" s="20">
        <v>5.58</v>
      </c>
      <c r="I108" s="20">
        <v>93.65</v>
      </c>
      <c r="J108" s="15">
        <v>268.23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152</v>
      </c>
      <c r="B109" s="21">
        <v>-12.71</v>
      </c>
      <c r="C109" s="21">
        <v>-19.32</v>
      </c>
      <c r="D109" s="20">
        <v>2.99</v>
      </c>
      <c r="E109" s="20">
        <v>43.71</v>
      </c>
      <c r="F109" s="21">
        <v>-55.12</v>
      </c>
      <c r="G109" s="20">
        <v>30.7</v>
      </c>
      <c r="H109" s="16">
        <v>0.0</v>
      </c>
      <c r="I109" s="21">
        <v>-15.92</v>
      </c>
      <c r="J109" s="21">
        <v>-44.54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7" t="s">
        <v>153</v>
      </c>
      <c r="B110" s="23">
        <v>-131.34</v>
      </c>
      <c r="C110" s="18">
        <v>174.92</v>
      </c>
      <c r="D110" s="25">
        <v>-38.82</v>
      </c>
      <c r="E110" s="18">
        <v>209.03</v>
      </c>
      <c r="F110" s="18">
        <v>563.24</v>
      </c>
      <c r="G110" s="23">
        <v>-516.86</v>
      </c>
      <c r="H110" s="18">
        <v>215.9</v>
      </c>
      <c r="I110" s="18">
        <v>164.82</v>
      </c>
      <c r="J110" s="18">
        <v>216.91</v>
      </c>
      <c r="K110" s="19"/>
      <c r="L110" s="19"/>
      <c r="M110" s="19"/>
      <c r="N110" s="19"/>
      <c r="O110" s="19"/>
      <c r="P110" s="24">
        <v>3.45</v>
      </c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154</v>
      </c>
      <c r="B111" s="22">
        <v>-3576.79</v>
      </c>
      <c r="C111" s="22">
        <v>-1190.9</v>
      </c>
      <c r="D111" s="22">
        <v>-384.18</v>
      </c>
      <c r="E111" s="15">
        <v>207.13</v>
      </c>
      <c r="F111" s="15">
        <v>1270.8</v>
      </c>
      <c r="G111" s="22">
        <v>-257.92</v>
      </c>
      <c r="H111" s="15">
        <v>969.67</v>
      </c>
      <c r="I111" s="15">
        <v>869.98</v>
      </c>
      <c r="J111" s="15">
        <v>1199.78</v>
      </c>
      <c r="K111" s="16"/>
      <c r="L111" s="16"/>
      <c r="M111" s="16"/>
      <c r="N111" s="16"/>
      <c r="O111" s="16"/>
      <c r="P111" s="20">
        <v>63.91</v>
      </c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155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21">
        <v>-0.86</v>
      </c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156</v>
      </c>
      <c r="B113" s="16"/>
      <c r="C113" s="16"/>
      <c r="D113" s="16"/>
      <c r="E113" s="16"/>
      <c r="F113" s="16">
        <v>0.0</v>
      </c>
      <c r="G113" s="16">
        <v>0.0</v>
      </c>
      <c r="H113" s="16">
        <v>0.0</v>
      </c>
      <c r="I113" s="16">
        <v>0.0</v>
      </c>
      <c r="J113" s="16">
        <v>0.0</v>
      </c>
      <c r="K113" s="16"/>
      <c r="L113" s="16"/>
      <c r="M113" s="16"/>
      <c r="N113" s="16"/>
      <c r="O113" s="16"/>
      <c r="P113" s="21">
        <v>-0.86</v>
      </c>
      <c r="Q113" s="16"/>
      <c r="R113" s="16"/>
      <c r="S113" s="16"/>
      <c r="T113" s="16"/>
      <c r="U113" s="16"/>
      <c r="V113" s="16"/>
      <c r="W113" s="16"/>
    </row>
    <row r="114" ht="15.0" customHeight="1">
      <c r="A114" s="17" t="s">
        <v>157</v>
      </c>
      <c r="B114" s="23">
        <v>-3708.13</v>
      </c>
      <c r="C114" s="23">
        <v>-1190.9</v>
      </c>
      <c r="D114" s="23">
        <v>-384.18</v>
      </c>
      <c r="E114" s="18">
        <v>207.13</v>
      </c>
      <c r="F114" s="18">
        <v>1270.8</v>
      </c>
      <c r="G114" s="23">
        <v>-257.92</v>
      </c>
      <c r="H114" s="18">
        <v>969.67</v>
      </c>
      <c r="I114" s="18">
        <v>869.98</v>
      </c>
      <c r="J114" s="18">
        <v>1199.78</v>
      </c>
      <c r="K114" s="19"/>
      <c r="L114" s="19"/>
      <c r="M114" s="19"/>
      <c r="N114" s="19"/>
      <c r="O114" s="19"/>
      <c r="P114" s="24">
        <v>63.05</v>
      </c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158</v>
      </c>
      <c r="B115" s="15">
        <v>946.58</v>
      </c>
      <c r="C115" s="15">
        <v>769.1</v>
      </c>
      <c r="D115" s="15">
        <v>528.97</v>
      </c>
      <c r="E115" s="15">
        <v>528.97</v>
      </c>
      <c r="F115" s="15">
        <v>530.05</v>
      </c>
      <c r="G115" s="15">
        <v>530.86</v>
      </c>
      <c r="H115" s="15">
        <v>530.6</v>
      </c>
      <c r="I115" s="15">
        <v>530.23</v>
      </c>
      <c r="J115" s="15">
        <v>529.9</v>
      </c>
      <c r="K115" s="15">
        <v>528.36</v>
      </c>
      <c r="L115" s="15">
        <v>529.51</v>
      </c>
      <c r="M115" s="15">
        <v>526.08</v>
      </c>
      <c r="N115" s="15">
        <v>525.44</v>
      </c>
      <c r="O115" s="15">
        <v>525.44</v>
      </c>
      <c r="P115" s="15">
        <v>525.44</v>
      </c>
      <c r="Q115" s="15">
        <v>525.44</v>
      </c>
      <c r="R115" s="15">
        <v>525.44</v>
      </c>
      <c r="S115" s="15">
        <v>530.43</v>
      </c>
      <c r="T115" s="15">
        <v>542.98</v>
      </c>
      <c r="U115" s="15">
        <v>545.37</v>
      </c>
      <c r="V115" s="15">
        <v>543.96</v>
      </c>
      <c r="W115" s="15">
        <v>543.92</v>
      </c>
    </row>
    <row r="116" ht="15.0" customHeight="1">
      <c r="A116" s="14" t="s">
        <v>159</v>
      </c>
      <c r="B116" s="15">
        <v>946.58</v>
      </c>
      <c r="C116" s="15">
        <v>769.1</v>
      </c>
      <c r="D116" s="15">
        <v>528.97</v>
      </c>
      <c r="E116" s="15">
        <v>528.97</v>
      </c>
      <c r="F116" s="15">
        <v>531.25</v>
      </c>
      <c r="G116" s="15">
        <v>532.24</v>
      </c>
      <c r="H116" s="15">
        <v>531.46</v>
      </c>
      <c r="I116" s="15">
        <v>530.34</v>
      </c>
      <c r="J116" s="15">
        <v>530.38</v>
      </c>
      <c r="K116" s="15">
        <v>529.8</v>
      </c>
      <c r="L116" s="15">
        <v>530.26</v>
      </c>
      <c r="M116" s="15">
        <v>526.08</v>
      </c>
      <c r="N116" s="15">
        <v>526.01</v>
      </c>
      <c r="O116" s="15">
        <v>525.44</v>
      </c>
      <c r="P116" s="15">
        <v>525.44</v>
      </c>
      <c r="Q116" s="15">
        <v>525.44</v>
      </c>
      <c r="R116" s="15">
        <v>525.44</v>
      </c>
      <c r="S116" s="15">
        <v>530.43</v>
      </c>
      <c r="T116" s="15">
        <v>547.28</v>
      </c>
      <c r="U116" s="15">
        <v>551.6</v>
      </c>
      <c r="V116" s="15">
        <v>548.34</v>
      </c>
      <c r="W116" s="15">
        <v>546.24</v>
      </c>
    </row>
    <row r="117" ht="15.0" customHeight="1">
      <c r="A117" s="14" t="s">
        <v>160</v>
      </c>
      <c r="B117" s="21">
        <v>-3.64</v>
      </c>
      <c r="C117" s="21">
        <v>-1.78</v>
      </c>
      <c r="D117" s="21">
        <v>-0.65</v>
      </c>
      <c r="E117" s="26">
        <v>0.0</v>
      </c>
      <c r="F117" s="20">
        <v>1.34</v>
      </c>
      <c r="G117" s="20">
        <v>0.49</v>
      </c>
      <c r="H117" s="20">
        <v>1.42</v>
      </c>
      <c r="I117" s="20">
        <v>1.33</v>
      </c>
      <c r="J117" s="20">
        <v>1.85</v>
      </c>
      <c r="K117" s="20">
        <v>0.85</v>
      </c>
      <c r="L117" s="20">
        <v>1.5</v>
      </c>
      <c r="M117" s="21">
        <v>-0.05</v>
      </c>
      <c r="N117" s="20">
        <v>0.6</v>
      </c>
      <c r="O117" s="21">
        <v>-0.89</v>
      </c>
      <c r="P117" s="20">
        <v>0.12</v>
      </c>
      <c r="Q117" s="21">
        <v>-0.14</v>
      </c>
      <c r="R117" s="21">
        <v>-0.12</v>
      </c>
      <c r="S117" s="20">
        <v>0.85</v>
      </c>
      <c r="T117" s="20">
        <v>1.53</v>
      </c>
      <c r="U117" s="20">
        <v>1.38</v>
      </c>
      <c r="V117" s="20">
        <v>1.02</v>
      </c>
      <c r="W117" s="20">
        <v>3.0</v>
      </c>
    </row>
    <row r="118" ht="15.0" customHeight="1">
      <c r="A118" s="14" t="s">
        <v>161</v>
      </c>
      <c r="B118" s="21">
        <v>-3.64</v>
      </c>
      <c r="C118" s="21">
        <v>-1.78</v>
      </c>
      <c r="D118" s="21">
        <v>-0.65</v>
      </c>
      <c r="E118" s="26">
        <v>0.0</v>
      </c>
      <c r="F118" s="20">
        <v>1.33</v>
      </c>
      <c r="G118" s="20">
        <v>0.49</v>
      </c>
      <c r="H118" s="20">
        <v>1.42</v>
      </c>
      <c r="I118" s="20">
        <v>1.33</v>
      </c>
      <c r="J118" s="20">
        <v>1.85</v>
      </c>
      <c r="K118" s="20">
        <v>0.84</v>
      </c>
      <c r="L118" s="20">
        <v>1.5</v>
      </c>
      <c r="M118" s="21">
        <v>-0.05</v>
      </c>
      <c r="N118" s="20">
        <v>0.6</v>
      </c>
      <c r="O118" s="21">
        <v>-0.89</v>
      </c>
      <c r="P118" s="20">
        <v>0.12</v>
      </c>
      <c r="Q118" s="21">
        <v>-0.14</v>
      </c>
      <c r="R118" s="21">
        <v>-0.12</v>
      </c>
      <c r="S118" s="20">
        <v>0.85</v>
      </c>
      <c r="T118" s="20">
        <v>1.52</v>
      </c>
      <c r="U118" s="20">
        <v>4.09</v>
      </c>
      <c r="V118" s="20">
        <v>1.01</v>
      </c>
      <c r="W118" s="20">
        <v>2.98</v>
      </c>
    </row>
    <row r="119" ht="15.0" customHeight="1">
      <c r="A119" s="14" t="s">
        <v>162</v>
      </c>
      <c r="B119" s="21">
        <v>-0.71</v>
      </c>
      <c r="C119" s="21">
        <v>-1.58</v>
      </c>
      <c r="D119" s="21">
        <v>-0.86</v>
      </c>
      <c r="E119" s="26">
        <v>0.0</v>
      </c>
      <c r="F119" s="20">
        <v>1.34</v>
      </c>
      <c r="G119" s="20">
        <v>0.49</v>
      </c>
      <c r="H119" s="20">
        <v>1.42</v>
      </c>
      <c r="I119" s="20">
        <v>1.33</v>
      </c>
      <c r="J119" s="20">
        <v>1.81</v>
      </c>
      <c r="K119" s="20">
        <v>1.81</v>
      </c>
      <c r="L119" s="20">
        <v>1.57</v>
      </c>
      <c r="M119" s="20">
        <v>1.04</v>
      </c>
      <c r="N119" s="20">
        <v>0.63</v>
      </c>
      <c r="O119" s="21">
        <v>-0.86</v>
      </c>
      <c r="P119" s="20">
        <v>0.14</v>
      </c>
      <c r="Q119" s="21">
        <v>-0.09</v>
      </c>
      <c r="R119" s="26">
        <v>0.0</v>
      </c>
      <c r="S119" s="20">
        <v>0.86</v>
      </c>
      <c r="T119" s="20">
        <v>1.53</v>
      </c>
      <c r="U119" s="20">
        <v>1.38</v>
      </c>
      <c r="V119" s="20">
        <v>1.02</v>
      </c>
      <c r="W119" s="20">
        <v>3.0</v>
      </c>
    </row>
    <row r="120" ht="15.0" customHeight="1">
      <c r="A120" s="14" t="s">
        <v>163</v>
      </c>
      <c r="B120" s="21">
        <v>-0.71</v>
      </c>
      <c r="C120" s="21">
        <v>-1.58</v>
      </c>
      <c r="D120" s="21">
        <v>-0.86</v>
      </c>
      <c r="E120" s="26">
        <v>0.0</v>
      </c>
      <c r="F120" s="20">
        <v>1.33</v>
      </c>
      <c r="G120" s="20">
        <v>0.49</v>
      </c>
      <c r="H120" s="20">
        <v>1.42</v>
      </c>
      <c r="I120" s="20">
        <v>1.33</v>
      </c>
      <c r="J120" s="20">
        <v>1.81</v>
      </c>
      <c r="K120" s="20">
        <v>1.81</v>
      </c>
      <c r="L120" s="20">
        <v>1.57</v>
      </c>
      <c r="M120" s="20">
        <v>1.04</v>
      </c>
      <c r="N120" s="20">
        <v>0.63</v>
      </c>
      <c r="O120" s="21">
        <v>-0.86</v>
      </c>
      <c r="P120" s="20">
        <v>0.14</v>
      </c>
      <c r="Q120" s="21">
        <v>-0.09</v>
      </c>
      <c r="R120" s="26">
        <v>0.0</v>
      </c>
      <c r="S120" s="20">
        <v>0.86</v>
      </c>
      <c r="T120" s="20">
        <v>1.52</v>
      </c>
      <c r="U120" s="20">
        <v>4.09</v>
      </c>
      <c r="V120" s="20">
        <v>1.01</v>
      </c>
      <c r="W120" s="20">
        <v>2.98</v>
      </c>
    </row>
    <row r="121" ht="15.0" customHeight="1">
      <c r="A121" s="14" t="s">
        <v>164</v>
      </c>
      <c r="B121" s="22">
        <v>-3445.46</v>
      </c>
      <c r="C121" s="22">
        <v>-1365.83</v>
      </c>
      <c r="D121" s="22">
        <v>-345.36</v>
      </c>
      <c r="E121" s="21">
        <v>-1.9</v>
      </c>
      <c r="F121" s="15">
        <v>707.56</v>
      </c>
      <c r="G121" s="15">
        <v>258.94</v>
      </c>
      <c r="H121" s="15">
        <v>753.77</v>
      </c>
      <c r="I121" s="15">
        <v>705.16</v>
      </c>
      <c r="J121" s="15">
        <v>982.87</v>
      </c>
      <c r="K121" s="15">
        <v>447.77</v>
      </c>
      <c r="L121" s="15">
        <v>792.61</v>
      </c>
      <c r="M121" s="21">
        <v>-25.72</v>
      </c>
      <c r="N121" s="15">
        <v>316.78</v>
      </c>
      <c r="O121" s="22">
        <v>-469.24</v>
      </c>
      <c r="P121" s="20">
        <v>60.46</v>
      </c>
      <c r="Q121" s="21">
        <v>-74.74</v>
      </c>
      <c r="R121" s="21">
        <v>-65.02</v>
      </c>
      <c r="S121" s="15">
        <v>452.46</v>
      </c>
      <c r="T121" s="15">
        <v>830.34</v>
      </c>
      <c r="U121" s="15">
        <v>751.82</v>
      </c>
      <c r="V121" s="15">
        <v>552.79</v>
      </c>
      <c r="W121" s="15">
        <v>543.23</v>
      </c>
    </row>
    <row r="122" ht="15.0" customHeight="1">
      <c r="A122" s="14" t="s">
        <v>165</v>
      </c>
      <c r="B122" s="22">
        <v>-673.63</v>
      </c>
      <c r="C122" s="22">
        <v>-1215.31</v>
      </c>
      <c r="D122" s="22">
        <v>-452.85</v>
      </c>
      <c r="E122" s="21">
        <v>-1.9</v>
      </c>
      <c r="F122" s="15">
        <v>707.56</v>
      </c>
      <c r="G122" s="15">
        <v>258.94</v>
      </c>
      <c r="H122" s="15">
        <v>753.77</v>
      </c>
      <c r="I122" s="15">
        <v>705.16</v>
      </c>
      <c r="J122" s="15">
        <v>962.54</v>
      </c>
      <c r="K122" s="15">
        <v>961.33</v>
      </c>
      <c r="L122" s="15">
        <v>831.81</v>
      </c>
      <c r="M122" s="15">
        <v>545.64</v>
      </c>
      <c r="N122" s="15">
        <v>330.32</v>
      </c>
      <c r="O122" s="22">
        <v>-452.05</v>
      </c>
      <c r="P122" s="20">
        <v>74.28</v>
      </c>
      <c r="Q122" s="21">
        <v>-45.35</v>
      </c>
      <c r="R122" s="21">
        <v>-1.65</v>
      </c>
      <c r="S122" s="15">
        <v>458.45</v>
      </c>
      <c r="T122" s="15">
        <v>830.34</v>
      </c>
      <c r="U122" s="15">
        <v>2255.49</v>
      </c>
      <c r="V122" s="15">
        <v>552.79</v>
      </c>
      <c r="W122" s="15">
        <v>543.23</v>
      </c>
    </row>
    <row r="123" ht="15.0" customHeight="1">
      <c r="A123" s="14" t="s">
        <v>166</v>
      </c>
      <c r="B123" s="15">
        <v>419.43</v>
      </c>
      <c r="C123" s="15">
        <v>762.75</v>
      </c>
      <c r="D123" s="16"/>
      <c r="E123" s="16"/>
      <c r="F123" s="16"/>
      <c r="G123" s="16"/>
      <c r="H123" s="15">
        <v>779.83</v>
      </c>
      <c r="I123" s="15">
        <v>294.99</v>
      </c>
      <c r="J123" s="15">
        <v>275.98</v>
      </c>
      <c r="K123" s="15">
        <v>281.82</v>
      </c>
      <c r="L123" s="15">
        <v>288.74</v>
      </c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167</v>
      </c>
      <c r="B124" s="16"/>
      <c r="C124" s="16"/>
      <c r="D124" s="20">
        <v>32.84</v>
      </c>
      <c r="E124" s="20">
        <v>59.86</v>
      </c>
      <c r="F124" s="20">
        <v>68.15</v>
      </c>
      <c r="G124" s="20">
        <v>66.53</v>
      </c>
      <c r="H124" s="20">
        <v>57.7</v>
      </c>
      <c r="I124" s="20">
        <v>46.82</v>
      </c>
      <c r="J124" s="20">
        <v>39.7</v>
      </c>
      <c r="K124" s="20">
        <v>51.06</v>
      </c>
      <c r="L124" s="20">
        <v>69.8</v>
      </c>
      <c r="M124" s="16"/>
      <c r="N124" s="20">
        <v>44.22</v>
      </c>
      <c r="O124" s="20">
        <v>43.83</v>
      </c>
      <c r="P124" s="20">
        <v>31.09</v>
      </c>
      <c r="Q124" s="20">
        <v>25.19</v>
      </c>
      <c r="R124" s="16"/>
      <c r="S124" s="16"/>
      <c r="T124" s="20">
        <v>14.73</v>
      </c>
      <c r="U124" s="20">
        <v>13.92</v>
      </c>
      <c r="V124" s="20">
        <v>15.55</v>
      </c>
      <c r="W124" s="20">
        <v>11.01</v>
      </c>
    </row>
    <row r="125" ht="15.0" customHeight="1">
      <c r="A125" s="14" t="s">
        <v>168</v>
      </c>
      <c r="B125" s="16"/>
      <c r="C125" s="16"/>
      <c r="D125" s="16"/>
      <c r="E125" s="16"/>
      <c r="F125" s="16"/>
      <c r="G125" s="16"/>
      <c r="H125" s="16">
        <v>0.0</v>
      </c>
      <c r="I125" s="15">
        <v>510.38</v>
      </c>
      <c r="J125" s="15">
        <v>474.49</v>
      </c>
      <c r="K125" s="15">
        <v>525.35</v>
      </c>
      <c r="L125" s="15">
        <v>519.17</v>
      </c>
      <c r="M125" s="16"/>
      <c r="N125" s="15">
        <v>574.9</v>
      </c>
      <c r="O125" s="15">
        <v>557.76</v>
      </c>
      <c r="P125" s="15">
        <v>591.63</v>
      </c>
      <c r="Q125" s="15">
        <v>537.48</v>
      </c>
      <c r="R125" s="15">
        <v>527.54</v>
      </c>
      <c r="S125" s="16"/>
      <c r="T125" s="15">
        <v>507.05</v>
      </c>
      <c r="U125" s="15">
        <v>458.58</v>
      </c>
      <c r="V125" s="15">
        <v>414.59</v>
      </c>
      <c r="W125" s="15">
        <v>374.39</v>
      </c>
    </row>
    <row r="126" ht="15.0" customHeight="1">
      <c r="A126" s="14" t="s">
        <v>169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20">
        <v>6.72</v>
      </c>
      <c r="R126" s="20">
        <v>1.65</v>
      </c>
      <c r="S126" s="21">
        <v>-17.96</v>
      </c>
      <c r="T126" s="20">
        <v>2.6</v>
      </c>
      <c r="U126" s="20">
        <v>1.74</v>
      </c>
      <c r="V126" s="20">
        <v>0.86</v>
      </c>
      <c r="W126" s="20">
        <v>2.75</v>
      </c>
    </row>
    <row r="127" ht="15.0" customHeight="1">
      <c r="A127" s="14" t="s">
        <v>170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5">
        <v>340.25</v>
      </c>
      <c r="O127" s="15">
        <v>339.47</v>
      </c>
      <c r="P127" s="15">
        <v>336.84</v>
      </c>
      <c r="Q127" s="15">
        <v>350.2</v>
      </c>
      <c r="R127" s="15">
        <v>396.69</v>
      </c>
      <c r="S127" s="15">
        <v>409.7</v>
      </c>
      <c r="T127" s="15">
        <v>364.03</v>
      </c>
      <c r="U127" s="15">
        <v>349.81</v>
      </c>
      <c r="V127" s="15">
        <v>253.94</v>
      </c>
      <c r="W127" s="15">
        <v>265.19</v>
      </c>
    </row>
    <row r="128" ht="15.0" customHeight="1">
      <c r="A128" s="14" t="s">
        <v>110</v>
      </c>
      <c r="B128" s="16"/>
      <c r="C128" s="16"/>
      <c r="D128" s="15">
        <v>258.77</v>
      </c>
      <c r="E128" s="15">
        <v>242.29</v>
      </c>
      <c r="F128" s="15">
        <v>252.56</v>
      </c>
      <c r="G128" s="15">
        <v>283.5</v>
      </c>
      <c r="H128" s="15">
        <v>265.22</v>
      </c>
      <c r="I128" s="15">
        <v>248.16</v>
      </c>
      <c r="J128" s="15">
        <v>236.28</v>
      </c>
      <c r="K128" s="15">
        <v>230.76</v>
      </c>
      <c r="L128" s="15">
        <v>218.95</v>
      </c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171</v>
      </c>
      <c r="B129" s="16"/>
      <c r="C129" s="15">
        <v>481.04</v>
      </c>
      <c r="D129" s="15">
        <v>500.62</v>
      </c>
      <c r="E129" s="15">
        <v>461.77</v>
      </c>
      <c r="F129" s="15">
        <v>481.06</v>
      </c>
      <c r="G129" s="15">
        <v>521.98</v>
      </c>
      <c r="H129" s="15">
        <v>456.92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172</v>
      </c>
      <c r="B130" s="16"/>
      <c r="C130" s="20">
        <v>10.17</v>
      </c>
      <c r="D130" s="20">
        <v>11.94</v>
      </c>
      <c r="E130" s="20">
        <v>8.55</v>
      </c>
      <c r="F130" s="20">
        <v>8.02</v>
      </c>
      <c r="G130" s="20">
        <v>7.16</v>
      </c>
      <c r="H130" s="20">
        <v>6.51</v>
      </c>
      <c r="I130" s="20">
        <v>6.56</v>
      </c>
      <c r="J130" s="20">
        <v>6.78</v>
      </c>
      <c r="K130" s="20">
        <v>8.84</v>
      </c>
      <c r="L130" s="20">
        <v>8.6</v>
      </c>
      <c r="M130" s="16"/>
      <c r="N130" s="20">
        <v>8.12</v>
      </c>
      <c r="O130" s="20">
        <v>9.45</v>
      </c>
      <c r="P130" s="20">
        <v>8.64</v>
      </c>
      <c r="Q130" s="20">
        <v>9.24</v>
      </c>
      <c r="R130" s="20">
        <v>9.88</v>
      </c>
      <c r="S130" s="16"/>
      <c r="T130" s="20">
        <v>10.4</v>
      </c>
      <c r="U130" s="16"/>
      <c r="V130" s="16"/>
      <c r="W130" s="16"/>
    </row>
    <row r="131" ht="15.0" customHeight="1">
      <c r="A131" s="14" t="s">
        <v>173</v>
      </c>
      <c r="B131" s="16"/>
      <c r="C131" s="16">
        <v>0.0</v>
      </c>
      <c r="D131" s="16">
        <v>0.0</v>
      </c>
      <c r="E131" s="16">
        <v>0.0</v>
      </c>
      <c r="F131" s="16">
        <v>0.0</v>
      </c>
      <c r="G131" s="16">
        <v>0.0</v>
      </c>
      <c r="H131" s="16">
        <v>0.0</v>
      </c>
      <c r="I131" s="16">
        <v>0.0</v>
      </c>
      <c r="J131" s="20">
        <v>0.97</v>
      </c>
      <c r="K131" s="20">
        <v>0.98</v>
      </c>
      <c r="L131" s="16">
        <v>0.0</v>
      </c>
      <c r="M131" s="16"/>
      <c r="N131" s="20">
        <v>0.9</v>
      </c>
      <c r="O131" s="16">
        <v>0.0</v>
      </c>
      <c r="P131" s="16">
        <v>0.0</v>
      </c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174</v>
      </c>
      <c r="B132" s="16"/>
      <c r="C132" s="20">
        <v>1.02</v>
      </c>
      <c r="D132" s="16">
        <v>0.0</v>
      </c>
      <c r="E132" s="16">
        <v>0.0</v>
      </c>
      <c r="F132" s="16">
        <v>0.0</v>
      </c>
      <c r="G132" s="20">
        <v>1.02</v>
      </c>
      <c r="H132" s="20">
        <v>0.93</v>
      </c>
      <c r="I132" s="16">
        <v>0.0</v>
      </c>
      <c r="J132" s="20">
        <v>0.97</v>
      </c>
      <c r="K132" s="20">
        <v>0.98</v>
      </c>
      <c r="L132" s="20">
        <v>0.96</v>
      </c>
      <c r="M132" s="16"/>
      <c r="N132" s="20">
        <v>1.81</v>
      </c>
      <c r="O132" s="20">
        <v>0.86</v>
      </c>
      <c r="P132" s="20">
        <v>0.86</v>
      </c>
      <c r="Q132" s="16">
        <v>0.0</v>
      </c>
      <c r="R132" s="16"/>
      <c r="S132" s="16"/>
      <c r="T132" s="16"/>
      <c r="U132" s="16"/>
      <c r="V132" s="16"/>
      <c r="W132" s="16"/>
    </row>
    <row r="133" ht="15.0" customHeight="1">
      <c r="A133" s="14" t="s">
        <v>175</v>
      </c>
      <c r="B133" s="16"/>
      <c r="C133" s="20">
        <v>2.03</v>
      </c>
      <c r="D133" s="16">
        <v>0.0</v>
      </c>
      <c r="E133" s="16">
        <v>0.0</v>
      </c>
      <c r="F133" s="16">
        <v>0.0</v>
      </c>
      <c r="G133" s="16">
        <v>0.0</v>
      </c>
      <c r="H133" s="16">
        <v>0.0</v>
      </c>
      <c r="I133" s="20">
        <v>2.81</v>
      </c>
      <c r="J133" s="20">
        <v>0.97</v>
      </c>
      <c r="K133" s="20">
        <v>4.91</v>
      </c>
      <c r="L133" s="20">
        <v>3.82</v>
      </c>
      <c r="M133" s="16"/>
      <c r="N133" s="20">
        <v>0.9</v>
      </c>
      <c r="O133" s="20">
        <v>0.86</v>
      </c>
      <c r="P133" s="20">
        <v>0.86</v>
      </c>
      <c r="Q133" s="20">
        <v>0.84</v>
      </c>
      <c r="R133" s="20">
        <v>3.29</v>
      </c>
      <c r="S133" s="16"/>
      <c r="T133" s="20">
        <v>2.6</v>
      </c>
      <c r="U133" s="16"/>
      <c r="V133" s="16"/>
      <c r="W133" s="16"/>
    </row>
    <row r="134" ht="15.0" customHeight="1">
      <c r="A134" s="14" t="s">
        <v>75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5">
        <v>119.25</v>
      </c>
      <c r="R134" s="15">
        <v>138.26</v>
      </c>
      <c r="S134" s="16"/>
      <c r="T134" s="16"/>
      <c r="U134" s="15">
        <v>128.78</v>
      </c>
      <c r="V134" s="16"/>
      <c r="W134" s="15">
        <v>127.55</v>
      </c>
    </row>
    <row r="135" ht="15.0" customHeight="1">
      <c r="A135" s="14" t="s">
        <v>176</v>
      </c>
      <c r="B135" s="16"/>
      <c r="C135" s="15">
        <v>3328.63</v>
      </c>
      <c r="D135" s="15">
        <v>2895.26</v>
      </c>
      <c r="E135" s="15">
        <v>3772.07</v>
      </c>
      <c r="F135" s="15">
        <v>3501.71</v>
      </c>
      <c r="G135" s="15">
        <v>3425.59</v>
      </c>
      <c r="H135" s="15">
        <v>2888.53</v>
      </c>
      <c r="I135" s="15">
        <v>2906.8</v>
      </c>
      <c r="J135" s="15">
        <v>2786.9</v>
      </c>
      <c r="K135" s="15">
        <v>2823.12</v>
      </c>
      <c r="L135" s="15">
        <v>2763.14</v>
      </c>
      <c r="M135" s="16"/>
      <c r="N135" s="15">
        <v>2509.9</v>
      </c>
      <c r="O135" s="15">
        <v>2503.49</v>
      </c>
      <c r="P135" s="15">
        <v>2680.05</v>
      </c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177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20">
        <v>2.08</v>
      </c>
      <c r="O136" s="20">
        <v>0.17</v>
      </c>
      <c r="P136" s="20">
        <v>1.73</v>
      </c>
      <c r="Q136" s="16"/>
      <c r="R136" s="16"/>
      <c r="S136" s="16"/>
      <c r="T136" s="15">
        <v>1560.15</v>
      </c>
      <c r="U136" s="16"/>
      <c r="V136" s="16"/>
      <c r="W136" s="16"/>
    </row>
    <row r="137" ht="15.0" customHeight="1">
      <c r="A137" s="14" t="s">
        <v>178</v>
      </c>
      <c r="B137" s="15">
        <v>419.43</v>
      </c>
      <c r="C137" s="15">
        <v>762.75</v>
      </c>
      <c r="D137" s="15">
        <v>792.24</v>
      </c>
      <c r="E137" s="15">
        <v>763.92</v>
      </c>
      <c r="F137" s="15">
        <v>801.77</v>
      </c>
      <c r="G137" s="15">
        <v>872.01</v>
      </c>
      <c r="H137" s="15">
        <v>779.83</v>
      </c>
      <c r="I137" s="15">
        <v>294.99</v>
      </c>
      <c r="J137" s="15">
        <v>275.98</v>
      </c>
      <c r="K137" s="15">
        <v>281.82</v>
      </c>
      <c r="L137" s="15">
        <v>288.74</v>
      </c>
      <c r="M137" s="15">
        <v>340.79</v>
      </c>
      <c r="N137" s="15">
        <v>351.98</v>
      </c>
      <c r="O137" s="15">
        <v>870.59</v>
      </c>
      <c r="P137" s="15">
        <v>386.94</v>
      </c>
      <c r="Q137" s="15">
        <v>632.38</v>
      </c>
      <c r="R137" s="15">
        <v>720.13</v>
      </c>
      <c r="S137" s="15">
        <v>409.7</v>
      </c>
      <c r="T137" s="15">
        <v>652.66</v>
      </c>
      <c r="U137" s="15">
        <v>725.72</v>
      </c>
      <c r="V137" s="15">
        <v>583.88</v>
      </c>
      <c r="W137" s="15">
        <v>616.64</v>
      </c>
    </row>
    <row r="138" ht="15.0" customHeight="1">
      <c r="A138" s="14" t="s">
        <v>179</v>
      </c>
      <c r="B138" s="16"/>
      <c r="C138" s="16"/>
      <c r="D138" s="15">
        <v>759.4</v>
      </c>
      <c r="E138" s="15">
        <v>704.06</v>
      </c>
      <c r="F138" s="15">
        <v>733.62</v>
      </c>
      <c r="G138" s="15">
        <v>805.48</v>
      </c>
      <c r="H138" s="15">
        <v>722.13</v>
      </c>
      <c r="I138" s="15">
        <v>248.16</v>
      </c>
      <c r="J138" s="15">
        <v>236.28</v>
      </c>
      <c r="K138" s="15">
        <v>230.76</v>
      </c>
      <c r="L138" s="15">
        <v>218.95</v>
      </c>
      <c r="M138" s="16"/>
      <c r="N138" s="15">
        <v>340.25</v>
      </c>
      <c r="O138" s="15">
        <v>339.47</v>
      </c>
      <c r="P138" s="15">
        <v>336.84</v>
      </c>
      <c r="Q138" s="15">
        <v>375.4</v>
      </c>
      <c r="R138" s="15">
        <v>534.95</v>
      </c>
      <c r="S138" s="15">
        <v>409.7</v>
      </c>
      <c r="T138" s="15">
        <v>364.03</v>
      </c>
      <c r="U138" s="15">
        <v>349.81</v>
      </c>
      <c r="V138" s="15">
        <v>253.94</v>
      </c>
      <c r="W138" s="15">
        <v>265.19</v>
      </c>
    </row>
    <row r="139" ht="15.0" customHeight="1">
      <c r="A139" s="14" t="s">
        <v>180</v>
      </c>
      <c r="B139" s="16"/>
      <c r="C139" s="20">
        <v>13.22</v>
      </c>
      <c r="D139" s="20">
        <v>11.94</v>
      </c>
      <c r="E139" s="20">
        <v>8.55</v>
      </c>
      <c r="F139" s="20">
        <v>8.02</v>
      </c>
      <c r="G139" s="20">
        <v>8.19</v>
      </c>
      <c r="H139" s="20">
        <v>7.44</v>
      </c>
      <c r="I139" s="20">
        <v>9.36</v>
      </c>
      <c r="J139" s="20">
        <v>9.68</v>
      </c>
      <c r="K139" s="20">
        <v>15.71</v>
      </c>
      <c r="L139" s="20">
        <v>13.39</v>
      </c>
      <c r="M139" s="16"/>
      <c r="N139" s="20">
        <v>11.73</v>
      </c>
      <c r="O139" s="20">
        <v>11.17</v>
      </c>
      <c r="P139" s="20">
        <v>10.36</v>
      </c>
      <c r="Q139" s="20">
        <v>10.08</v>
      </c>
      <c r="R139" s="20">
        <v>13.17</v>
      </c>
      <c r="S139" s="16"/>
      <c r="T139" s="20">
        <v>13.0</v>
      </c>
      <c r="U139" s="16"/>
      <c r="V139" s="16"/>
      <c r="W139" s="16"/>
    </row>
    <row r="140" ht="15.0" customHeight="1">
      <c r="A140" s="14" t="s">
        <v>181</v>
      </c>
      <c r="B140" s="16"/>
      <c r="C140" s="16"/>
      <c r="D140" s="20">
        <v>32.84</v>
      </c>
      <c r="E140" s="20">
        <v>59.86</v>
      </c>
      <c r="F140" s="20">
        <v>68.15</v>
      </c>
      <c r="G140" s="20">
        <v>66.53</v>
      </c>
      <c r="H140" s="20">
        <v>57.7</v>
      </c>
      <c r="I140" s="20">
        <v>46.82</v>
      </c>
      <c r="J140" s="20">
        <v>39.7</v>
      </c>
      <c r="K140" s="20">
        <v>51.06</v>
      </c>
      <c r="L140" s="20">
        <v>69.8</v>
      </c>
      <c r="M140" s="16"/>
      <c r="N140" s="20">
        <v>44.22</v>
      </c>
      <c r="O140" s="20">
        <v>43.83</v>
      </c>
      <c r="P140" s="20">
        <v>31.09</v>
      </c>
      <c r="Q140" s="20">
        <v>25.19</v>
      </c>
      <c r="R140" s="16"/>
      <c r="S140" s="16"/>
      <c r="T140" s="20">
        <v>14.73</v>
      </c>
      <c r="U140" s="20">
        <v>13.92</v>
      </c>
      <c r="V140" s="20">
        <v>15.55</v>
      </c>
      <c r="W140" s="20">
        <v>11.01</v>
      </c>
    </row>
    <row r="141" ht="15.0" customHeight="1">
      <c r="A141" s="14" t="s">
        <v>182</v>
      </c>
      <c r="B141" s="16"/>
      <c r="C141" s="15">
        <v>137.29</v>
      </c>
      <c r="D141" s="20">
        <v>50.76</v>
      </c>
      <c r="E141" s="20">
        <v>35.16</v>
      </c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183</v>
      </c>
      <c r="B142" s="16"/>
      <c r="C142" s="16"/>
      <c r="D142" s="16"/>
      <c r="E142" s="16"/>
      <c r="F142" s="16"/>
      <c r="G142" s="16"/>
      <c r="H142" s="16"/>
      <c r="I142" s="16"/>
      <c r="J142" s="16">
        <v>0.0</v>
      </c>
      <c r="K142" s="16">
        <v>0.0</v>
      </c>
      <c r="L142" s="16">
        <v>0.0</v>
      </c>
      <c r="M142" s="16"/>
      <c r="N142" s="16"/>
      <c r="O142" s="22">
        <v>-721.05</v>
      </c>
      <c r="P142" s="22">
        <v>-288.47</v>
      </c>
      <c r="Q142" s="22">
        <v>-293.09</v>
      </c>
      <c r="R142" s="16"/>
      <c r="S142" s="16"/>
      <c r="T142" s="16"/>
      <c r="U142" s="16"/>
      <c r="V142" s="16"/>
      <c r="W142" s="16"/>
    </row>
    <row r="143" ht="15.0" customHeight="1">
      <c r="A143" s="14" t="s">
        <v>184</v>
      </c>
      <c r="B143" s="16"/>
      <c r="C143" s="16"/>
      <c r="D143" s="16"/>
      <c r="E143" s="16"/>
      <c r="F143" s="16"/>
      <c r="G143" s="16"/>
      <c r="H143" s="16"/>
      <c r="I143" s="21">
        <v>-61.81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185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21">
        <v>-14.7</v>
      </c>
      <c r="N144" s="16"/>
      <c r="O144" s="16"/>
      <c r="P144" s="16"/>
      <c r="Q144" s="16"/>
      <c r="R144" s="21">
        <v>-68.31</v>
      </c>
      <c r="S144" s="16"/>
      <c r="T144" s="16"/>
      <c r="U144" s="16"/>
      <c r="V144" s="16"/>
      <c r="W144" s="16"/>
    </row>
    <row r="145" ht="15.0" customHeight="1">
      <c r="A145" s="14" t="s">
        <v>186</v>
      </c>
      <c r="B145" s="16"/>
      <c r="C145" s="16"/>
      <c r="D145" s="16"/>
      <c r="E145" s="16"/>
      <c r="F145" s="16"/>
      <c r="G145" s="22">
        <v>-106.44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187</v>
      </c>
      <c r="B146" s="22">
        <v>-149.34</v>
      </c>
      <c r="C146" s="22">
        <v>-255.27</v>
      </c>
      <c r="D146" s="22">
        <v>-303.56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188</v>
      </c>
      <c r="B147" s="21">
        <v>-95.32</v>
      </c>
      <c r="C147" s="21">
        <v>-84.41</v>
      </c>
      <c r="D147" s="20">
        <v>9.95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189</v>
      </c>
      <c r="B148" s="22">
        <v>-289.15</v>
      </c>
      <c r="C148" s="21">
        <v>-28.48</v>
      </c>
      <c r="D148" s="22">
        <v>-170.19</v>
      </c>
      <c r="E148" s="16"/>
      <c r="F148" s="16">
        <v>0.0</v>
      </c>
      <c r="G148" s="21">
        <v>-33.77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ht="15.0" customHeight="1">
      <c r="A149" s="14" t="s">
        <v>190</v>
      </c>
      <c r="B149" s="16"/>
      <c r="C149" s="16">
        <v>0.0</v>
      </c>
      <c r="D149" s="15">
        <v>111.47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191</v>
      </c>
      <c r="B150" s="16"/>
      <c r="C150" s="16"/>
      <c r="D150" s="16"/>
      <c r="E150" s="22">
        <v>-290.74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192</v>
      </c>
      <c r="B151" s="16"/>
      <c r="C151" s="16">
        <v>0.0</v>
      </c>
      <c r="D151" s="20">
        <v>56.73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193</v>
      </c>
      <c r="B152" s="16"/>
      <c r="C152" s="16"/>
      <c r="D152" s="16"/>
      <c r="E152" s="16"/>
      <c r="F152" s="16"/>
      <c r="G152" s="21">
        <v>-95.18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ht="15.0" customHeight="1">
      <c r="A153" s="14" t="s">
        <v>194</v>
      </c>
      <c r="B153" s="15">
        <v>444.85</v>
      </c>
      <c r="C153" s="15">
        <v>255.27</v>
      </c>
      <c r="D153" s="15">
        <v>267.73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195</v>
      </c>
      <c r="B154" s="15">
        <v>316.69</v>
      </c>
      <c r="C154" s="22">
        <v>-841.06</v>
      </c>
      <c r="D154" s="22">
        <v>-241.85</v>
      </c>
      <c r="E154" s="15">
        <v>472.22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196</v>
      </c>
      <c r="B155" s="27">
        <v>5.3</v>
      </c>
      <c r="C155" s="27">
        <v>0.8</v>
      </c>
      <c r="D155" s="27">
        <v>0.6</v>
      </c>
      <c r="E155" s="27">
        <v>3.3</v>
      </c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 ht="15.0" customHeight="1">
      <c r="A156" s="14" t="s">
        <v>197</v>
      </c>
      <c r="B156" s="22">
        <v>-1630.05</v>
      </c>
      <c r="C156" s="22">
        <v>-631.56</v>
      </c>
      <c r="D156" s="21">
        <v>-94.55</v>
      </c>
      <c r="E156" s="15">
        <v>228.98</v>
      </c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ht="15.0" customHeight="1">
      <c r="A157" s="14" t="s">
        <v>198</v>
      </c>
      <c r="B157" s="22">
        <v>-673.63</v>
      </c>
      <c r="C157" s="22">
        <v>-1215.31</v>
      </c>
      <c r="D157" s="22">
        <v>-452.85</v>
      </c>
      <c r="E157" s="21">
        <v>-1.9</v>
      </c>
      <c r="F157" s="15">
        <v>707.56</v>
      </c>
      <c r="G157" s="15">
        <v>258.94</v>
      </c>
      <c r="H157" s="15">
        <v>753.77</v>
      </c>
      <c r="I157" s="15">
        <v>705.16</v>
      </c>
      <c r="J157" s="15">
        <v>962.54</v>
      </c>
      <c r="K157" s="15">
        <v>961.33</v>
      </c>
      <c r="L157" s="15">
        <v>831.81</v>
      </c>
      <c r="M157" s="15">
        <v>545.64</v>
      </c>
      <c r="N157" s="15">
        <v>330.32</v>
      </c>
      <c r="O157" s="22">
        <v>-452.05</v>
      </c>
      <c r="P157" s="20">
        <v>74.28</v>
      </c>
      <c r="Q157" s="16"/>
      <c r="R157" s="16"/>
      <c r="S157" s="16"/>
      <c r="T157" s="16"/>
      <c r="U157" s="16"/>
      <c r="V157" s="16"/>
      <c r="W157" s="16"/>
    </row>
    <row r="158" ht="15.0" customHeight="1">
      <c r="A158" s="14" t="s">
        <v>199</v>
      </c>
      <c r="B158" s="22">
        <v>-673.63</v>
      </c>
      <c r="C158" s="22">
        <v>-1215.31</v>
      </c>
      <c r="D158" s="22">
        <v>-452.85</v>
      </c>
      <c r="E158" s="21">
        <v>-1.9</v>
      </c>
      <c r="F158" s="15">
        <v>707.56</v>
      </c>
      <c r="G158" s="15">
        <v>258.94</v>
      </c>
      <c r="H158" s="15">
        <v>753.77</v>
      </c>
      <c r="I158" s="15">
        <v>705.16</v>
      </c>
      <c r="J158" s="15">
        <v>962.54</v>
      </c>
      <c r="K158" s="15">
        <v>961.33</v>
      </c>
      <c r="L158" s="15">
        <v>831.81</v>
      </c>
      <c r="M158" s="15">
        <v>545.64</v>
      </c>
      <c r="N158" s="15">
        <v>330.32</v>
      </c>
      <c r="O158" s="22">
        <v>-452.05</v>
      </c>
      <c r="P158" s="20">
        <v>74.28</v>
      </c>
      <c r="Q158" s="16"/>
      <c r="R158" s="16"/>
      <c r="S158" s="16"/>
      <c r="T158" s="16"/>
      <c r="U158" s="16"/>
      <c r="V158" s="16"/>
      <c r="W158" s="16"/>
    </row>
    <row r="159" ht="15.0" customHeight="1">
      <c r="A159" s="14" t="s">
        <v>200</v>
      </c>
      <c r="B159" s="21">
        <v>-3.64</v>
      </c>
      <c r="C159" s="21">
        <v>-1.78</v>
      </c>
      <c r="D159" s="21">
        <v>-0.65</v>
      </c>
      <c r="E159" s="26">
        <v>0.0</v>
      </c>
      <c r="F159" s="20">
        <v>1.34</v>
      </c>
      <c r="G159" s="20">
        <v>0.49</v>
      </c>
      <c r="H159" s="20">
        <v>1.42</v>
      </c>
      <c r="I159" s="20">
        <v>1.33</v>
      </c>
      <c r="J159" s="20">
        <v>1.85</v>
      </c>
      <c r="K159" s="20">
        <v>0.85</v>
      </c>
      <c r="L159" s="20">
        <v>1.5</v>
      </c>
      <c r="M159" s="21">
        <v>-0.05</v>
      </c>
      <c r="N159" s="20">
        <v>0.6</v>
      </c>
      <c r="O159" s="21">
        <v>-0.89</v>
      </c>
      <c r="P159" s="20">
        <v>0.12</v>
      </c>
      <c r="Q159" s="16"/>
      <c r="R159" s="16"/>
      <c r="S159" s="16"/>
      <c r="T159" s="16"/>
      <c r="U159" s="16"/>
      <c r="V159" s="16"/>
      <c r="W159" s="16"/>
    </row>
    <row r="160" ht="15.0" customHeight="1">
      <c r="A160" s="14" t="s">
        <v>201</v>
      </c>
      <c r="B160" s="21">
        <v>-3.64</v>
      </c>
      <c r="C160" s="21">
        <v>-1.78</v>
      </c>
      <c r="D160" s="21">
        <v>-0.65</v>
      </c>
      <c r="E160" s="26">
        <v>0.0</v>
      </c>
      <c r="F160" s="20">
        <v>1.33</v>
      </c>
      <c r="G160" s="20">
        <v>0.49</v>
      </c>
      <c r="H160" s="20">
        <v>1.42</v>
      </c>
      <c r="I160" s="20">
        <v>1.33</v>
      </c>
      <c r="J160" s="20">
        <v>1.85</v>
      </c>
      <c r="K160" s="20">
        <v>0.84</v>
      </c>
      <c r="L160" s="20">
        <v>1.5</v>
      </c>
      <c r="M160" s="21">
        <v>-0.05</v>
      </c>
      <c r="N160" s="20">
        <v>0.6</v>
      </c>
      <c r="O160" s="21">
        <v>-0.89</v>
      </c>
      <c r="P160" s="20">
        <v>0.12</v>
      </c>
      <c r="Q160" s="16"/>
      <c r="R160" s="16"/>
      <c r="S160" s="16"/>
      <c r="T160" s="16"/>
      <c r="U160" s="16"/>
      <c r="V160" s="16"/>
      <c r="W160" s="16"/>
    </row>
    <row r="161" ht="15.0" customHeight="1">
      <c r="A161" s="14" t="s">
        <v>202</v>
      </c>
      <c r="B161" s="21">
        <v>-0.71</v>
      </c>
      <c r="C161" s="21">
        <v>-1.58</v>
      </c>
      <c r="D161" s="21">
        <v>-0.86</v>
      </c>
      <c r="E161" s="26">
        <v>0.0</v>
      </c>
      <c r="F161" s="20">
        <v>1.34</v>
      </c>
      <c r="G161" s="20">
        <v>0.49</v>
      </c>
      <c r="H161" s="20">
        <v>1.42</v>
      </c>
      <c r="I161" s="20">
        <v>1.33</v>
      </c>
      <c r="J161" s="20">
        <v>1.81</v>
      </c>
      <c r="K161" s="20">
        <v>1.81</v>
      </c>
      <c r="L161" s="20">
        <v>1.57</v>
      </c>
      <c r="M161" s="20">
        <v>1.04</v>
      </c>
      <c r="N161" s="20">
        <v>0.63</v>
      </c>
      <c r="O161" s="21">
        <v>-0.86</v>
      </c>
      <c r="P161" s="20">
        <v>0.14</v>
      </c>
      <c r="Q161" s="16"/>
      <c r="R161" s="16"/>
      <c r="S161" s="16"/>
      <c r="T161" s="16"/>
      <c r="U161" s="16"/>
      <c r="V161" s="16"/>
      <c r="W161" s="16"/>
    </row>
    <row r="162" ht="15.0" customHeight="1">
      <c r="A162" s="14" t="s">
        <v>203</v>
      </c>
      <c r="B162" s="21">
        <v>-0.71</v>
      </c>
      <c r="C162" s="21">
        <v>-1.58</v>
      </c>
      <c r="D162" s="21">
        <v>-0.86</v>
      </c>
      <c r="E162" s="26">
        <v>0.0</v>
      </c>
      <c r="F162" s="20">
        <v>1.33</v>
      </c>
      <c r="G162" s="20">
        <v>0.49</v>
      </c>
      <c r="H162" s="20">
        <v>1.42</v>
      </c>
      <c r="I162" s="20">
        <v>1.33</v>
      </c>
      <c r="J162" s="20">
        <v>1.81</v>
      </c>
      <c r="K162" s="20">
        <v>1.81</v>
      </c>
      <c r="L162" s="20">
        <v>1.57</v>
      </c>
      <c r="M162" s="20">
        <v>1.04</v>
      </c>
      <c r="N162" s="20">
        <v>0.63</v>
      </c>
      <c r="O162" s="21">
        <v>-0.86</v>
      </c>
      <c r="P162" s="20">
        <v>0.14</v>
      </c>
      <c r="Q162" s="16"/>
      <c r="R162" s="16"/>
      <c r="S162" s="16"/>
      <c r="T162" s="16"/>
      <c r="U162" s="16"/>
      <c r="V162" s="16"/>
      <c r="W162" s="16"/>
    </row>
    <row r="163" ht="15.0" customHeight="1">
      <c r="A163" s="14" t="s">
        <v>204</v>
      </c>
      <c r="B163" s="20">
        <v>1.0</v>
      </c>
      <c r="C163" s="20">
        <v>1.0</v>
      </c>
      <c r="D163" s="20">
        <v>1.0</v>
      </c>
      <c r="E163" s="20">
        <v>1.0</v>
      </c>
      <c r="F163" s="20">
        <v>1.0</v>
      </c>
      <c r="G163" s="20">
        <v>1.0</v>
      </c>
      <c r="H163" s="20">
        <v>1.0</v>
      </c>
      <c r="I163" s="20">
        <v>1.0</v>
      </c>
      <c r="J163" s="20">
        <v>1.0</v>
      </c>
      <c r="K163" s="20">
        <v>1.0</v>
      </c>
      <c r="L163" s="20">
        <v>1.0</v>
      </c>
      <c r="M163" s="20">
        <v>1.0</v>
      </c>
      <c r="N163" s="20">
        <v>1.0</v>
      </c>
      <c r="O163" s="20">
        <v>1.0</v>
      </c>
      <c r="P163" s="20">
        <v>1.0</v>
      </c>
      <c r="Q163" s="16"/>
      <c r="R163" s="16"/>
      <c r="S163" s="16"/>
      <c r="T163" s="16"/>
      <c r="U163" s="16"/>
      <c r="V163" s="16"/>
      <c r="W163" s="16"/>
    </row>
    <row r="164" ht="15.0" customHeight="1">
      <c r="A164" s="14" t="s">
        <v>205</v>
      </c>
      <c r="B164" s="22">
        <v>-3445.46</v>
      </c>
      <c r="C164" s="22">
        <v>-1365.83</v>
      </c>
      <c r="D164" s="22">
        <v>-345.36</v>
      </c>
      <c r="E164" s="21">
        <v>-1.9</v>
      </c>
      <c r="F164" s="15">
        <v>707.56</v>
      </c>
      <c r="G164" s="15">
        <v>258.94</v>
      </c>
      <c r="H164" s="15">
        <v>753.77</v>
      </c>
      <c r="I164" s="15">
        <v>705.16</v>
      </c>
      <c r="J164" s="15">
        <v>982.87</v>
      </c>
      <c r="K164" s="15">
        <v>447.77</v>
      </c>
      <c r="L164" s="15">
        <v>792.61</v>
      </c>
      <c r="M164" s="21">
        <v>-25.72</v>
      </c>
      <c r="N164" s="15">
        <v>316.78</v>
      </c>
      <c r="O164" s="22">
        <v>-469.24</v>
      </c>
      <c r="P164" s="20">
        <v>60.46</v>
      </c>
      <c r="Q164" s="16"/>
      <c r="R164" s="16"/>
      <c r="S164" s="16"/>
      <c r="T164" s="16"/>
      <c r="U164" s="16"/>
      <c r="V164" s="16"/>
      <c r="W164" s="16"/>
    </row>
    <row r="165" ht="15.0" customHeight="1">
      <c r="A165" s="14" t="s">
        <v>206</v>
      </c>
      <c r="B165" s="22">
        <v>-3445.46</v>
      </c>
      <c r="C165" s="22">
        <v>-1365.83</v>
      </c>
      <c r="D165" s="22">
        <v>-345.36</v>
      </c>
      <c r="E165" s="21">
        <v>-1.9</v>
      </c>
      <c r="F165" s="15">
        <v>707.56</v>
      </c>
      <c r="G165" s="15">
        <v>258.94</v>
      </c>
      <c r="H165" s="15">
        <v>753.77</v>
      </c>
      <c r="I165" s="15">
        <v>705.16</v>
      </c>
      <c r="J165" s="15">
        <v>982.87</v>
      </c>
      <c r="K165" s="15">
        <v>447.77</v>
      </c>
      <c r="L165" s="15">
        <v>792.61</v>
      </c>
      <c r="M165" s="21">
        <v>-25.72</v>
      </c>
      <c r="N165" s="15">
        <v>316.78</v>
      </c>
      <c r="O165" s="22">
        <v>-469.24</v>
      </c>
      <c r="P165" s="20">
        <v>60.46</v>
      </c>
      <c r="Q165" s="16"/>
      <c r="R165" s="16"/>
      <c r="S165" s="16"/>
      <c r="T165" s="16"/>
      <c r="U165" s="16"/>
      <c r="V165" s="16"/>
      <c r="W165" s="16"/>
    </row>
    <row r="166" ht="15.0" customHeight="1">
      <c r="A166" s="14" t="s">
        <v>207</v>
      </c>
      <c r="B166" s="20">
        <v>1.0</v>
      </c>
      <c r="C166" s="20">
        <v>1.0</v>
      </c>
      <c r="D166" s="20">
        <v>1.0</v>
      </c>
      <c r="E166" s="20">
        <v>1.0</v>
      </c>
      <c r="F166" s="20">
        <v>1.0</v>
      </c>
      <c r="G166" s="20">
        <v>1.0</v>
      </c>
      <c r="H166" s="20">
        <v>1.0</v>
      </c>
      <c r="I166" s="20">
        <v>1.0</v>
      </c>
      <c r="J166" s="20">
        <v>1.0</v>
      </c>
      <c r="K166" s="20">
        <v>1.0</v>
      </c>
      <c r="L166" s="20">
        <v>1.0</v>
      </c>
      <c r="M166" s="20">
        <v>1.0</v>
      </c>
      <c r="N166" s="20">
        <v>1.0</v>
      </c>
      <c r="O166" s="20">
        <v>1.0</v>
      </c>
      <c r="P166" s="20">
        <v>1.0</v>
      </c>
      <c r="Q166" s="16"/>
      <c r="R166" s="16"/>
      <c r="S166" s="16"/>
      <c r="T166" s="16"/>
      <c r="U166" s="16"/>
      <c r="V166" s="16"/>
      <c r="W166" s="16"/>
    </row>
    <row r="167" ht="15.0" customHeight="1">
      <c r="A167" s="14" t="s">
        <v>208</v>
      </c>
      <c r="B167" s="15">
        <v>946.58</v>
      </c>
      <c r="C167" s="15">
        <v>769.1</v>
      </c>
      <c r="D167" s="15">
        <v>528.97</v>
      </c>
      <c r="E167" s="15">
        <v>528.97</v>
      </c>
      <c r="F167" s="15">
        <v>530.05</v>
      </c>
      <c r="G167" s="15">
        <v>530.86</v>
      </c>
      <c r="H167" s="15">
        <v>530.6</v>
      </c>
      <c r="I167" s="15">
        <v>530.23</v>
      </c>
      <c r="J167" s="15">
        <v>529.9</v>
      </c>
      <c r="K167" s="15">
        <v>528.36</v>
      </c>
      <c r="L167" s="15">
        <v>529.51</v>
      </c>
      <c r="M167" s="15">
        <v>526.08</v>
      </c>
      <c r="N167" s="15">
        <v>525.44</v>
      </c>
      <c r="O167" s="15">
        <v>525.44</v>
      </c>
      <c r="P167" s="15">
        <v>525.44</v>
      </c>
      <c r="Q167" s="16"/>
      <c r="R167" s="16"/>
      <c r="S167" s="16"/>
      <c r="T167" s="16"/>
      <c r="U167" s="16"/>
      <c r="V167" s="16"/>
      <c r="W167" s="16"/>
    </row>
    <row r="168" ht="15.0" customHeight="1">
      <c r="A168" s="14" t="s">
        <v>209</v>
      </c>
      <c r="B168" s="15">
        <v>946.58</v>
      </c>
      <c r="C168" s="15">
        <v>769.1</v>
      </c>
      <c r="D168" s="15">
        <v>528.97</v>
      </c>
      <c r="E168" s="15">
        <v>528.97</v>
      </c>
      <c r="F168" s="15">
        <v>531.25</v>
      </c>
      <c r="G168" s="15">
        <v>532.24</v>
      </c>
      <c r="H168" s="15">
        <v>531.46</v>
      </c>
      <c r="I168" s="15">
        <v>530.34</v>
      </c>
      <c r="J168" s="15">
        <v>530.38</v>
      </c>
      <c r="K168" s="15">
        <v>529.8</v>
      </c>
      <c r="L168" s="15">
        <v>530.26</v>
      </c>
      <c r="M168" s="15">
        <v>526.08</v>
      </c>
      <c r="N168" s="15">
        <v>526.01</v>
      </c>
      <c r="O168" s="15">
        <v>525.44</v>
      </c>
      <c r="P168" s="15">
        <v>525.44</v>
      </c>
      <c r="Q168" s="16"/>
      <c r="R168" s="16"/>
      <c r="S168" s="16"/>
      <c r="T168" s="16"/>
      <c r="U168" s="16"/>
      <c r="V168" s="16"/>
      <c r="W168" s="16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46094.5303442824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39903.0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211</v>
      </c>
      <c r="C15" s="10" t="s">
        <v>211</v>
      </c>
      <c r="D15" s="10" t="s">
        <v>211</v>
      </c>
      <c r="E15" s="10" t="s">
        <v>211</v>
      </c>
      <c r="F15" s="10" t="s">
        <v>211</v>
      </c>
      <c r="G15" s="10" t="s">
        <v>211</v>
      </c>
      <c r="H15" s="10" t="s">
        <v>211</v>
      </c>
      <c r="I15" s="10" t="s">
        <v>211</v>
      </c>
      <c r="J15" s="10" t="s">
        <v>211</v>
      </c>
      <c r="K15" s="10" t="s">
        <v>211</v>
      </c>
      <c r="L15" s="10" t="s">
        <v>211</v>
      </c>
      <c r="M15" s="10" t="s">
        <v>211</v>
      </c>
      <c r="N15" s="10" t="s">
        <v>211</v>
      </c>
      <c r="O15" s="10" t="s">
        <v>211</v>
      </c>
      <c r="P15" s="10" t="s">
        <v>211</v>
      </c>
      <c r="Q15" s="10" t="s">
        <v>211</v>
      </c>
      <c r="R15" s="10" t="s">
        <v>211</v>
      </c>
      <c r="S15" s="10" t="s">
        <v>211</v>
      </c>
      <c r="T15" s="10" t="s">
        <v>211</v>
      </c>
      <c r="U15" s="10" t="s">
        <v>211</v>
      </c>
      <c r="V15" s="10" t="s">
        <v>211</v>
      </c>
      <c r="W15" s="10" t="s">
        <v>211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213</v>
      </c>
      <c r="B20" s="15">
        <v>436.29</v>
      </c>
      <c r="C20" s="15">
        <v>1098.01</v>
      </c>
      <c r="D20" s="15">
        <v>1226.24</v>
      </c>
      <c r="E20" s="15">
        <v>1391.19</v>
      </c>
      <c r="F20" s="15">
        <v>1179.85</v>
      </c>
      <c r="G20" s="15">
        <v>1080.75</v>
      </c>
      <c r="H20" s="15">
        <v>1073.62</v>
      </c>
      <c r="I20" s="15">
        <v>938.78</v>
      </c>
      <c r="J20" s="15">
        <v>908.59</v>
      </c>
      <c r="K20" s="15">
        <v>812.71</v>
      </c>
      <c r="L20" s="15">
        <v>977.49</v>
      </c>
      <c r="M20" s="15">
        <v>817.6</v>
      </c>
      <c r="N20" s="15">
        <v>800.14</v>
      </c>
      <c r="O20" s="15">
        <v>795.25</v>
      </c>
      <c r="P20" s="15">
        <v>872.05</v>
      </c>
      <c r="Q20" s="15">
        <v>842.49</v>
      </c>
      <c r="R20" s="15">
        <v>980.64</v>
      </c>
      <c r="S20" s="15">
        <v>1302.72</v>
      </c>
      <c r="T20" s="15">
        <v>1244.68</v>
      </c>
      <c r="U20" s="15">
        <v>1234.67</v>
      </c>
      <c r="V20" s="15">
        <v>1063.99</v>
      </c>
      <c r="W20" s="15">
        <v>1047.65</v>
      </c>
    </row>
    <row r="21" ht="15.0" customHeight="1">
      <c r="A21" s="14" t="s">
        <v>214</v>
      </c>
      <c r="B21" s="16"/>
      <c r="C21" s="15">
        <v>321.79</v>
      </c>
      <c r="D21" s="15">
        <v>397.67</v>
      </c>
      <c r="E21" s="15">
        <v>483.81</v>
      </c>
      <c r="F21" s="15">
        <v>405.3</v>
      </c>
      <c r="G21" s="15">
        <v>345.63</v>
      </c>
      <c r="H21" s="15">
        <v>309.43</v>
      </c>
      <c r="I21" s="15">
        <v>288.85</v>
      </c>
      <c r="J21" s="15">
        <v>258.17</v>
      </c>
      <c r="K21" s="15">
        <v>219.06</v>
      </c>
      <c r="L21" s="15">
        <v>316.06</v>
      </c>
      <c r="M21" s="15">
        <v>260.71</v>
      </c>
      <c r="N21" s="15">
        <v>245.98</v>
      </c>
      <c r="O21" s="15">
        <v>237.98</v>
      </c>
      <c r="P21" s="15">
        <v>240.36</v>
      </c>
      <c r="Q21" s="15">
        <v>223.86</v>
      </c>
      <c r="R21" s="15">
        <v>281.57</v>
      </c>
      <c r="S21" s="16"/>
      <c r="T21" s="15">
        <v>366.68</v>
      </c>
      <c r="U21" s="15">
        <v>377.87</v>
      </c>
      <c r="V21" s="15">
        <v>328.62</v>
      </c>
      <c r="W21" s="15">
        <v>356.22</v>
      </c>
    </row>
    <row r="22" ht="15.0" customHeight="1">
      <c r="A22" s="14" t="s">
        <v>215</v>
      </c>
      <c r="B22" s="16"/>
      <c r="C22" s="20">
        <v>92.53</v>
      </c>
      <c r="D22" s="20">
        <v>97.66</v>
      </c>
      <c r="E22" s="15">
        <v>119.54</v>
      </c>
      <c r="F22" s="15">
        <v>107.17</v>
      </c>
      <c r="G22" s="20">
        <v>97.11</v>
      </c>
      <c r="H22" s="15">
        <v>103.14</v>
      </c>
      <c r="I22" s="20">
        <v>67.33</v>
      </c>
      <c r="J22" s="20">
        <v>59.04</v>
      </c>
      <c r="K22" s="20">
        <v>67.33</v>
      </c>
      <c r="L22" s="20">
        <v>81.63</v>
      </c>
      <c r="M22" s="20">
        <v>73.8</v>
      </c>
      <c r="N22" s="20">
        <v>65.03</v>
      </c>
      <c r="O22" s="20">
        <v>59.07</v>
      </c>
      <c r="P22" s="20">
        <v>71.15</v>
      </c>
      <c r="Q22" s="20">
        <v>69.41</v>
      </c>
      <c r="R22" s="20">
        <v>77.67</v>
      </c>
      <c r="S22" s="16"/>
      <c r="T22" s="15">
        <v>132.04</v>
      </c>
      <c r="U22" s="15">
        <v>134.76</v>
      </c>
      <c r="V22" s="15">
        <v>128.22</v>
      </c>
      <c r="W22" s="15">
        <v>135.18</v>
      </c>
    </row>
    <row r="23" ht="15.0" customHeight="1">
      <c r="A23" s="14" t="s">
        <v>216</v>
      </c>
      <c r="B23" s="16"/>
      <c r="C23" s="15">
        <v>596.3</v>
      </c>
      <c r="D23" s="15">
        <v>624.19</v>
      </c>
      <c r="E23" s="15">
        <v>673.0</v>
      </c>
      <c r="F23" s="15">
        <v>571.9</v>
      </c>
      <c r="G23" s="15">
        <v>538.81</v>
      </c>
      <c r="H23" s="15">
        <v>562.6</v>
      </c>
      <c r="I23" s="15">
        <v>493.78</v>
      </c>
      <c r="J23" s="15">
        <v>475.31</v>
      </c>
      <c r="K23" s="15">
        <v>391.66</v>
      </c>
      <c r="L23" s="15">
        <v>454.21</v>
      </c>
      <c r="M23" s="15">
        <v>397.78</v>
      </c>
      <c r="N23" s="15">
        <v>351.54</v>
      </c>
      <c r="O23" s="15">
        <v>351.83</v>
      </c>
      <c r="P23" s="15">
        <v>421.71</v>
      </c>
      <c r="Q23" s="15">
        <v>413.87</v>
      </c>
      <c r="R23" s="15">
        <v>431.26</v>
      </c>
      <c r="S23" s="16"/>
      <c r="T23" s="20">
        <v>83.26</v>
      </c>
      <c r="U23" s="20">
        <v>71.02</v>
      </c>
      <c r="V23" s="20">
        <v>62.84</v>
      </c>
      <c r="W23" s="20">
        <v>95.91</v>
      </c>
    </row>
    <row r="24" ht="15.0" customHeight="1">
      <c r="A24" s="14" t="s">
        <v>217</v>
      </c>
      <c r="B24" s="16"/>
      <c r="C24" s="20">
        <v>87.39</v>
      </c>
      <c r="D24" s="15">
        <v>106.72</v>
      </c>
      <c r="E24" s="15">
        <v>114.83</v>
      </c>
      <c r="F24" s="20">
        <v>95.48</v>
      </c>
      <c r="G24" s="20">
        <v>99.2</v>
      </c>
      <c r="H24" s="20">
        <v>98.45</v>
      </c>
      <c r="I24" s="20">
        <v>88.8</v>
      </c>
      <c r="J24" s="15">
        <v>116.07</v>
      </c>
      <c r="K24" s="15">
        <v>134.66</v>
      </c>
      <c r="L24" s="15">
        <v>125.59</v>
      </c>
      <c r="M24" s="20">
        <v>85.31</v>
      </c>
      <c r="N24" s="15">
        <v>137.6</v>
      </c>
      <c r="O24" s="15">
        <v>146.38</v>
      </c>
      <c r="P24" s="15">
        <v>138.83</v>
      </c>
      <c r="Q24" s="15">
        <v>135.35</v>
      </c>
      <c r="R24" s="15">
        <v>190.14</v>
      </c>
      <c r="S24" s="16"/>
      <c r="T24" s="15">
        <v>662.71</v>
      </c>
      <c r="U24" s="15">
        <v>651.02</v>
      </c>
      <c r="V24" s="15">
        <v>544.31</v>
      </c>
      <c r="W24" s="15">
        <v>460.34</v>
      </c>
    </row>
    <row r="25" ht="15.0" customHeight="1">
      <c r="A25" s="14" t="s">
        <v>218</v>
      </c>
      <c r="B25" s="16"/>
      <c r="C25" s="20">
        <v>76.08</v>
      </c>
      <c r="D25" s="20">
        <v>98.66</v>
      </c>
      <c r="E25" s="20">
        <v>23.53</v>
      </c>
      <c r="F25" s="20">
        <v>29.23</v>
      </c>
      <c r="G25" s="20">
        <v>20.88</v>
      </c>
      <c r="H25" s="20">
        <v>47.82</v>
      </c>
      <c r="I25" s="20">
        <v>6.83</v>
      </c>
      <c r="J25" s="20">
        <v>5.0</v>
      </c>
      <c r="K25" s="20">
        <v>12.33</v>
      </c>
      <c r="L25" s="20">
        <v>29.3</v>
      </c>
      <c r="M25" s="20">
        <v>16.29</v>
      </c>
      <c r="N25" s="20">
        <v>85.76</v>
      </c>
      <c r="O25" s="20">
        <v>69.34</v>
      </c>
      <c r="P25" s="20">
        <v>76.36</v>
      </c>
      <c r="Q25" s="20">
        <v>37.31</v>
      </c>
      <c r="R25" s="20">
        <v>34.79</v>
      </c>
      <c r="S25" s="16"/>
      <c r="T25" s="20">
        <v>24.39</v>
      </c>
      <c r="U25" s="20">
        <v>10.93</v>
      </c>
      <c r="V25" s="20">
        <v>22.08</v>
      </c>
      <c r="W25" s="20">
        <v>29.23</v>
      </c>
    </row>
    <row r="26" ht="15.0" customHeight="1">
      <c r="A26" s="14" t="s">
        <v>219</v>
      </c>
      <c r="B26" s="15">
        <v>919.61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5">
        <v>1195.02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220</v>
      </c>
      <c r="B27" s="15">
        <v>531.42</v>
      </c>
      <c r="C27" s="15">
        <v>966.41</v>
      </c>
      <c r="D27" s="15">
        <v>1167.85</v>
      </c>
      <c r="E27" s="15">
        <v>1407.19</v>
      </c>
      <c r="F27" s="15">
        <v>1290.92</v>
      </c>
      <c r="G27" s="15">
        <v>1266.62</v>
      </c>
      <c r="H27" s="15">
        <v>1285.54</v>
      </c>
      <c r="I27" s="15">
        <v>1391.58</v>
      </c>
      <c r="J27" s="15">
        <v>1282.83</v>
      </c>
      <c r="K27" s="15">
        <v>1175.91</v>
      </c>
      <c r="L27" s="15">
        <v>1328.09</v>
      </c>
      <c r="M27" s="15">
        <v>1045.73</v>
      </c>
      <c r="N27" s="15">
        <v>894.39</v>
      </c>
      <c r="O27" s="15">
        <v>805.52</v>
      </c>
      <c r="P27" s="15">
        <v>1049.93</v>
      </c>
      <c r="Q27" s="15">
        <v>1023.83</v>
      </c>
      <c r="R27" s="15">
        <v>1165.93</v>
      </c>
      <c r="S27" s="15">
        <v>1357.85</v>
      </c>
      <c r="T27" s="15">
        <v>1322.89</v>
      </c>
      <c r="U27" s="15">
        <v>1312.06</v>
      </c>
      <c r="V27" s="15">
        <v>1071.64</v>
      </c>
      <c r="W27" s="15">
        <v>965.44</v>
      </c>
    </row>
    <row r="28" ht="15.0" customHeight="1">
      <c r="A28" s="14" t="s">
        <v>221</v>
      </c>
      <c r="B28" s="20">
        <v>17.5</v>
      </c>
      <c r="C28" s="20">
        <v>17.48</v>
      </c>
      <c r="D28" s="20">
        <v>3.02</v>
      </c>
      <c r="E28" s="20">
        <v>1.88</v>
      </c>
      <c r="F28" s="20">
        <v>1.95</v>
      </c>
      <c r="G28" s="20">
        <v>2.09</v>
      </c>
      <c r="H28" s="20">
        <v>3.75</v>
      </c>
      <c r="I28" s="20">
        <v>32.2</v>
      </c>
      <c r="J28" s="20">
        <v>18.01</v>
      </c>
      <c r="K28" s="20">
        <v>0.95</v>
      </c>
      <c r="L28" s="20">
        <v>5.23</v>
      </c>
      <c r="M28" s="20">
        <v>0.96</v>
      </c>
      <c r="N28" s="20">
        <v>1.88</v>
      </c>
      <c r="O28" s="16">
        <v>0.0</v>
      </c>
      <c r="P28" s="20">
        <v>0.87</v>
      </c>
      <c r="Q28" s="20">
        <v>0.87</v>
      </c>
      <c r="R28" s="20">
        <v>1.62</v>
      </c>
      <c r="S28" s="16"/>
      <c r="T28" s="16"/>
      <c r="U28" s="16"/>
      <c r="V28" s="16"/>
      <c r="W28" s="16"/>
    </row>
    <row r="29" ht="15.0" customHeight="1">
      <c r="A29" s="14" t="s">
        <v>222</v>
      </c>
      <c r="B29" s="15">
        <v>370.69</v>
      </c>
      <c r="C29" s="15">
        <v>143.93</v>
      </c>
      <c r="D29" s="15">
        <v>138.93</v>
      </c>
      <c r="E29" s="20">
        <v>81.89</v>
      </c>
      <c r="F29" s="20">
        <v>54.56</v>
      </c>
      <c r="G29" s="20">
        <v>63.7</v>
      </c>
      <c r="H29" s="20">
        <v>56.26</v>
      </c>
      <c r="I29" s="20">
        <v>43.91</v>
      </c>
      <c r="J29" s="20">
        <v>48.03</v>
      </c>
      <c r="K29" s="20">
        <v>6.64</v>
      </c>
      <c r="L29" s="20">
        <v>91.05</v>
      </c>
      <c r="M29" s="15">
        <v>113.1</v>
      </c>
      <c r="N29" s="20">
        <v>85.76</v>
      </c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222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0">
        <v>77.04</v>
      </c>
      <c r="P30" s="20">
        <v>70.28</v>
      </c>
      <c r="Q30" s="20">
        <v>75.49</v>
      </c>
      <c r="R30" s="15">
        <v>101.14</v>
      </c>
      <c r="S30" s="15">
        <v>510.42</v>
      </c>
      <c r="T30" s="20">
        <v>95.03</v>
      </c>
      <c r="U30" s="15">
        <v>101.98</v>
      </c>
      <c r="V30" s="20">
        <v>36.51</v>
      </c>
      <c r="W30" s="20">
        <v>60.28</v>
      </c>
    </row>
    <row r="31" ht="15.0" customHeight="1">
      <c r="A31" s="14" t="s">
        <v>223</v>
      </c>
      <c r="B31" s="16"/>
      <c r="C31" s="15">
        <v>283.75</v>
      </c>
      <c r="D31" s="15">
        <v>345.32</v>
      </c>
      <c r="E31" s="15">
        <v>345.44</v>
      </c>
      <c r="F31" s="15">
        <v>354.64</v>
      </c>
      <c r="G31" s="15">
        <v>326.83</v>
      </c>
      <c r="H31" s="15">
        <v>295.36</v>
      </c>
      <c r="I31" s="15">
        <v>383.51</v>
      </c>
      <c r="J31" s="15">
        <v>373.24</v>
      </c>
      <c r="K31" s="15">
        <v>275.96</v>
      </c>
      <c r="L31" s="15">
        <v>270.01</v>
      </c>
      <c r="M31" s="15">
        <v>236.75</v>
      </c>
      <c r="N31" s="15">
        <v>216.76</v>
      </c>
      <c r="O31" s="15">
        <v>177.2</v>
      </c>
      <c r="P31" s="15">
        <v>215.19</v>
      </c>
      <c r="Q31" s="15">
        <v>157.05</v>
      </c>
      <c r="R31" s="15">
        <v>210.37</v>
      </c>
      <c r="S31" s="16"/>
      <c r="T31" s="15">
        <v>234.64</v>
      </c>
      <c r="U31" s="15">
        <v>414.29</v>
      </c>
      <c r="V31" s="15">
        <v>300.6</v>
      </c>
      <c r="W31" s="15">
        <v>305.98</v>
      </c>
    </row>
    <row r="32" ht="15.0" customHeight="1">
      <c r="A32" s="14" t="s">
        <v>224</v>
      </c>
      <c r="B32" s="16"/>
      <c r="C32" s="20">
        <v>38.04</v>
      </c>
      <c r="D32" s="20">
        <v>53.36</v>
      </c>
      <c r="E32" s="15">
        <v>142.13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225</v>
      </c>
      <c r="B33" s="16"/>
      <c r="C33" s="15">
        <v>245.71</v>
      </c>
      <c r="D33" s="15">
        <v>291.96</v>
      </c>
      <c r="E33" s="15">
        <v>203.31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226</v>
      </c>
      <c r="B34" s="16"/>
      <c r="C34" s="20">
        <v>13.37</v>
      </c>
      <c r="D34" s="20">
        <v>17.11</v>
      </c>
      <c r="E34" s="20">
        <v>42.36</v>
      </c>
      <c r="F34" s="20">
        <v>6.82</v>
      </c>
      <c r="G34" s="16">
        <v>0.0</v>
      </c>
      <c r="H34" s="20">
        <v>1.88</v>
      </c>
      <c r="I34" s="20">
        <v>12.69</v>
      </c>
      <c r="J34" s="20">
        <v>39.03</v>
      </c>
      <c r="K34" s="20">
        <v>8.53</v>
      </c>
      <c r="L34" s="20">
        <v>18.84</v>
      </c>
      <c r="M34" s="20">
        <v>19.17</v>
      </c>
      <c r="N34" s="20">
        <v>9.42</v>
      </c>
      <c r="O34" s="20">
        <v>5.14</v>
      </c>
      <c r="P34" s="20">
        <v>2.6</v>
      </c>
      <c r="Q34" s="20">
        <v>6.94</v>
      </c>
      <c r="R34" s="20">
        <v>5.66</v>
      </c>
      <c r="S34" s="16"/>
      <c r="T34" s="20">
        <v>15.98</v>
      </c>
      <c r="U34" s="20">
        <v>7.28</v>
      </c>
      <c r="V34" s="20">
        <v>5.09</v>
      </c>
      <c r="W34" s="16"/>
    </row>
    <row r="35" ht="15.0" customHeight="1">
      <c r="A35" s="14" t="s">
        <v>227</v>
      </c>
      <c r="B35" s="15">
        <v>1885.14</v>
      </c>
      <c r="C35" s="16">
        <v>0.0</v>
      </c>
      <c r="D35" s="15">
        <v>1141.67</v>
      </c>
      <c r="E35" s="16"/>
      <c r="F35" s="16"/>
      <c r="G35" s="16"/>
      <c r="H35" s="16"/>
      <c r="I35" s="16"/>
      <c r="J35" s="16">
        <v>0.0</v>
      </c>
      <c r="K35" s="15">
        <v>479.85</v>
      </c>
      <c r="L35" s="20">
        <v>8.37</v>
      </c>
      <c r="M35" s="15">
        <v>567.43</v>
      </c>
      <c r="N35" s="20">
        <v>14.14</v>
      </c>
      <c r="O35" s="20">
        <v>60.78</v>
      </c>
      <c r="P35" s="20">
        <v>61.61</v>
      </c>
      <c r="Q35" s="20">
        <v>62.47</v>
      </c>
      <c r="R35" s="20">
        <v>60.68</v>
      </c>
      <c r="S35" s="20">
        <v>38.24</v>
      </c>
      <c r="T35" s="16"/>
      <c r="U35" s="16"/>
      <c r="V35" s="16"/>
      <c r="W35" s="16"/>
    </row>
    <row r="36" ht="15.0" customHeight="1">
      <c r="A36" s="14" t="s">
        <v>228</v>
      </c>
      <c r="B36" s="20">
        <v>42.65</v>
      </c>
      <c r="C36" s="15">
        <v>277.59</v>
      </c>
      <c r="D36" s="15">
        <v>414.79</v>
      </c>
      <c r="E36" s="15">
        <v>320.03</v>
      </c>
      <c r="F36" s="15">
        <v>411.15</v>
      </c>
      <c r="G36" s="15">
        <v>663.07</v>
      </c>
      <c r="H36" s="15">
        <v>240.98</v>
      </c>
      <c r="I36" s="15">
        <v>124.91</v>
      </c>
      <c r="J36" s="15">
        <v>473.31</v>
      </c>
      <c r="K36" s="15">
        <v>953.06</v>
      </c>
      <c r="L36" s="15">
        <v>800.62</v>
      </c>
      <c r="M36" s="15">
        <v>450.5</v>
      </c>
      <c r="N36" s="15">
        <v>262.0</v>
      </c>
      <c r="O36" s="15">
        <v>146.38</v>
      </c>
      <c r="P36" s="15">
        <v>131.89</v>
      </c>
      <c r="Q36" s="15">
        <v>308.89</v>
      </c>
      <c r="R36" s="15">
        <v>310.7</v>
      </c>
      <c r="S36" s="15">
        <v>295.22</v>
      </c>
      <c r="T36" s="15">
        <v>227.07</v>
      </c>
      <c r="U36" s="15">
        <v>208.51</v>
      </c>
      <c r="V36" s="15">
        <v>213.14</v>
      </c>
      <c r="W36" s="15">
        <v>562.64</v>
      </c>
    </row>
    <row r="37" ht="15.0" customHeight="1">
      <c r="A37" s="14" t="s">
        <v>229</v>
      </c>
      <c r="B37" s="16"/>
      <c r="C37" s="15">
        <v>277.59</v>
      </c>
      <c r="D37" s="15">
        <v>414.79</v>
      </c>
      <c r="E37" s="15">
        <v>320.03</v>
      </c>
      <c r="F37" s="16"/>
      <c r="G37" s="16"/>
      <c r="H37" s="16"/>
      <c r="I37" s="16"/>
      <c r="J37" s="16"/>
      <c r="K37" s="16"/>
      <c r="L37" s="16"/>
      <c r="M37" s="16"/>
      <c r="N37" s="16"/>
      <c r="O37" s="15">
        <v>146.38</v>
      </c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230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0">
        <v>0.87</v>
      </c>
      <c r="Q38" s="20">
        <v>0.87</v>
      </c>
      <c r="R38" s="20">
        <v>6.47</v>
      </c>
      <c r="S38" s="16"/>
      <c r="T38" s="16"/>
      <c r="U38" s="16"/>
      <c r="V38" s="16"/>
      <c r="W38" s="16"/>
    </row>
    <row r="39" ht="15.0" customHeight="1">
      <c r="A39" s="17" t="s">
        <v>231</v>
      </c>
      <c r="B39" s="18">
        <v>3283.68</v>
      </c>
      <c r="C39" s="18">
        <v>2876.61</v>
      </c>
      <c r="D39" s="18">
        <v>4553.6</v>
      </c>
      <c r="E39" s="18">
        <v>3613.52</v>
      </c>
      <c r="F39" s="18">
        <v>3329.11</v>
      </c>
      <c r="G39" s="18">
        <v>3423.93</v>
      </c>
      <c r="H39" s="18">
        <v>3005.21</v>
      </c>
      <c r="I39" s="18">
        <v>2934.41</v>
      </c>
      <c r="J39" s="18">
        <v>3148.03</v>
      </c>
      <c r="K39" s="18">
        <v>3725.94</v>
      </c>
      <c r="L39" s="18">
        <v>3529.01</v>
      </c>
      <c r="M39" s="18">
        <v>3267.53</v>
      </c>
      <c r="N39" s="18">
        <v>2370.27</v>
      </c>
      <c r="O39" s="18">
        <v>2136.65</v>
      </c>
      <c r="P39" s="18">
        <v>2481.65</v>
      </c>
      <c r="Q39" s="18">
        <v>2516.2</v>
      </c>
      <c r="R39" s="18">
        <v>2878.01</v>
      </c>
      <c r="S39" s="18">
        <v>3504.44</v>
      </c>
      <c r="T39" s="18">
        <v>3164.68</v>
      </c>
      <c r="U39" s="18">
        <v>3289.72</v>
      </c>
      <c r="V39" s="18">
        <v>2713.06</v>
      </c>
      <c r="W39" s="18">
        <v>2971.23</v>
      </c>
    </row>
    <row r="40" ht="15.0" customHeight="1">
      <c r="A40" s="14" t="s">
        <v>232</v>
      </c>
      <c r="B40" s="16"/>
      <c r="C40" s="16"/>
      <c r="D40" s="16"/>
      <c r="E40" s="16"/>
      <c r="F40" s="16"/>
      <c r="G40" s="15">
        <v>3185.86</v>
      </c>
      <c r="H40" s="15">
        <v>3069.91</v>
      </c>
      <c r="I40" s="15">
        <v>2996.86</v>
      </c>
      <c r="J40" s="15">
        <v>2511.62</v>
      </c>
      <c r="K40" s="15">
        <v>2356.57</v>
      </c>
      <c r="L40" s="16"/>
      <c r="M40" s="16"/>
      <c r="N40" s="16"/>
      <c r="O40" s="15">
        <v>1968.01</v>
      </c>
      <c r="P40" s="15">
        <v>2542.38</v>
      </c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233</v>
      </c>
      <c r="B41" s="15">
        <v>737.0</v>
      </c>
      <c r="C41" s="15">
        <v>2251.53</v>
      </c>
      <c r="D41" s="15">
        <v>3268.96</v>
      </c>
      <c r="E41" s="15">
        <v>3042.17</v>
      </c>
      <c r="F41" s="15">
        <v>2936.48</v>
      </c>
      <c r="G41" s="15">
        <v>2955.09</v>
      </c>
      <c r="H41" s="15">
        <v>2852.37</v>
      </c>
      <c r="I41" s="15">
        <v>2817.31</v>
      </c>
      <c r="J41" s="15">
        <v>2362.53</v>
      </c>
      <c r="K41" s="15">
        <v>2237.08</v>
      </c>
      <c r="L41" s="15">
        <v>2669.78</v>
      </c>
      <c r="M41" s="15">
        <v>2183.47</v>
      </c>
      <c r="N41" s="15">
        <v>2029.11</v>
      </c>
      <c r="O41" s="15">
        <v>1799.38</v>
      </c>
      <c r="P41" s="15">
        <v>2326.33</v>
      </c>
      <c r="Q41" s="15">
        <v>2321.85</v>
      </c>
      <c r="R41" s="15">
        <v>2457.27</v>
      </c>
      <c r="S41" s="15">
        <v>2717.47</v>
      </c>
      <c r="T41" s="15">
        <v>2343.02</v>
      </c>
      <c r="U41" s="15">
        <v>2516.68</v>
      </c>
      <c r="V41" s="15">
        <v>1677.09</v>
      </c>
      <c r="W41" s="16"/>
    </row>
    <row r="42" ht="15.0" customHeight="1">
      <c r="A42" s="14" t="s">
        <v>234</v>
      </c>
      <c r="B42" s="15">
        <v>568.6</v>
      </c>
      <c r="C42" s="15">
        <v>703.22</v>
      </c>
      <c r="D42" s="15">
        <v>563.79</v>
      </c>
      <c r="E42" s="15">
        <v>393.45</v>
      </c>
      <c r="F42" s="15">
        <v>344.89</v>
      </c>
      <c r="G42" s="15">
        <v>230.77</v>
      </c>
      <c r="H42" s="15">
        <v>217.54</v>
      </c>
      <c r="I42" s="15">
        <v>179.56</v>
      </c>
      <c r="J42" s="15">
        <v>149.1</v>
      </c>
      <c r="K42" s="15">
        <v>119.49</v>
      </c>
      <c r="L42" s="15">
        <v>152.8</v>
      </c>
      <c r="M42" s="15">
        <v>151.44</v>
      </c>
      <c r="N42" s="15">
        <v>165.87</v>
      </c>
      <c r="O42" s="15">
        <v>168.64</v>
      </c>
      <c r="P42" s="16"/>
      <c r="Q42" s="16"/>
      <c r="R42" s="16"/>
      <c r="S42" s="15">
        <v>112.93</v>
      </c>
      <c r="T42" s="16"/>
      <c r="U42" s="16"/>
      <c r="V42" s="16"/>
      <c r="W42" s="16"/>
    </row>
    <row r="43" ht="15.0" customHeight="1">
      <c r="A43" s="14" t="s">
        <v>235</v>
      </c>
      <c r="B43" s="16"/>
      <c r="C43" s="22">
        <v>-516.1</v>
      </c>
      <c r="D43" s="22">
        <v>-497.34</v>
      </c>
      <c r="E43" s="22">
        <v>-440.51</v>
      </c>
      <c r="F43" s="22">
        <v>-456.94</v>
      </c>
      <c r="G43" s="22">
        <v>-413.5</v>
      </c>
      <c r="H43" s="22">
        <v>-358.19</v>
      </c>
      <c r="I43" s="22">
        <v>-309.35</v>
      </c>
      <c r="J43" s="22">
        <v>-257.17</v>
      </c>
      <c r="K43" s="22">
        <v>-201.99</v>
      </c>
      <c r="L43" s="22">
        <v>-336.99</v>
      </c>
      <c r="M43" s="22">
        <v>-242.5</v>
      </c>
      <c r="N43" s="22">
        <v>-299.7</v>
      </c>
      <c r="O43" s="22">
        <v>-236.26</v>
      </c>
      <c r="P43" s="16"/>
      <c r="Q43" s="22">
        <v>-177.0</v>
      </c>
      <c r="R43" s="22">
        <v>-199.04</v>
      </c>
      <c r="S43" s="16"/>
      <c r="T43" s="22">
        <v>-135.4</v>
      </c>
      <c r="U43" s="22">
        <v>-130.2</v>
      </c>
      <c r="V43" s="22">
        <v>-116.33</v>
      </c>
      <c r="W43" s="21">
        <v>-90.42</v>
      </c>
    </row>
    <row r="44" ht="15.0" customHeight="1">
      <c r="A44" s="14" t="s">
        <v>236</v>
      </c>
      <c r="B44" s="16"/>
      <c r="C44" s="15">
        <v>1219.32</v>
      </c>
      <c r="D44" s="15">
        <v>1061.13</v>
      </c>
      <c r="E44" s="15">
        <v>833.96</v>
      </c>
      <c r="F44" s="15">
        <v>801.83</v>
      </c>
      <c r="G44" s="15">
        <v>644.27</v>
      </c>
      <c r="H44" s="15">
        <v>575.73</v>
      </c>
      <c r="I44" s="15">
        <v>488.91</v>
      </c>
      <c r="J44" s="15">
        <v>406.26</v>
      </c>
      <c r="K44" s="15">
        <v>321.48</v>
      </c>
      <c r="L44" s="15">
        <v>489.79</v>
      </c>
      <c r="M44" s="15">
        <v>393.94</v>
      </c>
      <c r="N44" s="15">
        <v>465.57</v>
      </c>
      <c r="O44" s="15">
        <v>404.9</v>
      </c>
      <c r="P44" s="16"/>
      <c r="Q44" s="15">
        <v>400.86</v>
      </c>
      <c r="R44" s="15">
        <v>337.4</v>
      </c>
      <c r="S44" s="16"/>
      <c r="T44" s="15">
        <v>216.98</v>
      </c>
      <c r="U44" s="15">
        <v>214.88</v>
      </c>
      <c r="V44" s="15">
        <v>144.36</v>
      </c>
      <c r="W44" s="15">
        <v>116.0</v>
      </c>
    </row>
    <row r="45" ht="15.0" customHeight="1">
      <c r="A45" s="14" t="s">
        <v>237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20">
        <v>23.02</v>
      </c>
      <c r="M45" s="16"/>
      <c r="N45" s="16"/>
      <c r="O45" s="16"/>
      <c r="P45" s="20">
        <v>16.49</v>
      </c>
      <c r="Q45" s="16"/>
      <c r="R45" s="20">
        <v>18.61</v>
      </c>
      <c r="S45" s="16"/>
      <c r="T45" s="20">
        <v>21.87</v>
      </c>
      <c r="U45" s="20">
        <v>28.23</v>
      </c>
      <c r="V45" s="20">
        <v>7.64</v>
      </c>
      <c r="W45" s="20">
        <v>8.22</v>
      </c>
    </row>
    <row r="46" ht="15.0" customHeight="1">
      <c r="A46" s="14" t="s">
        <v>238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20">
        <v>9.42</v>
      </c>
      <c r="M46" s="16"/>
      <c r="N46" s="16"/>
      <c r="O46" s="16"/>
      <c r="P46" s="20">
        <v>46.86</v>
      </c>
      <c r="Q46" s="16"/>
      <c r="R46" s="15">
        <v>138.36</v>
      </c>
      <c r="S46" s="16"/>
      <c r="T46" s="20">
        <v>81.58</v>
      </c>
      <c r="U46" s="20">
        <v>84.68</v>
      </c>
      <c r="V46" s="20">
        <v>28.02</v>
      </c>
      <c r="W46" s="20">
        <v>25.57</v>
      </c>
    </row>
    <row r="47" ht="15.0" customHeight="1">
      <c r="A47" s="14" t="s">
        <v>239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5">
        <v>120.35</v>
      </c>
      <c r="M47" s="16"/>
      <c r="N47" s="16"/>
      <c r="O47" s="16"/>
      <c r="P47" s="15">
        <v>152.72</v>
      </c>
      <c r="Q47" s="16"/>
      <c r="R47" s="20">
        <v>59.87</v>
      </c>
      <c r="S47" s="16"/>
      <c r="T47" s="20">
        <v>10.09</v>
      </c>
      <c r="U47" s="20">
        <v>13.66</v>
      </c>
      <c r="V47" s="20">
        <v>13.59</v>
      </c>
      <c r="W47" s="20">
        <v>14.61</v>
      </c>
    </row>
    <row r="48" ht="15.0" customHeight="1">
      <c r="A48" s="14" t="s">
        <v>240</v>
      </c>
      <c r="B48" s="15">
        <f>3348.19-B63</f>
        <v>1760.48</v>
      </c>
      <c r="C48" s="20">
        <f t="shared" ref="C48:F48" si="1">SUM(C49,C52,C55,C56,C60)</f>
        <v>3669.28</v>
      </c>
      <c r="D48" s="20">
        <f t="shared" si="1"/>
        <v>3210.56</v>
      </c>
      <c r="E48" s="20">
        <f t="shared" si="1"/>
        <v>2947.09</v>
      </c>
      <c r="F48" s="20">
        <f t="shared" si="1"/>
        <v>1799.48</v>
      </c>
      <c r="G48" s="15">
        <f> 3696.47 -G63</f>
        <v>1399.23</v>
      </c>
      <c r="H48" s="15">
        <f> 3928.81 - H63</f>
        <v>1538.71</v>
      </c>
      <c r="I48" s="15">
        <v>1509.65</v>
      </c>
      <c r="J48" s="15">
        <v>1367.88</v>
      </c>
      <c r="K48" s="15">
        <v>1312.47</v>
      </c>
      <c r="L48" s="15">
        <v>1802.18</v>
      </c>
      <c r="M48" s="15">
        <v>1602.61</v>
      </c>
      <c r="N48" s="15">
        <v>1768.05</v>
      </c>
      <c r="O48" s="15">
        <v>1678.68</v>
      </c>
      <c r="P48" s="15">
        <v>1831.73</v>
      </c>
      <c r="Q48" s="20">
        <f>SUM(Q50,Q52,Q58,Q62,Q70)</f>
        <v>1863.73</v>
      </c>
      <c r="R48" s="20">
        <f>SUM(R49,R52,R55,R56,R58,R62,R70)</f>
        <v>1621.46</v>
      </c>
      <c r="S48" s="15">
        <v>3046.49</v>
      </c>
      <c r="T48" s="20">
        <f t="shared" ref="T48:W48" si="2">SUM(T49,T52,T55,T56,T62,T58,T70)</f>
        <v>2050.35</v>
      </c>
      <c r="U48" s="20">
        <f t="shared" si="2"/>
        <v>2097.84</v>
      </c>
      <c r="V48" s="20">
        <f t="shared" si="2"/>
        <v>1967.5</v>
      </c>
      <c r="W48" s="20">
        <f t="shared" si="2"/>
        <v>1792.96</v>
      </c>
    </row>
    <row r="49" ht="15.0" customHeight="1">
      <c r="A49" s="14" t="s">
        <v>241</v>
      </c>
      <c r="B49" s="16"/>
      <c r="C49" s="15">
        <v>468.81</v>
      </c>
      <c r="D49" s="15">
        <v>493.31</v>
      </c>
      <c r="E49" s="15">
        <v>400.04</v>
      </c>
      <c r="F49" s="15">
        <v>399.45</v>
      </c>
      <c r="G49" s="15">
        <v>445.87</v>
      </c>
      <c r="H49" s="15">
        <v>517.59</v>
      </c>
      <c r="I49" s="15">
        <v>518.18</v>
      </c>
      <c r="J49" s="15">
        <v>469.3</v>
      </c>
      <c r="K49" s="15">
        <v>445.71</v>
      </c>
      <c r="L49" s="15">
        <v>654.1</v>
      </c>
      <c r="M49" s="15">
        <v>631.65</v>
      </c>
      <c r="N49" s="15">
        <v>589.98</v>
      </c>
      <c r="O49" s="15">
        <v>585.52</v>
      </c>
      <c r="P49" s="15">
        <v>695.9</v>
      </c>
      <c r="Q49" s="16"/>
      <c r="R49" s="15">
        <v>1060.75</v>
      </c>
      <c r="S49" s="16"/>
      <c r="T49" s="15">
        <v>1239.63</v>
      </c>
      <c r="U49" s="15">
        <v>1346.66</v>
      </c>
      <c r="V49" s="15">
        <v>1007.95</v>
      </c>
      <c r="W49" s="15">
        <v>978.23</v>
      </c>
    </row>
    <row r="50" ht="15.0" customHeight="1">
      <c r="A50" s="14" t="s">
        <v>242</v>
      </c>
      <c r="B50" s="16"/>
      <c r="C50" s="15">
        <v>1712.81</v>
      </c>
      <c r="D50" s="15">
        <v>1889.7</v>
      </c>
      <c r="E50" s="15">
        <v>1609.56</v>
      </c>
      <c r="F50" s="15">
        <v>1545.21</v>
      </c>
      <c r="G50" s="15">
        <v>1557.95</v>
      </c>
      <c r="H50" s="15">
        <v>1539.64</v>
      </c>
      <c r="I50" s="15">
        <v>1486.23</v>
      </c>
      <c r="J50" s="15">
        <v>1369.88</v>
      </c>
      <c r="K50" s="15">
        <v>1286.87</v>
      </c>
      <c r="L50" s="15">
        <v>1789.62</v>
      </c>
      <c r="M50" s="15">
        <v>1840.32</v>
      </c>
      <c r="N50" s="15">
        <v>1705.84</v>
      </c>
      <c r="O50" s="15">
        <v>1610.19</v>
      </c>
      <c r="P50" s="15">
        <v>1652.12</v>
      </c>
      <c r="Q50" s="15">
        <v>2202.11</v>
      </c>
      <c r="R50" s="15">
        <v>2459.7</v>
      </c>
      <c r="S50" s="16"/>
      <c r="T50" s="15">
        <v>2430.49</v>
      </c>
      <c r="U50" s="15">
        <v>2500.29</v>
      </c>
      <c r="V50" s="15">
        <v>1698.32</v>
      </c>
      <c r="W50" s="15">
        <v>1571.02</v>
      </c>
    </row>
    <row r="51" ht="15.0" customHeight="1">
      <c r="A51" s="14" t="s">
        <v>243</v>
      </c>
      <c r="B51" s="16"/>
      <c r="C51" s="22">
        <v>-1244.0</v>
      </c>
      <c r="D51" s="22">
        <v>-1396.38</v>
      </c>
      <c r="E51" s="22">
        <v>-1209.53</v>
      </c>
      <c r="F51" s="22">
        <v>-1145.75</v>
      </c>
      <c r="G51" s="22">
        <v>-1112.07</v>
      </c>
      <c r="H51" s="22">
        <v>-1022.05</v>
      </c>
      <c r="I51" s="22">
        <v>-968.05</v>
      </c>
      <c r="J51" s="22">
        <v>-900.58</v>
      </c>
      <c r="K51" s="22">
        <v>-841.16</v>
      </c>
      <c r="L51" s="22">
        <v>-1135.52</v>
      </c>
      <c r="M51" s="22">
        <v>-1208.67</v>
      </c>
      <c r="N51" s="22">
        <v>-1115.87</v>
      </c>
      <c r="O51" s="22">
        <v>-1024.67</v>
      </c>
      <c r="P51" s="22">
        <v>-956.21</v>
      </c>
      <c r="Q51" s="16"/>
      <c r="R51" s="22">
        <v>-1398.95</v>
      </c>
      <c r="S51" s="16"/>
      <c r="T51" s="22">
        <v>-1190.85</v>
      </c>
      <c r="U51" s="22">
        <v>-1153.63</v>
      </c>
      <c r="V51" s="22">
        <v>-690.37</v>
      </c>
      <c r="W51" s="22">
        <v>-592.78</v>
      </c>
    </row>
    <row r="52" ht="15.0" customHeight="1">
      <c r="A52" s="14" t="s">
        <v>244</v>
      </c>
      <c r="B52" s="16"/>
      <c r="C52" s="20">
        <v>48.32</v>
      </c>
      <c r="D52" s="15">
        <v>101.68</v>
      </c>
      <c r="E52" s="15">
        <v>166.6</v>
      </c>
      <c r="F52" s="15">
        <v>179.27</v>
      </c>
      <c r="G52" s="15">
        <v>106.51</v>
      </c>
      <c r="H52" s="15">
        <v>116.27</v>
      </c>
      <c r="I52" s="15">
        <v>116.13</v>
      </c>
      <c r="J52" s="15">
        <v>116.07</v>
      </c>
      <c r="K52" s="15">
        <v>110.0</v>
      </c>
      <c r="L52" s="15">
        <v>161.17</v>
      </c>
      <c r="M52" s="15">
        <v>150.48</v>
      </c>
      <c r="N52" s="15">
        <v>148.91</v>
      </c>
      <c r="O52" s="15">
        <v>130.97</v>
      </c>
      <c r="P52" s="15">
        <v>150.11</v>
      </c>
      <c r="Q52" s="15">
        <v>155.31</v>
      </c>
      <c r="R52" s="15">
        <v>186.9</v>
      </c>
      <c r="S52" s="16"/>
      <c r="T52" s="15">
        <v>208.57</v>
      </c>
      <c r="U52" s="15">
        <v>208.51</v>
      </c>
      <c r="V52" s="15">
        <v>197.0</v>
      </c>
      <c r="W52" s="15">
        <v>169.89</v>
      </c>
    </row>
    <row r="53" ht="15.0" customHeight="1">
      <c r="A53" s="14" t="s">
        <v>245</v>
      </c>
      <c r="B53" s="16"/>
      <c r="C53" s="20">
        <v>86.36</v>
      </c>
      <c r="D53" s="15">
        <v>137.93</v>
      </c>
      <c r="E53" s="15">
        <v>200.49</v>
      </c>
      <c r="F53" s="15">
        <v>212.39</v>
      </c>
      <c r="G53" s="15">
        <v>140.97</v>
      </c>
      <c r="H53" s="15">
        <v>137.84</v>
      </c>
      <c r="I53" s="15">
        <v>137.6</v>
      </c>
      <c r="J53" s="15">
        <v>137.09</v>
      </c>
      <c r="K53" s="15">
        <v>133.71</v>
      </c>
      <c r="L53" s="15">
        <v>190.47</v>
      </c>
      <c r="M53" s="15">
        <v>176.36</v>
      </c>
      <c r="N53" s="15">
        <v>172.47</v>
      </c>
      <c r="O53" s="15">
        <v>162.65</v>
      </c>
      <c r="P53" s="15">
        <v>176.14</v>
      </c>
      <c r="Q53" s="15">
        <v>176.13</v>
      </c>
      <c r="R53" s="15">
        <v>216.03</v>
      </c>
      <c r="S53" s="16"/>
      <c r="T53" s="15">
        <v>231.27</v>
      </c>
      <c r="U53" s="15">
        <v>234.0</v>
      </c>
      <c r="V53" s="15">
        <v>221.63</v>
      </c>
      <c r="W53" s="15">
        <v>193.64</v>
      </c>
    </row>
    <row r="54" ht="15.0" customHeight="1">
      <c r="A54" s="14" t="s">
        <v>246</v>
      </c>
      <c r="B54" s="16"/>
      <c r="C54" s="21">
        <v>-38.04</v>
      </c>
      <c r="D54" s="21">
        <v>-36.24</v>
      </c>
      <c r="E54" s="21">
        <v>-33.89</v>
      </c>
      <c r="F54" s="21">
        <v>-33.13</v>
      </c>
      <c r="G54" s="21">
        <v>-34.46</v>
      </c>
      <c r="H54" s="21">
        <v>-21.57</v>
      </c>
      <c r="I54" s="21">
        <v>-21.47</v>
      </c>
      <c r="J54" s="21">
        <v>-21.01</v>
      </c>
      <c r="K54" s="21">
        <v>-23.71</v>
      </c>
      <c r="L54" s="21">
        <v>-29.3</v>
      </c>
      <c r="M54" s="21">
        <v>-25.88</v>
      </c>
      <c r="N54" s="21">
        <v>-23.56</v>
      </c>
      <c r="O54" s="21">
        <v>-31.67</v>
      </c>
      <c r="P54" s="21">
        <v>-26.03</v>
      </c>
      <c r="Q54" s="21">
        <v>-20.82</v>
      </c>
      <c r="R54" s="21">
        <v>-29.13</v>
      </c>
      <c r="S54" s="16"/>
      <c r="T54" s="21">
        <v>-22.71</v>
      </c>
      <c r="U54" s="21">
        <v>-25.49</v>
      </c>
      <c r="V54" s="21">
        <v>-24.63</v>
      </c>
      <c r="W54" s="21">
        <v>-23.75</v>
      </c>
    </row>
    <row r="55" ht="15.0" customHeight="1">
      <c r="A55" s="14" t="s">
        <v>247</v>
      </c>
      <c r="B55" s="16"/>
      <c r="C55" s="15">
        <v>2046.94</v>
      </c>
      <c r="D55" s="15">
        <v>1726.6</v>
      </c>
      <c r="E55" s="15">
        <v>1729.1</v>
      </c>
      <c r="F55" s="15">
        <v>568.0</v>
      </c>
      <c r="G55" s="15">
        <v>151.41</v>
      </c>
      <c r="H55" s="15">
        <v>141.59</v>
      </c>
      <c r="I55" s="15">
        <v>123.93</v>
      </c>
      <c r="J55" s="15">
        <v>110.07</v>
      </c>
      <c r="K55" s="15">
        <v>143.2</v>
      </c>
      <c r="L55" s="20">
        <v>48.14</v>
      </c>
      <c r="M55" s="20">
        <v>32.59</v>
      </c>
      <c r="N55" s="20">
        <v>12.25</v>
      </c>
      <c r="O55" s="20">
        <v>15.41</v>
      </c>
      <c r="P55" s="20">
        <v>17.35</v>
      </c>
      <c r="Q55" s="16"/>
      <c r="R55" s="20">
        <v>16.18</v>
      </c>
      <c r="S55" s="16"/>
      <c r="T55" s="20">
        <v>79.89</v>
      </c>
      <c r="U55" s="20">
        <v>25.49</v>
      </c>
      <c r="V55" s="20">
        <v>32.27</v>
      </c>
      <c r="W55" s="20">
        <v>41.1</v>
      </c>
    </row>
    <row r="56" ht="15.0" customHeight="1">
      <c r="A56" s="14" t="s">
        <v>248</v>
      </c>
      <c r="B56" s="16"/>
      <c r="C56" s="15">
        <v>849.21</v>
      </c>
      <c r="D56" s="15">
        <v>586.94</v>
      </c>
      <c r="E56" s="15">
        <v>403.8</v>
      </c>
      <c r="F56" s="15">
        <v>408.22</v>
      </c>
      <c r="G56" s="15">
        <v>439.61</v>
      </c>
      <c r="H56" s="15">
        <v>497.9</v>
      </c>
      <c r="I56" s="15">
        <v>457.68</v>
      </c>
      <c r="J56" s="15">
        <v>440.28</v>
      </c>
      <c r="K56" s="15">
        <v>418.21</v>
      </c>
      <c r="L56" s="15">
        <v>591.31</v>
      </c>
      <c r="M56" s="15">
        <v>520.47</v>
      </c>
      <c r="N56" s="15">
        <v>683.28</v>
      </c>
      <c r="O56" s="15">
        <v>645.45</v>
      </c>
      <c r="P56" s="15">
        <v>687.22</v>
      </c>
      <c r="Q56" s="16"/>
      <c r="R56" s="15">
        <v>684.51</v>
      </c>
      <c r="S56" s="16"/>
      <c r="T56" s="15">
        <v>698.87</v>
      </c>
      <c r="U56" s="15">
        <v>689.27</v>
      </c>
      <c r="V56" s="15">
        <v>599.51</v>
      </c>
      <c r="W56" s="15">
        <v>497.79</v>
      </c>
    </row>
    <row r="57" ht="15.0" customHeight="1">
      <c r="A57" s="14" t="s">
        <v>249</v>
      </c>
      <c r="B57" s="16"/>
      <c r="C57" s="22">
        <v>-1704.58</v>
      </c>
      <c r="D57" s="22">
        <v>-2084.0</v>
      </c>
      <c r="E57" s="22">
        <v>-1925.83</v>
      </c>
      <c r="F57" s="22">
        <v>-1869.64</v>
      </c>
      <c r="G57" s="22">
        <v>-1811.69</v>
      </c>
      <c r="H57" s="22">
        <v>-1569.65</v>
      </c>
      <c r="I57" s="22">
        <v>-1520.39</v>
      </c>
      <c r="J57" s="22">
        <v>-1397.9</v>
      </c>
      <c r="K57" s="22">
        <v>-1308.68</v>
      </c>
      <c r="L57" s="22">
        <v>-1424.37</v>
      </c>
      <c r="M57" s="22">
        <v>-1600.7</v>
      </c>
      <c r="N57" s="22">
        <v>-1667.2</v>
      </c>
      <c r="O57" s="22">
        <v>-1487.78</v>
      </c>
      <c r="P57" s="22">
        <v>-1783.14</v>
      </c>
      <c r="Q57" s="16"/>
      <c r="R57" s="22">
        <v>-1530.84</v>
      </c>
      <c r="S57" s="16"/>
      <c r="T57" s="22">
        <v>-1476.79</v>
      </c>
      <c r="U57" s="22">
        <v>-1468.67</v>
      </c>
      <c r="V57" s="22">
        <v>-1415.55</v>
      </c>
      <c r="W57" s="22">
        <v>-1330.8</v>
      </c>
    </row>
    <row r="58" ht="15.0" customHeight="1">
      <c r="A58" s="14" t="s">
        <v>250</v>
      </c>
      <c r="B58" s="16"/>
      <c r="C58" s="15">
        <v>2553.79</v>
      </c>
      <c r="D58" s="15">
        <v>2670.95</v>
      </c>
      <c r="E58" s="15">
        <v>2329.63</v>
      </c>
      <c r="F58" s="15">
        <v>2277.86</v>
      </c>
      <c r="G58" s="15">
        <v>2252.34</v>
      </c>
      <c r="H58" s="15">
        <v>2067.55</v>
      </c>
      <c r="I58" s="15">
        <v>1978.07</v>
      </c>
      <c r="J58" s="15">
        <v>1838.19</v>
      </c>
      <c r="K58" s="15">
        <v>1726.89</v>
      </c>
      <c r="L58" s="15">
        <v>2015.68</v>
      </c>
      <c r="M58" s="15">
        <v>2121.16</v>
      </c>
      <c r="N58" s="15">
        <v>2350.48</v>
      </c>
      <c r="O58" s="15">
        <v>2133.23</v>
      </c>
      <c r="P58" s="15">
        <v>2470.37</v>
      </c>
      <c r="Q58" s="15">
        <v>1962.64</v>
      </c>
      <c r="R58" s="15">
        <v>2215.35</v>
      </c>
      <c r="S58" s="16"/>
      <c r="T58" s="15">
        <v>2175.66</v>
      </c>
      <c r="U58" s="15">
        <v>2157.94</v>
      </c>
      <c r="V58" s="15">
        <v>2015.05</v>
      </c>
      <c r="W58" s="15">
        <v>1828.59</v>
      </c>
    </row>
    <row r="59" ht="15.0" customHeight="1">
      <c r="A59" s="14" t="s">
        <v>251</v>
      </c>
      <c r="B59" s="16"/>
      <c r="C59" s="16"/>
      <c r="D59" s="16"/>
      <c r="E59" s="16"/>
      <c r="F59" s="16"/>
      <c r="G59" s="21">
        <v>-1.04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252</v>
      </c>
      <c r="B60" s="16"/>
      <c r="C60" s="15">
        <v>256.0</v>
      </c>
      <c r="D60" s="15">
        <v>302.03</v>
      </c>
      <c r="E60" s="15">
        <v>247.55</v>
      </c>
      <c r="F60" s="15">
        <v>244.54</v>
      </c>
      <c r="G60" s="15">
        <v>255.83</v>
      </c>
      <c r="H60" s="15">
        <v>265.36</v>
      </c>
      <c r="I60" s="15">
        <v>293.73</v>
      </c>
      <c r="J60" s="15">
        <v>232.15</v>
      </c>
      <c r="K60" s="15">
        <v>195.35</v>
      </c>
      <c r="L60" s="15">
        <v>347.46</v>
      </c>
      <c r="M60" s="15">
        <v>267.42</v>
      </c>
      <c r="N60" s="15">
        <v>333.63</v>
      </c>
      <c r="O60" s="15">
        <v>301.32</v>
      </c>
      <c r="P60" s="15">
        <v>281.14</v>
      </c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253</v>
      </c>
      <c r="B61" s="16"/>
      <c r="C61" s="22">
        <v>-1313.91</v>
      </c>
      <c r="D61" s="22">
        <v>-1302.75</v>
      </c>
      <c r="E61" s="22">
        <v>-1159.64</v>
      </c>
      <c r="F61" s="22">
        <v>-1087.3</v>
      </c>
      <c r="G61" s="22">
        <v>-1028.54</v>
      </c>
      <c r="H61" s="22">
        <v>-947.98</v>
      </c>
      <c r="I61" s="22">
        <v>-930.97</v>
      </c>
      <c r="J61" s="22">
        <v>-793.51</v>
      </c>
      <c r="K61" s="22">
        <v>-704.6</v>
      </c>
      <c r="L61" s="22">
        <v>-852.95</v>
      </c>
      <c r="M61" s="22">
        <v>-1069.69</v>
      </c>
      <c r="N61" s="22">
        <v>-993.35</v>
      </c>
      <c r="O61" s="22">
        <v>-889.42</v>
      </c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254</v>
      </c>
      <c r="B62" s="16"/>
      <c r="C62" s="15">
        <v>1569.9</v>
      </c>
      <c r="D62" s="15">
        <v>1604.78</v>
      </c>
      <c r="E62" s="15">
        <v>1407.19</v>
      </c>
      <c r="F62" s="15">
        <v>1331.84</v>
      </c>
      <c r="G62" s="15">
        <v>1284.37</v>
      </c>
      <c r="H62" s="15">
        <v>1213.34</v>
      </c>
      <c r="I62" s="15">
        <v>1224.7</v>
      </c>
      <c r="J62" s="15">
        <v>1025.66</v>
      </c>
      <c r="K62" s="15">
        <v>899.95</v>
      </c>
      <c r="L62" s="15">
        <v>1200.41</v>
      </c>
      <c r="M62" s="15">
        <v>1337.11</v>
      </c>
      <c r="N62" s="15">
        <v>1326.98</v>
      </c>
      <c r="O62" s="15">
        <v>1190.74</v>
      </c>
      <c r="P62" s="16"/>
      <c r="Q62" s="15">
        <v>1025.57</v>
      </c>
      <c r="R62" s="15">
        <v>1070.45</v>
      </c>
      <c r="S62" s="16"/>
      <c r="T62" s="15">
        <v>848.57</v>
      </c>
      <c r="U62" s="15">
        <v>840.41</v>
      </c>
      <c r="V62" s="15">
        <v>654.7</v>
      </c>
      <c r="W62" s="15">
        <v>554.42</v>
      </c>
    </row>
    <row r="63" ht="15.0" customHeight="1">
      <c r="A63" s="14" t="s">
        <v>255</v>
      </c>
      <c r="B63" s="15">
        <v>1587.71</v>
      </c>
      <c r="C63" s="15">
        <v>2501.36</v>
      </c>
      <c r="D63" s="15">
        <v>1638.01</v>
      </c>
      <c r="E63" s="15">
        <v>1718.75</v>
      </c>
      <c r="F63" s="15">
        <v>1800.47</v>
      </c>
      <c r="G63" s="15">
        <v>2297.24</v>
      </c>
      <c r="H63" s="15">
        <v>2390.1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256</v>
      </c>
      <c r="B64" s="16"/>
      <c r="C64" s="15">
        <v>3690.86</v>
      </c>
      <c r="D64" s="15">
        <v>2912.57</v>
      </c>
      <c r="E64" s="15">
        <v>2949.93</v>
      </c>
      <c r="F64" s="15">
        <v>2860.48</v>
      </c>
      <c r="G64" s="15">
        <v>3133.65</v>
      </c>
      <c r="H64" s="15">
        <v>2838.31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257</v>
      </c>
      <c r="B65" s="16"/>
      <c r="C65" s="22">
        <v>-1189.51</v>
      </c>
      <c r="D65" s="22">
        <v>-1274.56</v>
      </c>
      <c r="E65" s="22">
        <v>-1231.17</v>
      </c>
      <c r="F65" s="22">
        <v>-1060.02</v>
      </c>
      <c r="G65" s="22">
        <v>-836.4</v>
      </c>
      <c r="H65" s="22">
        <v>-448.2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258</v>
      </c>
      <c r="B66" s="20">
        <v>95.13</v>
      </c>
      <c r="C66" s="20">
        <v>62.71</v>
      </c>
      <c r="D66" s="16">
        <v>0.0</v>
      </c>
      <c r="E66" s="16">
        <v>0.0</v>
      </c>
      <c r="F66" s="16">
        <v>0.0</v>
      </c>
      <c r="G66" s="16">
        <v>0.0</v>
      </c>
      <c r="H66" s="20">
        <v>1.88</v>
      </c>
      <c r="I66" s="20">
        <v>1.95</v>
      </c>
      <c r="J66" s="20">
        <v>5.0</v>
      </c>
      <c r="K66" s="20">
        <v>2.84</v>
      </c>
      <c r="L66" s="20">
        <v>3.14</v>
      </c>
      <c r="M66" s="20">
        <v>6.71</v>
      </c>
      <c r="N66" s="20">
        <v>5.65</v>
      </c>
      <c r="O66" s="20">
        <v>4.28</v>
      </c>
      <c r="P66" s="20">
        <v>4.34</v>
      </c>
      <c r="Q66" s="20">
        <v>8.68</v>
      </c>
      <c r="R66" s="16"/>
      <c r="S66" s="16"/>
      <c r="T66" s="15">
        <v>180.81</v>
      </c>
      <c r="U66" s="16"/>
      <c r="V66" s="16"/>
      <c r="W66" s="16"/>
    </row>
    <row r="67" ht="15.0" customHeight="1">
      <c r="A67" s="14" t="s">
        <v>259</v>
      </c>
      <c r="B67" s="20">
        <v>41.55</v>
      </c>
      <c r="C67" s="20">
        <v>92.53</v>
      </c>
      <c r="D67" s="20">
        <v>79.53</v>
      </c>
      <c r="E67" s="20">
        <v>80.95</v>
      </c>
      <c r="F67" s="20">
        <v>85.74</v>
      </c>
      <c r="G67" s="15">
        <v>100.24</v>
      </c>
      <c r="H67" s="20">
        <v>96.58</v>
      </c>
      <c r="I67" s="20">
        <v>40.99</v>
      </c>
      <c r="J67" s="20">
        <v>34.02</v>
      </c>
      <c r="K67" s="20">
        <v>26.55</v>
      </c>
      <c r="L67" s="20">
        <v>35.58</v>
      </c>
      <c r="M67" s="20">
        <v>26.84</v>
      </c>
      <c r="N67" s="20">
        <v>46.18</v>
      </c>
      <c r="O67" s="20">
        <v>41.09</v>
      </c>
      <c r="P67" s="20">
        <v>46.86</v>
      </c>
      <c r="Q67" s="20">
        <v>45.12</v>
      </c>
      <c r="R67" s="15">
        <v>336.59</v>
      </c>
      <c r="S67" s="15">
        <v>367.25</v>
      </c>
      <c r="T67" s="20">
        <v>42.89</v>
      </c>
      <c r="U67" s="15">
        <v>107.44</v>
      </c>
      <c r="V67" s="20">
        <v>45.01</v>
      </c>
      <c r="W67" s="20">
        <v>39.28</v>
      </c>
    </row>
    <row r="68" ht="15.0" customHeight="1">
      <c r="A68" s="14" t="s">
        <v>260</v>
      </c>
      <c r="B68" s="15">
        <v>218.69</v>
      </c>
      <c r="C68" s="15">
        <v>485.26</v>
      </c>
      <c r="D68" s="15">
        <v>392.64</v>
      </c>
      <c r="E68" s="15">
        <v>225.9</v>
      </c>
      <c r="F68" s="20">
        <v>59.43</v>
      </c>
      <c r="G68" s="15">
        <v>124.26</v>
      </c>
      <c r="H68" s="20">
        <v>67.51</v>
      </c>
      <c r="I68" s="20">
        <v>94.66</v>
      </c>
      <c r="J68" s="15">
        <v>118.08</v>
      </c>
      <c r="K68" s="15">
        <v>166.9</v>
      </c>
      <c r="L68" s="15">
        <v>252.22</v>
      </c>
      <c r="M68" s="15">
        <v>290.43</v>
      </c>
      <c r="N68" s="15">
        <v>386.41</v>
      </c>
      <c r="O68" s="15">
        <v>401.48</v>
      </c>
      <c r="P68" s="15">
        <v>395.67</v>
      </c>
      <c r="Q68" s="15">
        <v>352.27</v>
      </c>
      <c r="R68" s="15">
        <v>237.07</v>
      </c>
      <c r="S68" s="15">
        <v>229.42</v>
      </c>
      <c r="T68" s="15">
        <v>229.59</v>
      </c>
      <c r="U68" s="15">
        <v>159.34</v>
      </c>
      <c r="V68" s="15">
        <v>174.93</v>
      </c>
      <c r="W68" s="15">
        <v>148.88</v>
      </c>
    </row>
    <row r="69" ht="15.0" customHeight="1">
      <c r="A69" s="14" t="s">
        <v>261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20">
        <v>10.41</v>
      </c>
      <c r="R69" s="20">
        <v>16.18</v>
      </c>
      <c r="S69" s="16"/>
      <c r="T69" s="20">
        <v>79.89</v>
      </c>
      <c r="U69" s="20">
        <v>24.58</v>
      </c>
      <c r="V69" s="20">
        <v>28.02</v>
      </c>
      <c r="W69" s="20">
        <v>41.1</v>
      </c>
    </row>
    <row r="70" ht="15.0" customHeight="1">
      <c r="A70" s="14" t="s">
        <v>262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2">
        <v>-3481.9</v>
      </c>
      <c r="R70" s="22">
        <v>-3612.68</v>
      </c>
      <c r="S70" s="16"/>
      <c r="T70" s="22">
        <v>-3200.84</v>
      </c>
      <c r="U70" s="22">
        <v>-3170.44</v>
      </c>
      <c r="V70" s="22">
        <v>-2538.98</v>
      </c>
      <c r="W70" s="22">
        <v>-2277.06</v>
      </c>
    </row>
    <row r="71" ht="15.0" customHeight="1">
      <c r="A71" s="14" t="s">
        <v>263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>
        <v>0.0</v>
      </c>
      <c r="Q71" s="16">
        <v>0.0</v>
      </c>
      <c r="R71" s="20">
        <v>46.93</v>
      </c>
      <c r="S71" s="20">
        <v>67.58</v>
      </c>
      <c r="T71" s="20">
        <v>44.57</v>
      </c>
      <c r="U71" s="20">
        <v>0.91</v>
      </c>
      <c r="V71" s="20">
        <v>2.55</v>
      </c>
      <c r="W71" s="16">
        <v>0.0</v>
      </c>
    </row>
    <row r="72" ht="15.0" customHeight="1">
      <c r="A72" s="14" t="s">
        <v>264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20">
        <v>1.68</v>
      </c>
      <c r="U72" s="20">
        <v>16.39</v>
      </c>
      <c r="V72" s="20">
        <v>4.25</v>
      </c>
      <c r="W72" s="16">
        <v>0.0</v>
      </c>
    </row>
    <row r="73" ht="15.0" customHeight="1">
      <c r="A73" s="14" t="s">
        <v>233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5">
        <v>1677.09</v>
      </c>
      <c r="W73" s="15">
        <v>1502.51</v>
      </c>
    </row>
    <row r="74" ht="15.0" customHeight="1">
      <c r="A74" s="17" t="s">
        <v>265</v>
      </c>
      <c r="B74" s="18">
        <v>6596.88</v>
      </c>
      <c r="C74" s="18">
        <v>9765.88</v>
      </c>
      <c r="D74" s="18">
        <v>9153.5</v>
      </c>
      <c r="E74" s="18">
        <v>8408.32</v>
      </c>
      <c r="F74" s="18">
        <v>7026.5</v>
      </c>
      <c r="G74" s="18">
        <v>7106.83</v>
      </c>
      <c r="H74" s="18">
        <v>7164.68</v>
      </c>
      <c r="I74" s="18">
        <v>4644.12</v>
      </c>
      <c r="J74" s="18">
        <v>4036.61</v>
      </c>
      <c r="K74" s="18">
        <v>3865.35</v>
      </c>
      <c r="L74" s="18">
        <v>4915.71</v>
      </c>
      <c r="M74" s="18">
        <v>4261.5</v>
      </c>
      <c r="N74" s="18">
        <v>4401.26</v>
      </c>
      <c r="O74" s="18">
        <v>4093.54</v>
      </c>
      <c r="P74" s="18">
        <v>4820.99</v>
      </c>
      <c r="Q74" s="18">
        <v>3421.17</v>
      </c>
      <c r="R74" s="23">
        <v>-518.64</v>
      </c>
      <c r="S74" s="18">
        <v>6541.15</v>
      </c>
      <c r="T74" s="23">
        <v>-278.37</v>
      </c>
      <c r="U74" s="23">
        <v>-345.09</v>
      </c>
      <c r="V74" s="18">
        <v>1069.94</v>
      </c>
      <c r="W74" s="23">
        <v>-545.29</v>
      </c>
    </row>
    <row r="75" ht="15.0" customHeight="1">
      <c r="A75" s="14" t="s">
        <v>266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5">
        <v>1425.56</v>
      </c>
      <c r="R75" s="15">
        <v>6100.7</v>
      </c>
      <c r="S75" s="16"/>
      <c r="T75" s="15">
        <v>5767.57</v>
      </c>
      <c r="U75" s="15">
        <v>5817.33</v>
      </c>
      <c r="V75" s="15">
        <v>2940.63</v>
      </c>
      <c r="W75" s="15">
        <v>4173.24</v>
      </c>
    </row>
    <row r="76" ht="15.0" customHeight="1">
      <c r="A76" s="17" t="s">
        <v>267</v>
      </c>
      <c r="B76" s="18">
        <v>9880.56</v>
      </c>
      <c r="C76" s="19">
        <v>12642.49</v>
      </c>
      <c r="D76" s="19">
        <v>13707.1</v>
      </c>
      <c r="E76" s="19">
        <v>12021.84</v>
      </c>
      <c r="F76" s="19">
        <v>10355.61</v>
      </c>
      <c r="G76" s="19">
        <v>10530.76</v>
      </c>
      <c r="H76" s="19">
        <v>10169.89</v>
      </c>
      <c r="I76" s="18">
        <v>7578.53</v>
      </c>
      <c r="J76" s="18">
        <v>7184.64</v>
      </c>
      <c r="K76" s="18">
        <v>7591.29</v>
      </c>
      <c r="L76" s="18">
        <v>8444.72</v>
      </c>
      <c r="M76" s="18">
        <v>7529.03</v>
      </c>
      <c r="N76" s="18">
        <v>6771.54</v>
      </c>
      <c r="O76" s="18">
        <v>6230.19</v>
      </c>
      <c r="P76" s="18">
        <v>7302.63</v>
      </c>
      <c r="Q76" s="18">
        <v>7362.93</v>
      </c>
      <c r="R76" s="18">
        <v>8460.07</v>
      </c>
      <c r="S76" s="19">
        <v>10045.59</v>
      </c>
      <c r="T76" s="18">
        <v>8653.87</v>
      </c>
      <c r="U76" s="18">
        <v>8761.96</v>
      </c>
      <c r="V76" s="18">
        <v>6723.63</v>
      </c>
      <c r="W76" s="18">
        <v>6599.19</v>
      </c>
    </row>
    <row r="77" ht="15.0" customHeight="1">
      <c r="A77" s="14" t="s">
        <v>268</v>
      </c>
      <c r="B77" s="15">
        <v>168.39</v>
      </c>
      <c r="C77" s="15">
        <v>304.32</v>
      </c>
      <c r="D77" s="15">
        <v>289.95</v>
      </c>
      <c r="E77" s="15">
        <v>319.09</v>
      </c>
      <c r="F77" s="15">
        <v>361.46</v>
      </c>
      <c r="G77" s="15">
        <v>422.9</v>
      </c>
      <c r="H77" s="15">
        <v>339.43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269</v>
      </c>
      <c r="B78" s="16"/>
      <c r="C78" s="16">
        <v>0.0</v>
      </c>
      <c r="D78" s="15">
        <v>251.69</v>
      </c>
      <c r="E78" s="16">
        <v>0.0</v>
      </c>
      <c r="F78" s="16">
        <v>0.0</v>
      </c>
      <c r="G78" s="16">
        <v>0.0</v>
      </c>
      <c r="H78" s="16">
        <v>0.0</v>
      </c>
      <c r="I78" s="16">
        <v>0.0</v>
      </c>
      <c r="J78" s="20">
        <v>1.0</v>
      </c>
      <c r="K78" s="15">
        <v>759.6</v>
      </c>
      <c r="L78" s="20">
        <v>1.05</v>
      </c>
      <c r="M78" s="20">
        <v>2.88</v>
      </c>
      <c r="N78" s="20">
        <v>0.94</v>
      </c>
      <c r="O78" s="15">
        <v>108.72</v>
      </c>
      <c r="P78" s="20">
        <v>61.61</v>
      </c>
      <c r="Q78" s="20">
        <v>35.57</v>
      </c>
      <c r="R78" s="20">
        <v>38.84</v>
      </c>
      <c r="S78" s="20">
        <v>44.46</v>
      </c>
      <c r="T78" s="15">
        <v>131.2</v>
      </c>
      <c r="U78" s="15">
        <v>155.7</v>
      </c>
      <c r="V78" s="15">
        <v>125.68</v>
      </c>
      <c r="W78" s="20">
        <v>51.15</v>
      </c>
    </row>
    <row r="79" ht="15.0" customHeight="1">
      <c r="A79" s="14" t="s">
        <v>270</v>
      </c>
      <c r="B79" s="15">
        <v>872.59</v>
      </c>
      <c r="C79" s="15">
        <v>1445.5</v>
      </c>
      <c r="D79" s="15">
        <v>1733.65</v>
      </c>
      <c r="E79" s="15">
        <v>1918.3</v>
      </c>
      <c r="F79" s="15">
        <v>1562.74</v>
      </c>
      <c r="G79" s="15">
        <v>1375.21</v>
      </c>
      <c r="H79" s="15">
        <v>1089.56</v>
      </c>
      <c r="I79" s="15">
        <v>1024.65</v>
      </c>
      <c r="J79" s="15">
        <v>1106.71</v>
      </c>
      <c r="K79" s="15">
        <v>1101.95</v>
      </c>
      <c r="L79" s="15">
        <v>1139.71</v>
      </c>
      <c r="M79" s="15">
        <v>1009.3</v>
      </c>
      <c r="N79" s="15">
        <v>810.51</v>
      </c>
      <c r="O79" s="15">
        <v>736.19</v>
      </c>
      <c r="P79" s="15">
        <v>918.9</v>
      </c>
      <c r="Q79" s="15">
        <v>899.76</v>
      </c>
      <c r="R79" s="15">
        <v>962.03</v>
      </c>
      <c r="S79" s="16"/>
      <c r="T79" s="15">
        <v>886.41</v>
      </c>
      <c r="U79" s="15">
        <v>950.59</v>
      </c>
      <c r="V79" s="15">
        <v>727.73</v>
      </c>
      <c r="W79" s="15">
        <v>702.39</v>
      </c>
    </row>
    <row r="80" ht="15.0" customHeight="1">
      <c r="A80" s="14" t="s">
        <v>271</v>
      </c>
      <c r="B80" s="15">
        <v>989.59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5">
        <v>273.93</v>
      </c>
      <c r="P80" s="15">
        <v>287.21</v>
      </c>
      <c r="Q80" s="15">
        <v>319.3</v>
      </c>
      <c r="R80" s="15">
        <v>339.83</v>
      </c>
      <c r="S80" s="15">
        <v>2483.61</v>
      </c>
      <c r="T80" s="15">
        <v>338.92</v>
      </c>
      <c r="U80" s="15">
        <v>384.24</v>
      </c>
      <c r="V80" s="15">
        <v>318.43</v>
      </c>
      <c r="W80" s="15">
        <v>276.75</v>
      </c>
    </row>
    <row r="81" ht="15.0" customHeight="1">
      <c r="A81" s="14" t="s">
        <v>272</v>
      </c>
      <c r="B81" s="15">
        <v>1784.54</v>
      </c>
      <c r="C81" s="16">
        <v>0.0</v>
      </c>
      <c r="D81" s="20">
        <v>90.61</v>
      </c>
      <c r="E81" s="16"/>
      <c r="F81" s="16"/>
      <c r="G81" s="16"/>
      <c r="H81" s="16"/>
      <c r="I81" s="16"/>
      <c r="J81" s="16">
        <v>0.0</v>
      </c>
      <c r="K81" s="15">
        <v>312.0</v>
      </c>
      <c r="L81" s="20">
        <v>3.14</v>
      </c>
      <c r="M81" s="15">
        <v>345.06</v>
      </c>
      <c r="N81" s="20">
        <v>1.88</v>
      </c>
      <c r="O81" s="20">
        <v>93.31</v>
      </c>
      <c r="P81" s="20">
        <v>1.74</v>
      </c>
      <c r="Q81" s="20">
        <v>9.54</v>
      </c>
      <c r="R81" s="20">
        <v>32.36</v>
      </c>
      <c r="S81" s="20">
        <v>31.12</v>
      </c>
      <c r="T81" s="16"/>
      <c r="U81" s="16"/>
      <c r="V81" s="16"/>
      <c r="W81" s="16"/>
    </row>
    <row r="82" ht="15.0" customHeight="1">
      <c r="A82" s="14" t="s">
        <v>273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20">
        <v>3.14</v>
      </c>
      <c r="M82" s="20">
        <v>0.96</v>
      </c>
      <c r="N82" s="20">
        <v>0.94</v>
      </c>
      <c r="O82" s="16">
        <v>0.0</v>
      </c>
      <c r="P82" s="20">
        <v>0.87</v>
      </c>
      <c r="Q82" s="20">
        <v>0.87</v>
      </c>
      <c r="R82" s="16">
        <v>0.0</v>
      </c>
      <c r="S82" s="16"/>
      <c r="T82" s="20">
        <v>0.84</v>
      </c>
      <c r="U82" s="20">
        <v>2.73</v>
      </c>
      <c r="V82" s="20">
        <v>1.7</v>
      </c>
      <c r="W82" s="20">
        <v>1.83</v>
      </c>
    </row>
    <row r="83" ht="15.0" customHeight="1">
      <c r="A83" s="14" t="s">
        <v>274</v>
      </c>
      <c r="B83" s="16"/>
      <c r="C83" s="15">
        <v>179.92</v>
      </c>
      <c r="D83" s="15">
        <v>345.32</v>
      </c>
      <c r="E83" s="15">
        <v>312.5</v>
      </c>
      <c r="F83" s="15">
        <v>337.1</v>
      </c>
      <c r="G83" s="15">
        <v>672.47</v>
      </c>
      <c r="H83" s="15">
        <v>340.37</v>
      </c>
      <c r="I83" s="15">
        <v>347.41</v>
      </c>
      <c r="J83" s="15">
        <v>378.24</v>
      </c>
      <c r="K83" s="15">
        <v>337.6</v>
      </c>
      <c r="L83" s="15">
        <v>382.0</v>
      </c>
      <c r="M83" s="15">
        <v>349.85</v>
      </c>
      <c r="N83" s="15">
        <v>321.38</v>
      </c>
      <c r="O83" s="16">
        <v>0.0</v>
      </c>
      <c r="P83" s="20">
        <v>0.87</v>
      </c>
      <c r="Q83" s="20">
        <v>0.87</v>
      </c>
      <c r="R83" s="20">
        <v>1.62</v>
      </c>
      <c r="S83" s="16"/>
      <c r="T83" s="20">
        <v>3.36</v>
      </c>
      <c r="U83" s="20">
        <v>3.64</v>
      </c>
      <c r="V83" s="15">
        <v>107.84</v>
      </c>
      <c r="W83" s="16">
        <v>0.0</v>
      </c>
    </row>
    <row r="84" ht="15.0" customHeight="1">
      <c r="A84" s="14" t="s">
        <v>275</v>
      </c>
      <c r="B84" s="16"/>
      <c r="C84" s="15">
        <v>176.83</v>
      </c>
      <c r="D84" s="15">
        <v>159.07</v>
      </c>
      <c r="E84" s="15">
        <v>138.37</v>
      </c>
      <c r="F84" s="15">
        <v>143.22</v>
      </c>
      <c r="G84" s="15">
        <v>146.19</v>
      </c>
      <c r="H84" s="15">
        <v>129.4</v>
      </c>
      <c r="I84" s="15">
        <v>196.15</v>
      </c>
      <c r="J84" s="15">
        <v>132.09</v>
      </c>
      <c r="K84" s="15">
        <v>167.85</v>
      </c>
      <c r="L84" s="15">
        <v>267.92</v>
      </c>
      <c r="M84" s="15">
        <v>171.57</v>
      </c>
      <c r="N84" s="15">
        <v>196.97</v>
      </c>
      <c r="O84" s="15">
        <v>190.89</v>
      </c>
      <c r="P84" s="15">
        <v>177.88</v>
      </c>
      <c r="Q84" s="15">
        <v>236.87</v>
      </c>
      <c r="R84" s="15">
        <v>234.64</v>
      </c>
      <c r="S84" s="16"/>
      <c r="T84" s="15">
        <v>262.39</v>
      </c>
      <c r="U84" s="15">
        <v>244.93</v>
      </c>
      <c r="V84" s="15">
        <v>127.37</v>
      </c>
      <c r="W84" s="20">
        <v>96.82</v>
      </c>
    </row>
    <row r="85" ht="15.0" customHeight="1">
      <c r="A85" s="14" t="s">
        <v>276</v>
      </c>
      <c r="B85" s="16"/>
      <c r="C85" s="20">
        <v>84.3</v>
      </c>
      <c r="D85" s="20">
        <v>84.57</v>
      </c>
      <c r="E85" s="16">
        <v>0.0</v>
      </c>
      <c r="F85" s="20">
        <v>62.35</v>
      </c>
      <c r="G85" s="20">
        <v>37.59</v>
      </c>
      <c r="H85" s="20">
        <v>52.51</v>
      </c>
      <c r="I85" s="20">
        <v>91.73</v>
      </c>
      <c r="J85" s="15">
        <v>109.07</v>
      </c>
      <c r="K85" s="15">
        <v>114.75</v>
      </c>
      <c r="L85" s="15">
        <v>122.45</v>
      </c>
      <c r="M85" s="20">
        <v>81.47</v>
      </c>
      <c r="N85" s="20">
        <v>81.99</v>
      </c>
      <c r="O85" s="20">
        <v>66.77</v>
      </c>
      <c r="P85" s="20">
        <v>78.09</v>
      </c>
      <c r="Q85" s="20">
        <v>53.79</v>
      </c>
      <c r="R85" s="20">
        <v>16.99</v>
      </c>
      <c r="S85" s="16"/>
      <c r="T85" s="15">
        <v>169.88</v>
      </c>
      <c r="U85" s="20">
        <v>83.77</v>
      </c>
      <c r="V85" s="15">
        <v>120.58</v>
      </c>
      <c r="W85" s="20">
        <v>80.38</v>
      </c>
    </row>
    <row r="86" ht="15.0" customHeight="1">
      <c r="A86" s="14" t="s">
        <v>226</v>
      </c>
      <c r="B86" s="16"/>
      <c r="C86" s="20">
        <v>12.34</v>
      </c>
      <c r="D86" s="20">
        <v>35.24</v>
      </c>
      <c r="E86" s="20">
        <v>13.18</v>
      </c>
      <c r="F86" s="20">
        <v>12.67</v>
      </c>
      <c r="G86" s="20">
        <v>21.93</v>
      </c>
      <c r="H86" s="20">
        <v>21.57</v>
      </c>
      <c r="I86" s="20">
        <v>8.78</v>
      </c>
      <c r="J86" s="20">
        <v>26.02</v>
      </c>
      <c r="K86" s="20">
        <v>11.38</v>
      </c>
      <c r="L86" s="20">
        <v>14.65</v>
      </c>
      <c r="M86" s="20">
        <v>23.0</v>
      </c>
      <c r="N86" s="20">
        <v>6.6</v>
      </c>
      <c r="O86" s="20">
        <v>5.14</v>
      </c>
      <c r="P86" s="20">
        <v>16.49</v>
      </c>
      <c r="Q86" s="20">
        <v>9.54</v>
      </c>
      <c r="R86" s="20">
        <v>9.71</v>
      </c>
      <c r="S86" s="16"/>
      <c r="T86" s="20">
        <v>3.36</v>
      </c>
      <c r="U86" s="20">
        <v>3.64</v>
      </c>
      <c r="V86" s="20">
        <v>5.94</v>
      </c>
      <c r="W86" s="16">
        <v>0.0</v>
      </c>
    </row>
    <row r="87" ht="15.0" customHeight="1">
      <c r="A87" s="14" t="s">
        <v>277</v>
      </c>
      <c r="B87" s="16"/>
      <c r="C87" s="15">
        <v>139.82</v>
      </c>
      <c r="D87" s="20">
        <v>76.51</v>
      </c>
      <c r="E87" s="20">
        <v>40.47</v>
      </c>
      <c r="F87" s="20">
        <v>9.74</v>
      </c>
      <c r="G87" s="20">
        <v>10.44</v>
      </c>
      <c r="H87" s="20">
        <v>10.31</v>
      </c>
      <c r="I87" s="20">
        <v>35.13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278</v>
      </c>
      <c r="B88" s="16"/>
      <c r="C88" s="16"/>
      <c r="D88" s="16"/>
      <c r="E88" s="16"/>
      <c r="F88" s="16"/>
      <c r="G88" s="16"/>
      <c r="H88" s="16">
        <v>0.0</v>
      </c>
      <c r="I88" s="20">
        <v>72.21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279</v>
      </c>
      <c r="B89" s="16"/>
      <c r="C89" s="15">
        <v>769.02</v>
      </c>
      <c r="D89" s="15">
        <v>903.07</v>
      </c>
      <c r="E89" s="15">
        <v>994.92</v>
      </c>
      <c r="F89" s="15">
        <v>981.1</v>
      </c>
      <c r="G89" s="15">
        <v>813.43</v>
      </c>
      <c r="H89" s="15">
        <v>576.66</v>
      </c>
      <c r="I89" s="15">
        <v>520.13</v>
      </c>
      <c r="J89" s="15">
        <v>573.37</v>
      </c>
      <c r="K89" s="15">
        <v>535.8</v>
      </c>
      <c r="L89" s="15">
        <v>628.98</v>
      </c>
      <c r="M89" s="15">
        <v>581.81</v>
      </c>
      <c r="N89" s="15">
        <v>648.41</v>
      </c>
      <c r="O89" s="15">
        <v>576.96</v>
      </c>
      <c r="P89" s="15">
        <v>720.2</v>
      </c>
      <c r="Q89" s="15">
        <v>675.9</v>
      </c>
      <c r="R89" s="15">
        <v>787.27</v>
      </c>
      <c r="S89" s="16"/>
      <c r="T89" s="15">
        <v>880.53</v>
      </c>
      <c r="U89" s="15">
        <v>842.23</v>
      </c>
      <c r="V89" s="15">
        <v>485.72</v>
      </c>
      <c r="W89" s="15">
        <v>464.91</v>
      </c>
    </row>
    <row r="90" ht="15.0" customHeight="1">
      <c r="A90" s="14" t="s">
        <v>280</v>
      </c>
      <c r="B90" s="16"/>
      <c r="C90" s="15">
        <v>106.92</v>
      </c>
      <c r="D90" s="15">
        <v>170.14</v>
      </c>
      <c r="E90" s="15">
        <v>201.43</v>
      </c>
      <c r="F90" s="15">
        <v>216.29</v>
      </c>
      <c r="G90" s="15">
        <v>172.29</v>
      </c>
      <c r="H90" s="15">
        <v>143.46</v>
      </c>
      <c r="I90" s="15">
        <v>132.72</v>
      </c>
      <c r="J90" s="15">
        <v>134.09</v>
      </c>
      <c r="K90" s="20">
        <v>99.57</v>
      </c>
      <c r="L90" s="15">
        <v>102.56</v>
      </c>
      <c r="M90" s="15">
        <v>107.35</v>
      </c>
      <c r="N90" s="20">
        <v>84.82</v>
      </c>
      <c r="O90" s="20">
        <v>89.03</v>
      </c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281</v>
      </c>
      <c r="B91" s="16"/>
      <c r="C91" s="15">
        <v>285.81</v>
      </c>
      <c r="D91" s="15">
        <v>367.47</v>
      </c>
      <c r="E91" s="15">
        <v>401.92</v>
      </c>
      <c r="F91" s="15">
        <v>404.33</v>
      </c>
      <c r="G91" s="15">
        <v>237.03</v>
      </c>
      <c r="H91" s="15">
        <v>196.91</v>
      </c>
      <c r="I91" s="15">
        <v>199.08</v>
      </c>
      <c r="J91" s="15">
        <v>198.13</v>
      </c>
      <c r="K91" s="15">
        <v>213.37</v>
      </c>
      <c r="L91" s="15">
        <v>249.08</v>
      </c>
      <c r="M91" s="15">
        <v>213.75</v>
      </c>
      <c r="N91" s="15">
        <v>231.84</v>
      </c>
      <c r="O91" s="15">
        <v>229.42</v>
      </c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282</v>
      </c>
      <c r="B92" s="16"/>
      <c r="C92" s="20">
        <v>21.59</v>
      </c>
      <c r="D92" s="20">
        <v>28.19</v>
      </c>
      <c r="E92" s="20">
        <v>20.71</v>
      </c>
      <c r="F92" s="20">
        <v>23.38</v>
      </c>
      <c r="G92" s="20">
        <v>37.59</v>
      </c>
      <c r="H92" s="20">
        <v>16.88</v>
      </c>
      <c r="I92" s="20">
        <v>3.9</v>
      </c>
      <c r="J92" s="20">
        <v>4.0</v>
      </c>
      <c r="K92" s="20">
        <v>17.07</v>
      </c>
      <c r="L92" s="20">
        <v>18.84</v>
      </c>
      <c r="M92" s="20">
        <v>24.92</v>
      </c>
      <c r="N92" s="20">
        <v>21.68</v>
      </c>
      <c r="O92" s="20">
        <v>23.97</v>
      </c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283</v>
      </c>
      <c r="B93" s="16"/>
      <c r="C93" s="20">
        <v>9.25</v>
      </c>
      <c r="D93" s="20">
        <v>19.13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284</v>
      </c>
      <c r="B94" s="16"/>
      <c r="C94" s="15">
        <v>345.44</v>
      </c>
      <c r="D94" s="15">
        <v>318.14</v>
      </c>
      <c r="E94" s="15">
        <v>352.03</v>
      </c>
      <c r="F94" s="15">
        <v>337.1</v>
      </c>
      <c r="G94" s="15">
        <v>366.51</v>
      </c>
      <c r="H94" s="15">
        <v>219.41</v>
      </c>
      <c r="I94" s="15">
        <v>184.44</v>
      </c>
      <c r="J94" s="15">
        <v>237.15</v>
      </c>
      <c r="K94" s="15">
        <v>204.84</v>
      </c>
      <c r="L94" s="15">
        <v>256.41</v>
      </c>
      <c r="M94" s="15">
        <v>233.87</v>
      </c>
      <c r="N94" s="15">
        <v>304.41</v>
      </c>
      <c r="O94" s="15">
        <v>231.98</v>
      </c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285</v>
      </c>
      <c r="B95" s="16"/>
      <c r="C95" s="16"/>
      <c r="D95" s="16"/>
      <c r="E95" s="20">
        <v>18.83</v>
      </c>
      <c r="F95" s="16">
        <v>0.0</v>
      </c>
      <c r="G95" s="16">
        <v>0.0</v>
      </c>
      <c r="H95" s="16">
        <v>0.0</v>
      </c>
      <c r="I95" s="16">
        <v>0.0</v>
      </c>
      <c r="J95" s="16">
        <v>0.0</v>
      </c>
      <c r="K95" s="20">
        <v>0.95</v>
      </c>
      <c r="L95" s="20">
        <v>2.09</v>
      </c>
      <c r="M95" s="20">
        <v>1.92</v>
      </c>
      <c r="N95" s="20">
        <v>5.65</v>
      </c>
      <c r="O95" s="20">
        <v>2.57</v>
      </c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7" t="s">
        <v>286</v>
      </c>
      <c r="B96" s="18">
        <v>3815.11</v>
      </c>
      <c r="C96" s="18">
        <v>3112.05</v>
      </c>
      <c r="D96" s="18">
        <v>3969.67</v>
      </c>
      <c r="E96" s="18">
        <v>3736.82</v>
      </c>
      <c r="F96" s="18">
        <v>3470.38</v>
      </c>
      <c r="G96" s="18">
        <v>3500.16</v>
      </c>
      <c r="H96" s="18">
        <v>2559.82</v>
      </c>
      <c r="I96" s="18">
        <v>2296.2</v>
      </c>
      <c r="J96" s="18">
        <v>2326.5</v>
      </c>
      <c r="K96" s="18">
        <v>3340.93</v>
      </c>
      <c r="L96" s="18">
        <v>2563.03</v>
      </c>
      <c r="M96" s="18">
        <v>2565.91</v>
      </c>
      <c r="N96" s="18">
        <v>2069.63</v>
      </c>
      <c r="O96" s="18">
        <v>2051.91</v>
      </c>
      <c r="P96" s="18">
        <v>2263.85</v>
      </c>
      <c r="Q96" s="18">
        <v>2242.02</v>
      </c>
      <c r="R96" s="18">
        <v>2423.29</v>
      </c>
      <c r="S96" s="18">
        <v>2559.19</v>
      </c>
      <c r="T96" s="18">
        <v>2676.9</v>
      </c>
      <c r="U96" s="18">
        <v>2671.47</v>
      </c>
      <c r="V96" s="18">
        <v>2021.0</v>
      </c>
      <c r="W96" s="18">
        <v>1674.23</v>
      </c>
    </row>
    <row r="97" ht="15.0" customHeight="1">
      <c r="A97" s="14" t="s">
        <v>287</v>
      </c>
      <c r="B97" s="15">
        <v>180.42</v>
      </c>
      <c r="C97" s="15">
        <v>177.86</v>
      </c>
      <c r="D97" s="15">
        <v>352.37</v>
      </c>
      <c r="E97" s="15">
        <v>361.45</v>
      </c>
      <c r="F97" s="15">
        <v>217.26</v>
      </c>
      <c r="G97" s="15">
        <v>580.58</v>
      </c>
      <c r="H97" s="15">
        <v>443.51</v>
      </c>
      <c r="I97" s="15">
        <v>492.81</v>
      </c>
      <c r="J97" s="15">
        <v>567.37</v>
      </c>
      <c r="K97" s="15">
        <v>847.8</v>
      </c>
      <c r="L97" s="15">
        <v>766.08</v>
      </c>
      <c r="M97" s="15">
        <v>832.94</v>
      </c>
      <c r="N97" s="15">
        <v>616.37</v>
      </c>
      <c r="O97" s="15">
        <v>701.09</v>
      </c>
      <c r="P97" s="15">
        <v>490.26</v>
      </c>
      <c r="Q97" s="15">
        <v>509.31</v>
      </c>
      <c r="R97" s="15">
        <v>530.78</v>
      </c>
      <c r="S97" s="15">
        <v>638.46</v>
      </c>
      <c r="T97" s="15">
        <v>697.19</v>
      </c>
      <c r="U97" s="15">
        <v>818.56</v>
      </c>
      <c r="V97" s="15">
        <v>776.98</v>
      </c>
      <c r="W97" s="15">
        <v>776.37</v>
      </c>
    </row>
    <row r="98" ht="15.0" customHeight="1">
      <c r="A98" s="14" t="s">
        <v>288</v>
      </c>
      <c r="B98" s="20">
        <v>7.65</v>
      </c>
      <c r="C98" s="16">
        <v>0.0</v>
      </c>
      <c r="D98" s="20">
        <v>18.12</v>
      </c>
      <c r="E98" s="20">
        <v>27.3</v>
      </c>
      <c r="F98" s="20">
        <v>35.07</v>
      </c>
      <c r="G98" s="20">
        <v>37.59</v>
      </c>
      <c r="H98" s="20">
        <v>26.25</v>
      </c>
      <c r="I98" s="20">
        <v>32.2</v>
      </c>
      <c r="J98" s="20">
        <v>32.02</v>
      </c>
      <c r="K98" s="20">
        <v>66.38</v>
      </c>
      <c r="L98" s="15">
        <v>115.12</v>
      </c>
      <c r="M98" s="15">
        <v>140.9</v>
      </c>
      <c r="N98" s="15">
        <v>186.61</v>
      </c>
      <c r="O98" s="15">
        <v>246.54</v>
      </c>
      <c r="P98" s="15">
        <v>337.54</v>
      </c>
      <c r="Q98" s="15">
        <v>345.33</v>
      </c>
      <c r="R98" s="15">
        <v>140.79</v>
      </c>
      <c r="S98" s="15">
        <v>121.82</v>
      </c>
      <c r="T98" s="20">
        <v>89.15</v>
      </c>
      <c r="U98" s="15">
        <v>153.88</v>
      </c>
      <c r="V98" s="20">
        <v>69.63</v>
      </c>
      <c r="W98" s="20">
        <v>35.62</v>
      </c>
    </row>
    <row r="99" ht="15.0" customHeight="1">
      <c r="A99" s="14" t="s">
        <v>289</v>
      </c>
      <c r="B99" s="15">
        <v>130.12</v>
      </c>
      <c r="C99" s="20">
        <v>92.53</v>
      </c>
      <c r="D99" s="20">
        <v>55.37</v>
      </c>
      <c r="E99" s="20">
        <v>56.48</v>
      </c>
      <c r="F99" s="20">
        <v>30.2</v>
      </c>
      <c r="G99" s="20">
        <v>36.55</v>
      </c>
      <c r="H99" s="20">
        <v>45.95</v>
      </c>
      <c r="I99" s="20">
        <v>73.19</v>
      </c>
      <c r="J99" s="20">
        <v>89.06</v>
      </c>
      <c r="K99" s="20">
        <v>79.66</v>
      </c>
      <c r="L99" s="15">
        <v>139.19</v>
      </c>
      <c r="M99" s="15">
        <v>137.07</v>
      </c>
      <c r="N99" s="15">
        <v>152.68</v>
      </c>
      <c r="O99" s="15">
        <v>137.82</v>
      </c>
      <c r="P99" s="15">
        <v>179.62</v>
      </c>
      <c r="Q99" s="15">
        <v>183.08</v>
      </c>
      <c r="R99" s="15">
        <v>182.05</v>
      </c>
      <c r="S99" s="15">
        <v>258.76</v>
      </c>
      <c r="T99" s="15">
        <v>226.23</v>
      </c>
      <c r="U99" s="15">
        <v>194.85</v>
      </c>
      <c r="V99" s="15">
        <v>157.94</v>
      </c>
      <c r="W99" s="15">
        <v>137.92</v>
      </c>
    </row>
    <row r="100" ht="15.0" customHeight="1">
      <c r="A100" s="14" t="s">
        <v>290</v>
      </c>
      <c r="B100" s="15">
        <v>1448.84</v>
      </c>
      <c r="C100" s="15">
        <v>2165.17</v>
      </c>
      <c r="D100" s="15">
        <v>1289.67</v>
      </c>
      <c r="E100" s="15">
        <v>1334.71</v>
      </c>
      <c r="F100" s="15">
        <v>1406.86</v>
      </c>
      <c r="G100" s="15">
        <v>1856.59</v>
      </c>
      <c r="H100" s="15">
        <v>1981.28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291</v>
      </c>
      <c r="B101" s="15">
        <v>3261.81</v>
      </c>
      <c r="C101" s="15">
        <v>2641.18</v>
      </c>
      <c r="D101" s="15">
        <v>3653.55</v>
      </c>
      <c r="E101" s="15">
        <v>2052.9</v>
      </c>
      <c r="F101" s="15">
        <v>389.71</v>
      </c>
      <c r="G101" s="15">
        <v>297.6</v>
      </c>
      <c r="H101" s="15">
        <v>1059.56</v>
      </c>
      <c r="I101" s="15">
        <v>821.67</v>
      </c>
      <c r="J101" s="16">
        <v>0.0</v>
      </c>
      <c r="K101" s="16">
        <v>0.0</v>
      </c>
      <c r="L101" s="15">
        <v>839.34</v>
      </c>
      <c r="M101" s="15">
        <v>770.64</v>
      </c>
      <c r="N101" s="15">
        <v>759.62</v>
      </c>
      <c r="O101" s="15">
        <v>801.24</v>
      </c>
      <c r="P101" s="15">
        <v>959.69</v>
      </c>
      <c r="Q101" s="15">
        <v>1081.1</v>
      </c>
      <c r="R101" s="15">
        <v>1979.09</v>
      </c>
      <c r="S101" s="15">
        <v>2773.5</v>
      </c>
      <c r="T101" s="15">
        <v>1435.58</v>
      </c>
      <c r="U101" s="15">
        <v>1456.84</v>
      </c>
      <c r="V101" s="15">
        <v>934.92</v>
      </c>
      <c r="W101" s="15">
        <v>1432.18</v>
      </c>
    </row>
    <row r="102" ht="15.0" customHeight="1">
      <c r="A102" s="14" t="s">
        <v>292</v>
      </c>
      <c r="B102" s="20">
        <v>1.09</v>
      </c>
      <c r="C102" s="20">
        <v>1.03</v>
      </c>
      <c r="D102" s="16">
        <v>0.0</v>
      </c>
      <c r="E102" s="20">
        <v>3.77</v>
      </c>
      <c r="F102" s="16">
        <v>0.0</v>
      </c>
      <c r="G102" s="16">
        <v>0.0</v>
      </c>
      <c r="H102" s="20">
        <v>3.75</v>
      </c>
      <c r="I102" s="20">
        <v>7.81</v>
      </c>
      <c r="J102" s="20">
        <v>5.0</v>
      </c>
      <c r="K102" s="20">
        <v>5.69</v>
      </c>
      <c r="L102" s="20">
        <v>9.42</v>
      </c>
      <c r="M102" s="20">
        <v>6.71</v>
      </c>
      <c r="N102" s="16">
        <v>0.0</v>
      </c>
      <c r="O102" s="20">
        <v>0.86</v>
      </c>
      <c r="P102" s="16">
        <v>0.0</v>
      </c>
      <c r="Q102" s="20">
        <v>0.87</v>
      </c>
      <c r="R102" s="20">
        <v>8.09</v>
      </c>
      <c r="S102" s="16"/>
      <c r="T102" s="20">
        <v>10.93</v>
      </c>
      <c r="U102" s="20">
        <v>48.26</v>
      </c>
      <c r="V102" s="20">
        <v>43.31</v>
      </c>
      <c r="W102" s="15">
        <v>189.98</v>
      </c>
    </row>
    <row r="103" ht="15.0" customHeight="1">
      <c r="A103" s="14" t="s">
        <v>293</v>
      </c>
      <c r="B103" s="16"/>
      <c r="C103" s="20">
        <v>7.2</v>
      </c>
      <c r="D103" s="20">
        <v>11.07</v>
      </c>
      <c r="E103" s="20">
        <v>10.35</v>
      </c>
      <c r="F103" s="20">
        <v>9.74</v>
      </c>
      <c r="G103" s="20">
        <v>9.4</v>
      </c>
      <c r="H103" s="20">
        <v>8.44</v>
      </c>
      <c r="I103" s="20">
        <v>8.78</v>
      </c>
      <c r="J103" s="20">
        <v>8.01</v>
      </c>
      <c r="K103" s="20">
        <v>8.53</v>
      </c>
      <c r="L103" s="20">
        <v>12.56</v>
      </c>
      <c r="M103" s="20">
        <v>11.5</v>
      </c>
      <c r="N103" s="20">
        <v>10.37</v>
      </c>
      <c r="O103" s="20">
        <v>11.98</v>
      </c>
      <c r="P103" s="20">
        <v>13.02</v>
      </c>
      <c r="Q103" s="20">
        <v>11.28</v>
      </c>
      <c r="R103" s="20">
        <v>12.95</v>
      </c>
      <c r="S103" s="16"/>
      <c r="T103" s="20">
        <v>22.71</v>
      </c>
      <c r="U103" s="20">
        <v>19.12</v>
      </c>
      <c r="V103" s="20">
        <v>16.13</v>
      </c>
      <c r="W103" s="20">
        <v>17.35</v>
      </c>
    </row>
    <row r="104" ht="15.0" customHeight="1">
      <c r="A104" s="14" t="s">
        <v>294</v>
      </c>
      <c r="B104" s="16"/>
      <c r="C104" s="16">
        <v>0.0</v>
      </c>
      <c r="D104" s="16">
        <v>0.0</v>
      </c>
      <c r="E104" s="16">
        <v>0.0</v>
      </c>
      <c r="F104" s="16">
        <v>0.0</v>
      </c>
      <c r="G104" s="16">
        <v>0.0</v>
      </c>
      <c r="H104" s="20">
        <v>30.94</v>
      </c>
      <c r="I104" s="20">
        <v>42.94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7" t="s">
        <v>295</v>
      </c>
      <c r="B105" s="18">
        <v>5029.95</v>
      </c>
      <c r="C105" s="18">
        <v>5084.96</v>
      </c>
      <c r="D105" s="18">
        <v>5380.15</v>
      </c>
      <c r="E105" s="18">
        <v>3846.95</v>
      </c>
      <c r="F105" s="18">
        <v>2088.85</v>
      </c>
      <c r="G105" s="18">
        <v>2818.3</v>
      </c>
      <c r="H105" s="18">
        <v>3599.69</v>
      </c>
      <c r="I105" s="18">
        <v>1479.4</v>
      </c>
      <c r="J105" s="18">
        <v>701.45</v>
      </c>
      <c r="K105" s="18">
        <v>1008.06</v>
      </c>
      <c r="L105" s="18">
        <v>1881.72</v>
      </c>
      <c r="M105" s="18">
        <v>1899.75</v>
      </c>
      <c r="N105" s="18">
        <v>1725.64</v>
      </c>
      <c r="O105" s="18">
        <v>1899.53</v>
      </c>
      <c r="P105" s="18">
        <v>1980.11</v>
      </c>
      <c r="Q105" s="18">
        <v>2130.96</v>
      </c>
      <c r="R105" s="18">
        <v>2853.74</v>
      </c>
      <c r="S105" s="18">
        <v>3792.55</v>
      </c>
      <c r="T105" s="18">
        <v>2481.79</v>
      </c>
      <c r="U105" s="18">
        <v>2691.5</v>
      </c>
      <c r="V105" s="18">
        <v>1998.92</v>
      </c>
      <c r="W105" s="18">
        <v>2589.44</v>
      </c>
    </row>
    <row r="106" ht="15.0" customHeight="1">
      <c r="A106" s="17" t="s">
        <v>296</v>
      </c>
      <c r="B106" s="18">
        <v>8845.05</v>
      </c>
      <c r="C106" s="18">
        <v>8197.01</v>
      </c>
      <c r="D106" s="18">
        <v>9349.82</v>
      </c>
      <c r="E106" s="18">
        <v>7583.77</v>
      </c>
      <c r="F106" s="18">
        <v>5559.23</v>
      </c>
      <c r="G106" s="18">
        <v>6318.46</v>
      </c>
      <c r="H106" s="18">
        <v>6159.51</v>
      </c>
      <c r="I106" s="18">
        <v>3775.6</v>
      </c>
      <c r="J106" s="18">
        <v>3027.96</v>
      </c>
      <c r="K106" s="18">
        <v>4348.99</v>
      </c>
      <c r="L106" s="18">
        <v>4444.76</v>
      </c>
      <c r="M106" s="18">
        <v>4465.66</v>
      </c>
      <c r="N106" s="18">
        <v>3795.27</v>
      </c>
      <c r="O106" s="18">
        <v>3951.44</v>
      </c>
      <c r="P106" s="18">
        <v>4243.96</v>
      </c>
      <c r="Q106" s="18">
        <v>4372.99</v>
      </c>
      <c r="R106" s="18">
        <v>5277.03</v>
      </c>
      <c r="S106" s="18">
        <v>6351.74</v>
      </c>
      <c r="T106" s="18">
        <v>5158.68</v>
      </c>
      <c r="U106" s="18">
        <v>5362.98</v>
      </c>
      <c r="V106" s="18">
        <v>4019.91</v>
      </c>
      <c r="W106" s="18">
        <v>4263.67</v>
      </c>
    </row>
    <row r="107" ht="15.0" customHeight="1">
      <c r="A107" s="14" t="s">
        <v>297</v>
      </c>
      <c r="B107" s="15">
        <v>246.03</v>
      </c>
      <c r="C107" s="15">
        <v>231.32</v>
      </c>
      <c r="D107" s="20">
        <v>57.39</v>
      </c>
      <c r="E107" s="20">
        <v>53.65</v>
      </c>
      <c r="F107" s="20">
        <v>55.53</v>
      </c>
      <c r="G107" s="20">
        <v>59.52</v>
      </c>
      <c r="H107" s="20">
        <v>53.45</v>
      </c>
      <c r="I107" s="20">
        <v>55.62</v>
      </c>
      <c r="J107" s="20">
        <v>58.04</v>
      </c>
      <c r="K107" s="20">
        <v>55.0</v>
      </c>
      <c r="L107" s="20">
        <v>60.7</v>
      </c>
      <c r="M107" s="20">
        <v>55.59</v>
      </c>
      <c r="N107" s="20">
        <v>54.66</v>
      </c>
      <c r="O107" s="20">
        <v>49.65</v>
      </c>
      <c r="P107" s="20">
        <v>50.33</v>
      </c>
      <c r="Q107" s="20">
        <v>50.32</v>
      </c>
      <c r="R107" s="20">
        <v>46.93</v>
      </c>
      <c r="S107" s="20">
        <v>51.58</v>
      </c>
      <c r="T107" s="20">
        <v>48.78</v>
      </c>
      <c r="U107" s="20">
        <v>52.81</v>
      </c>
      <c r="V107" s="20">
        <v>49.25</v>
      </c>
      <c r="W107" s="20">
        <v>52.98</v>
      </c>
    </row>
    <row r="108" ht="15.0" customHeight="1">
      <c r="A108" s="14" t="s">
        <v>298</v>
      </c>
      <c r="B108" s="15">
        <v>2748.98</v>
      </c>
      <c r="C108" s="15">
        <v>2584.63</v>
      </c>
      <c r="D108" s="15">
        <v>1468.87</v>
      </c>
      <c r="E108" s="15">
        <v>1374.25</v>
      </c>
      <c r="F108" s="15">
        <v>1427.32</v>
      </c>
      <c r="G108" s="15">
        <v>1572.57</v>
      </c>
      <c r="H108" s="15">
        <v>1403.68</v>
      </c>
      <c r="I108" s="15">
        <v>1448.18</v>
      </c>
      <c r="J108" s="15">
        <v>1486.96</v>
      </c>
      <c r="K108" s="15">
        <v>1404.46</v>
      </c>
      <c r="L108" s="15">
        <v>1546.82</v>
      </c>
      <c r="M108" s="15">
        <v>1409.0</v>
      </c>
      <c r="N108" s="15">
        <v>1378.81</v>
      </c>
      <c r="O108" s="15">
        <v>1248.09</v>
      </c>
      <c r="P108" s="15">
        <v>1265.99</v>
      </c>
      <c r="Q108" s="15">
        <v>1260.7</v>
      </c>
      <c r="R108" s="15">
        <v>1172.4</v>
      </c>
      <c r="S108" s="15">
        <v>1288.49</v>
      </c>
      <c r="T108" s="15">
        <v>1212.72</v>
      </c>
      <c r="U108" s="15">
        <v>1285.66</v>
      </c>
      <c r="V108" s="15">
        <v>1181.18</v>
      </c>
      <c r="W108" s="15">
        <v>1268.69</v>
      </c>
    </row>
    <row r="109" ht="15.0" customHeight="1">
      <c r="A109" s="14" t="s">
        <v>299</v>
      </c>
      <c r="B109" s="15">
        <v>299.61</v>
      </c>
      <c r="C109" s="15">
        <v>450.31</v>
      </c>
      <c r="D109" s="15">
        <v>319.14</v>
      </c>
      <c r="E109" s="15">
        <v>326.62</v>
      </c>
      <c r="F109" s="21">
        <v>-13.64</v>
      </c>
      <c r="G109" s="22">
        <v>-360.25</v>
      </c>
      <c r="H109" s="20">
        <v>51.57</v>
      </c>
      <c r="I109" s="22">
        <v>-166.87</v>
      </c>
      <c r="J109" s="22">
        <v>-264.17</v>
      </c>
      <c r="K109" s="22">
        <v>-243.72</v>
      </c>
      <c r="L109" s="21">
        <v>-82.68</v>
      </c>
      <c r="M109" s="20">
        <v>6.71</v>
      </c>
      <c r="N109" s="22">
        <v>-344.94</v>
      </c>
      <c r="O109" s="22">
        <v>-404.05</v>
      </c>
      <c r="P109" s="22">
        <v>-327.99</v>
      </c>
      <c r="Q109" s="22">
        <v>-331.44</v>
      </c>
      <c r="R109" s="20">
        <v>16.18</v>
      </c>
      <c r="S109" s="15">
        <v>138.72</v>
      </c>
      <c r="T109" s="20">
        <v>15.98</v>
      </c>
      <c r="U109" s="21">
        <v>-11.84</v>
      </c>
      <c r="V109" s="15">
        <v>101.9</v>
      </c>
      <c r="W109" s="21">
        <v>-34.71</v>
      </c>
    </row>
    <row r="110" ht="15.0" customHeight="1">
      <c r="A110" s="14" t="s">
        <v>300</v>
      </c>
      <c r="B110" s="16"/>
      <c r="C110" s="15">
        <v>453.39</v>
      </c>
      <c r="D110" s="15">
        <v>337.27</v>
      </c>
      <c r="E110" s="15">
        <v>300.26</v>
      </c>
      <c r="F110" s="21">
        <v>-9.74</v>
      </c>
      <c r="G110" s="22">
        <v>-345.63</v>
      </c>
      <c r="H110" s="20">
        <v>63.76</v>
      </c>
      <c r="I110" s="22">
        <v>-168.82</v>
      </c>
      <c r="J110" s="22">
        <v>-271.18</v>
      </c>
      <c r="K110" s="22">
        <v>-239.92</v>
      </c>
      <c r="L110" s="21">
        <v>-84.77</v>
      </c>
      <c r="M110" s="20">
        <v>7.67</v>
      </c>
      <c r="N110" s="22">
        <v>-340.23</v>
      </c>
      <c r="O110" s="22">
        <v>-402.33</v>
      </c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301</v>
      </c>
      <c r="B111" s="16"/>
      <c r="C111" s="21">
        <v>-3.08</v>
      </c>
      <c r="D111" s="21">
        <v>-18.12</v>
      </c>
      <c r="E111" s="20">
        <v>26.36</v>
      </c>
      <c r="F111" s="21">
        <v>-3.9</v>
      </c>
      <c r="G111" s="21">
        <v>-14.62</v>
      </c>
      <c r="H111" s="21">
        <v>-12.19</v>
      </c>
      <c r="I111" s="20">
        <v>1.95</v>
      </c>
      <c r="J111" s="20">
        <v>7.0</v>
      </c>
      <c r="K111" s="21">
        <v>-3.79</v>
      </c>
      <c r="L111" s="20">
        <v>2.09</v>
      </c>
      <c r="M111" s="21">
        <v>-0.96</v>
      </c>
      <c r="N111" s="20">
        <v>2.83</v>
      </c>
      <c r="O111" s="16">
        <v>0.0</v>
      </c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302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21">
        <v>-7.54</v>
      </c>
      <c r="O112" s="21">
        <v>-1.71</v>
      </c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303</v>
      </c>
      <c r="B113" s="22">
        <v>-2259.1</v>
      </c>
      <c r="C113" s="15">
        <v>1179.23</v>
      </c>
      <c r="D113" s="15">
        <v>2511.88</v>
      </c>
      <c r="E113" s="15">
        <v>2683.55</v>
      </c>
      <c r="F113" s="15">
        <v>3327.16</v>
      </c>
      <c r="G113" s="15">
        <v>2940.47</v>
      </c>
      <c r="H113" s="15">
        <v>2501.68</v>
      </c>
      <c r="I113" s="15">
        <v>2466.0</v>
      </c>
      <c r="J113" s="15">
        <v>2875.86</v>
      </c>
      <c r="K113" s="15">
        <v>2022.76</v>
      </c>
      <c r="L113" s="15">
        <v>2470.94</v>
      </c>
      <c r="M113" s="15">
        <v>1587.28</v>
      </c>
      <c r="N113" s="15">
        <v>1883.97</v>
      </c>
      <c r="O113" s="15">
        <v>1380.78</v>
      </c>
      <c r="P113" s="15">
        <v>2066.88</v>
      </c>
      <c r="Q113" s="15">
        <v>2006.02</v>
      </c>
      <c r="R113" s="15">
        <v>1942.68</v>
      </c>
      <c r="S113" s="15">
        <v>2209.73</v>
      </c>
      <c r="T113" s="15">
        <v>2212.67</v>
      </c>
      <c r="U113" s="15">
        <v>2066.89</v>
      </c>
      <c r="V113" s="15">
        <v>1365.45</v>
      </c>
      <c r="W113" s="15">
        <v>1042.17</v>
      </c>
    </row>
    <row r="114" ht="15.0" customHeight="1">
      <c r="A114" s="17" t="s">
        <v>304</v>
      </c>
      <c r="B114" s="18">
        <v>1035.51</v>
      </c>
      <c r="C114" s="18">
        <v>4445.49</v>
      </c>
      <c r="D114" s="18">
        <v>4357.28</v>
      </c>
      <c r="E114" s="18">
        <v>4438.07</v>
      </c>
      <c r="F114" s="18">
        <v>4796.37</v>
      </c>
      <c r="G114" s="18">
        <v>4212.31</v>
      </c>
      <c r="H114" s="18">
        <v>4010.38</v>
      </c>
      <c r="I114" s="18">
        <v>3802.93</v>
      </c>
      <c r="J114" s="18">
        <v>4156.68</v>
      </c>
      <c r="K114" s="18">
        <v>3238.51</v>
      </c>
      <c r="L114" s="18">
        <v>3995.78</v>
      </c>
      <c r="M114" s="18">
        <v>3058.58</v>
      </c>
      <c r="N114" s="18">
        <v>2972.5</v>
      </c>
      <c r="O114" s="18">
        <v>2274.47</v>
      </c>
      <c r="P114" s="18">
        <v>3055.2</v>
      </c>
      <c r="Q114" s="18">
        <v>2985.61</v>
      </c>
      <c r="R114" s="18">
        <v>3178.19</v>
      </c>
      <c r="S114" s="18">
        <v>3688.51</v>
      </c>
      <c r="T114" s="18">
        <v>3490.14</v>
      </c>
      <c r="U114" s="18">
        <v>3393.52</v>
      </c>
      <c r="V114" s="18">
        <v>2697.77</v>
      </c>
      <c r="W114" s="18">
        <v>2329.12</v>
      </c>
    </row>
    <row r="115" ht="15.0" customHeight="1">
      <c r="A115" s="14" t="s">
        <v>143</v>
      </c>
      <c r="B115" s="16"/>
      <c r="C115" s="16"/>
      <c r="D115" s="16"/>
      <c r="E115" s="16"/>
      <c r="F115" s="16"/>
      <c r="G115" s="16"/>
      <c r="H115" s="16"/>
      <c r="I115" s="16"/>
      <c r="J115" s="16">
        <v>0.0</v>
      </c>
      <c r="K115" s="20">
        <v>3.79</v>
      </c>
      <c r="L115" s="20">
        <v>4.19</v>
      </c>
      <c r="M115" s="20">
        <v>4.79</v>
      </c>
      <c r="N115" s="20">
        <v>3.77</v>
      </c>
      <c r="O115" s="20">
        <v>4.28</v>
      </c>
      <c r="P115" s="20">
        <v>3.47</v>
      </c>
      <c r="Q115" s="20">
        <v>4.34</v>
      </c>
      <c r="R115" s="20">
        <v>4.85</v>
      </c>
      <c r="S115" s="20">
        <v>5.34</v>
      </c>
      <c r="T115" s="20">
        <v>5.05</v>
      </c>
      <c r="U115" s="20">
        <v>6.37</v>
      </c>
      <c r="V115" s="20">
        <v>5.94</v>
      </c>
      <c r="W115" s="20">
        <v>6.39</v>
      </c>
    </row>
    <row r="116" ht="15.0" customHeight="1">
      <c r="A116" s="17" t="s">
        <v>305</v>
      </c>
      <c r="B116" s="19"/>
      <c r="C116" s="19"/>
      <c r="D116" s="19"/>
      <c r="E116" s="19"/>
      <c r="F116" s="19"/>
      <c r="G116" s="19"/>
      <c r="H116" s="19"/>
      <c r="I116" s="19"/>
      <c r="J116" s="19">
        <v>0.0</v>
      </c>
      <c r="K116" s="24">
        <v>3.79</v>
      </c>
      <c r="L116" s="24">
        <v>4.19</v>
      </c>
      <c r="M116" s="24">
        <v>4.79</v>
      </c>
      <c r="N116" s="24">
        <v>3.77</v>
      </c>
      <c r="O116" s="24">
        <v>4.28</v>
      </c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7" t="s">
        <v>306</v>
      </c>
      <c r="B117" s="18">
        <v>1035.51</v>
      </c>
      <c r="C117" s="18">
        <v>4445.49</v>
      </c>
      <c r="D117" s="18">
        <v>4357.28</v>
      </c>
      <c r="E117" s="18">
        <v>4438.07</v>
      </c>
      <c r="F117" s="18">
        <v>4796.37</v>
      </c>
      <c r="G117" s="18">
        <v>4212.31</v>
      </c>
      <c r="H117" s="18">
        <v>4010.38</v>
      </c>
      <c r="I117" s="18">
        <v>3802.93</v>
      </c>
      <c r="J117" s="18">
        <v>4156.68</v>
      </c>
      <c r="K117" s="18">
        <v>3242.3</v>
      </c>
      <c r="L117" s="18">
        <v>3999.97</v>
      </c>
      <c r="M117" s="18">
        <v>3063.37</v>
      </c>
      <c r="N117" s="18">
        <v>2976.27</v>
      </c>
      <c r="O117" s="18">
        <v>2278.75</v>
      </c>
      <c r="P117" s="18">
        <v>3058.67</v>
      </c>
      <c r="Q117" s="18">
        <v>2989.94</v>
      </c>
      <c r="R117" s="18">
        <v>3183.04</v>
      </c>
      <c r="S117" s="18">
        <v>3693.84</v>
      </c>
      <c r="T117" s="18">
        <v>3495.19</v>
      </c>
      <c r="U117" s="18">
        <v>3399.89</v>
      </c>
      <c r="V117" s="18">
        <v>2703.72</v>
      </c>
      <c r="W117" s="18">
        <v>2335.52</v>
      </c>
    </row>
    <row r="118" ht="15.0" customHeight="1">
      <c r="A118" s="17" t="s">
        <v>307</v>
      </c>
      <c r="B118" s="18">
        <v>9880.56</v>
      </c>
      <c r="C118" s="19">
        <v>12642.49</v>
      </c>
      <c r="D118" s="19">
        <v>13707.1</v>
      </c>
      <c r="E118" s="19">
        <v>12021.84</v>
      </c>
      <c r="F118" s="19">
        <v>10355.61</v>
      </c>
      <c r="G118" s="19">
        <v>10530.76</v>
      </c>
      <c r="H118" s="19">
        <v>10169.89</v>
      </c>
      <c r="I118" s="18">
        <v>7578.53</v>
      </c>
      <c r="J118" s="18">
        <v>7184.64</v>
      </c>
      <c r="K118" s="18">
        <v>7591.29</v>
      </c>
      <c r="L118" s="18">
        <v>8444.72</v>
      </c>
      <c r="M118" s="18">
        <v>7529.03</v>
      </c>
      <c r="N118" s="18">
        <v>6771.54</v>
      </c>
      <c r="O118" s="18">
        <v>6230.19</v>
      </c>
      <c r="P118" s="18">
        <v>7302.63</v>
      </c>
      <c r="Q118" s="18">
        <v>7362.93</v>
      </c>
      <c r="R118" s="18">
        <v>8460.07</v>
      </c>
      <c r="S118" s="19">
        <v>10045.59</v>
      </c>
      <c r="T118" s="18">
        <v>8653.87</v>
      </c>
      <c r="U118" s="18">
        <v>8762.87</v>
      </c>
      <c r="V118" s="18">
        <v>6723.63</v>
      </c>
      <c r="W118" s="18">
        <v>6599.19</v>
      </c>
    </row>
    <row r="119" ht="15.0" customHeight="1">
      <c r="A119" s="14" t="s">
        <v>308</v>
      </c>
      <c r="B119" s="15">
        <v>946.58</v>
      </c>
      <c r="C119" s="15">
        <v>946.58</v>
      </c>
      <c r="D119" s="15">
        <v>528.97</v>
      </c>
      <c r="E119" s="15">
        <v>528.97</v>
      </c>
      <c r="F119" s="15">
        <v>528.97</v>
      </c>
      <c r="G119" s="15">
        <v>530.86</v>
      </c>
      <c r="H119" s="15">
        <v>530.86</v>
      </c>
      <c r="I119" s="15">
        <v>530.34</v>
      </c>
      <c r="J119" s="15">
        <v>530.01</v>
      </c>
      <c r="K119" s="15">
        <v>529.66</v>
      </c>
      <c r="L119" s="15">
        <v>529.06</v>
      </c>
      <c r="M119" s="15">
        <v>526.69</v>
      </c>
      <c r="N119" s="15">
        <v>525.44</v>
      </c>
      <c r="O119" s="15">
        <v>525.44</v>
      </c>
      <c r="P119" s="15">
        <v>525.44</v>
      </c>
      <c r="Q119" s="15">
        <v>525.44</v>
      </c>
      <c r="R119" s="15">
        <v>525.44</v>
      </c>
      <c r="S119" s="15">
        <v>525.44</v>
      </c>
      <c r="T119" s="15">
        <v>539.23</v>
      </c>
      <c r="U119" s="15">
        <v>545.63</v>
      </c>
      <c r="V119" s="15">
        <v>544.02</v>
      </c>
      <c r="W119" s="15">
        <v>543.92</v>
      </c>
    </row>
    <row r="120" ht="15.0" customHeight="1">
      <c r="A120" s="14" t="s">
        <v>309</v>
      </c>
      <c r="B120" s="20">
        <v>2.87</v>
      </c>
      <c r="C120" s="20">
        <v>2.87</v>
      </c>
      <c r="D120" s="20">
        <v>6.42</v>
      </c>
      <c r="E120" s="20">
        <v>6.42</v>
      </c>
      <c r="F120" s="20">
        <v>6.42</v>
      </c>
      <c r="G120" s="20">
        <v>4.53</v>
      </c>
      <c r="H120" s="20">
        <v>4.53</v>
      </c>
      <c r="I120" s="20">
        <v>5.05</v>
      </c>
      <c r="J120" s="20">
        <v>21.09</v>
      </c>
      <c r="K120" s="20">
        <v>21.44</v>
      </c>
      <c r="L120" s="20">
        <v>22.05</v>
      </c>
      <c r="M120" s="20">
        <v>24.42</v>
      </c>
      <c r="N120" s="20">
        <v>25.66</v>
      </c>
      <c r="O120" s="20">
        <v>25.66</v>
      </c>
      <c r="P120" s="20">
        <v>25.66</v>
      </c>
      <c r="Q120" s="20">
        <v>25.66</v>
      </c>
      <c r="R120" s="20">
        <v>25.66</v>
      </c>
      <c r="S120" s="20">
        <v>25.66</v>
      </c>
      <c r="T120" s="20">
        <v>9.21</v>
      </c>
      <c r="U120" s="16">
        <v>0.0</v>
      </c>
      <c r="V120" s="16">
        <v>0.0</v>
      </c>
      <c r="W120" s="16">
        <v>0.0</v>
      </c>
    </row>
    <row r="121" ht="15.0" customHeight="1">
      <c r="A121" s="14" t="s">
        <v>310</v>
      </c>
      <c r="B121" s="15">
        <v>949.45</v>
      </c>
      <c r="C121" s="15">
        <v>949.45</v>
      </c>
      <c r="D121" s="15">
        <v>535.39</v>
      </c>
      <c r="E121" s="15">
        <v>535.39</v>
      </c>
      <c r="F121" s="15">
        <v>535.39</v>
      </c>
      <c r="G121" s="15">
        <v>535.39</v>
      </c>
      <c r="H121" s="15">
        <v>535.39</v>
      </c>
      <c r="I121" s="15">
        <v>535.39</v>
      </c>
      <c r="J121" s="15">
        <v>551.11</v>
      </c>
      <c r="K121" s="15">
        <v>551.11</v>
      </c>
      <c r="L121" s="15">
        <v>551.11</v>
      </c>
      <c r="M121" s="15">
        <v>551.11</v>
      </c>
      <c r="N121" s="15">
        <v>551.11</v>
      </c>
      <c r="O121" s="15">
        <v>551.11</v>
      </c>
      <c r="P121" s="15">
        <v>551.11</v>
      </c>
      <c r="Q121" s="15">
        <v>551.11</v>
      </c>
      <c r="R121" s="15">
        <v>551.11</v>
      </c>
      <c r="S121" s="15">
        <v>551.11</v>
      </c>
      <c r="T121" s="15">
        <v>548.44</v>
      </c>
      <c r="U121" s="15">
        <v>545.63</v>
      </c>
      <c r="V121" s="15">
        <v>544.02</v>
      </c>
      <c r="W121" s="15">
        <v>543.92</v>
      </c>
    </row>
    <row r="122" ht="15.0" customHeight="1">
      <c r="A122" s="14" t="s">
        <v>311</v>
      </c>
      <c r="B122" s="16"/>
      <c r="C122" s="16"/>
      <c r="D122" s="16"/>
      <c r="E122" s="15">
        <v>2052.9</v>
      </c>
      <c r="F122" s="15">
        <v>389.71</v>
      </c>
      <c r="G122" s="15">
        <v>297.6</v>
      </c>
      <c r="H122" s="15">
        <v>1059.56</v>
      </c>
      <c r="I122" s="15">
        <v>821.67</v>
      </c>
      <c r="J122" s="20">
        <v>1.0</v>
      </c>
      <c r="K122" s="15">
        <v>759.6</v>
      </c>
      <c r="L122" s="15">
        <v>840.39</v>
      </c>
      <c r="M122" s="15">
        <v>771.59</v>
      </c>
      <c r="N122" s="15">
        <v>760.56</v>
      </c>
      <c r="O122" s="15">
        <v>801.24</v>
      </c>
      <c r="P122" s="15">
        <v>959.69</v>
      </c>
      <c r="Q122" s="15">
        <v>1081.1</v>
      </c>
      <c r="R122" s="15">
        <v>1979.09</v>
      </c>
      <c r="S122" s="16"/>
      <c r="T122" s="15">
        <v>1435.58</v>
      </c>
      <c r="U122" s="15">
        <v>1456.84</v>
      </c>
      <c r="V122" s="15">
        <v>936.62</v>
      </c>
      <c r="W122" s="15">
        <v>1434.01</v>
      </c>
    </row>
    <row r="123" ht="15.0" customHeight="1">
      <c r="A123" s="14" t="s">
        <v>312</v>
      </c>
      <c r="B123" s="16"/>
      <c r="C123" s="16">
        <v>0.0</v>
      </c>
      <c r="D123" s="15">
        <v>251.69</v>
      </c>
      <c r="E123" s="16">
        <v>0.0</v>
      </c>
      <c r="F123" s="16">
        <v>0.0</v>
      </c>
      <c r="G123" s="16">
        <v>0.0</v>
      </c>
      <c r="H123" s="16">
        <v>0.0</v>
      </c>
      <c r="I123" s="16">
        <v>0.0</v>
      </c>
      <c r="J123" s="20">
        <v>1.0</v>
      </c>
      <c r="K123" s="15">
        <v>759.6</v>
      </c>
      <c r="L123" s="20">
        <v>3.14</v>
      </c>
      <c r="M123" s="20">
        <v>0.96</v>
      </c>
      <c r="N123" s="20">
        <v>0.94</v>
      </c>
      <c r="O123" s="20">
        <v>1.71</v>
      </c>
      <c r="P123" s="16">
        <v>0.0</v>
      </c>
      <c r="Q123" s="16">
        <v>0.0</v>
      </c>
      <c r="R123" s="16">
        <v>0.0</v>
      </c>
      <c r="S123" s="16"/>
      <c r="T123" s="16">
        <v>0.0</v>
      </c>
      <c r="U123" s="16">
        <v>0.0</v>
      </c>
      <c r="V123" s="20">
        <v>1.7</v>
      </c>
      <c r="W123" s="20">
        <v>1.83</v>
      </c>
    </row>
    <row r="124" ht="15.0" customHeight="1">
      <c r="A124" s="14" t="s">
        <v>313</v>
      </c>
      <c r="B124" s="16"/>
      <c r="C124" s="15">
        <v>2641.18</v>
      </c>
      <c r="D124" s="15">
        <v>3653.55</v>
      </c>
      <c r="E124" s="15">
        <v>2052.9</v>
      </c>
      <c r="F124" s="15">
        <v>389.71</v>
      </c>
      <c r="G124" s="15">
        <v>297.6</v>
      </c>
      <c r="H124" s="15">
        <v>1059.56</v>
      </c>
      <c r="I124" s="15">
        <v>821.67</v>
      </c>
      <c r="J124" s="16">
        <v>0.0</v>
      </c>
      <c r="K124" s="16">
        <v>0.0</v>
      </c>
      <c r="L124" s="15">
        <v>837.25</v>
      </c>
      <c r="M124" s="15">
        <v>770.64</v>
      </c>
      <c r="N124" s="15">
        <v>759.62</v>
      </c>
      <c r="O124" s="15">
        <v>799.53</v>
      </c>
      <c r="P124" s="15">
        <v>959.69</v>
      </c>
      <c r="Q124" s="15">
        <v>1081.1</v>
      </c>
      <c r="R124" s="15">
        <v>1979.09</v>
      </c>
      <c r="S124" s="16"/>
      <c r="T124" s="15">
        <v>1435.58</v>
      </c>
      <c r="U124" s="15">
        <v>1456.84</v>
      </c>
      <c r="V124" s="15">
        <v>934.92</v>
      </c>
      <c r="W124" s="15">
        <v>1432.18</v>
      </c>
    </row>
    <row r="125" ht="15.0" customHeight="1">
      <c r="A125" s="14" t="s">
        <v>314</v>
      </c>
      <c r="B125" s="15">
        <v>946.58</v>
      </c>
      <c r="C125" s="15">
        <v>946.58</v>
      </c>
      <c r="D125" s="15">
        <v>528.97</v>
      </c>
      <c r="E125" s="15">
        <v>528.97</v>
      </c>
      <c r="F125" s="15">
        <v>528.97</v>
      </c>
      <c r="G125" s="15">
        <v>530.86</v>
      </c>
      <c r="H125" s="15">
        <v>530.86</v>
      </c>
      <c r="I125" s="15">
        <v>530.34</v>
      </c>
      <c r="J125" s="15">
        <v>530.01</v>
      </c>
      <c r="K125" s="15">
        <v>529.66</v>
      </c>
      <c r="L125" s="15">
        <v>529.06</v>
      </c>
      <c r="M125" s="15">
        <v>526.69</v>
      </c>
      <c r="N125" s="15">
        <v>525.44</v>
      </c>
      <c r="O125" s="15">
        <v>525.44</v>
      </c>
      <c r="P125" s="15">
        <v>525.44</v>
      </c>
      <c r="Q125" s="15">
        <v>525.44</v>
      </c>
      <c r="R125" s="15">
        <v>525.44</v>
      </c>
      <c r="S125" s="15">
        <v>525.44</v>
      </c>
      <c r="T125" s="15">
        <v>539.23</v>
      </c>
      <c r="U125" s="15">
        <v>545.63</v>
      </c>
      <c r="V125" s="15">
        <v>544.02</v>
      </c>
      <c r="W125" s="15">
        <v>543.92</v>
      </c>
    </row>
    <row r="126" ht="15.0" customHeight="1">
      <c r="A126" s="14" t="s">
        <v>315</v>
      </c>
      <c r="B126" s="20">
        <v>1.0</v>
      </c>
      <c r="C126" s="20">
        <v>1.0</v>
      </c>
      <c r="D126" s="20">
        <v>1.0</v>
      </c>
      <c r="E126" s="20">
        <v>1.0</v>
      </c>
      <c r="F126" s="20">
        <v>1.0</v>
      </c>
      <c r="G126" s="20">
        <v>1.0</v>
      </c>
      <c r="H126" s="20">
        <v>1.0</v>
      </c>
      <c r="I126" s="20">
        <v>1.0</v>
      </c>
      <c r="J126" s="20">
        <v>1.0</v>
      </c>
      <c r="K126" s="20">
        <v>1.0</v>
      </c>
      <c r="L126" s="20">
        <v>1.0</v>
      </c>
      <c r="M126" s="20">
        <v>1.0</v>
      </c>
      <c r="N126" s="20">
        <v>1.0</v>
      </c>
      <c r="O126" s="20">
        <v>1.0</v>
      </c>
      <c r="P126" s="20">
        <v>1.0</v>
      </c>
      <c r="Q126" s="20">
        <v>1.0</v>
      </c>
      <c r="R126" s="20">
        <v>1.0</v>
      </c>
      <c r="S126" s="20">
        <v>1.0</v>
      </c>
      <c r="T126" s="20">
        <v>1.0</v>
      </c>
      <c r="U126" s="20">
        <v>1.0</v>
      </c>
      <c r="V126" s="20">
        <v>1.0</v>
      </c>
      <c r="W126" s="20">
        <v>1.0</v>
      </c>
    </row>
    <row r="127" ht="15.0" customHeight="1">
      <c r="A127" s="14" t="s">
        <v>316</v>
      </c>
      <c r="B127" s="20">
        <v>2.87</v>
      </c>
      <c r="C127" s="20">
        <v>2.87</v>
      </c>
      <c r="D127" s="20">
        <v>6.42</v>
      </c>
      <c r="E127" s="20">
        <v>6.42</v>
      </c>
      <c r="F127" s="20">
        <v>6.42</v>
      </c>
      <c r="G127" s="20">
        <v>4.53</v>
      </c>
      <c r="H127" s="20">
        <v>4.53</v>
      </c>
      <c r="I127" s="20">
        <v>5.05</v>
      </c>
      <c r="J127" s="20">
        <v>21.09</v>
      </c>
      <c r="K127" s="20">
        <v>21.44</v>
      </c>
      <c r="L127" s="20">
        <v>22.05</v>
      </c>
      <c r="M127" s="20">
        <v>24.42</v>
      </c>
      <c r="N127" s="20">
        <v>25.66</v>
      </c>
      <c r="O127" s="20">
        <v>25.66</v>
      </c>
      <c r="P127" s="20">
        <v>25.66</v>
      </c>
      <c r="Q127" s="20">
        <v>25.66</v>
      </c>
      <c r="R127" s="20">
        <v>25.66</v>
      </c>
      <c r="S127" s="20">
        <v>25.66</v>
      </c>
      <c r="T127" s="20">
        <v>9.21</v>
      </c>
      <c r="U127" s="16">
        <v>0.0</v>
      </c>
      <c r="V127" s="16">
        <v>0.0</v>
      </c>
      <c r="W127" s="16">
        <v>0.0</v>
      </c>
    </row>
    <row r="128" ht="15.0" customHeight="1">
      <c r="A128" s="14" t="s">
        <v>317</v>
      </c>
      <c r="B128" s="15">
        <v>949.45</v>
      </c>
      <c r="C128" s="15">
        <v>949.45</v>
      </c>
      <c r="D128" s="15">
        <v>535.39</v>
      </c>
      <c r="E128" s="15">
        <v>535.39</v>
      </c>
      <c r="F128" s="15">
        <v>535.39</v>
      </c>
      <c r="G128" s="15">
        <v>535.39</v>
      </c>
      <c r="H128" s="15">
        <v>535.39</v>
      </c>
      <c r="I128" s="15">
        <v>535.39</v>
      </c>
      <c r="J128" s="15">
        <v>551.11</v>
      </c>
      <c r="K128" s="15">
        <v>551.11</v>
      </c>
      <c r="L128" s="15">
        <v>551.11</v>
      </c>
      <c r="M128" s="15">
        <v>551.11</v>
      </c>
      <c r="N128" s="15">
        <v>551.11</v>
      </c>
      <c r="O128" s="15">
        <v>551.11</v>
      </c>
      <c r="P128" s="15">
        <v>551.11</v>
      </c>
      <c r="Q128" s="15">
        <v>551.11</v>
      </c>
      <c r="R128" s="15">
        <v>551.11</v>
      </c>
      <c r="S128" s="15">
        <v>551.11</v>
      </c>
      <c r="T128" s="15">
        <v>548.44</v>
      </c>
      <c r="U128" s="15">
        <v>545.63</v>
      </c>
      <c r="V128" s="15">
        <v>544.02</v>
      </c>
      <c r="W128" s="15">
        <v>543.92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46094.5303449306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42094.0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319</v>
      </c>
      <c r="C15" s="10" t="s">
        <v>319</v>
      </c>
      <c r="D15" s="10" t="s">
        <v>319</v>
      </c>
      <c r="E15" s="10" t="s">
        <v>319</v>
      </c>
      <c r="F15" s="10" t="s">
        <v>319</v>
      </c>
      <c r="G15" s="10" t="s">
        <v>319</v>
      </c>
      <c r="H15" s="10" t="s">
        <v>319</v>
      </c>
      <c r="I15" s="10" t="s">
        <v>319</v>
      </c>
      <c r="J15" s="10" t="s">
        <v>319</v>
      </c>
      <c r="K15" s="10" t="s">
        <v>319</v>
      </c>
      <c r="L15" s="10" t="s">
        <v>319</v>
      </c>
      <c r="M15" s="10" t="s">
        <v>319</v>
      </c>
      <c r="N15" s="10" t="s">
        <v>319</v>
      </c>
      <c r="O15" s="10" t="s">
        <v>319</v>
      </c>
      <c r="P15" s="10" t="s">
        <v>319</v>
      </c>
      <c r="Q15" s="10" t="s">
        <v>319</v>
      </c>
      <c r="R15" s="10" t="s">
        <v>319</v>
      </c>
      <c r="S15" s="10" t="s">
        <v>319</v>
      </c>
      <c r="T15" s="10" t="s">
        <v>319</v>
      </c>
      <c r="U15" s="10" t="s">
        <v>319</v>
      </c>
      <c r="V15" s="10" t="s">
        <v>319</v>
      </c>
      <c r="W15" s="10" t="s">
        <v>319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112</v>
      </c>
      <c r="B20" s="22">
        <v>-217.13</v>
      </c>
      <c r="C20" s="22">
        <v>-841.06</v>
      </c>
      <c r="D20" s="21">
        <v>-98.53</v>
      </c>
      <c r="E20" s="15">
        <v>181.48</v>
      </c>
      <c r="F20" s="15">
        <v>1011.23</v>
      </c>
      <c r="G20" s="15">
        <v>447.26</v>
      </c>
      <c r="H20" s="15">
        <v>1053.42</v>
      </c>
      <c r="I20" s="15">
        <v>953.32</v>
      </c>
      <c r="J20" s="15">
        <v>1245.29</v>
      </c>
      <c r="K20" s="15">
        <v>1274.58</v>
      </c>
      <c r="L20" s="15">
        <v>1136.81</v>
      </c>
      <c r="M20" s="15">
        <v>806.51</v>
      </c>
      <c r="N20" s="15">
        <v>590.25</v>
      </c>
      <c r="O20" s="22">
        <v>-235.48</v>
      </c>
      <c r="P20" s="15">
        <v>158.92</v>
      </c>
      <c r="Q20" s="20">
        <v>5.04</v>
      </c>
      <c r="R20" s="20">
        <v>31.27</v>
      </c>
      <c r="S20" s="15">
        <v>782.61</v>
      </c>
      <c r="T20" s="15">
        <v>1172.71</v>
      </c>
      <c r="U20" s="15">
        <v>1154.71</v>
      </c>
      <c r="V20" s="15">
        <v>857.69</v>
      </c>
      <c r="W20" s="15">
        <v>853.39</v>
      </c>
    </row>
    <row r="21" ht="15.0" customHeight="1">
      <c r="A21" s="14" t="s">
        <v>321</v>
      </c>
      <c r="B21" s="22">
        <v>-1943.56</v>
      </c>
      <c r="C21" s="20">
        <v>22.37</v>
      </c>
      <c r="D21" s="16"/>
      <c r="E21" s="16"/>
      <c r="F21" s="16"/>
      <c r="G21" s="16"/>
      <c r="H21" s="16"/>
      <c r="I21" s="16">
        <v>0.0</v>
      </c>
      <c r="J21" s="20">
        <v>19.37</v>
      </c>
      <c r="K21" s="22">
        <v>-457.59</v>
      </c>
      <c r="L21" s="21">
        <v>-39.2</v>
      </c>
      <c r="M21" s="22">
        <v>-444.59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322</v>
      </c>
      <c r="B22" s="15">
        <v>2747.47</v>
      </c>
      <c r="C22" s="15">
        <v>1336.33</v>
      </c>
      <c r="D22" s="15">
        <v>865.89</v>
      </c>
      <c r="E22" s="15">
        <v>854.18</v>
      </c>
      <c r="F22" s="15">
        <v>801.77</v>
      </c>
      <c r="G22" s="15">
        <v>1012.22</v>
      </c>
      <c r="H22" s="15">
        <v>777.04</v>
      </c>
      <c r="I22" s="15">
        <v>305.29</v>
      </c>
      <c r="J22" s="15">
        <v>277.92</v>
      </c>
      <c r="K22" s="15">
        <v>645.15</v>
      </c>
      <c r="L22" s="15">
        <v>330.81</v>
      </c>
      <c r="M22" s="15">
        <v>663.22</v>
      </c>
      <c r="N22" s="15">
        <v>351.98</v>
      </c>
      <c r="O22" s="15">
        <v>870.59</v>
      </c>
      <c r="P22" s="15">
        <v>386.94</v>
      </c>
      <c r="Q22" s="15">
        <v>456.86</v>
      </c>
      <c r="R22" s="15">
        <v>495.45</v>
      </c>
      <c r="S22" s="15">
        <v>409.7</v>
      </c>
      <c r="T22" s="15">
        <v>378.77</v>
      </c>
      <c r="U22" s="15">
        <v>363.73</v>
      </c>
      <c r="V22" s="15">
        <v>266.89</v>
      </c>
      <c r="W22" s="15">
        <v>258.77</v>
      </c>
    </row>
    <row r="23" ht="15.0" customHeight="1">
      <c r="A23" s="14" t="s">
        <v>323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5">
        <v>322.42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324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5">
        <v>340.79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325</v>
      </c>
      <c r="B25" s="21">
        <v>-1.06</v>
      </c>
      <c r="C25" s="21">
        <v>-70.17</v>
      </c>
      <c r="D25" s="20">
        <v>22.89</v>
      </c>
      <c r="E25" s="20">
        <v>45.61</v>
      </c>
      <c r="F25" s="20">
        <v>30.07</v>
      </c>
      <c r="G25" s="20">
        <v>51.17</v>
      </c>
      <c r="H25" s="20">
        <v>26.99</v>
      </c>
      <c r="I25" s="15">
        <v>118.0</v>
      </c>
      <c r="J25" s="21">
        <v>-29.05</v>
      </c>
      <c r="K25" s="20">
        <v>93.29</v>
      </c>
      <c r="L25" s="20">
        <v>63.1</v>
      </c>
      <c r="M25" s="20">
        <v>90.94</v>
      </c>
      <c r="N25" s="20">
        <v>16.25</v>
      </c>
      <c r="O25" s="20">
        <v>97.97</v>
      </c>
      <c r="P25" s="15">
        <v>154.6</v>
      </c>
      <c r="Q25" s="15">
        <v>278.82</v>
      </c>
      <c r="R25" s="20">
        <v>26.34</v>
      </c>
      <c r="S25" s="21">
        <v>-78.69</v>
      </c>
      <c r="T25" s="21">
        <v>-78.01</v>
      </c>
      <c r="U25" s="21">
        <v>-40.03</v>
      </c>
      <c r="V25" s="21">
        <v>-24.18</v>
      </c>
      <c r="W25" s="21">
        <v>-26.61</v>
      </c>
    </row>
    <row r="26" ht="15.0" customHeight="1">
      <c r="A26" s="14" t="s">
        <v>326</v>
      </c>
      <c r="B26" s="21">
        <v>-93.21</v>
      </c>
      <c r="C26" s="21">
        <v>-78.31</v>
      </c>
      <c r="D26" s="21">
        <v>-83.6</v>
      </c>
      <c r="E26" s="22">
        <v>-197.63</v>
      </c>
      <c r="F26" s="22">
        <v>-182.4</v>
      </c>
      <c r="G26" s="22">
        <v>-120.77</v>
      </c>
      <c r="H26" s="22">
        <v>-283.83</v>
      </c>
      <c r="I26" s="22">
        <v>-244.42</v>
      </c>
      <c r="J26" s="22">
        <v>-240.15</v>
      </c>
      <c r="K26" s="22">
        <v>-225.85</v>
      </c>
      <c r="L26" s="22">
        <v>-206.52</v>
      </c>
      <c r="M26" s="22">
        <v>-178.2</v>
      </c>
      <c r="N26" s="22">
        <v>-143.5</v>
      </c>
      <c r="O26" s="22">
        <v>-133.21</v>
      </c>
      <c r="P26" s="21">
        <v>-70.82</v>
      </c>
      <c r="Q26" s="21">
        <v>-42.83</v>
      </c>
      <c r="R26" s="21">
        <v>-69.13</v>
      </c>
      <c r="S26" s="22">
        <v>-315.61</v>
      </c>
      <c r="T26" s="22">
        <v>-225.35</v>
      </c>
      <c r="U26" s="22">
        <v>-312.39</v>
      </c>
      <c r="V26" s="22">
        <v>-164.97</v>
      </c>
      <c r="W26" s="22">
        <v>-137.64</v>
      </c>
    </row>
    <row r="27" ht="15.0" customHeight="1">
      <c r="A27" s="14" t="s">
        <v>327</v>
      </c>
      <c r="B27" s="20">
        <v>22.24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20">
        <v>11.02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327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5">
        <v>110.86</v>
      </c>
      <c r="R28" s="15">
        <v>389.28</v>
      </c>
      <c r="S28" s="22">
        <v>-110.34</v>
      </c>
      <c r="T28" s="20">
        <v>39.0</v>
      </c>
      <c r="U28" s="20">
        <v>31.33</v>
      </c>
      <c r="V28" s="15">
        <v>106.24</v>
      </c>
      <c r="W28" s="20">
        <v>42.21</v>
      </c>
    </row>
    <row r="29" ht="15.0" customHeight="1">
      <c r="A29" s="14" t="s">
        <v>328</v>
      </c>
      <c r="B29" s="16"/>
      <c r="C29" s="15">
        <v>135.26</v>
      </c>
      <c r="D29" s="15">
        <v>231.9</v>
      </c>
      <c r="E29" s="22">
        <v>-220.43</v>
      </c>
      <c r="F29" s="22">
        <v>-153.34</v>
      </c>
      <c r="G29" s="21">
        <v>-26.61</v>
      </c>
      <c r="H29" s="22">
        <v>-139.59</v>
      </c>
      <c r="I29" s="20">
        <v>3.75</v>
      </c>
      <c r="J29" s="21">
        <v>-65.85</v>
      </c>
      <c r="K29" s="21">
        <v>-87.39</v>
      </c>
      <c r="L29" s="21">
        <v>-94.65</v>
      </c>
      <c r="M29" s="16"/>
      <c r="N29" s="20">
        <v>94.76</v>
      </c>
      <c r="O29" s="20">
        <v>13.75</v>
      </c>
      <c r="P29" s="21">
        <v>-24.18</v>
      </c>
      <c r="Q29" s="20">
        <v>92.38</v>
      </c>
      <c r="R29" s="15">
        <v>181.88</v>
      </c>
      <c r="S29" s="20">
        <v>3.42</v>
      </c>
      <c r="T29" s="22">
        <v>-116.14</v>
      </c>
      <c r="U29" s="21">
        <v>-48.73</v>
      </c>
      <c r="V29" s="20">
        <v>12.96</v>
      </c>
      <c r="W29" s="20">
        <v>10.09</v>
      </c>
    </row>
    <row r="30" ht="15.0" customHeight="1">
      <c r="A30" s="14" t="s">
        <v>329</v>
      </c>
      <c r="B30" s="16"/>
      <c r="C30" s="15">
        <v>283.74</v>
      </c>
      <c r="D30" s="15">
        <v>304.55</v>
      </c>
      <c r="E30" s="22">
        <v>-132.07</v>
      </c>
      <c r="F30" s="21">
        <v>-82.18</v>
      </c>
      <c r="G30" s="20">
        <v>32.75</v>
      </c>
      <c r="H30" s="15">
        <v>102.36</v>
      </c>
      <c r="I30" s="20">
        <v>6.56</v>
      </c>
      <c r="J30" s="22">
        <v>-154.94</v>
      </c>
      <c r="K30" s="22">
        <v>-168.9</v>
      </c>
      <c r="L30" s="22">
        <v>-153.93</v>
      </c>
      <c r="M30" s="16"/>
      <c r="N30" s="21">
        <v>-9.93</v>
      </c>
      <c r="O30" s="15">
        <v>176.18</v>
      </c>
      <c r="P30" s="21">
        <v>-76.87</v>
      </c>
      <c r="Q30" s="15">
        <v>147.81</v>
      </c>
      <c r="R30" s="20">
        <v>65.02</v>
      </c>
      <c r="S30" s="15">
        <v>180.47</v>
      </c>
      <c r="T30" s="20">
        <v>55.47</v>
      </c>
      <c r="U30" s="22">
        <v>-144.45</v>
      </c>
      <c r="V30" s="20">
        <v>41.46</v>
      </c>
      <c r="W30" s="21">
        <v>-91.76</v>
      </c>
    </row>
    <row r="31" ht="15.0" customHeight="1">
      <c r="A31" s="14" t="s">
        <v>330</v>
      </c>
      <c r="B31" s="16"/>
      <c r="C31" s="22">
        <v>-574.6</v>
      </c>
      <c r="D31" s="22">
        <v>-357.3</v>
      </c>
      <c r="E31" s="15">
        <v>342.05</v>
      </c>
      <c r="F31" s="15">
        <v>118.26</v>
      </c>
      <c r="G31" s="15">
        <v>720.53</v>
      </c>
      <c r="H31" s="21">
        <v>-16.75</v>
      </c>
      <c r="I31" s="22">
        <v>-205.09</v>
      </c>
      <c r="J31" s="21">
        <v>-96.83</v>
      </c>
      <c r="K31" s="15">
        <v>184.61</v>
      </c>
      <c r="L31" s="20">
        <v>58.32</v>
      </c>
      <c r="M31" s="16"/>
      <c r="N31" s="22">
        <v>-149.82</v>
      </c>
      <c r="O31" s="22">
        <v>-308.53</v>
      </c>
      <c r="P31" s="22">
        <v>-171.88</v>
      </c>
      <c r="Q31" s="22">
        <v>-129.33</v>
      </c>
      <c r="R31" s="15">
        <v>142.38</v>
      </c>
      <c r="S31" s="22">
        <v>-294.23</v>
      </c>
      <c r="T31" s="20">
        <v>99.68</v>
      </c>
      <c r="U31" s="15">
        <v>224.5</v>
      </c>
      <c r="V31" s="20">
        <v>51.82</v>
      </c>
      <c r="W31" s="15">
        <v>142.23</v>
      </c>
    </row>
    <row r="32" ht="15.0" customHeight="1">
      <c r="A32" s="14" t="s">
        <v>331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20">
        <v>18.2</v>
      </c>
      <c r="U32" s="20">
        <v>14.79</v>
      </c>
      <c r="V32" s="20">
        <v>11.23</v>
      </c>
      <c r="W32" s="20">
        <v>11.93</v>
      </c>
    </row>
    <row r="33" ht="15.0" customHeight="1">
      <c r="A33" s="14" t="s">
        <v>332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1">
        <v>-44.51</v>
      </c>
      <c r="R33" s="21">
        <v>-76.54</v>
      </c>
      <c r="S33" s="22">
        <v>-144.55</v>
      </c>
      <c r="T33" s="21">
        <v>-83.21</v>
      </c>
      <c r="U33" s="21">
        <v>-80.93</v>
      </c>
      <c r="V33" s="21">
        <v>-70.83</v>
      </c>
      <c r="W33" s="21">
        <v>-93.6</v>
      </c>
    </row>
    <row r="34" ht="15.0" customHeight="1">
      <c r="A34" s="14" t="s">
        <v>333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21">
        <v>-18.35</v>
      </c>
    </row>
    <row r="35" ht="15.0" customHeight="1">
      <c r="A35" s="14" t="s">
        <v>334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0">
        <v>44.51</v>
      </c>
      <c r="R35" s="20">
        <v>76.54</v>
      </c>
      <c r="S35" s="15">
        <v>144.55</v>
      </c>
      <c r="T35" s="16"/>
      <c r="U35" s="16"/>
      <c r="V35" s="16"/>
      <c r="W35" s="16"/>
    </row>
    <row r="36" ht="15.0" customHeight="1">
      <c r="A36" s="17" t="s">
        <v>335</v>
      </c>
      <c r="B36" s="18">
        <v>514.75</v>
      </c>
      <c r="C36" s="18">
        <v>213.57</v>
      </c>
      <c r="D36" s="18">
        <v>885.8</v>
      </c>
      <c r="E36" s="18">
        <v>873.18</v>
      </c>
      <c r="F36" s="18">
        <v>1543.4</v>
      </c>
      <c r="G36" s="18">
        <v>2116.56</v>
      </c>
      <c r="H36" s="18">
        <v>1519.64</v>
      </c>
      <c r="I36" s="18">
        <v>937.4</v>
      </c>
      <c r="J36" s="18">
        <v>955.76</v>
      </c>
      <c r="K36" s="18">
        <v>1257.89</v>
      </c>
      <c r="L36" s="18">
        <v>1094.74</v>
      </c>
      <c r="M36" s="18">
        <v>948.89</v>
      </c>
      <c r="N36" s="18">
        <v>749.99</v>
      </c>
      <c r="O36" s="18">
        <v>481.27</v>
      </c>
      <c r="P36" s="18">
        <v>356.71</v>
      </c>
      <c r="Q36" s="18">
        <v>808.74</v>
      </c>
      <c r="R36" s="18">
        <v>873.2</v>
      </c>
      <c r="S36" s="18">
        <v>687.67</v>
      </c>
      <c r="T36" s="18">
        <v>1222.11</v>
      </c>
      <c r="U36" s="18">
        <v>1131.22</v>
      </c>
      <c r="V36" s="18">
        <v>982.07</v>
      </c>
      <c r="W36" s="18">
        <v>908.44</v>
      </c>
    </row>
    <row r="37" ht="15.0" customHeight="1">
      <c r="A37" s="14" t="s">
        <v>336</v>
      </c>
      <c r="B37" s="22">
        <v>-528.52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22">
        <v>-290.27</v>
      </c>
      <c r="N37" s="16"/>
      <c r="O37" s="16"/>
      <c r="P37" s="22">
        <v>-379.16</v>
      </c>
      <c r="Q37" s="22">
        <v>-172.16</v>
      </c>
      <c r="R37" s="22">
        <v>-240.32</v>
      </c>
      <c r="S37" s="22">
        <v>-600.43</v>
      </c>
      <c r="T37" s="22">
        <v>-570.32</v>
      </c>
      <c r="U37" s="22">
        <v>-442.04</v>
      </c>
      <c r="V37" s="22">
        <v>-390.41</v>
      </c>
      <c r="W37" s="22">
        <v>-327.59</v>
      </c>
    </row>
    <row r="38" ht="15.0" customHeight="1">
      <c r="A38" s="14" t="s">
        <v>337</v>
      </c>
      <c r="B38" s="20">
        <v>30.72</v>
      </c>
      <c r="C38" s="20">
        <v>25.42</v>
      </c>
      <c r="D38" s="20">
        <v>6.97</v>
      </c>
      <c r="E38" s="20">
        <v>6.65</v>
      </c>
      <c r="F38" s="20">
        <v>14.03</v>
      </c>
      <c r="G38" s="21">
        <v>-1.02</v>
      </c>
      <c r="H38" s="21">
        <v>-52.11</v>
      </c>
      <c r="I38" s="21">
        <v>-5.62</v>
      </c>
      <c r="J38" s="21">
        <v>-4.84</v>
      </c>
      <c r="K38" s="20">
        <v>11.78</v>
      </c>
      <c r="L38" s="21">
        <v>-0.96</v>
      </c>
      <c r="M38" s="20">
        <v>56.95</v>
      </c>
      <c r="N38" s="21">
        <v>-13.54</v>
      </c>
      <c r="O38" s="21">
        <v>-19.77</v>
      </c>
      <c r="P38" s="21">
        <v>-24.18</v>
      </c>
      <c r="Q38" s="21">
        <v>-4.2</v>
      </c>
      <c r="R38" s="21">
        <v>-10.7</v>
      </c>
      <c r="S38" s="21">
        <v>-17.11</v>
      </c>
      <c r="T38" s="22">
        <v>-131.75</v>
      </c>
      <c r="U38" s="21">
        <v>-41.77</v>
      </c>
      <c r="V38" s="20">
        <v>0.86</v>
      </c>
      <c r="W38" s="21">
        <v>-3.67</v>
      </c>
    </row>
    <row r="39" ht="15.0" customHeight="1">
      <c r="A39" s="14" t="s">
        <v>331</v>
      </c>
      <c r="B39" s="20">
        <v>13.77</v>
      </c>
      <c r="C39" s="20">
        <v>24.41</v>
      </c>
      <c r="D39" s="20">
        <v>23.89</v>
      </c>
      <c r="E39" s="20">
        <v>3.8</v>
      </c>
      <c r="F39" s="20">
        <v>2.0</v>
      </c>
      <c r="G39" s="20">
        <v>2.05</v>
      </c>
      <c r="H39" s="20">
        <v>0.93</v>
      </c>
      <c r="I39" s="20">
        <v>1.87</v>
      </c>
      <c r="J39" s="20">
        <v>2.91</v>
      </c>
      <c r="K39" s="20">
        <v>0.98</v>
      </c>
      <c r="L39" s="20">
        <v>5.74</v>
      </c>
      <c r="M39" s="20">
        <v>5.51</v>
      </c>
      <c r="N39" s="20">
        <v>3.61</v>
      </c>
      <c r="O39" s="20">
        <v>9.45</v>
      </c>
      <c r="P39" s="20">
        <v>6.91</v>
      </c>
      <c r="Q39" s="20">
        <v>15.12</v>
      </c>
      <c r="R39" s="20">
        <v>33.74</v>
      </c>
      <c r="S39" s="20">
        <v>41.06</v>
      </c>
      <c r="T39" s="16"/>
      <c r="U39" s="16"/>
      <c r="V39" s="16"/>
      <c r="W39" s="16"/>
    </row>
    <row r="40" ht="15.0" customHeight="1">
      <c r="A40" s="14" t="s">
        <v>338</v>
      </c>
      <c r="B40" s="20">
        <v>52.96</v>
      </c>
      <c r="C40" s="21">
        <v>-19.32</v>
      </c>
      <c r="D40" s="21">
        <v>-1.0</v>
      </c>
      <c r="E40" s="16"/>
      <c r="F40" s="16">
        <v>0.0</v>
      </c>
      <c r="G40" s="20">
        <v>5.12</v>
      </c>
      <c r="H40" s="20">
        <v>26.99</v>
      </c>
      <c r="I40" s="21">
        <v>-11.24</v>
      </c>
      <c r="J40" s="21">
        <v>-18.4</v>
      </c>
      <c r="K40" s="20">
        <v>3.93</v>
      </c>
      <c r="L40" s="21">
        <v>-0.96</v>
      </c>
      <c r="M40" s="20">
        <v>0.92</v>
      </c>
      <c r="N40" s="21">
        <v>-1.81</v>
      </c>
      <c r="O40" s="16">
        <v>0.0</v>
      </c>
      <c r="P40" s="20">
        <v>4.32</v>
      </c>
      <c r="Q40" s="20">
        <v>5.04</v>
      </c>
      <c r="R40" s="20">
        <v>24.69</v>
      </c>
      <c r="S40" s="16">
        <v>0.0</v>
      </c>
      <c r="T40" s="16"/>
      <c r="U40" s="16"/>
      <c r="V40" s="16"/>
      <c r="W40" s="16"/>
    </row>
    <row r="41" ht="15.0" customHeight="1">
      <c r="A41" s="14" t="s">
        <v>339</v>
      </c>
      <c r="B41" s="16"/>
      <c r="C41" s="15">
        <v>1610.92</v>
      </c>
      <c r="D41" s="16"/>
      <c r="E41" s="16"/>
      <c r="F41" s="16"/>
      <c r="G41" s="16"/>
      <c r="H41" s="16"/>
      <c r="I41" s="16">
        <v>0.0</v>
      </c>
      <c r="J41" s="21">
        <v>-90.06</v>
      </c>
      <c r="K41" s="16">
        <v>0.0</v>
      </c>
      <c r="L41" s="15">
        <v>219.9</v>
      </c>
      <c r="M41" s="21">
        <v>-14.7</v>
      </c>
      <c r="N41" s="21">
        <v>-34.3</v>
      </c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340</v>
      </c>
      <c r="B42" s="16"/>
      <c r="C42" s="22">
        <v>-734.27</v>
      </c>
      <c r="D42" s="22">
        <v>-1509.83</v>
      </c>
      <c r="E42" s="22">
        <v>-1412.87</v>
      </c>
      <c r="F42" s="22">
        <v>-716.58</v>
      </c>
      <c r="G42" s="22">
        <v>-203.67</v>
      </c>
      <c r="H42" s="22">
        <v>-346.18</v>
      </c>
      <c r="I42" s="22">
        <v>-316.53</v>
      </c>
      <c r="J42" s="22">
        <v>-253.71</v>
      </c>
      <c r="K42" s="22">
        <v>-262.18</v>
      </c>
      <c r="L42" s="22">
        <v>-344.2</v>
      </c>
      <c r="M42" s="16"/>
      <c r="N42" s="22">
        <v>-204.87</v>
      </c>
      <c r="O42" s="22">
        <v>-328.3</v>
      </c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341</v>
      </c>
      <c r="B43" s="16"/>
      <c r="C43" s="22">
        <v>-167.8</v>
      </c>
      <c r="D43" s="22">
        <v>-199.06</v>
      </c>
      <c r="E43" s="22">
        <v>-187.18</v>
      </c>
      <c r="F43" s="22">
        <v>-177.39</v>
      </c>
      <c r="G43" s="22">
        <v>-111.56</v>
      </c>
      <c r="H43" s="21">
        <v>-86.54</v>
      </c>
      <c r="I43" s="21">
        <v>-71.17</v>
      </c>
      <c r="J43" s="21">
        <v>-55.2</v>
      </c>
      <c r="K43" s="21">
        <v>-22.58</v>
      </c>
      <c r="L43" s="21">
        <v>-47.81</v>
      </c>
      <c r="M43" s="16"/>
      <c r="N43" s="21">
        <v>-21.66</v>
      </c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342</v>
      </c>
      <c r="B44" s="16"/>
      <c r="C44" s="16">
        <v>0.0</v>
      </c>
      <c r="D44" s="20">
        <v>9.95</v>
      </c>
      <c r="E44" s="20">
        <v>11.4</v>
      </c>
      <c r="F44" s="20">
        <v>8.02</v>
      </c>
      <c r="G44" s="20">
        <v>50.15</v>
      </c>
      <c r="H44" s="20">
        <v>62.35</v>
      </c>
      <c r="I44" s="20">
        <v>16.86</v>
      </c>
      <c r="J44" s="20">
        <v>41.64</v>
      </c>
      <c r="K44" s="20">
        <v>27.49</v>
      </c>
      <c r="L44" s="20">
        <v>34.42</v>
      </c>
      <c r="M44" s="16"/>
      <c r="N44" s="20">
        <v>32.49</v>
      </c>
      <c r="O44" s="20">
        <v>79.93</v>
      </c>
      <c r="P44" s="20">
        <v>82.05</v>
      </c>
      <c r="Q44" s="20">
        <v>25.19</v>
      </c>
      <c r="R44" s="20">
        <v>83.12</v>
      </c>
      <c r="S44" s="20">
        <v>95.8</v>
      </c>
      <c r="T44" s="15">
        <v>144.75</v>
      </c>
      <c r="U44" s="15">
        <v>119.21</v>
      </c>
      <c r="V44" s="20">
        <v>28.5</v>
      </c>
      <c r="W44" s="20">
        <v>16.52</v>
      </c>
    </row>
    <row r="45" ht="15.0" customHeight="1">
      <c r="A45" s="14" t="s">
        <v>343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21">
        <v>-9.45</v>
      </c>
      <c r="P45" s="21">
        <v>-27.64</v>
      </c>
      <c r="Q45" s="22">
        <v>-119.25</v>
      </c>
      <c r="R45" s="21">
        <v>-44.44</v>
      </c>
      <c r="S45" s="21">
        <v>-26.51</v>
      </c>
      <c r="T45" s="21">
        <v>-17.33</v>
      </c>
      <c r="U45" s="21">
        <v>-20.88</v>
      </c>
      <c r="V45" s="21">
        <v>-17.27</v>
      </c>
      <c r="W45" s="21">
        <v>-11.93</v>
      </c>
    </row>
    <row r="46" ht="15.0" customHeight="1">
      <c r="A46" s="14" t="s">
        <v>344</v>
      </c>
      <c r="B46" s="16"/>
      <c r="C46" s="16"/>
      <c r="D46" s="16">
        <v>0.0</v>
      </c>
      <c r="E46" s="21">
        <v>-56.06</v>
      </c>
      <c r="F46" s="16"/>
      <c r="G46" s="16"/>
      <c r="H46" s="16">
        <v>0.0</v>
      </c>
      <c r="I46" s="22">
        <v>-522.55</v>
      </c>
      <c r="J46" s="16">
        <v>0.0</v>
      </c>
      <c r="K46" s="16">
        <v>0.0</v>
      </c>
      <c r="L46" s="22">
        <v>-332.72</v>
      </c>
      <c r="M46" s="22">
        <v>-229.65</v>
      </c>
      <c r="N46" s="16"/>
      <c r="O46" s="16"/>
      <c r="P46" s="16"/>
      <c r="Q46" s="16">
        <v>0.0</v>
      </c>
      <c r="R46" s="21">
        <v>-52.67</v>
      </c>
      <c r="S46" s="22">
        <v>-254.03</v>
      </c>
      <c r="T46" s="21">
        <v>-6.07</v>
      </c>
      <c r="U46" s="22">
        <v>-943.26</v>
      </c>
      <c r="V46" s="22">
        <v>-273.8</v>
      </c>
      <c r="W46" s="21">
        <v>-28.45</v>
      </c>
    </row>
    <row r="47" ht="15.0" customHeight="1">
      <c r="A47" s="14" t="s">
        <v>345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v>0.0</v>
      </c>
      <c r="Q47" s="15">
        <v>412.35</v>
      </c>
      <c r="R47" s="16">
        <v>0.0</v>
      </c>
      <c r="S47" s="20">
        <v>13.69</v>
      </c>
      <c r="T47" s="16"/>
      <c r="U47" s="16"/>
      <c r="V47" s="16"/>
      <c r="W47" s="16"/>
    </row>
    <row r="48" ht="15.0" customHeight="1">
      <c r="A48" s="14" t="s">
        <v>346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>
        <v>0.0</v>
      </c>
      <c r="P48" s="16">
        <v>0.0</v>
      </c>
      <c r="Q48" s="16">
        <v>0.0</v>
      </c>
      <c r="R48" s="21">
        <v>-13.99</v>
      </c>
      <c r="S48" s="21">
        <v>-98.36</v>
      </c>
      <c r="T48" s="16"/>
      <c r="U48" s="16"/>
      <c r="V48" s="16"/>
      <c r="W48" s="16"/>
    </row>
    <row r="49" ht="15.0" customHeight="1">
      <c r="A49" s="14" t="s">
        <v>347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1">
        <v>-49.4</v>
      </c>
      <c r="U49" s="16">
        <v>0.0</v>
      </c>
      <c r="V49" s="21">
        <v>-1.73</v>
      </c>
      <c r="W49" s="16">
        <v>0.0</v>
      </c>
    </row>
    <row r="50" ht="15.0" customHeight="1">
      <c r="A50" s="17" t="s">
        <v>348</v>
      </c>
      <c r="B50" s="23">
        <v>-431.08</v>
      </c>
      <c r="C50" s="18">
        <v>739.36</v>
      </c>
      <c r="D50" s="23">
        <v>-1669.08</v>
      </c>
      <c r="E50" s="23">
        <v>-1634.25</v>
      </c>
      <c r="F50" s="23">
        <v>-869.92</v>
      </c>
      <c r="G50" s="23">
        <v>-258.94</v>
      </c>
      <c r="H50" s="23">
        <v>-394.57</v>
      </c>
      <c r="I50" s="23">
        <v>-908.37</v>
      </c>
      <c r="J50" s="23">
        <v>-377.65</v>
      </c>
      <c r="K50" s="23">
        <v>-240.58</v>
      </c>
      <c r="L50" s="23">
        <v>-466.58</v>
      </c>
      <c r="M50" s="23">
        <v>-471.23</v>
      </c>
      <c r="N50" s="23">
        <v>-240.07</v>
      </c>
      <c r="O50" s="23">
        <v>-268.14</v>
      </c>
      <c r="P50" s="23">
        <v>-337.71</v>
      </c>
      <c r="Q50" s="18">
        <v>162.08</v>
      </c>
      <c r="R50" s="23">
        <v>-220.56</v>
      </c>
      <c r="S50" s="23">
        <v>-845.91</v>
      </c>
      <c r="T50" s="23">
        <v>-630.13</v>
      </c>
      <c r="U50" s="23">
        <v>-1328.74</v>
      </c>
      <c r="V50" s="23">
        <v>-653.85</v>
      </c>
      <c r="W50" s="23">
        <v>-355.12</v>
      </c>
    </row>
    <row r="51" ht="15.0" customHeight="1">
      <c r="A51" s="14" t="s">
        <v>349</v>
      </c>
      <c r="B51" s="16"/>
      <c r="C51" s="16"/>
      <c r="D51" s="15">
        <v>1613.34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350</v>
      </c>
      <c r="B52" s="22">
        <v>-365.41</v>
      </c>
      <c r="C52" s="22">
        <v>-425.1</v>
      </c>
      <c r="D52" s="22">
        <v>-270.72</v>
      </c>
      <c r="E52" s="22">
        <v>-118.77</v>
      </c>
      <c r="F52" s="21">
        <v>-82.18</v>
      </c>
      <c r="G52" s="21">
        <v>-64.48</v>
      </c>
      <c r="H52" s="21">
        <v>-65.14</v>
      </c>
      <c r="I52" s="21">
        <v>-12.17</v>
      </c>
      <c r="J52" s="21">
        <v>-9.68</v>
      </c>
      <c r="K52" s="21">
        <v>-20.62</v>
      </c>
      <c r="L52" s="21">
        <v>-19.12</v>
      </c>
      <c r="M52" s="21">
        <v>-39.5</v>
      </c>
      <c r="N52" s="21">
        <v>-52.35</v>
      </c>
      <c r="O52" s="21">
        <v>-55.86</v>
      </c>
      <c r="P52" s="21">
        <v>-57.0</v>
      </c>
      <c r="Q52" s="21">
        <v>-44.51</v>
      </c>
      <c r="R52" s="21">
        <v>-76.54</v>
      </c>
      <c r="S52" s="22">
        <v>-144.55</v>
      </c>
      <c r="T52" s="16"/>
      <c r="U52" s="16"/>
      <c r="V52" s="16"/>
      <c r="W52" s="16"/>
    </row>
    <row r="53" ht="15.0" customHeight="1">
      <c r="A53" s="14" t="s">
        <v>349</v>
      </c>
      <c r="B53" s="20">
        <v>8.47</v>
      </c>
      <c r="C53" s="22">
        <v>-1423.8</v>
      </c>
      <c r="D53" s="16"/>
      <c r="E53" s="15">
        <v>1626.65</v>
      </c>
      <c r="F53" s="20">
        <v>24.05</v>
      </c>
      <c r="G53" s="22">
        <v>-932.39</v>
      </c>
      <c r="H53" s="20">
        <v>82.82</v>
      </c>
      <c r="I53" s="15">
        <v>766.03</v>
      </c>
      <c r="J53" s="22">
        <v>-844.4</v>
      </c>
      <c r="K53" s="21">
        <v>-69.72</v>
      </c>
      <c r="L53" s="21">
        <v>-28.68</v>
      </c>
      <c r="M53" s="22">
        <v>-174.53</v>
      </c>
      <c r="N53" s="22">
        <v>-287.0</v>
      </c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351</v>
      </c>
      <c r="B54" s="16"/>
      <c r="C54" s="15">
        <v>1233.62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20">
        <v>17.11</v>
      </c>
      <c r="T54" s="20">
        <v>16.47</v>
      </c>
      <c r="U54" s="20">
        <v>12.18</v>
      </c>
      <c r="V54" s="20">
        <v>0.86</v>
      </c>
      <c r="W54" s="16">
        <v>0.0</v>
      </c>
    </row>
    <row r="55" ht="15.0" customHeight="1">
      <c r="A55" s="14" t="s">
        <v>352</v>
      </c>
      <c r="B55" s="16"/>
      <c r="C55" s="16">
        <v>0.0</v>
      </c>
      <c r="D55" s="16">
        <v>0.0</v>
      </c>
      <c r="E55" s="16">
        <v>0.0</v>
      </c>
      <c r="F55" s="21">
        <v>-43.09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22">
        <v>-188.17</v>
      </c>
      <c r="T55" s="22">
        <v>-214.95</v>
      </c>
      <c r="U55" s="16"/>
      <c r="V55" s="16"/>
      <c r="W55" s="16"/>
    </row>
    <row r="56" ht="15.0" customHeight="1">
      <c r="A56" s="14" t="s">
        <v>353</v>
      </c>
      <c r="B56" s="16"/>
      <c r="C56" s="22">
        <v>-439.34</v>
      </c>
      <c r="D56" s="22">
        <v>-478.73</v>
      </c>
      <c r="E56" s="22">
        <v>-482.67</v>
      </c>
      <c r="F56" s="22">
        <v>-494.09</v>
      </c>
      <c r="G56" s="22">
        <v>-459.54</v>
      </c>
      <c r="H56" s="22">
        <v>-442.03</v>
      </c>
      <c r="I56" s="16"/>
      <c r="J56" s="16"/>
      <c r="K56" s="16"/>
      <c r="L56" s="16"/>
      <c r="M56" s="16"/>
      <c r="N56" s="16"/>
      <c r="O56" s="22">
        <v>-136.65</v>
      </c>
      <c r="P56" s="22">
        <v>-137.33</v>
      </c>
      <c r="Q56" s="22">
        <v>-916.23</v>
      </c>
      <c r="R56" s="22">
        <v>-525.07</v>
      </c>
      <c r="S56" s="22">
        <v>-164.22</v>
      </c>
      <c r="T56" s="16">
        <v>0.0</v>
      </c>
      <c r="U56" s="22">
        <v>-103.55</v>
      </c>
      <c r="V56" s="22">
        <v>-541.56</v>
      </c>
      <c r="W56" s="22">
        <v>-310.16</v>
      </c>
    </row>
    <row r="57" ht="15.0" customHeight="1">
      <c r="A57" s="14" t="s">
        <v>354</v>
      </c>
      <c r="B57" s="16"/>
      <c r="C57" s="16"/>
      <c r="D57" s="16"/>
      <c r="E57" s="16"/>
      <c r="F57" s="16"/>
      <c r="G57" s="16">
        <v>0.0</v>
      </c>
      <c r="H57" s="20">
        <v>8.38</v>
      </c>
      <c r="I57" s="16"/>
      <c r="J57" s="16"/>
      <c r="K57" s="16"/>
      <c r="L57" s="20">
        <v>32.51</v>
      </c>
      <c r="M57" s="20">
        <v>19.29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355</v>
      </c>
      <c r="B58" s="16"/>
      <c r="C58" s="16"/>
      <c r="D58" s="16">
        <v>0.0</v>
      </c>
      <c r="E58" s="22">
        <v>-400.01</v>
      </c>
      <c r="F58" s="22">
        <v>-338.75</v>
      </c>
      <c r="G58" s="16">
        <v>0.0</v>
      </c>
      <c r="H58" s="22">
        <v>-628.14</v>
      </c>
      <c r="I58" s="22">
        <v>-1105.03</v>
      </c>
      <c r="J58" s="22">
        <v>-489.01</v>
      </c>
      <c r="K58" s="22">
        <v>-413.4</v>
      </c>
      <c r="L58" s="22">
        <v>-281.09</v>
      </c>
      <c r="M58" s="22">
        <v>-153.4</v>
      </c>
      <c r="N58" s="21">
        <v>-75.81</v>
      </c>
      <c r="O58" s="16">
        <v>0.0</v>
      </c>
      <c r="P58" s="16">
        <v>0.0</v>
      </c>
      <c r="Q58" s="16">
        <v>0.0</v>
      </c>
      <c r="R58" s="16">
        <v>0.0</v>
      </c>
      <c r="S58" s="22">
        <v>-366.93</v>
      </c>
      <c r="T58" s="22">
        <v>-302.49</v>
      </c>
      <c r="U58" s="22">
        <v>-175.77</v>
      </c>
      <c r="V58" s="22">
        <v>-150.29</v>
      </c>
      <c r="W58" s="22">
        <v>-119.29</v>
      </c>
    </row>
    <row r="59" ht="15.0" customHeight="1">
      <c r="A59" s="14" t="s">
        <v>356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21">
        <v>-0.86</v>
      </c>
      <c r="T59" s="21">
        <v>-0.87</v>
      </c>
      <c r="U59" s="16"/>
      <c r="V59" s="16"/>
      <c r="W59" s="16"/>
    </row>
    <row r="60" ht="15.0" customHeight="1">
      <c r="A60" s="14" t="s">
        <v>357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5">
        <v>1044.34</v>
      </c>
      <c r="T60" s="20">
        <v>14.73</v>
      </c>
      <c r="U60" s="15">
        <v>469.89</v>
      </c>
      <c r="V60" s="16">
        <v>0.0</v>
      </c>
      <c r="W60" s="15">
        <v>344.11</v>
      </c>
    </row>
    <row r="61" ht="15.0" customHeight="1">
      <c r="A61" s="14" t="s">
        <v>358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21">
        <v>-71.94</v>
      </c>
      <c r="U61" s="21">
        <v>-16.53</v>
      </c>
      <c r="V61" s="20">
        <v>34.55</v>
      </c>
      <c r="W61" s="21">
        <v>-38.54</v>
      </c>
    </row>
    <row r="62" ht="15.0" customHeight="1">
      <c r="A62" s="17" t="s">
        <v>359</v>
      </c>
      <c r="B62" s="23">
        <v>-356.94</v>
      </c>
      <c r="C62" s="23">
        <v>-1054.63</v>
      </c>
      <c r="D62" s="18">
        <v>863.9</v>
      </c>
      <c r="E62" s="18">
        <v>625.2</v>
      </c>
      <c r="F62" s="23">
        <v>-934.06</v>
      </c>
      <c r="G62" s="23">
        <v>-1456.41</v>
      </c>
      <c r="H62" s="23">
        <v>-1044.11</v>
      </c>
      <c r="I62" s="23">
        <v>-351.18</v>
      </c>
      <c r="J62" s="23">
        <v>-1343.1</v>
      </c>
      <c r="K62" s="23">
        <v>-503.74</v>
      </c>
      <c r="L62" s="23">
        <v>-296.39</v>
      </c>
      <c r="M62" s="23">
        <v>-348.14</v>
      </c>
      <c r="N62" s="23">
        <v>-415.16</v>
      </c>
      <c r="O62" s="23">
        <v>-192.51</v>
      </c>
      <c r="P62" s="23">
        <v>-194.33</v>
      </c>
      <c r="Q62" s="23">
        <v>-960.74</v>
      </c>
      <c r="R62" s="23">
        <v>-601.61</v>
      </c>
      <c r="S62" s="18">
        <v>196.72</v>
      </c>
      <c r="T62" s="23">
        <v>-559.05</v>
      </c>
      <c r="U62" s="18">
        <v>186.22</v>
      </c>
      <c r="V62" s="23">
        <v>-656.44</v>
      </c>
      <c r="W62" s="23">
        <v>-123.88</v>
      </c>
    </row>
    <row r="63" ht="15.0" customHeight="1">
      <c r="A63" s="14" t="s">
        <v>360</v>
      </c>
      <c r="B63" s="15">
        <v>295.24</v>
      </c>
      <c r="C63" s="15">
        <v>423.58</v>
      </c>
      <c r="D63" s="15">
        <v>342.3</v>
      </c>
      <c r="E63" s="15">
        <v>397.21</v>
      </c>
      <c r="F63" s="15">
        <v>618.67</v>
      </c>
      <c r="G63" s="15">
        <v>268.36</v>
      </c>
      <c r="H63" s="15">
        <v>120.02</v>
      </c>
      <c r="I63" s="15">
        <v>461.58</v>
      </c>
      <c r="J63" s="15">
        <v>1266.82</v>
      </c>
      <c r="K63" s="15">
        <v>725.46</v>
      </c>
      <c r="L63" s="15">
        <v>491.88</v>
      </c>
      <c r="M63" s="15">
        <v>266.46</v>
      </c>
      <c r="N63" s="15">
        <v>161.16</v>
      </c>
      <c r="O63" s="15">
        <v>130.12</v>
      </c>
      <c r="P63" s="15">
        <v>308.9</v>
      </c>
      <c r="Q63" s="15">
        <v>333.18</v>
      </c>
      <c r="R63" s="15">
        <v>268.63</v>
      </c>
      <c r="S63" s="15">
        <v>240.09</v>
      </c>
      <c r="T63" s="15">
        <v>192.59</v>
      </c>
      <c r="U63" s="15">
        <v>228.54</v>
      </c>
      <c r="V63" s="15">
        <v>523.08</v>
      </c>
      <c r="W63" s="15">
        <v>140.66</v>
      </c>
    </row>
    <row r="64" ht="15.0" customHeight="1">
      <c r="A64" s="14" t="s">
        <v>361</v>
      </c>
      <c r="B64" s="22">
        <v>-273.26</v>
      </c>
      <c r="C64" s="22">
        <v>-101.7</v>
      </c>
      <c r="D64" s="20">
        <v>80.62</v>
      </c>
      <c r="E64" s="22">
        <v>-135.87</v>
      </c>
      <c r="F64" s="15">
        <v>260.57</v>
      </c>
      <c r="G64" s="15">
        <v>401.2</v>
      </c>
      <c r="H64" s="20">
        <v>80.96</v>
      </c>
      <c r="I64" s="22">
        <v>-322.15</v>
      </c>
      <c r="J64" s="22">
        <v>-764.99</v>
      </c>
      <c r="K64" s="15">
        <v>513.56</v>
      </c>
      <c r="L64" s="15">
        <v>331.77</v>
      </c>
      <c r="M64" s="15">
        <v>129.52</v>
      </c>
      <c r="N64" s="20">
        <v>94.76</v>
      </c>
      <c r="O64" s="20">
        <v>20.63</v>
      </c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362</v>
      </c>
      <c r="B65" s="20">
        <v>28.6</v>
      </c>
      <c r="C65" s="21">
        <v>-42.71</v>
      </c>
      <c r="D65" s="21">
        <v>-8.96</v>
      </c>
      <c r="E65" s="20">
        <v>57.96</v>
      </c>
      <c r="F65" s="20">
        <v>47.1</v>
      </c>
      <c r="G65" s="21">
        <v>-14.33</v>
      </c>
      <c r="H65" s="20">
        <v>39.08</v>
      </c>
      <c r="I65" s="21">
        <v>-0.94</v>
      </c>
      <c r="J65" s="21">
        <v>-2.91</v>
      </c>
      <c r="K65" s="21">
        <v>-21.6</v>
      </c>
      <c r="L65" s="21">
        <v>-49.72</v>
      </c>
      <c r="M65" s="20">
        <v>46.85</v>
      </c>
      <c r="N65" s="20">
        <v>1.81</v>
      </c>
      <c r="O65" s="21">
        <v>-4.3</v>
      </c>
      <c r="P65" s="21">
        <v>-0.86</v>
      </c>
      <c r="Q65" s="21">
        <v>-33.59</v>
      </c>
      <c r="R65" s="21">
        <v>-8.23</v>
      </c>
      <c r="S65" s="20">
        <v>14.54</v>
      </c>
      <c r="T65" s="20">
        <v>2.6</v>
      </c>
      <c r="U65" s="21">
        <v>-6.96</v>
      </c>
      <c r="V65" s="20">
        <v>12.96</v>
      </c>
      <c r="W65" s="21">
        <v>-5.51</v>
      </c>
    </row>
    <row r="66" ht="15.0" customHeight="1">
      <c r="A66" s="14" t="s">
        <v>363</v>
      </c>
      <c r="B66" s="20">
        <v>42.65</v>
      </c>
      <c r="C66" s="15">
        <v>277.59</v>
      </c>
      <c r="D66" s="15">
        <v>414.79</v>
      </c>
      <c r="E66" s="15">
        <v>320.03</v>
      </c>
      <c r="F66" s="15">
        <v>411.15</v>
      </c>
      <c r="G66" s="15">
        <v>663.07</v>
      </c>
      <c r="H66" s="15">
        <v>240.98</v>
      </c>
      <c r="I66" s="15">
        <v>124.91</v>
      </c>
      <c r="J66" s="15">
        <v>473.31</v>
      </c>
      <c r="K66" s="15">
        <v>1200.57</v>
      </c>
      <c r="L66" s="15">
        <v>800.62</v>
      </c>
      <c r="M66" s="15">
        <v>450.5</v>
      </c>
      <c r="N66" s="15">
        <v>262.0</v>
      </c>
      <c r="O66" s="15">
        <v>146.38</v>
      </c>
      <c r="P66" s="15">
        <v>131.89</v>
      </c>
      <c r="Q66" s="15">
        <v>308.89</v>
      </c>
      <c r="R66" s="15">
        <v>310.7</v>
      </c>
      <c r="S66" s="15">
        <v>295.22</v>
      </c>
      <c r="T66" s="15">
        <v>227.07</v>
      </c>
      <c r="U66" s="15">
        <v>208.51</v>
      </c>
      <c r="V66" s="15">
        <v>213.14</v>
      </c>
      <c r="W66" s="15">
        <v>562.64</v>
      </c>
    </row>
    <row r="67" ht="15.0" customHeight="1">
      <c r="A67" s="17" t="s">
        <v>364</v>
      </c>
      <c r="B67" s="23">
        <v>-244.67</v>
      </c>
      <c r="C67" s="23">
        <v>-144.41</v>
      </c>
      <c r="D67" s="24">
        <v>71.66</v>
      </c>
      <c r="E67" s="25">
        <v>-77.91</v>
      </c>
      <c r="F67" s="23">
        <v>-213.47</v>
      </c>
      <c r="G67" s="18">
        <v>386.88</v>
      </c>
      <c r="H67" s="18">
        <v>120.05</v>
      </c>
      <c r="I67" s="23">
        <v>-323.08</v>
      </c>
      <c r="J67" s="23">
        <v>-767.9</v>
      </c>
      <c r="K67" s="18">
        <v>491.96</v>
      </c>
      <c r="L67" s="18">
        <v>282.05</v>
      </c>
      <c r="M67" s="18">
        <v>176.37</v>
      </c>
      <c r="N67" s="24">
        <v>96.57</v>
      </c>
      <c r="O67" s="24">
        <v>16.33</v>
      </c>
      <c r="P67" s="23">
        <v>-176.19</v>
      </c>
      <c r="Q67" s="25">
        <v>-23.51</v>
      </c>
      <c r="R67" s="24">
        <v>42.8</v>
      </c>
      <c r="S67" s="24">
        <v>53.03</v>
      </c>
      <c r="T67" s="24">
        <v>35.54</v>
      </c>
      <c r="U67" s="25">
        <v>-18.27</v>
      </c>
      <c r="V67" s="23">
        <v>-315.26</v>
      </c>
      <c r="W67" s="18">
        <v>423.94</v>
      </c>
    </row>
    <row r="68" ht="15.0" customHeight="1">
      <c r="A68" s="14" t="s">
        <v>365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5">
        <v>697.88</v>
      </c>
      <c r="R68" s="16"/>
      <c r="S68" s="16"/>
      <c r="T68" s="15">
        <v>1493.41</v>
      </c>
      <c r="U68" s="15">
        <v>1099.89</v>
      </c>
      <c r="V68" s="16"/>
      <c r="W68" s="15">
        <v>930.47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46094.5303452083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367</v>
      </c>
      <c r="X11" s="7" t="s">
        <v>368</v>
      </c>
      <c r="Y11" s="7" t="s">
        <v>369</v>
      </c>
      <c r="Z11" s="7" t="s">
        <v>370</v>
      </c>
      <c r="AA11" s="7" t="s">
        <v>371</v>
      </c>
      <c r="AB11" s="7" t="s">
        <v>372</v>
      </c>
      <c r="AC11" s="7" t="s">
        <v>373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42094.0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39903.0</v>
      </c>
      <c r="S13" s="9">
        <v>39538.0</v>
      </c>
      <c r="T13" s="9">
        <v>39082.0</v>
      </c>
      <c r="U13" s="9">
        <v>38807.0</v>
      </c>
      <c r="V13" s="9">
        <v>38717.0</v>
      </c>
      <c r="W13" s="9">
        <v>37986.0</v>
      </c>
      <c r="X13" s="9">
        <v>37986.0</v>
      </c>
      <c r="Y13" s="9">
        <v>37621.0</v>
      </c>
      <c r="Z13" s="9">
        <v>36891.0</v>
      </c>
      <c r="AA13" s="9">
        <v>36525.0</v>
      </c>
      <c r="AB13" s="9">
        <v>36525.0</v>
      </c>
      <c r="AC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374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375</v>
      </c>
      <c r="X19" s="13" t="s">
        <v>376</v>
      </c>
      <c r="Y19" s="13" t="s">
        <v>377</v>
      </c>
      <c r="Z19" s="13" t="s">
        <v>378</v>
      </c>
      <c r="AA19" s="13" t="s">
        <v>379</v>
      </c>
      <c r="AB19" s="13" t="s">
        <v>380</v>
      </c>
      <c r="AC19" s="13" t="s">
        <v>381</v>
      </c>
    </row>
    <row r="20" ht="15.0" customHeight="1">
      <c r="A20" s="28" t="s">
        <v>382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382</v>
      </c>
      <c r="B21" s="31">
        <v>7502.27</v>
      </c>
      <c r="C21" s="31">
        <v>6955.96</v>
      </c>
      <c r="D21" s="31">
        <v>6800.87</v>
      </c>
      <c r="E21" s="31">
        <v>8175.85</v>
      </c>
      <c r="F21" s="32">
        <v>10239.35</v>
      </c>
      <c r="G21" s="32">
        <v>11063.65</v>
      </c>
      <c r="H21" s="31">
        <v>6586.89</v>
      </c>
      <c r="I21" s="31">
        <v>8182.74</v>
      </c>
      <c r="J21" s="31">
        <v>9838.82</v>
      </c>
      <c r="K21" s="32">
        <v>13943.81</v>
      </c>
      <c r="L21" s="31">
        <v>8703.63</v>
      </c>
      <c r="M21" s="31">
        <v>6937.52</v>
      </c>
      <c r="N21" s="31">
        <v>3609.54</v>
      </c>
      <c r="O21" s="31">
        <v>3556.79</v>
      </c>
      <c r="P21" s="31">
        <v>7361.55</v>
      </c>
      <c r="Q21" s="31">
        <v>5958.89</v>
      </c>
      <c r="R21" s="31">
        <v>4399.45</v>
      </c>
      <c r="S21" s="31">
        <v>7374.05</v>
      </c>
      <c r="T21" s="32">
        <v>11332.25</v>
      </c>
      <c r="U21" s="31">
        <v>6490.71</v>
      </c>
      <c r="V21" s="31">
        <v>5069.79</v>
      </c>
      <c r="W21" s="31">
        <v>4465.8</v>
      </c>
      <c r="X21" s="31">
        <v>1160.08</v>
      </c>
      <c r="Y21" s="32"/>
      <c r="Z21" s="32"/>
      <c r="AA21" s="32"/>
      <c r="AB21" s="32"/>
      <c r="AC21" s="32"/>
    </row>
    <row r="22" ht="15.0" customHeight="1">
      <c r="A22" s="30" t="s">
        <v>383</v>
      </c>
      <c r="B22" s="31">
        <v>8148.55</v>
      </c>
      <c r="C22" s="31">
        <v>8885.96</v>
      </c>
      <c r="D22" s="31">
        <v>8277.84</v>
      </c>
      <c r="E22" s="31">
        <v>8753.72</v>
      </c>
      <c r="F22" s="31">
        <v>9796.15</v>
      </c>
      <c r="G22" s="31">
        <v>9456.31</v>
      </c>
      <c r="H22" s="31">
        <v>9310.91</v>
      </c>
      <c r="I22" s="31">
        <v>9669.74</v>
      </c>
      <c r="J22" s="31">
        <v>8412.84</v>
      </c>
      <c r="K22" s="31">
        <v>7970.77</v>
      </c>
      <c r="L22" s="31">
        <v>6372.43</v>
      </c>
      <c r="M22" s="31">
        <v>5942.35</v>
      </c>
      <c r="N22" s="31">
        <v>4984.21</v>
      </c>
      <c r="O22" s="31">
        <v>5842.09</v>
      </c>
      <c r="P22" s="31">
        <v>7290.17</v>
      </c>
      <c r="Q22" s="31">
        <v>6662.23</v>
      </c>
      <c r="R22" s="31">
        <v>6999.25</v>
      </c>
      <c r="S22" s="31">
        <v>6597.71</v>
      </c>
      <c r="T22" s="31">
        <v>5811.11</v>
      </c>
      <c r="U22" s="32"/>
      <c r="V22" s="32"/>
      <c r="W22" s="32"/>
      <c r="X22" s="32"/>
      <c r="Y22" s="32"/>
      <c r="Z22" s="32"/>
      <c r="AA22" s="32"/>
      <c r="AB22" s="32"/>
      <c r="AC22" s="32"/>
    </row>
    <row r="23" ht="15.0" customHeight="1">
      <c r="A23" s="28" t="s">
        <v>384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384</v>
      </c>
      <c r="B24" s="31">
        <v>2669.19</v>
      </c>
      <c r="C24" s="31">
        <v>1885.9</v>
      </c>
      <c r="D24" s="31">
        <v>3414.2</v>
      </c>
      <c r="E24" s="31">
        <v>6428.97</v>
      </c>
      <c r="F24" s="31">
        <v>8325.33</v>
      </c>
      <c r="G24" s="31">
        <v>7924.35</v>
      </c>
      <c r="H24" s="31">
        <v>5817.91</v>
      </c>
      <c r="I24" s="31">
        <v>8655.05</v>
      </c>
      <c r="J24" s="32">
        <v>10028.49</v>
      </c>
      <c r="K24" s="32">
        <v>13896.71</v>
      </c>
      <c r="L24" s="31">
        <v>8374.86</v>
      </c>
      <c r="M24" s="31">
        <v>6434.25</v>
      </c>
      <c r="N24" s="31">
        <v>2841.68</v>
      </c>
      <c r="O24" s="31">
        <v>2663.06</v>
      </c>
      <c r="P24" s="31">
        <v>6548.55</v>
      </c>
      <c r="Q24" s="31">
        <v>4246.81</v>
      </c>
      <c r="R24" s="31">
        <v>1871.38</v>
      </c>
      <c r="S24" s="31">
        <v>6028.45</v>
      </c>
      <c r="T24" s="31">
        <v>9919.12</v>
      </c>
      <c r="U24" s="31">
        <v>5635.61</v>
      </c>
      <c r="V24" s="31">
        <v>4140.88</v>
      </c>
      <c r="W24" s="31">
        <v>2865.66</v>
      </c>
      <c r="X24" s="31">
        <v>370.78</v>
      </c>
      <c r="Y24" s="32"/>
      <c r="Z24" s="32"/>
      <c r="AA24" s="32"/>
      <c r="AB24" s="32"/>
      <c r="AC24" s="32"/>
    </row>
    <row r="25" ht="15.0" customHeight="1">
      <c r="A25" s="30" t="s">
        <v>385</v>
      </c>
      <c r="B25" s="31">
        <v>4661.04</v>
      </c>
      <c r="C25" s="31">
        <v>5743.24</v>
      </c>
      <c r="D25" s="31">
        <v>6139.28</v>
      </c>
      <c r="E25" s="31">
        <v>7333.22</v>
      </c>
      <c r="F25" s="31">
        <v>8689.92</v>
      </c>
      <c r="G25" s="31">
        <v>8798.26</v>
      </c>
      <c r="H25" s="31">
        <v>9212.54</v>
      </c>
      <c r="I25" s="31">
        <v>9619.7</v>
      </c>
      <c r="J25" s="31">
        <v>8105.77</v>
      </c>
      <c r="K25" s="31">
        <v>7374.43</v>
      </c>
      <c r="L25" s="31">
        <v>5655.28</v>
      </c>
      <c r="M25" s="31">
        <v>4903.01</v>
      </c>
      <c r="N25" s="31">
        <v>3644.86</v>
      </c>
      <c r="O25" s="31">
        <v>4362.48</v>
      </c>
      <c r="P25" s="31">
        <v>5720.06</v>
      </c>
      <c r="Q25" s="31">
        <v>5186.73</v>
      </c>
      <c r="R25" s="31">
        <v>5573.11</v>
      </c>
      <c r="S25" s="31">
        <v>5436.79</v>
      </c>
      <c r="T25" s="31">
        <v>4665.49</v>
      </c>
      <c r="U25" s="32"/>
      <c r="V25" s="32"/>
      <c r="W25" s="32"/>
      <c r="X25" s="32"/>
      <c r="Y25" s="32"/>
      <c r="Z25" s="32"/>
      <c r="AA25" s="32"/>
      <c r="AB25" s="32"/>
      <c r="AC25" s="32"/>
    </row>
    <row r="26" ht="15.0" customHeight="1">
      <c r="A26" s="28" t="s">
        <v>386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387</v>
      </c>
      <c r="B27" s="33">
        <v>2.81</v>
      </c>
      <c r="C27" s="33">
        <v>3.52</v>
      </c>
      <c r="D27" s="33">
        <v>6.38</v>
      </c>
      <c r="E27" s="33">
        <v>23.75</v>
      </c>
      <c r="F27" s="33">
        <v>30.76</v>
      </c>
      <c r="G27" s="33">
        <v>29.28</v>
      </c>
      <c r="H27" s="33">
        <v>21.5</v>
      </c>
      <c r="I27" s="33">
        <v>31.07</v>
      </c>
      <c r="J27" s="33">
        <v>36.0</v>
      </c>
      <c r="K27" s="33">
        <v>49.63</v>
      </c>
      <c r="L27" s="33">
        <v>29.91</v>
      </c>
      <c r="M27" s="33">
        <v>22.98</v>
      </c>
      <c r="N27" s="33">
        <v>10.15</v>
      </c>
      <c r="O27" s="33">
        <v>9.51</v>
      </c>
      <c r="P27" s="33">
        <v>23.39</v>
      </c>
      <c r="Q27" s="33">
        <v>15.17</v>
      </c>
      <c r="R27" s="33">
        <v>6.68</v>
      </c>
      <c r="S27" s="33">
        <v>21.63</v>
      </c>
      <c r="T27" s="33">
        <v>35.78</v>
      </c>
      <c r="U27" s="33">
        <v>20.39</v>
      </c>
      <c r="V27" s="33">
        <v>14.98</v>
      </c>
      <c r="W27" s="33">
        <v>10.37</v>
      </c>
      <c r="X27" s="33">
        <v>7.68</v>
      </c>
      <c r="Y27" s="32"/>
      <c r="Z27" s="32"/>
      <c r="AA27" s="32"/>
      <c r="AB27" s="32"/>
      <c r="AC27" s="32"/>
    </row>
    <row r="28" ht="15.0" customHeight="1">
      <c r="A28" s="30" t="s">
        <v>388</v>
      </c>
      <c r="B28" s="33">
        <v>10.55</v>
      </c>
      <c r="C28" s="33">
        <v>14.25</v>
      </c>
      <c r="D28" s="33">
        <v>15.61</v>
      </c>
      <c r="E28" s="33">
        <v>26.92</v>
      </c>
      <c r="F28" s="33">
        <v>31.69</v>
      </c>
      <c r="G28" s="33">
        <v>31.82</v>
      </c>
      <c r="H28" s="33">
        <v>33.11</v>
      </c>
      <c r="I28" s="33">
        <v>34.42</v>
      </c>
      <c r="J28" s="33">
        <v>28.98</v>
      </c>
      <c r="K28" s="33">
        <v>26.34</v>
      </c>
      <c r="L28" s="33">
        <v>20.2</v>
      </c>
      <c r="M28" s="33">
        <v>17.51</v>
      </c>
      <c r="N28" s="33">
        <v>13.02</v>
      </c>
      <c r="O28" s="33">
        <v>15.6</v>
      </c>
      <c r="P28" s="33">
        <v>20.52</v>
      </c>
      <c r="Q28" s="33">
        <v>18.66</v>
      </c>
      <c r="R28" s="33">
        <v>20.09</v>
      </c>
      <c r="S28" s="33">
        <v>19.61</v>
      </c>
      <c r="T28" s="33">
        <v>18.3</v>
      </c>
      <c r="U28" s="32"/>
      <c r="V28" s="32"/>
      <c r="W28" s="32"/>
      <c r="X28" s="32"/>
      <c r="Y28" s="32"/>
      <c r="Z28" s="32"/>
      <c r="AA28" s="32"/>
      <c r="AB28" s="32"/>
      <c r="AC28" s="32"/>
    </row>
    <row r="29" ht="15.0" customHeight="1">
      <c r="A29" s="28" t="s">
        <v>389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390</v>
      </c>
      <c r="B30" s="34">
        <v>-50.93</v>
      </c>
      <c r="C30" s="34">
        <v>-58.08</v>
      </c>
      <c r="D30" s="34">
        <v>-24.72</v>
      </c>
      <c r="E30" s="35">
        <v>4.39</v>
      </c>
      <c r="F30" s="35">
        <v>10.84</v>
      </c>
      <c r="G30" s="35">
        <v>6.62</v>
      </c>
      <c r="H30" s="35">
        <v>4.93</v>
      </c>
      <c r="I30" s="35">
        <v>4.01</v>
      </c>
      <c r="J30" s="35">
        <v>4.83</v>
      </c>
      <c r="K30" s="35">
        <v>2.87</v>
      </c>
      <c r="L30" s="35">
        <v>4.14</v>
      </c>
      <c r="M30" s="35">
        <v>4.1</v>
      </c>
      <c r="N30" s="35">
        <v>1.81</v>
      </c>
      <c r="O30" s="34">
        <v>-2.01</v>
      </c>
      <c r="P30" s="35">
        <v>4.1</v>
      </c>
      <c r="Q30" s="35">
        <v>6.73</v>
      </c>
      <c r="R30" s="34">
        <v>-1.25</v>
      </c>
      <c r="S30" s="35">
        <v>5.2</v>
      </c>
      <c r="T30" s="35">
        <v>3.54</v>
      </c>
      <c r="U30" s="35">
        <v>5.05</v>
      </c>
      <c r="V30" s="35">
        <v>6.92</v>
      </c>
      <c r="W30" s="35">
        <v>2.38</v>
      </c>
      <c r="X30" s="35">
        <v>4.97</v>
      </c>
      <c r="Y30" s="35"/>
      <c r="Z30" s="35"/>
      <c r="AA30" s="35"/>
      <c r="AB30" s="35"/>
      <c r="AC30" s="35"/>
    </row>
    <row r="31" ht="15.0" customHeight="1">
      <c r="A31" s="30" t="s">
        <v>391</v>
      </c>
      <c r="B31" s="34">
        <v>-1.63</v>
      </c>
      <c r="C31" s="35">
        <v>3.71</v>
      </c>
      <c r="D31" s="35">
        <v>6.92</v>
      </c>
      <c r="E31" s="35">
        <v>6.27</v>
      </c>
      <c r="F31" s="35">
        <v>6.21</v>
      </c>
      <c r="G31" s="35">
        <v>4.47</v>
      </c>
      <c r="H31" s="35">
        <v>4.02</v>
      </c>
      <c r="I31" s="35">
        <v>3.91</v>
      </c>
      <c r="J31" s="35">
        <v>3.73</v>
      </c>
      <c r="K31" s="35">
        <v>2.9</v>
      </c>
      <c r="L31" s="35">
        <v>3.22</v>
      </c>
      <c r="M31" s="35">
        <v>3.62</v>
      </c>
      <c r="N31" s="35">
        <v>2.98</v>
      </c>
      <c r="O31" s="35">
        <v>3.77</v>
      </c>
      <c r="P31" s="35">
        <v>4.23</v>
      </c>
      <c r="Q31" s="35">
        <v>4.43</v>
      </c>
      <c r="R31" s="35">
        <v>4.41</v>
      </c>
      <c r="S31" s="35">
        <v>4.58</v>
      </c>
      <c r="T31" s="35">
        <v>4.46</v>
      </c>
      <c r="U31" s="35"/>
      <c r="V31" s="35"/>
      <c r="W31" s="35"/>
      <c r="X31" s="35"/>
      <c r="Y31" s="35"/>
      <c r="Z31" s="35"/>
      <c r="AA31" s="35"/>
      <c r="AB31" s="35"/>
      <c r="AC31" s="35"/>
    </row>
    <row r="32" ht="15.0" customHeight="1">
      <c r="A32" s="28" t="s">
        <v>392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393</v>
      </c>
      <c r="B33" s="35">
        <v>0.0</v>
      </c>
      <c r="C33" s="35">
        <v>0.0</v>
      </c>
      <c r="D33" s="35">
        <v>8.22</v>
      </c>
      <c r="E33" s="35">
        <v>1.83</v>
      </c>
      <c r="F33" s="35">
        <v>0.0</v>
      </c>
      <c r="G33" s="35">
        <v>2.85</v>
      </c>
      <c r="H33" s="35">
        <v>7.08</v>
      </c>
      <c r="I33" s="35">
        <v>2.15</v>
      </c>
      <c r="J33" s="35">
        <v>1.47</v>
      </c>
      <c r="K33" s="35">
        <v>0.82</v>
      </c>
      <c r="L33" s="35">
        <v>0.71</v>
      </c>
      <c r="M33" s="35">
        <v>0.46</v>
      </c>
      <c r="N33" s="35">
        <v>0.0</v>
      </c>
      <c r="O33" s="35">
        <v>0.0</v>
      </c>
      <c r="P33" s="35">
        <v>0.0</v>
      </c>
      <c r="Q33" s="35">
        <v>0.0</v>
      </c>
      <c r="R33" s="35">
        <v>7.41</v>
      </c>
      <c r="S33" s="35">
        <v>1.73</v>
      </c>
      <c r="T33" s="35">
        <v>0.66</v>
      </c>
      <c r="U33" s="35">
        <v>1.32</v>
      </c>
      <c r="V33" s="35">
        <v>1.45</v>
      </c>
      <c r="W33" s="35">
        <v>2.13</v>
      </c>
      <c r="X33" s="35">
        <v>0.0</v>
      </c>
      <c r="Y33" s="35"/>
      <c r="Z33" s="35"/>
      <c r="AA33" s="35"/>
      <c r="AB33" s="35"/>
      <c r="AC33" s="35"/>
    </row>
    <row r="34" ht="15.0" customHeight="1">
      <c r="A34" s="30" t="s">
        <v>394</v>
      </c>
      <c r="B34" s="35">
        <v>1.95</v>
      </c>
      <c r="C34" s="35">
        <v>2.67</v>
      </c>
      <c r="D34" s="35">
        <v>4.16</v>
      </c>
      <c r="E34" s="35">
        <v>2.58</v>
      </c>
      <c r="F34" s="35">
        <v>2.42</v>
      </c>
      <c r="G34" s="35">
        <v>2.39</v>
      </c>
      <c r="H34" s="35">
        <v>2.0</v>
      </c>
      <c r="I34" s="35">
        <v>1.13</v>
      </c>
      <c r="J34" s="35">
        <v>0.84</v>
      </c>
      <c r="K34" s="35">
        <v>0.58</v>
      </c>
      <c r="L34" s="35">
        <v>0.32</v>
      </c>
      <c r="M34" s="35">
        <v>0.12</v>
      </c>
      <c r="N34" s="35">
        <v>0.73</v>
      </c>
      <c r="O34" s="35">
        <v>1.11</v>
      </c>
      <c r="P34" s="35">
        <v>1.07</v>
      </c>
      <c r="Q34" s="35">
        <v>1.37</v>
      </c>
      <c r="R34" s="35">
        <v>1.61</v>
      </c>
      <c r="S34" s="35">
        <v>1.29</v>
      </c>
      <c r="T34" s="35">
        <v>1.05</v>
      </c>
      <c r="U34" s="35"/>
      <c r="V34" s="35"/>
      <c r="W34" s="35"/>
      <c r="X34" s="35"/>
      <c r="Y34" s="35"/>
      <c r="Z34" s="35"/>
      <c r="AA34" s="35"/>
      <c r="AB34" s="35"/>
      <c r="AC34" s="35"/>
    </row>
    <row r="35" ht="15.0" customHeight="1">
      <c r="A35" s="30" t="s">
        <v>395</v>
      </c>
      <c r="B35" s="35">
        <v>0.0</v>
      </c>
      <c r="C35" s="35">
        <v>0.0</v>
      </c>
      <c r="D35" s="35">
        <v>11.74</v>
      </c>
      <c r="E35" s="35">
        <v>2.61</v>
      </c>
      <c r="F35" s="35">
        <v>0.0</v>
      </c>
      <c r="G35" s="35">
        <v>4.07</v>
      </c>
      <c r="H35" s="35">
        <v>10.11</v>
      </c>
      <c r="I35" s="35">
        <v>3.07</v>
      </c>
      <c r="J35" s="35">
        <v>2.09</v>
      </c>
      <c r="K35" s="35">
        <v>1.17</v>
      </c>
      <c r="L35" s="35">
        <v>1.02</v>
      </c>
      <c r="M35" s="35">
        <v>0.65</v>
      </c>
      <c r="N35" s="35">
        <v>0.0</v>
      </c>
      <c r="O35" s="35">
        <v>0.0</v>
      </c>
      <c r="P35" s="35">
        <v>0.0</v>
      </c>
      <c r="Q35" s="35">
        <v>0.0</v>
      </c>
      <c r="R35" s="35">
        <v>10.58</v>
      </c>
      <c r="S35" s="35">
        <v>2.47</v>
      </c>
      <c r="T35" s="35">
        <v>0.94</v>
      </c>
      <c r="U35" s="35">
        <v>1.32</v>
      </c>
      <c r="V35" s="35">
        <v>1.45</v>
      </c>
      <c r="W35" s="35">
        <v>2.13</v>
      </c>
      <c r="X35" s="35">
        <v>0.0</v>
      </c>
      <c r="Y35" s="35"/>
      <c r="Z35" s="35"/>
      <c r="AA35" s="35"/>
      <c r="AB35" s="35"/>
      <c r="AC35" s="35"/>
    </row>
    <row r="36" ht="15.0" customHeight="1">
      <c r="A36" s="30" t="s">
        <v>396</v>
      </c>
      <c r="B36" s="35">
        <v>2.79</v>
      </c>
      <c r="C36" s="35">
        <v>3.82</v>
      </c>
      <c r="D36" s="35">
        <v>5.95</v>
      </c>
      <c r="E36" s="35">
        <v>3.68</v>
      </c>
      <c r="F36" s="35">
        <v>3.46</v>
      </c>
      <c r="G36" s="35">
        <v>3.42</v>
      </c>
      <c r="H36" s="35">
        <v>2.86</v>
      </c>
      <c r="I36" s="35">
        <v>1.62</v>
      </c>
      <c r="J36" s="35">
        <v>1.2</v>
      </c>
      <c r="K36" s="35">
        <v>0.82</v>
      </c>
      <c r="L36" s="35">
        <v>0.45</v>
      </c>
      <c r="M36" s="35">
        <v>0.17</v>
      </c>
      <c r="N36" s="35">
        <v>1.05</v>
      </c>
      <c r="O36" s="35">
        <v>1.59</v>
      </c>
      <c r="P36" s="35">
        <v>1.52</v>
      </c>
      <c r="Q36" s="35">
        <v>1.84</v>
      </c>
      <c r="R36" s="35">
        <v>2.09</v>
      </c>
      <c r="S36" s="35">
        <v>1.55</v>
      </c>
      <c r="T36" s="35">
        <v>1.16</v>
      </c>
      <c r="U36" s="35"/>
      <c r="V36" s="35"/>
      <c r="W36" s="35"/>
      <c r="X36" s="35"/>
      <c r="Y36" s="35"/>
      <c r="Z36" s="35"/>
      <c r="AA36" s="35"/>
      <c r="AB36" s="35"/>
      <c r="AC36" s="35"/>
    </row>
    <row r="37" ht="15.0" customHeight="1">
      <c r="A37" s="28" t="s">
        <v>397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398</v>
      </c>
      <c r="B38" s="33">
        <v>0.6</v>
      </c>
      <c r="C38" s="33">
        <v>0.43</v>
      </c>
      <c r="D38" s="33">
        <v>0.76</v>
      </c>
      <c r="E38" s="33">
        <v>2.62</v>
      </c>
      <c r="F38" s="33">
        <v>3.88</v>
      </c>
      <c r="G38" s="33">
        <v>3.88</v>
      </c>
      <c r="H38" s="33">
        <v>3.0</v>
      </c>
      <c r="I38" s="33">
        <v>3.96</v>
      </c>
      <c r="J38" s="33">
        <v>5.89</v>
      </c>
      <c r="K38" s="33">
        <v>6.57</v>
      </c>
      <c r="L38" s="33">
        <v>5.15</v>
      </c>
      <c r="M38" s="33">
        <v>4.06</v>
      </c>
      <c r="N38" s="33">
        <v>2.34</v>
      </c>
      <c r="O38" s="33">
        <v>1.64</v>
      </c>
      <c r="P38" s="33">
        <v>4.12</v>
      </c>
      <c r="Q38" s="33">
        <v>2.51</v>
      </c>
      <c r="R38" s="33">
        <v>0.95</v>
      </c>
      <c r="S38" s="33">
        <v>3.34</v>
      </c>
      <c r="T38" s="33">
        <v>5.75</v>
      </c>
      <c r="U38" s="33">
        <v>4.11</v>
      </c>
      <c r="V38" s="33">
        <v>3.5</v>
      </c>
      <c r="W38" s="33">
        <v>2.28</v>
      </c>
      <c r="X38" s="33">
        <v>2.02</v>
      </c>
      <c r="Y38" s="32"/>
      <c r="Z38" s="32"/>
      <c r="AA38" s="32"/>
      <c r="AB38" s="32"/>
      <c r="AC38" s="32"/>
    </row>
    <row r="39" ht="15.0" customHeight="1">
      <c r="A39" s="30" t="s">
        <v>399</v>
      </c>
      <c r="B39" s="33">
        <v>1.33</v>
      </c>
      <c r="C39" s="33">
        <v>1.68</v>
      </c>
      <c r="D39" s="33">
        <v>2.01</v>
      </c>
      <c r="E39" s="33">
        <v>3.44</v>
      </c>
      <c r="F39" s="33">
        <v>4.07</v>
      </c>
      <c r="G39" s="33">
        <v>4.6</v>
      </c>
      <c r="H39" s="33">
        <v>4.86</v>
      </c>
      <c r="I39" s="33">
        <v>5.13</v>
      </c>
      <c r="J39" s="33">
        <v>4.96</v>
      </c>
      <c r="K39" s="33">
        <v>4.05</v>
      </c>
      <c r="L39" s="33">
        <v>3.47</v>
      </c>
      <c r="M39" s="33">
        <v>2.92</v>
      </c>
      <c r="N39" s="33">
        <v>2.26</v>
      </c>
      <c r="O39" s="33">
        <v>2.48</v>
      </c>
      <c r="P39" s="33">
        <v>3.24</v>
      </c>
      <c r="Q39" s="33">
        <v>3.23</v>
      </c>
      <c r="R39" s="33">
        <v>3.43</v>
      </c>
      <c r="S39" s="33">
        <v>3.89</v>
      </c>
      <c r="T39" s="33">
        <v>3.72</v>
      </c>
      <c r="U39" s="32"/>
      <c r="V39" s="32"/>
      <c r="W39" s="32"/>
      <c r="X39" s="32"/>
      <c r="Y39" s="32"/>
      <c r="Z39" s="32"/>
      <c r="AA39" s="32"/>
      <c r="AB39" s="32"/>
      <c r="AC39" s="32"/>
    </row>
    <row r="40" ht="15.0" customHeight="1">
      <c r="A40" s="28" t="s">
        <v>400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401</v>
      </c>
      <c r="B41" s="33">
        <v>1.79</v>
      </c>
      <c r="C41" s="33">
        <v>3.55</v>
      </c>
      <c r="D41" s="33">
        <v>3.37</v>
      </c>
      <c r="E41" s="33">
        <v>8.29</v>
      </c>
      <c r="F41" s="33">
        <v>15.91</v>
      </c>
      <c r="G41" s="33">
        <v>16.53</v>
      </c>
      <c r="H41" s="33">
        <v>14.14</v>
      </c>
      <c r="I41" s="33">
        <v>10.01</v>
      </c>
      <c r="J41" s="33">
        <v>21.62</v>
      </c>
      <c r="K41" s="33">
        <v>22.38</v>
      </c>
      <c r="L41" s="33">
        <v>21.77</v>
      </c>
      <c r="M41" s="33">
        <v>15.53</v>
      </c>
      <c r="N41" s="33">
        <v>17.4</v>
      </c>
      <c r="O41" s="33">
        <v>9.74</v>
      </c>
      <c r="P41" s="33">
        <v>27.93</v>
      </c>
      <c r="Q41" s="33">
        <v>13.68</v>
      </c>
      <c r="R41" s="33">
        <v>4.09</v>
      </c>
      <c r="S41" s="33">
        <v>10.95</v>
      </c>
      <c r="T41" s="33">
        <v>24.64</v>
      </c>
      <c r="U41" s="32"/>
      <c r="V41" s="33">
        <v>10.17</v>
      </c>
      <c r="W41" s="33">
        <v>5.8</v>
      </c>
      <c r="X41" s="33">
        <v>3.53</v>
      </c>
      <c r="Y41" s="32"/>
      <c r="Z41" s="32"/>
      <c r="AA41" s="32"/>
      <c r="AB41" s="32"/>
      <c r="AC41" s="32"/>
    </row>
    <row r="42" ht="15.0" customHeight="1">
      <c r="A42" s="30" t="s">
        <v>402</v>
      </c>
      <c r="B42" s="33">
        <v>5.5</v>
      </c>
      <c r="C42" s="33">
        <v>7.31</v>
      </c>
      <c r="D42" s="33">
        <v>8.09</v>
      </c>
      <c r="E42" s="33">
        <v>12.18</v>
      </c>
      <c r="F42" s="33">
        <v>14.94</v>
      </c>
      <c r="G42" s="33">
        <v>16.28</v>
      </c>
      <c r="H42" s="33">
        <v>17.02</v>
      </c>
      <c r="I42" s="33">
        <v>17.24</v>
      </c>
      <c r="J42" s="33">
        <v>20.22</v>
      </c>
      <c r="K42" s="33">
        <v>18.16</v>
      </c>
      <c r="L42" s="33">
        <v>18.24</v>
      </c>
      <c r="M42" s="33">
        <v>16.27</v>
      </c>
      <c r="N42" s="33">
        <v>12.72</v>
      </c>
      <c r="O42" s="33">
        <v>11.76</v>
      </c>
      <c r="P42" s="33">
        <v>14.57</v>
      </c>
      <c r="Q42" s="33">
        <v>20.33</v>
      </c>
      <c r="R42" s="33">
        <v>19.11</v>
      </c>
      <c r="S42" s="33">
        <v>19.43</v>
      </c>
      <c r="T42" s="33">
        <v>15.76</v>
      </c>
      <c r="U42" s="32"/>
      <c r="V42" s="32"/>
      <c r="W42" s="32"/>
      <c r="X42" s="32"/>
      <c r="Y42" s="32"/>
      <c r="Z42" s="32"/>
      <c r="AA42" s="32"/>
      <c r="AB42" s="32"/>
      <c r="AC42" s="32"/>
    </row>
    <row r="43" ht="15.0" customHeight="1">
      <c r="A43" s="28" t="s">
        <v>403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404</v>
      </c>
      <c r="B44" s="33">
        <v>0.2</v>
      </c>
      <c r="C44" s="33">
        <v>0.16</v>
      </c>
      <c r="D44" s="33">
        <v>0.24</v>
      </c>
      <c r="E44" s="33">
        <v>0.94</v>
      </c>
      <c r="F44" s="33">
        <v>1.23</v>
      </c>
      <c r="G44" s="33">
        <v>1.19</v>
      </c>
      <c r="H44" s="33">
        <v>0.88</v>
      </c>
      <c r="I44" s="33">
        <v>1.29</v>
      </c>
      <c r="J44" s="33">
        <v>1.59</v>
      </c>
      <c r="K44" s="33">
        <v>2.05</v>
      </c>
      <c r="L44" s="33">
        <v>1.44</v>
      </c>
      <c r="M44" s="33">
        <v>1.09</v>
      </c>
      <c r="N44" s="33">
        <v>0.5</v>
      </c>
      <c r="O44" s="33">
        <v>0.44</v>
      </c>
      <c r="P44" s="33">
        <v>1.01</v>
      </c>
      <c r="Q44" s="33">
        <v>0.64</v>
      </c>
      <c r="R44" s="33">
        <v>0.25</v>
      </c>
      <c r="S44" s="33">
        <v>0.87</v>
      </c>
      <c r="T44" s="33">
        <v>1.39</v>
      </c>
      <c r="U44" s="33">
        <v>1.06</v>
      </c>
      <c r="V44" s="33">
        <v>0.79</v>
      </c>
      <c r="W44" s="33">
        <v>0.66</v>
      </c>
      <c r="X44" s="33">
        <v>0.51</v>
      </c>
      <c r="Y44" s="32"/>
      <c r="Z44" s="32"/>
      <c r="AA44" s="32"/>
      <c r="AB44" s="32"/>
      <c r="AC44" s="32"/>
    </row>
    <row r="45" ht="15.0" customHeight="1">
      <c r="A45" s="30" t="s">
        <v>405</v>
      </c>
      <c r="B45" s="33">
        <v>0.45</v>
      </c>
      <c r="C45" s="33">
        <v>0.56</v>
      </c>
      <c r="D45" s="33">
        <v>0.64</v>
      </c>
      <c r="E45" s="33">
        <v>1.11</v>
      </c>
      <c r="F45" s="33">
        <v>1.23</v>
      </c>
      <c r="G45" s="33">
        <v>1.39</v>
      </c>
      <c r="H45" s="33">
        <v>1.44</v>
      </c>
      <c r="I45" s="33">
        <v>1.49</v>
      </c>
      <c r="J45" s="33">
        <v>1.33</v>
      </c>
      <c r="K45" s="33">
        <v>1.09</v>
      </c>
      <c r="L45" s="33">
        <v>0.88</v>
      </c>
      <c r="M45" s="33">
        <v>0.73</v>
      </c>
      <c r="N45" s="33">
        <v>0.56</v>
      </c>
      <c r="O45" s="33">
        <v>0.64</v>
      </c>
      <c r="P45" s="33">
        <v>0.82</v>
      </c>
      <c r="Q45" s="33">
        <v>0.82</v>
      </c>
      <c r="R45" s="33">
        <v>0.86</v>
      </c>
      <c r="S45" s="33">
        <v>0.99</v>
      </c>
      <c r="T45" s="33">
        <v>0.93</v>
      </c>
      <c r="U45" s="32"/>
      <c r="V45" s="32"/>
      <c r="W45" s="32"/>
      <c r="X45" s="32"/>
      <c r="Y45" s="32"/>
      <c r="Z45" s="32"/>
      <c r="AA45" s="32"/>
      <c r="AB45" s="32"/>
      <c r="AC45" s="32"/>
    </row>
    <row r="46" ht="15.0" customHeight="1">
      <c r="A46" s="28" t="s">
        <v>406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407</v>
      </c>
      <c r="B47" s="32"/>
      <c r="C47" s="32"/>
      <c r="D47" s="32"/>
      <c r="E47" s="33">
        <v>22.8</v>
      </c>
      <c r="F47" s="33">
        <v>9.23</v>
      </c>
      <c r="G47" s="33">
        <v>15.1</v>
      </c>
      <c r="H47" s="33">
        <v>20.28</v>
      </c>
      <c r="I47" s="33">
        <v>24.91</v>
      </c>
      <c r="J47" s="33">
        <v>20.71</v>
      </c>
      <c r="K47" s="33">
        <v>34.88</v>
      </c>
      <c r="L47" s="33">
        <v>24.14</v>
      </c>
      <c r="M47" s="33">
        <v>24.38</v>
      </c>
      <c r="N47" s="33">
        <v>55.13</v>
      </c>
      <c r="O47" s="32"/>
      <c r="P47" s="33">
        <v>24.38</v>
      </c>
      <c r="Q47" s="33">
        <v>14.86</v>
      </c>
      <c r="R47" s="32"/>
      <c r="S47" s="33">
        <v>19.23</v>
      </c>
      <c r="T47" s="33">
        <v>28.22</v>
      </c>
      <c r="U47" s="33">
        <v>19.8</v>
      </c>
      <c r="V47" s="33">
        <v>14.45</v>
      </c>
      <c r="W47" s="33">
        <v>42.03</v>
      </c>
      <c r="X47" s="33">
        <v>20.14</v>
      </c>
      <c r="Y47" s="32"/>
      <c r="Z47" s="32"/>
      <c r="AA47" s="32"/>
      <c r="AB47" s="32"/>
      <c r="AC47" s="32"/>
    </row>
    <row r="48" ht="15.0" customHeight="1">
      <c r="A48" s="30" t="s">
        <v>408</v>
      </c>
      <c r="B48" s="32"/>
      <c r="C48" s="33">
        <v>26.99</v>
      </c>
      <c r="D48" s="33">
        <v>14.44</v>
      </c>
      <c r="E48" s="33">
        <v>15.95</v>
      </c>
      <c r="F48" s="33">
        <v>16.1</v>
      </c>
      <c r="G48" s="33">
        <v>22.35</v>
      </c>
      <c r="H48" s="33">
        <v>24.89</v>
      </c>
      <c r="I48" s="33">
        <v>25.55</v>
      </c>
      <c r="J48" s="33">
        <v>26.81</v>
      </c>
      <c r="K48" s="33">
        <v>34.5</v>
      </c>
      <c r="L48" s="33">
        <v>31.05</v>
      </c>
      <c r="M48" s="33">
        <v>27.63</v>
      </c>
      <c r="N48" s="33">
        <v>33.53</v>
      </c>
      <c r="O48" s="33">
        <v>26.52</v>
      </c>
      <c r="P48" s="33">
        <v>23.63</v>
      </c>
      <c r="Q48" s="33">
        <v>22.56</v>
      </c>
      <c r="R48" s="33">
        <v>22.66</v>
      </c>
      <c r="S48" s="33">
        <v>21.82</v>
      </c>
      <c r="T48" s="33">
        <v>22.42</v>
      </c>
      <c r="U48" s="32"/>
      <c r="V48" s="32"/>
      <c r="W48" s="32"/>
      <c r="X48" s="32"/>
      <c r="Y48" s="32"/>
      <c r="Z48" s="32"/>
      <c r="AA48" s="32"/>
      <c r="AB48" s="32"/>
      <c r="AC48" s="32"/>
    </row>
    <row r="49" ht="15.0" customHeight="1">
      <c r="A49" s="28" t="s">
        <v>409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410</v>
      </c>
      <c r="B50" s="32"/>
      <c r="C50" s="33">
        <v>5.43</v>
      </c>
      <c r="D50" s="33">
        <v>4.47</v>
      </c>
      <c r="E50" s="33">
        <v>8.6</v>
      </c>
      <c r="F50" s="33">
        <v>14.19</v>
      </c>
      <c r="G50" s="33">
        <v>10.07</v>
      </c>
      <c r="H50" s="33">
        <v>10.94</v>
      </c>
      <c r="I50" s="33">
        <v>12.87</v>
      </c>
      <c r="J50" s="33">
        <v>15.9</v>
      </c>
      <c r="K50" s="33">
        <v>21.47</v>
      </c>
      <c r="L50" s="33">
        <v>16.99</v>
      </c>
      <c r="M50" s="33">
        <v>16.21</v>
      </c>
      <c r="N50" s="33">
        <v>12.76</v>
      </c>
      <c r="O50" s="33">
        <v>10.81</v>
      </c>
      <c r="P50" s="33">
        <v>20.26</v>
      </c>
      <c r="Q50" s="33">
        <v>11.28</v>
      </c>
      <c r="R50" s="33">
        <v>3.93</v>
      </c>
      <c r="S50" s="33">
        <v>8.23</v>
      </c>
      <c r="T50" s="33">
        <v>12.76</v>
      </c>
      <c r="U50" s="33">
        <v>10.0</v>
      </c>
      <c r="V50" s="33">
        <v>7.08</v>
      </c>
      <c r="W50" s="33">
        <v>7.14</v>
      </c>
      <c r="X50" s="33">
        <v>5.14</v>
      </c>
      <c r="Y50" s="32"/>
      <c r="Z50" s="32"/>
      <c r="AA50" s="32"/>
      <c r="AB50" s="32"/>
      <c r="AC50" s="32"/>
    </row>
    <row r="51" ht="15.0" customHeight="1">
      <c r="A51" s="30" t="s">
        <v>411</v>
      </c>
      <c r="B51" s="33">
        <v>7.9</v>
      </c>
      <c r="C51" s="33">
        <v>6.96</v>
      </c>
      <c r="D51" s="33">
        <v>7.18</v>
      </c>
      <c r="E51" s="33">
        <v>11.11</v>
      </c>
      <c r="F51" s="33">
        <v>12.65</v>
      </c>
      <c r="G51" s="33">
        <v>14.0</v>
      </c>
      <c r="H51" s="33">
        <v>15.63</v>
      </c>
      <c r="I51" s="33">
        <v>16.62</v>
      </c>
      <c r="J51" s="33">
        <v>17.24</v>
      </c>
      <c r="K51" s="33">
        <v>16.8</v>
      </c>
      <c r="L51" s="33">
        <v>15.93</v>
      </c>
      <c r="M51" s="33">
        <v>14.43</v>
      </c>
      <c r="N51" s="33">
        <v>11.1</v>
      </c>
      <c r="O51" s="33">
        <v>9.94</v>
      </c>
      <c r="P51" s="33">
        <v>10.64</v>
      </c>
      <c r="Q51" s="33">
        <v>9.46</v>
      </c>
      <c r="R51" s="33">
        <v>8.8</v>
      </c>
      <c r="S51" s="33">
        <v>9.34</v>
      </c>
      <c r="T51" s="33">
        <v>8.95</v>
      </c>
      <c r="U51" s="32"/>
      <c r="V51" s="32"/>
      <c r="W51" s="32"/>
      <c r="X51" s="32"/>
      <c r="Y51" s="32"/>
      <c r="Z51" s="32"/>
      <c r="AA51" s="32"/>
      <c r="AB51" s="32"/>
      <c r="AC51" s="32"/>
    </row>
    <row r="52" ht="15.0" customHeight="1">
      <c r="A52" s="28" t="s">
        <v>412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413</v>
      </c>
      <c r="B53" s="32"/>
      <c r="C53" s="32"/>
      <c r="D53" s="32"/>
      <c r="E53" s="33">
        <v>18.35</v>
      </c>
      <c r="F53" s="33">
        <v>61.97</v>
      </c>
      <c r="G53" s="33">
        <v>20.49</v>
      </c>
      <c r="H53" s="33">
        <v>15.51</v>
      </c>
      <c r="I53" s="33">
        <v>16.57</v>
      </c>
      <c r="J53" s="33">
        <v>20.54</v>
      </c>
      <c r="K53" s="33">
        <v>28.9</v>
      </c>
      <c r="L53" s="33">
        <v>27.64</v>
      </c>
      <c r="M53" s="33">
        <v>35.04</v>
      </c>
      <c r="N53" s="32"/>
      <c r="O53" s="33">
        <v>66.97</v>
      </c>
      <c r="P53" s="32"/>
      <c r="Q53" s="32"/>
      <c r="R53" s="33">
        <v>7.44</v>
      </c>
      <c r="S53" s="33">
        <v>14.7</v>
      </c>
      <c r="T53" s="33">
        <v>8.36</v>
      </c>
      <c r="U53" s="33">
        <v>20.57</v>
      </c>
      <c r="V53" s="33">
        <v>15.14</v>
      </c>
      <c r="W53" s="33">
        <v>18.03</v>
      </c>
      <c r="X53" s="33">
        <v>12.04</v>
      </c>
      <c r="Y53" s="32"/>
      <c r="Z53" s="32"/>
      <c r="AA53" s="32"/>
      <c r="AB53" s="32"/>
      <c r="AC53" s="32"/>
    </row>
    <row r="54" ht="15.0" customHeight="1">
      <c r="A54" s="30" t="s">
        <v>414</v>
      </c>
      <c r="B54" s="32"/>
      <c r="C54" s="33">
        <v>28.71</v>
      </c>
      <c r="D54" s="33">
        <v>17.48</v>
      </c>
      <c r="E54" s="33">
        <v>20.86</v>
      </c>
      <c r="F54" s="33">
        <v>21.25</v>
      </c>
      <c r="G54" s="33">
        <v>20.43</v>
      </c>
      <c r="H54" s="33">
        <v>21.44</v>
      </c>
      <c r="I54" s="33">
        <v>23.93</v>
      </c>
      <c r="J54" s="33">
        <v>35.44</v>
      </c>
      <c r="K54" s="33">
        <v>47.87</v>
      </c>
      <c r="L54" s="31">
        <v>119.08</v>
      </c>
      <c r="M54" s="32"/>
      <c r="N54" s="31">
        <v>1142.97</v>
      </c>
      <c r="O54" s="33">
        <v>31.9</v>
      </c>
      <c r="P54" s="33">
        <v>16.08</v>
      </c>
      <c r="Q54" s="33">
        <v>13.37</v>
      </c>
      <c r="R54" s="33">
        <v>11.63</v>
      </c>
      <c r="S54" s="33">
        <v>12.51</v>
      </c>
      <c r="T54" s="33">
        <v>12.01</v>
      </c>
      <c r="U54" s="32"/>
      <c r="V54" s="32"/>
      <c r="W54" s="32"/>
      <c r="X54" s="32"/>
      <c r="Y54" s="32"/>
      <c r="Z54" s="32"/>
      <c r="AA54" s="32"/>
      <c r="AB54" s="32"/>
      <c r="AC54" s="32"/>
    </row>
    <row r="55" ht="15.0" customHeight="1">
      <c r="A55" s="28" t="s">
        <v>415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416</v>
      </c>
      <c r="B56" s="32"/>
      <c r="C56" s="32"/>
      <c r="D56" s="33">
        <v>8.98</v>
      </c>
      <c r="E56" s="33">
        <v>18.35</v>
      </c>
      <c r="F56" s="33">
        <v>24.97</v>
      </c>
      <c r="G56" s="33">
        <v>20.56</v>
      </c>
      <c r="H56" s="33">
        <v>14.08</v>
      </c>
      <c r="I56" s="33">
        <v>16.53</v>
      </c>
      <c r="J56" s="33">
        <v>20.54</v>
      </c>
      <c r="K56" s="33">
        <v>29.07</v>
      </c>
      <c r="L56" s="33">
        <v>26.91</v>
      </c>
      <c r="M56" s="33">
        <v>30.9</v>
      </c>
      <c r="N56" s="33">
        <v>6.69</v>
      </c>
      <c r="O56" s="33">
        <v>12.05</v>
      </c>
      <c r="P56" s="33">
        <v>25.56</v>
      </c>
      <c r="Q56" s="31">
        <v>121.59</v>
      </c>
      <c r="R56" s="33">
        <v>7.44</v>
      </c>
      <c r="S56" s="33">
        <v>14.7</v>
      </c>
      <c r="T56" s="33">
        <v>25.09</v>
      </c>
      <c r="U56" s="33">
        <v>20.57</v>
      </c>
      <c r="V56" s="33">
        <v>15.14</v>
      </c>
      <c r="W56" s="33">
        <v>18.03</v>
      </c>
      <c r="X56" s="33">
        <v>12.04</v>
      </c>
      <c r="Y56" s="32"/>
      <c r="Z56" s="32"/>
      <c r="AA56" s="32"/>
      <c r="AB56" s="32"/>
      <c r="AC56" s="32"/>
    </row>
    <row r="57" ht="15.0" customHeight="1">
      <c r="A57" s="30" t="s">
        <v>417</v>
      </c>
      <c r="B57" s="33">
        <v>1.33</v>
      </c>
      <c r="C57" s="33">
        <v>1.68</v>
      </c>
      <c r="D57" s="33">
        <v>2.01</v>
      </c>
      <c r="E57" s="33">
        <v>3.44</v>
      </c>
      <c r="F57" s="33">
        <v>4.07</v>
      </c>
      <c r="G57" s="33">
        <v>4.6</v>
      </c>
      <c r="H57" s="33">
        <v>4.86</v>
      </c>
      <c r="I57" s="33">
        <v>5.13</v>
      </c>
      <c r="J57" s="33">
        <v>4.96</v>
      </c>
      <c r="K57" s="33">
        <v>4.05</v>
      </c>
      <c r="L57" s="33">
        <v>3.47</v>
      </c>
      <c r="M57" s="33">
        <v>2.92</v>
      </c>
      <c r="N57" s="33">
        <v>2.26</v>
      </c>
      <c r="O57" s="33">
        <v>2.48</v>
      </c>
      <c r="P57" s="33">
        <v>3.24</v>
      </c>
      <c r="Q57" s="33">
        <v>3.23</v>
      </c>
      <c r="R57" s="33">
        <v>3.43</v>
      </c>
      <c r="S57" s="33">
        <v>3.89</v>
      </c>
      <c r="T57" s="33">
        <v>3.72</v>
      </c>
      <c r="U57" s="32"/>
      <c r="V57" s="32"/>
      <c r="W57" s="32"/>
      <c r="X57" s="32"/>
      <c r="Y57" s="32"/>
      <c r="Z57" s="32"/>
      <c r="AA57" s="32"/>
      <c r="AB57" s="32"/>
      <c r="AC57" s="32"/>
    </row>
    <row r="58" ht="15.0" customHeight="1">
      <c r="A58" s="28" t="s">
        <v>418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419</v>
      </c>
      <c r="B59" s="32"/>
      <c r="C59" s="32"/>
      <c r="D59" s="32"/>
      <c r="E59" s="33">
        <v>0.1</v>
      </c>
      <c r="F59" s="36">
        <v>-0.9</v>
      </c>
      <c r="G59" s="33">
        <v>2.79</v>
      </c>
      <c r="H59" s="36">
        <v>-0.64</v>
      </c>
      <c r="I59" s="33">
        <v>11.66</v>
      </c>
      <c r="J59" s="33">
        <v>1.63</v>
      </c>
      <c r="K59" s="33">
        <v>0.64</v>
      </c>
      <c r="L59" s="33">
        <v>0.44</v>
      </c>
      <c r="M59" s="33">
        <v>0.21</v>
      </c>
      <c r="N59" s="32"/>
      <c r="O59" s="33">
        <v>0.26</v>
      </c>
      <c r="P59" s="32"/>
      <c r="Q59" s="32"/>
      <c r="R59" s="36">
        <v>-0.18</v>
      </c>
      <c r="S59" s="36">
        <v>-0.23</v>
      </c>
      <c r="T59" s="33">
        <v>0.03</v>
      </c>
      <c r="U59" s="33">
        <v>2.67</v>
      </c>
      <c r="V59" s="33">
        <v>0.2</v>
      </c>
      <c r="W59" s="36">
        <v>-0.81</v>
      </c>
      <c r="X59" s="33">
        <v>3.07</v>
      </c>
      <c r="Y59" s="32"/>
      <c r="Z59" s="32"/>
      <c r="AA59" s="32"/>
      <c r="AB59" s="32"/>
      <c r="AC59" s="32"/>
    </row>
    <row r="60" ht="15.0" customHeight="1">
      <c r="A60" s="30" t="s">
        <v>420</v>
      </c>
      <c r="B60" s="32"/>
      <c r="C60" s="32"/>
      <c r="D60" s="32"/>
      <c r="E60" s="36">
        <v>-3.27</v>
      </c>
      <c r="F60" s="36">
        <v>-0.97</v>
      </c>
      <c r="G60" s="33">
        <v>3.3</v>
      </c>
      <c r="H60" s="33">
        <v>1.4</v>
      </c>
      <c r="I60" s="32"/>
      <c r="J60" s="33">
        <v>0.57</v>
      </c>
      <c r="K60" s="32"/>
      <c r="L60" s="32"/>
      <c r="M60" s="32"/>
      <c r="N60" s="32"/>
      <c r="O60" s="36">
        <v>-0.65</v>
      </c>
      <c r="P60" s="32"/>
      <c r="Q60" s="32"/>
      <c r="R60" s="33">
        <v>1.13</v>
      </c>
      <c r="S60" s="33">
        <v>0.74</v>
      </c>
      <c r="T60" s="33">
        <v>0.28</v>
      </c>
      <c r="U60" s="32"/>
      <c r="V60" s="32"/>
      <c r="W60" s="32"/>
      <c r="X60" s="32"/>
      <c r="Y60" s="32"/>
      <c r="Z60" s="32"/>
      <c r="AA60" s="32"/>
      <c r="AB60" s="32"/>
      <c r="AC60" s="32"/>
    </row>
    <row r="61" ht="15.0" customHeight="1">
      <c r="A61" s="28" t="s">
        <v>421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422</v>
      </c>
      <c r="B62" s="33">
        <v>0.69</v>
      </c>
      <c r="C62" s="33">
        <v>0.59</v>
      </c>
      <c r="D62" s="33">
        <v>0.48</v>
      </c>
      <c r="E62" s="33">
        <v>0.61</v>
      </c>
      <c r="F62" s="33">
        <v>0.77</v>
      </c>
      <c r="G62" s="33">
        <v>0.85</v>
      </c>
      <c r="H62" s="33">
        <v>0.51</v>
      </c>
      <c r="I62" s="33">
        <v>0.64</v>
      </c>
      <c r="J62" s="33">
        <v>0.82</v>
      </c>
      <c r="K62" s="33">
        <v>1.09</v>
      </c>
      <c r="L62" s="33">
        <v>0.8</v>
      </c>
      <c r="M62" s="33">
        <v>0.63</v>
      </c>
      <c r="N62" s="33">
        <v>0.34</v>
      </c>
      <c r="O62" s="33">
        <v>0.31</v>
      </c>
      <c r="P62" s="33">
        <v>0.6</v>
      </c>
      <c r="Q62" s="33">
        <v>0.48</v>
      </c>
      <c r="R62" s="33">
        <v>0.31</v>
      </c>
      <c r="S62" s="33">
        <v>0.54</v>
      </c>
      <c r="T62" s="33">
        <v>0.8</v>
      </c>
      <c r="U62" s="33">
        <v>0.61</v>
      </c>
      <c r="V62" s="33">
        <v>0.49</v>
      </c>
      <c r="W62" s="33">
        <v>0.52</v>
      </c>
      <c r="X62" s="33">
        <v>0.15</v>
      </c>
      <c r="Y62" s="32"/>
      <c r="Z62" s="32"/>
      <c r="AA62" s="32"/>
      <c r="AB62" s="32"/>
      <c r="AC62" s="32"/>
    </row>
    <row r="63" ht="15.0" customHeight="1">
      <c r="A63" s="30" t="s">
        <v>423</v>
      </c>
      <c r="B63" s="33">
        <v>0.62</v>
      </c>
      <c r="C63" s="33">
        <v>0.66</v>
      </c>
      <c r="D63" s="33">
        <v>0.64</v>
      </c>
      <c r="E63" s="33">
        <v>0.68</v>
      </c>
      <c r="F63" s="33">
        <v>0.72</v>
      </c>
      <c r="G63" s="33">
        <v>0.78</v>
      </c>
      <c r="H63" s="33">
        <v>0.77</v>
      </c>
      <c r="I63" s="33">
        <v>0.79</v>
      </c>
      <c r="J63" s="33">
        <v>0.73</v>
      </c>
      <c r="K63" s="33">
        <v>0.63</v>
      </c>
      <c r="L63" s="33">
        <v>0.53</v>
      </c>
      <c r="M63" s="33">
        <v>0.47</v>
      </c>
      <c r="N63" s="33">
        <v>0.41</v>
      </c>
      <c r="O63" s="33">
        <v>0.45</v>
      </c>
      <c r="P63" s="33">
        <v>0.54</v>
      </c>
      <c r="Q63" s="33">
        <v>0.54</v>
      </c>
      <c r="R63" s="33">
        <v>0.55</v>
      </c>
      <c r="S63" s="33">
        <v>0.61</v>
      </c>
      <c r="T63" s="33">
        <v>0.55</v>
      </c>
      <c r="U63" s="32"/>
      <c r="V63" s="32"/>
      <c r="W63" s="32"/>
      <c r="X63" s="32"/>
      <c r="Y63" s="32"/>
      <c r="Z63" s="32"/>
      <c r="AA63" s="32"/>
      <c r="AB63" s="32"/>
      <c r="AC63" s="32"/>
    </row>
    <row r="64" ht="15.0" customHeight="1">
      <c r="A64" s="28" t="s">
        <v>424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425</v>
      </c>
      <c r="B65" s="33">
        <v>9.13</v>
      </c>
      <c r="C65" s="33">
        <v>8.61</v>
      </c>
      <c r="D65" s="33">
        <v>5.56</v>
      </c>
      <c r="E65" s="33">
        <v>4.75</v>
      </c>
      <c r="F65" s="33">
        <v>6.69</v>
      </c>
      <c r="G65" s="33">
        <v>6.36</v>
      </c>
      <c r="H65" s="33">
        <v>4.81</v>
      </c>
      <c r="I65" s="33">
        <v>5.22</v>
      </c>
      <c r="J65" s="33">
        <v>6.63</v>
      </c>
      <c r="K65" s="33">
        <v>9.12</v>
      </c>
      <c r="L65" s="33">
        <v>7.27</v>
      </c>
      <c r="M65" s="33">
        <v>6.59</v>
      </c>
      <c r="N65" s="33">
        <v>3.06</v>
      </c>
      <c r="O65" s="33">
        <v>5.9</v>
      </c>
      <c r="P65" s="33">
        <v>8.07</v>
      </c>
      <c r="Q65" s="33">
        <v>8.05</v>
      </c>
      <c r="R65" s="33">
        <v>3.6</v>
      </c>
      <c r="S65" s="33">
        <v>4.16</v>
      </c>
      <c r="T65" s="33">
        <v>5.75</v>
      </c>
      <c r="U65" s="33">
        <v>4.58</v>
      </c>
      <c r="V65" s="33">
        <v>3.46</v>
      </c>
      <c r="W65" s="33">
        <v>4.46</v>
      </c>
      <c r="X65" s="33">
        <v>1.14</v>
      </c>
      <c r="Y65" s="32"/>
      <c r="Z65" s="32"/>
      <c r="AA65" s="32"/>
      <c r="AB65" s="32"/>
      <c r="AC65" s="32"/>
    </row>
    <row r="66" ht="15.0" customHeight="1">
      <c r="A66" s="30" t="s">
        <v>426</v>
      </c>
      <c r="B66" s="33">
        <v>6.46</v>
      </c>
      <c r="C66" s="33">
        <v>6.14</v>
      </c>
      <c r="D66" s="33">
        <v>5.64</v>
      </c>
      <c r="E66" s="33">
        <v>5.58</v>
      </c>
      <c r="F66" s="33">
        <v>5.97</v>
      </c>
      <c r="G66" s="33">
        <v>6.42</v>
      </c>
      <c r="H66" s="33">
        <v>6.58</v>
      </c>
      <c r="I66" s="33">
        <v>6.94</v>
      </c>
      <c r="J66" s="33">
        <v>6.55</v>
      </c>
      <c r="K66" s="33">
        <v>6.46</v>
      </c>
      <c r="L66" s="33">
        <v>6.06</v>
      </c>
      <c r="M66" s="33">
        <v>6.12</v>
      </c>
      <c r="N66" s="33">
        <v>5.38</v>
      </c>
      <c r="O66" s="33">
        <v>5.48</v>
      </c>
      <c r="P66" s="33">
        <v>5.52</v>
      </c>
      <c r="Q66" s="33">
        <v>5.0</v>
      </c>
      <c r="R66" s="33">
        <v>4.41</v>
      </c>
      <c r="S66" s="33">
        <v>4.55</v>
      </c>
      <c r="T66" s="33">
        <v>4.09</v>
      </c>
      <c r="U66" s="32"/>
      <c r="V66" s="32"/>
      <c r="W66" s="32"/>
      <c r="X66" s="32"/>
      <c r="Y66" s="32"/>
      <c r="Z66" s="32"/>
      <c r="AA66" s="32"/>
      <c r="AB66" s="32"/>
      <c r="AC66" s="32"/>
    </row>
    <row r="67" ht="15.0" customHeight="1">
      <c r="A67" s="28" t="s">
        <v>427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428</v>
      </c>
      <c r="B68" s="32"/>
      <c r="C68" s="33">
        <v>10.76</v>
      </c>
      <c r="D68" s="33">
        <v>9.05</v>
      </c>
      <c r="E68" s="33">
        <v>5.75</v>
      </c>
      <c r="F68" s="33">
        <v>4.89</v>
      </c>
      <c r="G68" s="33">
        <v>7.54</v>
      </c>
      <c r="H68" s="33">
        <v>6.82</v>
      </c>
      <c r="I68" s="33">
        <v>8.34</v>
      </c>
      <c r="J68" s="33">
        <v>8.23</v>
      </c>
      <c r="K68" s="33">
        <v>11.78</v>
      </c>
      <c r="L68" s="33">
        <v>9.12</v>
      </c>
      <c r="M68" s="33">
        <v>9.47</v>
      </c>
      <c r="N68" s="33">
        <v>8.33</v>
      </c>
      <c r="O68" s="33">
        <v>11.55</v>
      </c>
      <c r="P68" s="33">
        <v>9.14</v>
      </c>
      <c r="Q68" s="33">
        <v>7.3</v>
      </c>
      <c r="R68" s="33">
        <v>7.24</v>
      </c>
      <c r="S68" s="33">
        <v>6.22</v>
      </c>
      <c r="T68" s="33">
        <v>9.57</v>
      </c>
      <c r="U68" s="33">
        <v>6.72</v>
      </c>
      <c r="V68" s="33">
        <v>5.61</v>
      </c>
      <c r="W68" s="33">
        <v>10.97</v>
      </c>
      <c r="X68" s="33">
        <v>2.83</v>
      </c>
      <c r="Y68" s="32"/>
      <c r="Z68" s="32"/>
      <c r="AA68" s="32"/>
      <c r="AB68" s="32"/>
      <c r="AC68" s="32"/>
    </row>
    <row r="69" ht="15.0" customHeight="1">
      <c r="A69" s="30" t="s">
        <v>429</v>
      </c>
      <c r="B69" s="33">
        <v>8.39</v>
      </c>
      <c r="C69" s="33">
        <v>6.82</v>
      </c>
      <c r="D69" s="33">
        <v>6.45</v>
      </c>
      <c r="E69" s="33">
        <v>6.42</v>
      </c>
      <c r="F69" s="33">
        <v>6.9</v>
      </c>
      <c r="G69" s="33">
        <v>8.51</v>
      </c>
      <c r="H69" s="33">
        <v>8.9</v>
      </c>
      <c r="I69" s="33">
        <v>9.39</v>
      </c>
      <c r="J69" s="33">
        <v>9.5</v>
      </c>
      <c r="K69" s="33">
        <v>10.11</v>
      </c>
      <c r="L69" s="33">
        <v>9.33</v>
      </c>
      <c r="M69" s="33">
        <v>8.82</v>
      </c>
      <c r="N69" s="33">
        <v>8.36</v>
      </c>
      <c r="O69" s="33">
        <v>7.68</v>
      </c>
      <c r="P69" s="33">
        <v>7.88</v>
      </c>
      <c r="Q69" s="33">
        <v>7.43</v>
      </c>
      <c r="R69" s="33">
        <v>7.13</v>
      </c>
      <c r="S69" s="33">
        <v>7.43</v>
      </c>
      <c r="T69" s="33">
        <v>7.29</v>
      </c>
      <c r="U69" s="32"/>
      <c r="V69" s="32"/>
      <c r="W69" s="32"/>
      <c r="X69" s="32"/>
      <c r="Y69" s="32"/>
      <c r="Z69" s="32"/>
      <c r="AA69" s="32"/>
      <c r="AB69" s="32"/>
      <c r="AC69" s="32"/>
    </row>
    <row r="70" ht="15.0" customHeight="1">
      <c r="A70" s="28" t="s">
        <v>430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431</v>
      </c>
      <c r="B71" s="32"/>
      <c r="C71" s="32"/>
      <c r="D71" s="32"/>
      <c r="E71" s="33">
        <v>14.77</v>
      </c>
      <c r="F71" s="33">
        <v>5.77</v>
      </c>
      <c r="G71" s="33">
        <v>10.74</v>
      </c>
      <c r="H71" s="33">
        <v>11.72</v>
      </c>
      <c r="I71" s="33">
        <v>12.37</v>
      </c>
      <c r="J71" s="33">
        <v>10.68</v>
      </c>
      <c r="K71" s="33">
        <v>18.48</v>
      </c>
      <c r="L71" s="33">
        <v>13.35</v>
      </c>
      <c r="M71" s="33">
        <v>13.99</v>
      </c>
      <c r="N71" s="33">
        <v>37.32</v>
      </c>
      <c r="O71" s="32"/>
      <c r="P71" s="33">
        <v>14.6</v>
      </c>
      <c r="Q71" s="33">
        <v>11.11</v>
      </c>
      <c r="R71" s="32"/>
      <c r="S71" s="33">
        <v>11.98</v>
      </c>
      <c r="T71" s="33">
        <v>16.21</v>
      </c>
      <c r="U71" s="33">
        <v>11.49</v>
      </c>
      <c r="V71" s="33">
        <v>8.95</v>
      </c>
      <c r="W71" s="33">
        <v>33.22</v>
      </c>
      <c r="X71" s="33">
        <v>5.96</v>
      </c>
      <c r="Y71" s="32"/>
      <c r="Z71" s="32"/>
      <c r="AA71" s="32"/>
      <c r="AB71" s="32"/>
      <c r="AC71" s="32"/>
    </row>
    <row r="72" ht="15.0" customHeight="1">
      <c r="A72" s="30" t="s">
        <v>432</v>
      </c>
      <c r="B72" s="32"/>
      <c r="C72" s="33">
        <v>31.41</v>
      </c>
      <c r="D72" s="33">
        <v>14.39</v>
      </c>
      <c r="E72" s="33">
        <v>9.76</v>
      </c>
      <c r="F72" s="33">
        <v>9.37</v>
      </c>
      <c r="G72" s="33">
        <v>12.52</v>
      </c>
      <c r="H72" s="33">
        <v>13.22</v>
      </c>
      <c r="I72" s="33">
        <v>13.58</v>
      </c>
      <c r="J72" s="33">
        <v>14.73</v>
      </c>
      <c r="K72" s="33">
        <v>19.79</v>
      </c>
      <c r="L72" s="33">
        <v>18.63</v>
      </c>
      <c r="M72" s="33">
        <v>17.84</v>
      </c>
      <c r="N72" s="33">
        <v>24.44</v>
      </c>
      <c r="O72" s="33">
        <v>18.6</v>
      </c>
      <c r="P72" s="33">
        <v>15.59</v>
      </c>
      <c r="Q72" s="33">
        <v>14.82</v>
      </c>
      <c r="R72" s="33">
        <v>14.39</v>
      </c>
      <c r="S72" s="33">
        <v>13.39</v>
      </c>
      <c r="T72" s="33">
        <v>13.07</v>
      </c>
      <c r="U72" s="32"/>
      <c r="V72" s="32"/>
      <c r="W72" s="32"/>
      <c r="X72" s="32"/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