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VyEKtr4o+6n5g3t2r59fFn7x4pilN76xD8MbLavVhs="/>
    </ext>
  </extLst>
</workbook>
</file>

<file path=xl/sharedStrings.xml><?xml version="1.0" encoding="utf-8"?>
<sst xmlns="http://schemas.openxmlformats.org/spreadsheetml/2006/main" count="784" uniqueCount="401">
  <si>
    <t>Company Fundamentals - Income Statement</t>
  </si>
  <si>
    <t>Company Name</t>
  </si>
  <si>
    <t>AAK AB (publ) (AAK.ST)</t>
  </si>
  <si>
    <t>Country of Exchange</t>
  </si>
  <si>
    <t>Sweden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</si>
  <si>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</si>
  <si>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</si>
  <si>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</si>
  <si>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</si>
  <si>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</si>
  <si>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</si>
  <si>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</si>
  <si>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</si>
  <si>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</si>
  <si>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</si>
  <si>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</si>
  <si>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</si>
  <si>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</si>
  <si>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</si>
  <si>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</si>
  <si>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</si>
  <si>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</si>
  <si>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</si>
  <si>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</si>
  <si>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</si>
  <si>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</si>
  <si>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</si>
  <si>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</si>
  <si>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</si>
  <si>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</si>
  <si>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</si>
  <si>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</si>
  <si>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</si>
  <si>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</si>
  <si>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</si>
  <si>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</si>
  <si>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</si>
  <si>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</si>
  <si>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</si>
  <si>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</si>
  <si>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</si>
  <si>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</si>
  <si>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</si>
  <si>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</si>
  <si>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</si>
  <si>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</si>
  <si>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</si>
  <si>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</si>
  <si>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</si>
  <si>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</si>
  <si>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</si>
  <si>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</si>
  <si>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</si>
  <si>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</si>
  <si>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</si>
  <si>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</si>
  <si>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</si>
  <si>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</si>
  <si>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</si>
  <si>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</si>
  <si>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</si>
  <si>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</si>
  <si>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</si>
  <si>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</si>
  <si>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</si>
  <si>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</si>
  <si>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</si>
  <si>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</si>
  <si>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</si>
  <si>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Net Sales</t>
  </si>
  <si>
    <t>Total Revenue</t>
  </si>
  <si>
    <t>Other Operating Income</t>
  </si>
  <si>
    <t>Divestment of subsidiary</t>
  </si>
  <si>
    <t>Other Operating Income - Balancing value</t>
  </si>
  <si>
    <t>Non-recurring Income/Expense - Non-business Activities - Total</t>
  </si>
  <si>
    <t>Other Operating Income - Total (Non-revenue)</t>
  </si>
  <si>
    <t>Raw materials and consumables</t>
  </si>
  <si>
    <t>Change in inventories of finished goods and work in progress</t>
  </si>
  <si>
    <t>Goods for resale</t>
  </si>
  <si>
    <t>Other external expenses</t>
  </si>
  <si>
    <t>Cost for remuneration to employees</t>
  </si>
  <si>
    <t>Other Other External Expenses - Audit Fees</t>
  </si>
  <si>
    <t>Depreciation, amortization and impairment losses</t>
  </si>
  <si>
    <t>Write-downs</t>
  </si>
  <si>
    <t>Depreciation</t>
  </si>
  <si>
    <t>Write-down for the year</t>
  </si>
  <si>
    <t>Amortization of Patents and other intangibles assets</t>
  </si>
  <si>
    <t>Impairment - Goodwill</t>
  </si>
  <si>
    <t>Amortisation of Intangibles</t>
  </si>
  <si>
    <t>Totalitemsthatareorsubsequentlybereclassifietoprofiorloss</t>
  </si>
  <si>
    <t>Other operating expenses</t>
  </si>
  <si>
    <t>Depreciation, amortization and impairment losses - Balancing value</t>
  </si>
  <si>
    <t>Inventories Changes</t>
  </si>
  <si>
    <t>Balancing Item - Operating Expenses</t>
  </si>
  <si>
    <t>Total operating expenses</t>
  </si>
  <si>
    <t>Operating profit (EBIT)</t>
  </si>
  <si>
    <t>Total financial net</t>
  </si>
  <si>
    <t>Financial expense</t>
  </si>
  <si>
    <t>Interest expenses</t>
  </si>
  <si>
    <t>Interest expenses - Balancing value</t>
  </si>
  <si>
    <t>Interest on interest rate swaps</t>
  </si>
  <si>
    <t>Interest expenses leases</t>
  </si>
  <si>
    <t>Changes in exchange rates</t>
  </si>
  <si>
    <t>Other financial expenses</t>
  </si>
  <si>
    <t>Effect of IAS 29</t>
  </si>
  <si>
    <t>Financial expenses - Balancing value</t>
  </si>
  <si>
    <t>Financial income</t>
  </si>
  <si>
    <t>Financial income - Balancing value</t>
  </si>
  <si>
    <t>Other Financial Income</t>
  </si>
  <si>
    <t>Dividend</t>
  </si>
  <si>
    <t>Interest Income</t>
  </si>
  <si>
    <t>Share of profit in associated companies</t>
  </si>
  <si>
    <t>Other financial income</t>
  </si>
  <si>
    <t>Other financial items</t>
  </si>
  <si>
    <t>Balancing Item - Pretax Income</t>
  </si>
  <si>
    <t>Profit before tax</t>
  </si>
  <si>
    <t>Income tax</t>
  </si>
  <si>
    <t>Current tax</t>
  </si>
  <si>
    <t>Current Tax for the Year</t>
  </si>
  <si>
    <t>Tax Adjustment</t>
  </si>
  <si>
    <t>Deferred tax</t>
  </si>
  <si>
    <t>Deferred Tax</t>
  </si>
  <si>
    <t>Net result</t>
  </si>
  <si>
    <t>Profit for the period</t>
  </si>
  <si>
    <t>Attributable to non-controlling interests</t>
  </si>
  <si>
    <t>Minority interests</t>
  </si>
  <si>
    <t>Income Available to Com Excl ExtraOrd</t>
  </si>
  <si>
    <t>Attributable to the Parent Companys shareholders</t>
  </si>
  <si>
    <t>Balancing Item - Net Income After Extraordinary Items applicable to Common</t>
  </si>
  <si>
    <t>Parent company shareholders</t>
  </si>
  <si>
    <t>Remeasurements of post-employment benefit obligations</t>
  </si>
  <si>
    <t>Translation differences</t>
  </si>
  <si>
    <t>Translation differences reclassified to profit or loss</t>
  </si>
  <si>
    <t>Fair-value changes in cash flow hedges</t>
  </si>
  <si>
    <t>Tax related to fair-value changes in cash flow hedges</t>
  </si>
  <si>
    <t>Total other comprehensive income for the period</t>
  </si>
  <si>
    <t>Non-controlling interests</t>
  </si>
  <si>
    <t>Total comprehensive income for the period</t>
  </si>
  <si>
    <t>As Reported Basic Weighted Avg. Shares</t>
  </si>
  <si>
    <t>(SEK per share) before dilution</t>
  </si>
  <si>
    <t>Basic EPS Excluding ExtraOrdinary Items</t>
  </si>
  <si>
    <t>As Reported Diluted Weighted Avg. Shares</t>
  </si>
  <si>
    <t>(SEK per share) after dilution Statement Jandec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</si>
  <si>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</si>
  <si>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</si>
  <si>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</si>
  <si>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</si>
  <si>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Total Depreciation of Fixed Assets</t>
  </si>
  <si>
    <t>Amortization of Intangible Assets excluding Goodwill - Total</t>
  </si>
  <si>
    <t>Amortization and Impairment Losses</t>
  </si>
  <si>
    <t>Research and Development</t>
  </si>
  <si>
    <t>Leasing Expenses</t>
  </si>
  <si>
    <t>Revenue from financing related op</t>
  </si>
  <si>
    <t>Short-Term Lease Cost</t>
  </si>
  <si>
    <t>Expense related to leases of low-value assets</t>
  </si>
  <si>
    <t>Auditor Fees - Total</t>
  </si>
  <si>
    <t>Audit</t>
  </si>
  <si>
    <t>Other Audit</t>
  </si>
  <si>
    <t>Tax consulting</t>
  </si>
  <si>
    <t>Other assignments</t>
  </si>
  <si>
    <t>Other Auditor Fees - Total</t>
  </si>
  <si>
    <t>Total Amortization of Intangible Assets (incl Goodwill)</t>
  </si>
  <si>
    <t>Acquisition Cost</t>
  </si>
  <si>
    <t>Other Non-recurring Income/Expense - Non-business Activities</t>
  </si>
  <si>
    <t>Optimization European bakery business</t>
  </si>
  <si>
    <t>Non-Recurring cost due to Exit Russia</t>
  </si>
  <si>
    <t>One-time restructuring cost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</si>
  <si>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</si>
  <si>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</si>
  <si>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</si>
  <si>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</si>
  <si>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</si>
  <si>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</si>
  <si>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</si>
  <si>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</si>
  <si>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</si>
  <si>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</si>
  <si>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</si>
  <si>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</si>
  <si>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</si>
  <si>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</si>
  <si>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</si>
  <si>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</si>
  <si>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Goods in transit</t>
  </si>
  <si>
    <t>Work in Progress</t>
  </si>
  <si>
    <t>Finished products and goods for resale</t>
  </si>
  <si>
    <t>Accounts receivables</t>
  </si>
  <si>
    <t>Account Receivable, Gross</t>
  </si>
  <si>
    <t>Provisions for Doubtful Accounts</t>
  </si>
  <si>
    <t>Accounts receivable - Balancing value</t>
  </si>
  <si>
    <t>Current tax assets</t>
  </si>
  <si>
    <t>Other Receivables</t>
  </si>
  <si>
    <t>Derivatives</t>
  </si>
  <si>
    <t>Prepaid Expenses and Accrued Income</t>
  </si>
  <si>
    <t>Cash and cash equivalents</t>
  </si>
  <si>
    <t>Cash equivalents</t>
  </si>
  <si>
    <t>Current investments</t>
  </si>
  <si>
    <t>Current receivables</t>
  </si>
  <si>
    <t>Total current assets</t>
  </si>
  <si>
    <t>Goodwill</t>
  </si>
  <si>
    <t>Goodwill - Gross</t>
  </si>
  <si>
    <t>Goodwill - Accumulated Amortization</t>
  </si>
  <si>
    <t>Other intangible assets</t>
  </si>
  <si>
    <t>Patents and other intangible assets - Gross</t>
  </si>
  <si>
    <t>Accumulated Amortization of Patents and other intangible assets</t>
  </si>
  <si>
    <t>Brands/patents amortn</t>
  </si>
  <si>
    <t>Total intangible assets</t>
  </si>
  <si>
    <t>Property, Plant and equipment</t>
  </si>
  <si>
    <t>Land and Buildings</t>
  </si>
  <si>
    <t>Other Land-NBV</t>
  </si>
  <si>
    <t>Plant and machinery</t>
  </si>
  <si>
    <t>Plant and Machinery</t>
  </si>
  <si>
    <t>Plant/mach - acc depn</t>
  </si>
  <si>
    <t>Plant and machinery - Balancing value</t>
  </si>
  <si>
    <t>Equipment, tools and fixtures and fittings</t>
  </si>
  <si>
    <t>Equipment, Tools, Fixtures &amp; Fittings</t>
  </si>
  <si>
    <t>Assets under construction</t>
  </si>
  <si>
    <t>Acc Depr/Imp Assets under construction</t>
  </si>
  <si>
    <t>Total Property/Plant/Equipment, Gross</t>
  </si>
  <si>
    <t>Accumulated impairment</t>
  </si>
  <si>
    <t>Other Total Tangible Assets, Net</t>
  </si>
  <si>
    <t>Shares in associated companies</t>
  </si>
  <si>
    <t>Deferred tax assets</t>
  </si>
  <si>
    <t>Financial assets</t>
  </si>
  <si>
    <t>Financial Assets</t>
  </si>
  <si>
    <t>Financial Investments</t>
  </si>
  <si>
    <t>Right-of-use assets</t>
  </si>
  <si>
    <t>Right-of-use assets - Gross</t>
  </si>
  <si>
    <t>Right-of-use assets - Accumulated Depreciation</t>
  </si>
  <si>
    <t>Total non-current assets</t>
  </si>
  <si>
    <t>Balancing Item - Assets</t>
  </si>
  <si>
    <t>Total Assets</t>
  </si>
  <si>
    <t>Liabilities to banks and credit institutions</t>
  </si>
  <si>
    <t>Other current liabilities</t>
  </si>
  <si>
    <t>Lease liabilities</t>
  </si>
  <si>
    <t>Interest-bearing liabilities</t>
  </si>
  <si>
    <t>Accounts payables</t>
  </si>
  <si>
    <t>Current Tax Liabilities</t>
  </si>
  <si>
    <t>Other Current Liabilities</t>
  </si>
  <si>
    <t>Other current provisions</t>
  </si>
  <si>
    <t>Accrued expenses and prepaid income</t>
  </si>
  <si>
    <t>Customer Advances - Short-Term</t>
  </si>
  <si>
    <t>Employee-related expenses</t>
  </si>
  <si>
    <t>Other</t>
  </si>
  <si>
    <t>Misc acc &amp; def inc</t>
  </si>
  <si>
    <t>Other Accrued Expenses and Deferred Income</t>
  </si>
  <si>
    <t>Total Current Liabilities</t>
  </si>
  <si>
    <t>Other non-current liabilities</t>
  </si>
  <si>
    <t>Pension liabilities</t>
  </si>
  <si>
    <t>Other Non-current Liabilities - Total</t>
  </si>
  <si>
    <t>Deferred tax liabilities</t>
  </si>
  <si>
    <t>Other non-current provisions</t>
  </si>
  <si>
    <t>Total non-current liabilities</t>
  </si>
  <si>
    <t>Total Debt &amp; Liabilities (Current &amp; Non-current)</t>
  </si>
  <si>
    <t>Share Capital</t>
  </si>
  <si>
    <t>Reserves</t>
  </si>
  <si>
    <t>Statutory reserve</t>
  </si>
  <si>
    <t>Statutory reserves</t>
  </si>
  <si>
    <t>Hedging reserve</t>
  </si>
  <si>
    <t>Translation reserve</t>
  </si>
  <si>
    <t>Reserves - Balancing value</t>
  </si>
  <si>
    <t>Retained profi</t>
  </si>
  <si>
    <t>Shareholders equity</t>
  </si>
  <si>
    <t>Minority Interest</t>
  </si>
  <si>
    <t>Total equity including non-controlling interests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</si>
  <si>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</si>
  <si>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</si>
  <si>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</si>
  <si>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</si>
  <si>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Accumulated Intangibles Amortization</t>
  </si>
  <si>
    <t>Buildings-NBV</t>
  </si>
  <si>
    <t>Restructuring provns</t>
  </si>
  <si>
    <t>Buildings - acc depn</t>
  </si>
  <si>
    <t>Misc other L/T liabs</t>
  </si>
  <si>
    <t>Financial assets - non-current</t>
  </si>
  <si>
    <t>Revolving Line of Credit - Total Principal Amount</t>
  </si>
  <si>
    <t>Revolving Line of Credit - Unutilized/Unused Amount</t>
  </si>
  <si>
    <t>Capital Lease Maturities - Total</t>
  </si>
  <si>
    <t>Capital Lease Maturities - Less than 1 year</t>
  </si>
  <si>
    <t>Capital Lease Maturities - Between 1 and 2 Years</t>
  </si>
  <si>
    <t>Capital Lease Maturities - Between 2 and 5 Years</t>
  </si>
  <si>
    <t>Capital Lease Maturities - more than 5 Years</t>
  </si>
  <si>
    <t>Total Long Term Debt, Supplemental</t>
  </si>
  <si>
    <t>Reported Total LT Debt, Supplemental - Balancing value</t>
  </si>
  <si>
    <t>LT Loans Maturing Less than 1 year</t>
  </si>
  <si>
    <t>Long Term Debt Maturing Between 1 and 2 years</t>
  </si>
  <si>
    <t>LT Loans Maturing Between 2 and 5 Years</t>
  </si>
  <si>
    <t>LT Loans Maturing more than 5 Years</t>
  </si>
  <si>
    <t>S/O-Common Stock</t>
  </si>
  <si>
    <t>T/S-Common Stock</t>
  </si>
  <si>
    <t>Asset Allocation Factor - (Instrument Level)</t>
  </si>
  <si>
    <t>Common Shares Issued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</si>
  <si>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</si>
  <si>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</si>
  <si>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</si>
  <si>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</si>
  <si>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</si>
  <si>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</si>
  <si>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</si>
  <si>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</si>
  <si>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</si>
  <si>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Interest received and other financia income</t>
  </si>
  <si>
    <t>Interest paid and other financia expenses</t>
  </si>
  <si>
    <t>Interest paid and other financial expenses</t>
  </si>
  <si>
    <t>Cash flow before changes in working capital</t>
  </si>
  <si>
    <t>Operating profit</t>
  </si>
  <si>
    <t>Depreciation and amortization</t>
  </si>
  <si>
    <t>Adjustment for other non-cash items</t>
  </si>
  <si>
    <t>Sales of non-current assets</t>
  </si>
  <si>
    <t>Provisions</t>
  </si>
  <si>
    <t>Sale of Assets</t>
  </si>
  <si>
    <t>IAS 39 Effect</t>
  </si>
  <si>
    <t>Non CF Items</t>
  </si>
  <si>
    <t>Adjustment for items not included in cash flow -balancing</t>
  </si>
  <si>
    <t>Tax paid</t>
  </si>
  <si>
    <t>Interest paid and received</t>
  </si>
  <si>
    <t>Changes in inventory</t>
  </si>
  <si>
    <t>Changes in accounts receivables</t>
  </si>
  <si>
    <t>Changes in accounts payables</t>
  </si>
  <si>
    <t>Changes in other working capital items</t>
  </si>
  <si>
    <t>Changes in Working Capital</t>
  </si>
  <si>
    <t>Net change in other current operating liabilities</t>
  </si>
  <si>
    <t>Amortization of Intangibles</t>
  </si>
  <si>
    <t>Cash flow from operating activities Investing activities</t>
  </si>
  <si>
    <t>Acquisition of intangible assets and property, plant and equipment</t>
  </si>
  <si>
    <t>Acquisition of Intangible Assets</t>
  </si>
  <si>
    <t>Acquisition of property, plant and equipment</t>
  </si>
  <si>
    <t>Acquisition of operations and shares, net of cash acquired</t>
  </si>
  <si>
    <t>Proceeds from sale of operations and shares</t>
  </si>
  <si>
    <t>Proceeds from sale of property, plant and equipment</t>
  </si>
  <si>
    <t>Divestment of operations and shares</t>
  </si>
  <si>
    <t>Cash flow from investing activities Financing activities</t>
  </si>
  <si>
    <t>Loans raised</t>
  </si>
  <si>
    <t>Changes in loans</t>
  </si>
  <si>
    <t>Amortization of loans</t>
  </si>
  <si>
    <t>Amortization of lease liabilities</t>
  </si>
  <si>
    <t>New issue of shares</t>
  </si>
  <si>
    <t>Subscription warrants</t>
  </si>
  <si>
    <t>Dividend paid</t>
  </si>
  <si>
    <t>Issue of stock options</t>
  </si>
  <si>
    <t>Cash flow from financing activites</t>
  </si>
  <si>
    <t>Cash flow from financing activities</t>
  </si>
  <si>
    <t>Cash flow for the period</t>
  </si>
  <si>
    <t>Exchange rate difference for cash equivalents</t>
  </si>
  <si>
    <t>Cash and cash equivalents at start of period</t>
  </si>
  <si>
    <t>Cash and cash equivalents at end of period</t>
  </si>
  <si>
    <t>Cash Interest Paid</t>
  </si>
  <si>
    <t>Dep., depletion, impairment and amort.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</si>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</sst>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46091.55353875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0.83160986623262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48743.73</v>
      </c>
      <c r="C20" s="15">
        <v>45817.77</v>
      </c>
      <c r="D20" s="15">
        <v>45810.59</v>
      </c>
      <c r="E20" s="15">
        <v>47911.04</v>
      </c>
      <c r="F20" s="15">
        <v>35530.25</v>
      </c>
      <c r="G20" s="15">
        <v>28589.95</v>
      </c>
      <c r="H20" s="15">
        <v>26530.94</v>
      </c>
      <c r="I20" s="15">
        <v>25839.03</v>
      </c>
      <c r="J20" s="15">
        <v>25599.2</v>
      </c>
      <c r="K20" s="15">
        <v>21659.0</v>
      </c>
      <c r="L20" s="15">
        <v>19231.1</v>
      </c>
      <c r="M20" s="15">
        <v>16363.61</v>
      </c>
      <c r="N20" s="15">
        <v>14924.95</v>
      </c>
      <c r="O20" s="15">
        <v>14533.64</v>
      </c>
      <c r="P20" s="15">
        <v>14419.4</v>
      </c>
      <c r="Q20" s="15">
        <v>12435.92</v>
      </c>
      <c r="R20" s="15">
        <v>13072.54</v>
      </c>
      <c r="S20" s="15">
        <v>14717.4</v>
      </c>
      <c r="T20" s="15">
        <v>11272.05</v>
      </c>
      <c r="U20" s="16">
        <v>9510.04</v>
      </c>
      <c r="V20" s="16">
        <v>2486.51</v>
      </c>
    </row>
    <row r="21" ht="15.0" customHeight="1">
      <c r="A21" s="17" t="s">
        <v>70</v>
      </c>
      <c r="B21" s="18">
        <v>48743.73</v>
      </c>
      <c r="C21" s="18">
        <v>45817.77</v>
      </c>
      <c r="D21" s="18">
        <v>45810.59</v>
      </c>
      <c r="E21" s="18">
        <v>47911.04</v>
      </c>
      <c r="F21" s="18">
        <v>35530.25</v>
      </c>
      <c r="G21" s="18">
        <v>28589.95</v>
      </c>
      <c r="H21" s="18">
        <v>26530.94</v>
      </c>
      <c r="I21" s="18">
        <v>25839.03</v>
      </c>
      <c r="J21" s="18">
        <v>25599.2</v>
      </c>
      <c r="K21" s="18">
        <v>21659.0</v>
      </c>
      <c r="L21" s="18">
        <v>19231.1</v>
      </c>
      <c r="M21" s="18">
        <v>16363.61</v>
      </c>
      <c r="N21" s="18">
        <v>14924.95</v>
      </c>
      <c r="O21" s="18">
        <v>14533.64</v>
      </c>
      <c r="P21" s="18">
        <v>14510.95</v>
      </c>
      <c r="Q21" s="18">
        <v>12474.56</v>
      </c>
      <c r="R21" s="18">
        <v>13153.2</v>
      </c>
      <c r="S21" s="18">
        <v>15038.14</v>
      </c>
      <c r="T21" s="18">
        <v>11291.99</v>
      </c>
      <c r="U21" s="19">
        <v>9556.16</v>
      </c>
      <c r="V21" s="19">
        <v>2495.66</v>
      </c>
    </row>
    <row r="22" ht="15.0" customHeight="1">
      <c r="A22" s="14" t="s">
        <v>71</v>
      </c>
      <c r="B22" s="16">
        <v>351.64</v>
      </c>
      <c r="C22" s="16">
        <v>178.99</v>
      </c>
      <c r="D22" s="16">
        <v>223.94</v>
      </c>
      <c r="E22" s="16">
        <v>141.57</v>
      </c>
      <c r="F22" s="16">
        <v>186.41</v>
      </c>
      <c r="G22" s="16">
        <v>372.55</v>
      </c>
      <c r="H22" s="16">
        <v>179.6</v>
      </c>
      <c r="I22" s="16">
        <v>168.56</v>
      </c>
      <c r="J22" s="16">
        <v>124.92</v>
      </c>
      <c r="K22" s="16">
        <v>107.03</v>
      </c>
      <c r="L22" s="16">
        <v>185.48</v>
      </c>
      <c r="M22" s="16">
        <v>198.41</v>
      </c>
      <c r="N22" s="16">
        <v>155.23</v>
      </c>
      <c r="O22" s="20">
        <v>92.82</v>
      </c>
      <c r="P22" s="20">
        <v>91.55</v>
      </c>
      <c r="Q22" s="20">
        <v>38.63</v>
      </c>
      <c r="R22" s="20">
        <v>80.65</v>
      </c>
      <c r="S22" s="16">
        <v>320.74</v>
      </c>
      <c r="T22" s="20">
        <v>19.94</v>
      </c>
      <c r="U22" s="20">
        <v>46.12</v>
      </c>
      <c r="V22" s="20">
        <v>9.15</v>
      </c>
    </row>
    <row r="23" ht="15.0" customHeight="1">
      <c r="A23" s="14" t="s">
        <v>72</v>
      </c>
      <c r="B23" s="15"/>
      <c r="C23" s="15"/>
      <c r="D23" s="15"/>
      <c r="E23" s="15"/>
      <c r="F23" s="15"/>
      <c r="G23" s="15"/>
      <c r="H23" s="15"/>
      <c r="I23" s="15"/>
      <c r="J23" s="15"/>
      <c r="K23" s="15">
        <v>0.0</v>
      </c>
      <c r="L23" s="20">
        <v>43.98</v>
      </c>
      <c r="M23" s="20">
        <v>74.41</v>
      </c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73</v>
      </c>
      <c r="B24" s="15"/>
      <c r="C24" s="15"/>
      <c r="D24" s="15"/>
      <c r="E24" s="15"/>
      <c r="F24" s="15"/>
      <c r="G24" s="15"/>
      <c r="H24" s="15"/>
      <c r="I24" s="15"/>
      <c r="J24" s="15"/>
      <c r="K24" s="16">
        <v>107.03</v>
      </c>
      <c r="L24" s="16">
        <v>141.5</v>
      </c>
      <c r="M24" s="16">
        <v>105.64</v>
      </c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74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>
        <v>0.0</v>
      </c>
      <c r="M25" s="20">
        <v>18.37</v>
      </c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7" t="s">
        <v>75</v>
      </c>
      <c r="B26" s="19">
        <v>351.64</v>
      </c>
      <c r="C26" s="19">
        <v>178.99</v>
      </c>
      <c r="D26" s="19">
        <v>223.94</v>
      </c>
      <c r="E26" s="19">
        <v>141.57</v>
      </c>
      <c r="F26" s="19">
        <v>186.41</v>
      </c>
      <c r="G26" s="19">
        <v>372.55</v>
      </c>
      <c r="H26" s="19">
        <v>179.6</v>
      </c>
      <c r="I26" s="19">
        <v>168.56</v>
      </c>
      <c r="J26" s="19">
        <v>124.92</v>
      </c>
      <c r="K26" s="19">
        <v>107.03</v>
      </c>
      <c r="L26" s="19">
        <v>185.48</v>
      </c>
      <c r="M26" s="19">
        <v>198.41</v>
      </c>
      <c r="N26" s="19">
        <v>155.23</v>
      </c>
      <c r="O26" s="21">
        <v>92.82</v>
      </c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76</v>
      </c>
      <c r="B27" s="15">
        <v>35374.98</v>
      </c>
      <c r="C27" s="15">
        <v>31875.75</v>
      </c>
      <c r="D27" s="15">
        <v>33263.14</v>
      </c>
      <c r="E27" s="15">
        <v>37793.9</v>
      </c>
      <c r="F27" s="15">
        <v>27279.08</v>
      </c>
      <c r="G27" s="15">
        <v>20437.91</v>
      </c>
      <c r="H27" s="15">
        <v>18841.53</v>
      </c>
      <c r="I27" s="15">
        <v>18527.09</v>
      </c>
      <c r="J27" s="15">
        <v>18421.81</v>
      </c>
      <c r="K27" s="15">
        <v>14874.67</v>
      </c>
      <c r="L27" s="15">
        <v>13525.06</v>
      </c>
      <c r="M27" s="15">
        <v>11969.12</v>
      </c>
      <c r="N27" s="15">
        <v>10754.41</v>
      </c>
      <c r="O27" s="15">
        <v>11006.58</v>
      </c>
      <c r="P27" s="15">
        <v>11112.31</v>
      </c>
      <c r="Q27" s="16">
        <v>9154.78</v>
      </c>
      <c r="R27" s="16">
        <v>9482.61</v>
      </c>
      <c r="S27" s="15">
        <v>11981.25</v>
      </c>
      <c r="T27" s="16">
        <v>8036.48</v>
      </c>
      <c r="U27" s="16">
        <v>6755.09</v>
      </c>
      <c r="V27" s="16">
        <v>1877.78</v>
      </c>
    </row>
    <row r="28" ht="15.0" customHeight="1">
      <c r="A28" s="14" t="s">
        <v>77</v>
      </c>
      <c r="B28" s="22">
        <v>-336.81</v>
      </c>
      <c r="C28" s="23">
        <v>-64.07</v>
      </c>
      <c r="D28" s="20">
        <v>63.7</v>
      </c>
      <c r="E28" s="22">
        <v>-190.98</v>
      </c>
      <c r="F28" s="22">
        <v>-356.79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78</v>
      </c>
      <c r="B29" s="16">
        <v>869.57</v>
      </c>
      <c r="C29" s="16">
        <v>789.19</v>
      </c>
      <c r="D29" s="16">
        <v>807.17</v>
      </c>
      <c r="E29" s="16">
        <v>1030.91</v>
      </c>
      <c r="F29" s="16">
        <v>835.84</v>
      </c>
      <c r="G29" s="16">
        <v>617.16</v>
      </c>
      <c r="H29" s="16">
        <v>461.57</v>
      </c>
      <c r="I29" s="16">
        <v>879.34</v>
      </c>
      <c r="J29" s="16">
        <v>1154.27</v>
      </c>
      <c r="K29" s="16">
        <v>1192.09</v>
      </c>
      <c r="L29" s="16">
        <v>824.16</v>
      </c>
      <c r="M29" s="16">
        <v>387.64</v>
      </c>
      <c r="N29" s="16">
        <v>790.61</v>
      </c>
      <c r="O29" s="16">
        <v>499.32</v>
      </c>
      <c r="P29" s="16">
        <v>418.03</v>
      </c>
      <c r="Q29" s="16">
        <v>310.73</v>
      </c>
      <c r="R29" s="15"/>
      <c r="S29" s="16">
        <v>432.79</v>
      </c>
      <c r="T29" s="16">
        <v>309.43</v>
      </c>
      <c r="U29" s="16">
        <v>259.31</v>
      </c>
      <c r="V29" s="20">
        <v>64.03</v>
      </c>
    </row>
    <row r="30" ht="15.0" customHeight="1">
      <c r="A30" s="14" t="s">
        <v>79</v>
      </c>
      <c r="B30" s="16">
        <v>3483.59</v>
      </c>
      <c r="C30" s="16">
        <v>3743.57</v>
      </c>
      <c r="D30" s="16">
        <v>3560.1</v>
      </c>
      <c r="E30" s="16">
        <v>3231.44</v>
      </c>
      <c r="F30" s="16">
        <v>2351.18</v>
      </c>
      <c r="G30" s="16">
        <v>2472.73</v>
      </c>
      <c r="H30" s="16">
        <v>2498.62</v>
      </c>
      <c r="I30" s="16">
        <v>2305.58</v>
      </c>
      <c r="J30" s="16">
        <v>2138.11</v>
      </c>
      <c r="K30" s="16">
        <v>1937.4</v>
      </c>
      <c r="L30" s="16">
        <v>1752.54</v>
      </c>
      <c r="M30" s="16">
        <v>1497.29</v>
      </c>
      <c r="N30" s="16">
        <v>1141.69</v>
      </c>
      <c r="O30" s="16">
        <v>1008.1</v>
      </c>
      <c r="P30" s="16">
        <v>930.2</v>
      </c>
      <c r="Q30" s="16">
        <v>981.74</v>
      </c>
      <c r="R30" s="16">
        <v>1111.05</v>
      </c>
      <c r="S30" s="16">
        <v>1188.03</v>
      </c>
      <c r="T30" s="16">
        <v>1020.16</v>
      </c>
      <c r="U30" s="16">
        <v>1032.02</v>
      </c>
      <c r="V30" s="16">
        <v>247.82</v>
      </c>
    </row>
    <row r="31" ht="15.0" customHeight="1">
      <c r="A31" s="14" t="s">
        <v>80</v>
      </c>
      <c r="B31" s="16">
        <v>3746.26</v>
      </c>
      <c r="C31" s="16">
        <v>3736.45</v>
      </c>
      <c r="D31" s="16">
        <v>3382.94</v>
      </c>
      <c r="E31" s="16">
        <v>2810.53</v>
      </c>
      <c r="F31" s="16">
        <v>2532.58</v>
      </c>
      <c r="G31" s="16">
        <v>2388.81</v>
      </c>
      <c r="H31" s="16">
        <v>2254.8</v>
      </c>
      <c r="I31" s="16">
        <v>1941.3</v>
      </c>
      <c r="J31" s="16">
        <v>1803.06</v>
      </c>
      <c r="K31" s="16">
        <v>1694.86</v>
      </c>
      <c r="L31" s="16">
        <v>1520.21</v>
      </c>
      <c r="M31" s="16">
        <v>1191.4</v>
      </c>
      <c r="N31" s="16">
        <v>1073.09</v>
      </c>
      <c r="O31" s="16">
        <v>961.69</v>
      </c>
      <c r="P31" s="16">
        <v>949.2</v>
      </c>
      <c r="Q31" s="16">
        <v>962.42</v>
      </c>
      <c r="R31" s="16">
        <v>1005.71</v>
      </c>
      <c r="S31" s="16">
        <v>957.95</v>
      </c>
      <c r="T31" s="16">
        <v>1008.89</v>
      </c>
      <c r="U31" s="16">
        <v>924.99</v>
      </c>
      <c r="V31" s="16">
        <v>219.55</v>
      </c>
    </row>
    <row r="32" ht="15.0" customHeight="1">
      <c r="A32" s="14" t="s">
        <v>81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>
        <v>939.37</v>
      </c>
      <c r="Q32" s="16">
        <v>976.4</v>
      </c>
      <c r="R32" s="15"/>
      <c r="S32" s="16">
        <v>1181.41</v>
      </c>
      <c r="T32" s="20">
        <v>0.72</v>
      </c>
      <c r="U32" s="16">
        <v>1016.35</v>
      </c>
      <c r="V32" s="15"/>
    </row>
    <row r="33" ht="15.0" customHeight="1">
      <c r="A33" s="14" t="s">
        <v>82</v>
      </c>
      <c r="B33" s="16">
        <v>934.18</v>
      </c>
      <c r="C33" s="16">
        <v>876.65</v>
      </c>
      <c r="D33" s="16">
        <f>872.86-D36</f>
        <v>853.95</v>
      </c>
      <c r="E33" s="16">
        <f>759.17-E38-E36</f>
        <v>751.57</v>
      </c>
      <c r="F33" s="16">
        <f>960.11-F36</f>
        <v>718.58</v>
      </c>
      <c r="G33" s="16">
        <f>772.73-G36</f>
        <v>745.1</v>
      </c>
      <c r="H33" s="16">
        <v>639.31</v>
      </c>
      <c r="I33" s="16">
        <v>516.93</v>
      </c>
      <c r="J33" s="16">
        <v>475.46</v>
      </c>
      <c r="K33" s="16">
        <v>455.63</v>
      </c>
      <c r="L33" s="16">
        <v>412.08</v>
      </c>
      <c r="M33" s="16">
        <v>349.98</v>
      </c>
      <c r="N33" s="16">
        <v>309.56</v>
      </c>
      <c r="O33" s="16">
        <v>298.22</v>
      </c>
      <c r="P33" s="20">
        <f>P35+P39</f>
        <v>293.66</v>
      </c>
      <c r="Q33" s="16">
        <v>298.97</v>
      </c>
      <c r="R33" s="16">
        <v>331.67</v>
      </c>
      <c r="S33" s="16">
        <v>302.78</v>
      </c>
      <c r="T33" s="16">
        <f>276.49-T34</f>
        <v>233.15</v>
      </c>
      <c r="U33" s="16">
        <v>249.74</v>
      </c>
      <c r="V33" s="20">
        <f>60.71-V34</f>
        <v>8.32</v>
      </c>
    </row>
    <row r="34" ht="15.0" customHeight="1">
      <c r="A34" s="14" t="s">
        <v>83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>
        <v>0.0</v>
      </c>
      <c r="N34" s="15">
        <v>0.0</v>
      </c>
      <c r="O34" s="15">
        <v>0.0</v>
      </c>
      <c r="P34" s="20">
        <v>8.64</v>
      </c>
      <c r="Q34" s="15"/>
      <c r="R34" s="15"/>
      <c r="S34" s="15"/>
      <c r="T34" s="20">
        <v>43.34</v>
      </c>
      <c r="U34" s="15"/>
      <c r="V34" s="20">
        <v>52.39</v>
      </c>
    </row>
    <row r="35" ht="15.0" customHeight="1">
      <c r="A35" s="14" t="s">
        <v>84</v>
      </c>
      <c r="B35" s="15"/>
      <c r="C35" s="16">
        <v>685.46</v>
      </c>
      <c r="D35" s="16">
        <v>668.83</v>
      </c>
      <c r="E35" s="16">
        <v>600.49</v>
      </c>
      <c r="F35" s="16">
        <v>565.24</v>
      </c>
      <c r="G35" s="16">
        <v>570.08</v>
      </c>
      <c r="H35" s="16">
        <v>514.61</v>
      </c>
      <c r="I35" s="16">
        <v>488.84</v>
      </c>
      <c r="J35" s="16">
        <v>447.38</v>
      </c>
      <c r="K35" s="16">
        <v>422.24</v>
      </c>
      <c r="L35" s="16">
        <v>385.31</v>
      </c>
      <c r="M35" s="16">
        <v>328.85</v>
      </c>
      <c r="N35" s="16">
        <v>289.71</v>
      </c>
      <c r="O35" s="16">
        <v>280.17</v>
      </c>
      <c r="P35" s="16">
        <v>277.25</v>
      </c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15"/>
      <c r="C36" s="15"/>
      <c r="D36" s="20">
        <v>18.91</v>
      </c>
      <c r="E36" s="23">
        <v>-18.05</v>
      </c>
      <c r="F36" s="16">
        <v>241.53</v>
      </c>
      <c r="G36" s="20">
        <v>27.63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20">
        <v>32.54</v>
      </c>
      <c r="D37" s="20">
        <v>29.86</v>
      </c>
      <c r="E37" s="20">
        <v>26.6</v>
      </c>
      <c r="F37" s="20">
        <v>30.07</v>
      </c>
      <c r="G37" s="20">
        <v>39.92</v>
      </c>
      <c r="H37" s="20">
        <v>26.99</v>
      </c>
      <c r="I37" s="20">
        <v>28.09</v>
      </c>
      <c r="J37" s="20">
        <v>28.08</v>
      </c>
      <c r="K37" s="20">
        <v>33.39</v>
      </c>
      <c r="L37" s="20">
        <v>26.77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87</v>
      </c>
      <c r="B38" s="15"/>
      <c r="C38" s="15"/>
      <c r="D38" s="15">
        <v>0.0</v>
      </c>
      <c r="E38" s="20">
        <v>25.65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88</v>
      </c>
      <c r="B39" s="15"/>
      <c r="C39" s="15"/>
      <c r="D39" s="15"/>
      <c r="E39" s="15"/>
      <c r="F39" s="15"/>
      <c r="G39" s="20">
        <v>39.92</v>
      </c>
      <c r="H39" s="20">
        <v>26.99</v>
      </c>
      <c r="I39" s="20">
        <v>28.09</v>
      </c>
      <c r="J39" s="20">
        <v>28.08</v>
      </c>
      <c r="K39" s="20">
        <v>33.39</v>
      </c>
      <c r="L39" s="20">
        <v>26.77</v>
      </c>
      <c r="M39" s="20">
        <v>21.13</v>
      </c>
      <c r="N39" s="20">
        <v>19.86</v>
      </c>
      <c r="O39" s="20">
        <v>18.05</v>
      </c>
      <c r="P39" s="20">
        <v>16.41</v>
      </c>
      <c r="Q39" s="20">
        <v>16.8</v>
      </c>
      <c r="R39" s="15"/>
      <c r="S39" s="20">
        <v>17.96</v>
      </c>
      <c r="T39" s="20">
        <v>13.87</v>
      </c>
      <c r="U39" s="20">
        <v>16.53</v>
      </c>
      <c r="V39" s="20">
        <v>3.33</v>
      </c>
    </row>
    <row r="40" ht="15.0" customHeight="1">
      <c r="A40" s="14" t="s">
        <v>89</v>
      </c>
      <c r="B40" s="15"/>
      <c r="C40" s="16">
        <v>158.65</v>
      </c>
      <c r="D40" s="16">
        <v>154.27</v>
      </c>
      <c r="E40" s="16">
        <v>124.47</v>
      </c>
      <c r="F40" s="16">
        <v>124.27</v>
      </c>
      <c r="G40" s="16">
        <v>134.08</v>
      </c>
      <c r="H40" s="20">
        <v>97.71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90</v>
      </c>
      <c r="B41" s="15"/>
      <c r="C41" s="15"/>
      <c r="D41" s="23">
        <v>-11.94</v>
      </c>
      <c r="E41" s="15"/>
      <c r="F41" s="23">
        <v>-1.0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91</v>
      </c>
      <c r="B42" s="15"/>
      <c r="C42" s="15"/>
      <c r="D42" s="20">
        <v>1.0</v>
      </c>
      <c r="E42" s="15"/>
      <c r="F42" s="15"/>
      <c r="G42" s="20">
        <v>1.02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90</v>
      </c>
      <c r="B43" s="20">
        <v>72.02</v>
      </c>
      <c r="C43" s="20">
        <v>60.0</v>
      </c>
      <c r="D43" s="15"/>
      <c r="E43" s="16">
        <v>206.18</v>
      </c>
      <c r="F43" s="20">
        <v>21.05</v>
      </c>
      <c r="G43" s="20">
        <v>55.27</v>
      </c>
      <c r="H43" s="20">
        <v>21.4</v>
      </c>
      <c r="I43" s="20">
        <v>5.62</v>
      </c>
      <c r="J43" s="20">
        <v>1.94</v>
      </c>
      <c r="K43" s="20">
        <v>25.53</v>
      </c>
      <c r="L43" s="20">
        <v>35.38</v>
      </c>
      <c r="M43" s="20">
        <v>7.35</v>
      </c>
      <c r="N43" s="20">
        <v>2.71</v>
      </c>
      <c r="O43" s="20">
        <v>14.61</v>
      </c>
      <c r="P43" s="20">
        <v>9.5</v>
      </c>
      <c r="Q43" s="20">
        <v>8.4</v>
      </c>
      <c r="R43" s="20">
        <v>8.23</v>
      </c>
      <c r="S43" s="20">
        <v>28.23</v>
      </c>
      <c r="T43" s="20">
        <v>23.4</v>
      </c>
      <c r="U43" s="20">
        <v>13.05</v>
      </c>
      <c r="V43" s="20">
        <v>9.15</v>
      </c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0">
        <v>7.83</v>
      </c>
      <c r="V44" s="20">
        <v>6.65</v>
      </c>
    </row>
    <row r="45" ht="15.0" customHeight="1">
      <c r="A45" s="14" t="s">
        <v>93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6">
        <v>1008.89</v>
      </c>
      <c r="U45" s="15"/>
      <c r="V45" s="15"/>
    </row>
    <row r="46" ht="15.0" customHeight="1">
      <c r="A46" s="17" t="s">
        <v>94</v>
      </c>
      <c r="B46" s="18">
        <v>44143.78</v>
      </c>
      <c r="C46" s="18">
        <v>41017.54</v>
      </c>
      <c r="D46" s="18">
        <v>41937.97</v>
      </c>
      <c r="E46" s="18">
        <v>45641.15</v>
      </c>
      <c r="F46" s="18">
        <v>33623.05</v>
      </c>
      <c r="G46" s="18">
        <v>26744.61</v>
      </c>
      <c r="H46" s="18">
        <v>24717.23</v>
      </c>
      <c r="I46" s="18">
        <v>24175.87</v>
      </c>
      <c r="J46" s="18">
        <v>23994.65</v>
      </c>
      <c r="K46" s="18">
        <v>20180.18</v>
      </c>
      <c r="L46" s="18">
        <v>18069.43</v>
      </c>
      <c r="M46" s="18">
        <v>15402.78</v>
      </c>
      <c r="N46" s="18">
        <v>14072.07</v>
      </c>
      <c r="O46" s="18">
        <v>13788.52</v>
      </c>
      <c r="P46" s="18">
        <v>13721.54</v>
      </c>
      <c r="Q46" s="18">
        <v>11733.84</v>
      </c>
      <c r="R46" s="18">
        <v>11939.27</v>
      </c>
      <c r="S46" s="18">
        <v>14908.99</v>
      </c>
      <c r="T46" s="18">
        <v>10732.07</v>
      </c>
      <c r="U46" s="19">
        <v>9258.56</v>
      </c>
      <c r="V46" s="19">
        <v>2541.4</v>
      </c>
    </row>
    <row r="47" ht="15.0" customHeight="1">
      <c r="A47" s="17" t="s">
        <v>95</v>
      </c>
      <c r="B47" s="19">
        <v>4951.59</v>
      </c>
      <c r="C47" s="19">
        <v>4979.22</v>
      </c>
      <c r="D47" s="19">
        <v>4096.56</v>
      </c>
      <c r="E47" s="19">
        <v>2411.47</v>
      </c>
      <c r="F47" s="19">
        <v>2093.61</v>
      </c>
      <c r="G47" s="19">
        <v>2217.89</v>
      </c>
      <c r="H47" s="19">
        <v>1993.31</v>
      </c>
      <c r="I47" s="19">
        <v>1831.73</v>
      </c>
      <c r="J47" s="19">
        <v>1729.47</v>
      </c>
      <c r="K47" s="19">
        <v>1585.86</v>
      </c>
      <c r="L47" s="19">
        <v>1347.15</v>
      </c>
      <c r="M47" s="19">
        <v>1159.25</v>
      </c>
      <c r="N47" s="19">
        <v>1008.11</v>
      </c>
      <c r="O47" s="19">
        <v>837.93</v>
      </c>
      <c r="P47" s="19">
        <v>789.42</v>
      </c>
      <c r="Q47" s="19">
        <v>740.71</v>
      </c>
      <c r="R47" s="19">
        <v>1213.93</v>
      </c>
      <c r="S47" s="19">
        <v>129.15</v>
      </c>
      <c r="T47" s="19">
        <v>559.92</v>
      </c>
      <c r="U47" s="19">
        <v>297.6</v>
      </c>
      <c r="V47" s="24">
        <v>-45.74</v>
      </c>
    </row>
    <row r="48" ht="15.0" customHeight="1">
      <c r="A48" s="14" t="s">
        <v>96</v>
      </c>
      <c r="B48" s="15"/>
      <c r="C48" s="22">
        <v>-240.01</v>
      </c>
      <c r="D48" s="22">
        <v>-290.62</v>
      </c>
      <c r="E48" s="22">
        <v>-178.63</v>
      </c>
      <c r="F48" s="22">
        <v>-102.23</v>
      </c>
      <c r="G48" s="22">
        <v>-129.98</v>
      </c>
      <c r="H48" s="22">
        <v>-121.91</v>
      </c>
      <c r="I48" s="22">
        <v>-118.93</v>
      </c>
      <c r="J48" s="22">
        <v>-116.2</v>
      </c>
      <c r="K48" s="22">
        <v>-166.93</v>
      </c>
      <c r="L48" s="22">
        <v>-109.0</v>
      </c>
      <c r="M48" s="23">
        <v>-99.21</v>
      </c>
      <c r="N48" s="15"/>
      <c r="O48" s="23">
        <v>-93.68</v>
      </c>
      <c r="P48" s="22">
        <v>-190.01</v>
      </c>
      <c r="Q48" s="15"/>
      <c r="R48" s="15"/>
      <c r="S48" s="15"/>
      <c r="T48" s="15"/>
      <c r="U48" s="15"/>
      <c r="V48" s="15"/>
    </row>
    <row r="49" ht="15.0" customHeight="1">
      <c r="A49" s="14" t="s">
        <v>97</v>
      </c>
      <c r="B49" s="22">
        <v>-271.15</v>
      </c>
      <c r="C49" s="22">
        <v>-343.75</v>
      </c>
      <c r="D49" s="22">
        <v>-373.23</v>
      </c>
      <c r="E49" s="22">
        <v>-244.19</v>
      </c>
      <c r="F49" s="22">
        <v>-121.27</v>
      </c>
      <c r="G49" s="22">
        <v>-149.43</v>
      </c>
      <c r="H49" s="22">
        <v>-146.1</v>
      </c>
      <c r="I49" s="22">
        <v>-145.15</v>
      </c>
      <c r="J49" s="22">
        <v>-139.44</v>
      </c>
      <c r="K49" s="22">
        <v>-182.64</v>
      </c>
      <c r="L49" s="22">
        <v>-122.38</v>
      </c>
      <c r="M49" s="22">
        <v>-113.9</v>
      </c>
      <c r="N49" s="22">
        <v>-111.01</v>
      </c>
      <c r="O49" s="22">
        <v>-107.43</v>
      </c>
      <c r="P49" s="23">
        <v>-95.01</v>
      </c>
      <c r="Q49" s="20">
        <v>69.7</v>
      </c>
      <c r="R49" s="15"/>
      <c r="S49" s="16">
        <v>271.13</v>
      </c>
      <c r="T49" s="16">
        <v>188.95</v>
      </c>
      <c r="U49" s="20">
        <v>93.11</v>
      </c>
      <c r="V49" s="20">
        <v>18.3</v>
      </c>
    </row>
    <row r="50" ht="15.0" customHeight="1">
      <c r="A50" s="14" t="s">
        <v>98</v>
      </c>
      <c r="B50" s="15"/>
      <c r="C50" s="22">
        <v>-207.47</v>
      </c>
      <c r="D50" s="22">
        <v>-246.83</v>
      </c>
      <c r="E50" s="22">
        <v>-164.38</v>
      </c>
      <c r="F50" s="23">
        <v>-69.15</v>
      </c>
      <c r="G50" s="23">
        <v>-81.88</v>
      </c>
      <c r="H50" s="23">
        <v>-91.2</v>
      </c>
      <c r="I50" s="22">
        <v>-116.12</v>
      </c>
      <c r="J50" s="22">
        <v>-108.45</v>
      </c>
      <c r="K50" s="22">
        <v>-156.13</v>
      </c>
      <c r="L50" s="23">
        <v>-94.65</v>
      </c>
      <c r="M50" s="23">
        <v>-89.1</v>
      </c>
      <c r="N50" s="23">
        <v>-73.1</v>
      </c>
      <c r="O50" s="23">
        <v>-87.66</v>
      </c>
      <c r="P50" s="23">
        <v>-81.19</v>
      </c>
      <c r="Q50" s="23">
        <v>-49.55</v>
      </c>
      <c r="R50" s="22">
        <v>-134.97</v>
      </c>
      <c r="S50" s="22">
        <v>-243.76</v>
      </c>
      <c r="T50" s="22">
        <v>-176.82</v>
      </c>
      <c r="U50" s="23">
        <v>-88.76</v>
      </c>
      <c r="V50" s="23">
        <v>-18.3</v>
      </c>
    </row>
    <row r="51" ht="15.0" customHeight="1">
      <c r="A51" s="14" t="s">
        <v>99</v>
      </c>
      <c r="B51" s="15"/>
      <c r="C51" s="22">
        <v>-193.23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100</v>
      </c>
      <c r="B52" s="15"/>
      <c r="C52" s="23">
        <v>-14.24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15"/>
      <c r="C53" s="23">
        <v>-31.53</v>
      </c>
      <c r="D53" s="23">
        <v>-31.85</v>
      </c>
      <c r="E53" s="23">
        <v>-28.5</v>
      </c>
      <c r="F53" s="23">
        <v>-28.06</v>
      </c>
      <c r="G53" s="23">
        <v>-34.8</v>
      </c>
      <c r="H53" s="23">
        <v>-32.57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102</v>
      </c>
      <c r="B54" s="15"/>
      <c r="C54" s="23">
        <v>-6.1</v>
      </c>
      <c r="D54" s="23">
        <v>-1.0</v>
      </c>
      <c r="E54" s="23">
        <v>-2.85</v>
      </c>
      <c r="F54" s="15">
        <v>0.0</v>
      </c>
      <c r="G54" s="23">
        <v>-11.26</v>
      </c>
      <c r="H54" s="23">
        <v>-0.93</v>
      </c>
      <c r="I54" s="23">
        <v>-1.87</v>
      </c>
      <c r="J54" s="23">
        <v>-8.72</v>
      </c>
      <c r="K54" s="23">
        <v>-6.87</v>
      </c>
      <c r="L54" s="23">
        <v>-9.56</v>
      </c>
      <c r="M54" s="23">
        <v>-3.67</v>
      </c>
      <c r="N54" s="23">
        <v>-13.54</v>
      </c>
      <c r="O54" s="23">
        <v>-14.61</v>
      </c>
      <c r="P54" s="23">
        <v>-3.45</v>
      </c>
      <c r="Q54" s="23">
        <v>-1.68</v>
      </c>
      <c r="R54" s="15"/>
      <c r="S54" s="23">
        <v>-13.69</v>
      </c>
      <c r="T54" s="23">
        <v>-6.93</v>
      </c>
      <c r="U54" s="23">
        <v>-2.61</v>
      </c>
      <c r="V54" s="20">
        <v>0.83</v>
      </c>
    </row>
    <row r="55" ht="15.0" customHeight="1">
      <c r="A55" s="14" t="s">
        <v>103</v>
      </c>
      <c r="B55" s="15"/>
      <c r="C55" s="23">
        <v>-35.59</v>
      </c>
      <c r="D55" s="23">
        <v>-37.82</v>
      </c>
      <c r="E55" s="23">
        <v>-48.46</v>
      </c>
      <c r="F55" s="23">
        <v>-24.05</v>
      </c>
      <c r="G55" s="23">
        <v>-21.49</v>
      </c>
      <c r="H55" s="23">
        <v>-21.4</v>
      </c>
      <c r="I55" s="23">
        <v>-27.16</v>
      </c>
      <c r="J55" s="23">
        <v>-22.27</v>
      </c>
      <c r="K55" s="23">
        <v>-19.64</v>
      </c>
      <c r="L55" s="23">
        <v>-18.17</v>
      </c>
      <c r="M55" s="23">
        <v>-21.13</v>
      </c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104</v>
      </c>
      <c r="B56" s="15"/>
      <c r="C56" s="23">
        <v>-63.05</v>
      </c>
      <c r="D56" s="23">
        <v>-55.74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6">
        <v>139.41</v>
      </c>
      <c r="R57" s="15"/>
      <c r="S57" s="16">
        <v>542.27</v>
      </c>
      <c r="T57" s="16">
        <v>377.9</v>
      </c>
      <c r="U57" s="16">
        <v>186.22</v>
      </c>
      <c r="V57" s="20">
        <v>36.59</v>
      </c>
    </row>
    <row r="58" ht="15.0" customHeight="1">
      <c r="A58" s="14" t="s">
        <v>106</v>
      </c>
      <c r="B58" s="20">
        <v>90.03</v>
      </c>
      <c r="C58" s="16">
        <v>103.73</v>
      </c>
      <c r="D58" s="20">
        <v>82.61</v>
      </c>
      <c r="E58" s="20">
        <v>65.56</v>
      </c>
      <c r="F58" s="20">
        <v>19.04</v>
      </c>
      <c r="G58" s="20">
        <v>19.45</v>
      </c>
      <c r="H58" s="20">
        <v>24.2</v>
      </c>
      <c r="I58" s="20">
        <v>26.22</v>
      </c>
      <c r="J58" s="20">
        <v>23.24</v>
      </c>
      <c r="K58" s="20">
        <v>15.71</v>
      </c>
      <c r="L58" s="20">
        <v>13.39</v>
      </c>
      <c r="M58" s="20">
        <v>14.7</v>
      </c>
      <c r="N58" s="20">
        <v>20.76</v>
      </c>
      <c r="O58" s="20">
        <v>13.75</v>
      </c>
      <c r="P58" s="20">
        <v>10.36</v>
      </c>
      <c r="Q58" s="23">
        <v>-24.35</v>
      </c>
      <c r="R58" s="15"/>
      <c r="S58" s="23">
        <v>-24.8</v>
      </c>
      <c r="T58" s="23">
        <v>-17.33</v>
      </c>
      <c r="U58" s="23">
        <v>-28.72</v>
      </c>
      <c r="V58" s="23">
        <v>-11.64</v>
      </c>
    </row>
    <row r="59" ht="15.0" customHeight="1">
      <c r="A59" s="14" t="s">
        <v>107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3">
        <v>-48.71</v>
      </c>
      <c r="R59" s="15"/>
      <c r="S59" s="23">
        <v>-49.61</v>
      </c>
      <c r="T59" s="23">
        <v>-34.67</v>
      </c>
      <c r="U59" s="23">
        <v>-57.43</v>
      </c>
      <c r="V59" s="23">
        <v>-23.29</v>
      </c>
    </row>
    <row r="60" ht="15.0" customHeight="1">
      <c r="A60" s="14" t="s">
        <v>108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0">
        <v>9.19</v>
      </c>
      <c r="N60" s="20">
        <v>15.34</v>
      </c>
      <c r="O60" s="20">
        <v>6.88</v>
      </c>
      <c r="P60" s="20">
        <v>5.18</v>
      </c>
      <c r="Q60" s="20">
        <v>17.64</v>
      </c>
      <c r="R60" s="15"/>
      <c r="S60" s="20">
        <v>17.11</v>
      </c>
      <c r="T60" s="20">
        <v>11.27</v>
      </c>
      <c r="U60" s="20">
        <v>14.79</v>
      </c>
      <c r="V60" s="15"/>
    </row>
    <row r="61" ht="15.0" customHeight="1">
      <c r="A61" s="14" t="s">
        <v>109</v>
      </c>
      <c r="B61" s="15"/>
      <c r="C61" s="20">
        <v>5.08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110</v>
      </c>
      <c r="B62" s="15"/>
      <c r="C62" s="20">
        <v>89.5</v>
      </c>
      <c r="D62" s="20">
        <v>59.72</v>
      </c>
      <c r="E62" s="20">
        <v>25.65</v>
      </c>
      <c r="F62" s="20">
        <v>8.02</v>
      </c>
      <c r="G62" s="20">
        <v>7.16</v>
      </c>
      <c r="H62" s="20">
        <v>9.31</v>
      </c>
      <c r="I62" s="20">
        <v>5.62</v>
      </c>
      <c r="J62" s="20">
        <v>10.65</v>
      </c>
      <c r="K62" s="20">
        <v>5.89</v>
      </c>
      <c r="L62" s="20">
        <v>2.87</v>
      </c>
      <c r="M62" s="20">
        <v>5.51</v>
      </c>
      <c r="N62" s="20">
        <v>5.42</v>
      </c>
      <c r="O62" s="20">
        <v>6.88</v>
      </c>
      <c r="P62" s="20">
        <v>5.18</v>
      </c>
      <c r="Q62" s="20">
        <v>6.72</v>
      </c>
      <c r="R62" s="20">
        <v>4.94</v>
      </c>
      <c r="S62" s="20">
        <v>7.7</v>
      </c>
      <c r="T62" s="20">
        <v>6.07</v>
      </c>
      <c r="U62" s="20">
        <v>13.92</v>
      </c>
      <c r="V62" s="20">
        <v>11.64</v>
      </c>
    </row>
    <row r="63" ht="15.0" customHeight="1">
      <c r="A63" s="14" t="s">
        <v>111</v>
      </c>
      <c r="B63" s="15"/>
      <c r="C63" s="20">
        <v>2.03</v>
      </c>
      <c r="D63" s="20">
        <v>9.95</v>
      </c>
      <c r="E63" s="20">
        <v>33.26</v>
      </c>
      <c r="F63" s="20">
        <v>8.02</v>
      </c>
      <c r="G63" s="20">
        <v>11.26</v>
      </c>
      <c r="H63" s="20">
        <v>14.89</v>
      </c>
      <c r="I63" s="20">
        <v>15.92</v>
      </c>
      <c r="J63" s="20">
        <v>9.68</v>
      </c>
      <c r="K63" s="20">
        <v>9.82</v>
      </c>
      <c r="L63" s="20">
        <v>10.52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102</v>
      </c>
      <c r="B64" s="15"/>
      <c r="C64" s="20">
        <v>1.02</v>
      </c>
      <c r="D64" s="20">
        <v>5.97</v>
      </c>
      <c r="E64" s="20">
        <v>2.85</v>
      </c>
      <c r="F64" s="20">
        <v>1.0</v>
      </c>
      <c r="G64" s="15">
        <v>0.0</v>
      </c>
      <c r="H64" s="15">
        <v>0.0</v>
      </c>
      <c r="I64" s="20">
        <v>1.87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112</v>
      </c>
      <c r="B65" s="15"/>
      <c r="C65" s="20">
        <v>6.1</v>
      </c>
      <c r="D65" s="20">
        <v>6.97</v>
      </c>
      <c r="E65" s="20">
        <v>3.8</v>
      </c>
      <c r="F65" s="20">
        <v>2.0</v>
      </c>
      <c r="G65" s="20">
        <v>1.02</v>
      </c>
      <c r="H65" s="15">
        <v>0.0</v>
      </c>
      <c r="I65" s="20">
        <v>2.81</v>
      </c>
      <c r="J65" s="20">
        <v>2.91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113</v>
      </c>
      <c r="B66" s="15"/>
      <c r="C66" s="15"/>
      <c r="D66" s="15"/>
      <c r="E66" s="15"/>
      <c r="F66" s="15"/>
      <c r="G66" s="15"/>
      <c r="H66" s="15"/>
      <c r="I66" s="15">
        <v>0.0</v>
      </c>
      <c r="J66" s="15"/>
      <c r="K66" s="15">
        <v>0.0</v>
      </c>
      <c r="L66" s="15"/>
      <c r="M66" s="15"/>
      <c r="N66" s="23">
        <v>-24.37</v>
      </c>
      <c r="O66" s="23">
        <v>-5.16</v>
      </c>
      <c r="P66" s="23">
        <v>-10.36</v>
      </c>
      <c r="Q66" s="23">
        <v>-18.48</v>
      </c>
      <c r="R66" s="23">
        <v>-15.64</v>
      </c>
      <c r="S66" s="23">
        <v>-13.69</v>
      </c>
      <c r="T66" s="23">
        <v>-5.2</v>
      </c>
      <c r="U66" s="23">
        <v>-1.74</v>
      </c>
      <c r="V66" s="23">
        <v>-0.83</v>
      </c>
    </row>
    <row r="67" ht="15.0" customHeight="1">
      <c r="A67" s="17" t="s">
        <v>96</v>
      </c>
      <c r="B67" s="25">
        <v>-181.12</v>
      </c>
      <c r="C67" s="25">
        <v>-240.01</v>
      </c>
      <c r="D67" s="25">
        <v>-290.62</v>
      </c>
      <c r="E67" s="25">
        <v>-178.63</v>
      </c>
      <c r="F67" s="25">
        <v>-102.23</v>
      </c>
      <c r="G67" s="25">
        <v>-129.98</v>
      </c>
      <c r="H67" s="25">
        <v>-121.91</v>
      </c>
      <c r="I67" s="25">
        <v>-118.93</v>
      </c>
      <c r="J67" s="25">
        <v>-116.2</v>
      </c>
      <c r="K67" s="25">
        <v>-166.93</v>
      </c>
      <c r="L67" s="25">
        <v>-109.0</v>
      </c>
      <c r="M67" s="24">
        <v>-99.21</v>
      </c>
      <c r="N67" s="24">
        <v>-90.25</v>
      </c>
      <c r="O67" s="24">
        <v>-93.68</v>
      </c>
      <c r="P67" s="25">
        <v>-190.01</v>
      </c>
      <c r="Q67" s="18"/>
      <c r="R67" s="25">
        <v>-130.03</v>
      </c>
      <c r="S67" s="18"/>
      <c r="T67" s="18"/>
      <c r="U67" s="18"/>
      <c r="V67" s="18"/>
    </row>
    <row r="68" ht="15.0" customHeight="1">
      <c r="A68" s="14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0">
        <v>48.71</v>
      </c>
      <c r="R68" s="23">
        <v>-15.64</v>
      </c>
      <c r="S68" s="20">
        <v>49.61</v>
      </c>
      <c r="T68" s="20">
        <v>34.67</v>
      </c>
      <c r="U68" s="20">
        <v>57.43</v>
      </c>
      <c r="V68" s="20">
        <v>23.29</v>
      </c>
    </row>
    <row r="69" ht="15.0" customHeight="1">
      <c r="A69" s="17" t="s">
        <v>115</v>
      </c>
      <c r="B69" s="19">
        <v>4770.47</v>
      </c>
      <c r="C69" s="19">
        <v>4739.21</v>
      </c>
      <c r="D69" s="19">
        <v>3805.94</v>
      </c>
      <c r="E69" s="19">
        <v>2232.84</v>
      </c>
      <c r="F69" s="19">
        <v>1991.39</v>
      </c>
      <c r="G69" s="19">
        <v>2087.9</v>
      </c>
      <c r="H69" s="19">
        <v>1871.4</v>
      </c>
      <c r="I69" s="19">
        <v>1712.8</v>
      </c>
      <c r="J69" s="19">
        <v>1613.26</v>
      </c>
      <c r="K69" s="19">
        <v>1418.93</v>
      </c>
      <c r="L69" s="19">
        <v>1238.16</v>
      </c>
      <c r="M69" s="19">
        <v>1060.04</v>
      </c>
      <c r="N69" s="19">
        <v>917.86</v>
      </c>
      <c r="O69" s="19">
        <v>744.26</v>
      </c>
      <c r="P69" s="19">
        <v>704.78</v>
      </c>
      <c r="Q69" s="19">
        <v>695.36</v>
      </c>
      <c r="R69" s="19">
        <v>1068.25</v>
      </c>
      <c r="S69" s="25">
        <v>-117.18</v>
      </c>
      <c r="T69" s="19">
        <v>388.3</v>
      </c>
      <c r="U69" s="19">
        <v>233.2</v>
      </c>
      <c r="V69" s="24">
        <v>-52.39</v>
      </c>
    </row>
    <row r="70" ht="15.0" customHeight="1">
      <c r="A70" s="14" t="s">
        <v>116</v>
      </c>
      <c r="B70" s="16">
        <v>1131.19</v>
      </c>
      <c r="C70" s="16">
        <v>1137.0</v>
      </c>
      <c r="D70" s="16">
        <v>865.89</v>
      </c>
      <c r="E70" s="16">
        <v>541.58</v>
      </c>
      <c r="F70" s="16">
        <v>541.19</v>
      </c>
      <c r="G70" s="16">
        <v>469.78</v>
      </c>
      <c r="H70" s="16">
        <v>463.43</v>
      </c>
      <c r="I70" s="16">
        <v>457.93</v>
      </c>
      <c r="J70" s="16">
        <v>439.63</v>
      </c>
      <c r="K70" s="16">
        <v>397.69</v>
      </c>
      <c r="L70" s="16">
        <v>334.64</v>
      </c>
      <c r="M70" s="16">
        <v>245.26</v>
      </c>
      <c r="N70" s="16">
        <v>249.1</v>
      </c>
      <c r="O70" s="16">
        <v>188.21</v>
      </c>
      <c r="P70" s="16">
        <v>183.1</v>
      </c>
      <c r="Q70" s="16">
        <v>169.64</v>
      </c>
      <c r="R70" s="16">
        <v>374.47</v>
      </c>
      <c r="S70" s="22">
        <v>-113.76</v>
      </c>
      <c r="T70" s="16">
        <v>111.81</v>
      </c>
      <c r="U70" s="20">
        <v>79.19</v>
      </c>
      <c r="V70" s="23">
        <v>-14.97</v>
      </c>
    </row>
    <row r="71" ht="15.0" customHeight="1">
      <c r="A71" s="14" t="s">
        <v>117</v>
      </c>
      <c r="B71" s="15"/>
      <c r="C71" s="16">
        <v>1217.35</v>
      </c>
      <c r="D71" s="16">
        <v>871.86</v>
      </c>
      <c r="E71" s="16">
        <v>633.75</v>
      </c>
      <c r="F71" s="16">
        <v>521.15</v>
      </c>
      <c r="G71" s="16">
        <v>425.77</v>
      </c>
      <c r="H71" s="16">
        <v>546.25</v>
      </c>
      <c r="I71" s="16">
        <v>403.62</v>
      </c>
      <c r="J71" s="16">
        <v>396.05</v>
      </c>
      <c r="K71" s="16">
        <v>444.83</v>
      </c>
      <c r="L71" s="16">
        <v>277.27</v>
      </c>
      <c r="M71" s="16">
        <v>229.65</v>
      </c>
      <c r="N71" s="16">
        <v>246.39</v>
      </c>
      <c r="O71" s="16">
        <v>197.67</v>
      </c>
      <c r="P71" s="16">
        <v>169.28</v>
      </c>
      <c r="Q71" s="16">
        <v>179.72</v>
      </c>
      <c r="R71" s="15"/>
      <c r="S71" s="16">
        <v>114.61</v>
      </c>
      <c r="T71" s="16">
        <v>120.48</v>
      </c>
      <c r="U71" s="20">
        <v>62.65</v>
      </c>
      <c r="V71" s="23">
        <v>-31.6</v>
      </c>
    </row>
    <row r="72" ht="15.0" customHeight="1">
      <c r="A72" s="14" t="s">
        <v>118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>
        <v>118.03</v>
      </c>
      <c r="T72" s="16">
        <v>117.01</v>
      </c>
      <c r="U72" s="20">
        <v>60.04</v>
      </c>
      <c r="V72" s="23">
        <v>-31.6</v>
      </c>
    </row>
    <row r="73" ht="15.0" customHeight="1">
      <c r="A73" s="14" t="s">
        <v>119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23">
        <v>-3.42</v>
      </c>
      <c r="T73" s="20">
        <v>3.47</v>
      </c>
      <c r="U73" s="20">
        <v>2.61</v>
      </c>
      <c r="V73" s="15"/>
    </row>
    <row r="74" ht="15.0" customHeight="1">
      <c r="A74" s="14" t="s">
        <v>120</v>
      </c>
      <c r="B74" s="15"/>
      <c r="C74" s="23">
        <v>-80.34</v>
      </c>
      <c r="D74" s="23">
        <v>-5.97</v>
      </c>
      <c r="E74" s="23">
        <v>-92.16</v>
      </c>
      <c r="F74" s="20">
        <v>20.04</v>
      </c>
      <c r="G74" s="20">
        <v>44.01</v>
      </c>
      <c r="H74" s="23">
        <v>-82.82</v>
      </c>
      <c r="I74" s="20">
        <v>54.32</v>
      </c>
      <c r="J74" s="20">
        <v>43.58</v>
      </c>
      <c r="K74" s="23">
        <v>-47.13</v>
      </c>
      <c r="L74" s="20">
        <v>57.37</v>
      </c>
      <c r="M74" s="20">
        <v>15.62</v>
      </c>
      <c r="N74" s="20">
        <v>2.71</v>
      </c>
      <c r="O74" s="23">
        <v>-9.45</v>
      </c>
      <c r="P74" s="20">
        <v>13.82</v>
      </c>
      <c r="Q74" s="23">
        <v>-10.08</v>
      </c>
      <c r="R74" s="15"/>
      <c r="S74" s="22">
        <v>-228.37</v>
      </c>
      <c r="T74" s="23">
        <v>-8.67</v>
      </c>
      <c r="U74" s="20">
        <v>16.53</v>
      </c>
      <c r="V74" s="20">
        <v>16.63</v>
      </c>
    </row>
    <row r="75" ht="15.0" customHeight="1">
      <c r="A75" s="14" t="s">
        <v>121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22">
        <v>-228.37</v>
      </c>
      <c r="T75" s="23">
        <v>-8.67</v>
      </c>
      <c r="U75" s="20">
        <v>16.53</v>
      </c>
      <c r="V75" s="20">
        <v>16.63</v>
      </c>
    </row>
    <row r="76" ht="15.0" customHeight="1">
      <c r="A76" s="17" t="s">
        <v>116</v>
      </c>
      <c r="B76" s="19">
        <v>1131.19</v>
      </c>
      <c r="C76" s="19">
        <v>1137.0</v>
      </c>
      <c r="D76" s="19">
        <v>865.89</v>
      </c>
      <c r="E76" s="19">
        <v>541.58</v>
      </c>
      <c r="F76" s="19">
        <v>541.19</v>
      </c>
      <c r="G76" s="19">
        <v>469.78</v>
      </c>
      <c r="H76" s="19">
        <v>463.43</v>
      </c>
      <c r="I76" s="19">
        <v>457.93</v>
      </c>
      <c r="J76" s="19">
        <v>439.63</v>
      </c>
      <c r="K76" s="19">
        <v>397.69</v>
      </c>
      <c r="L76" s="19">
        <v>334.64</v>
      </c>
      <c r="M76" s="19">
        <v>245.26</v>
      </c>
      <c r="N76" s="19">
        <v>249.1</v>
      </c>
      <c r="O76" s="19">
        <v>188.21</v>
      </c>
      <c r="P76" s="19">
        <v>183.1</v>
      </c>
      <c r="Q76" s="19">
        <v>169.64</v>
      </c>
      <c r="R76" s="19">
        <v>374.47</v>
      </c>
      <c r="S76" s="25">
        <v>-113.76</v>
      </c>
      <c r="T76" s="19">
        <v>111.81</v>
      </c>
      <c r="U76" s="21">
        <v>79.19</v>
      </c>
      <c r="V76" s="24">
        <v>-14.97</v>
      </c>
    </row>
    <row r="77" ht="15.0" customHeight="1">
      <c r="A77" s="17" t="s">
        <v>122</v>
      </c>
      <c r="B77" s="19">
        <v>3639.28</v>
      </c>
      <c r="C77" s="19">
        <v>3602.21</v>
      </c>
      <c r="D77" s="19">
        <v>2940.05</v>
      </c>
      <c r="E77" s="19">
        <v>1691.26</v>
      </c>
      <c r="F77" s="19">
        <v>1450.19</v>
      </c>
      <c r="G77" s="19">
        <v>1618.13</v>
      </c>
      <c r="H77" s="19">
        <v>1407.97</v>
      </c>
      <c r="I77" s="19">
        <v>1254.87</v>
      </c>
      <c r="J77" s="19">
        <v>1173.64</v>
      </c>
      <c r="K77" s="19">
        <v>1021.23</v>
      </c>
      <c r="L77" s="19">
        <v>903.52</v>
      </c>
      <c r="M77" s="19">
        <v>814.78</v>
      </c>
      <c r="N77" s="19">
        <v>668.77</v>
      </c>
      <c r="O77" s="19">
        <v>556.04</v>
      </c>
      <c r="P77" s="19">
        <v>521.67</v>
      </c>
      <c r="Q77" s="19">
        <v>525.72</v>
      </c>
      <c r="R77" s="19">
        <v>693.79</v>
      </c>
      <c r="S77" s="24">
        <v>-3.42</v>
      </c>
      <c r="T77" s="19">
        <v>276.49</v>
      </c>
      <c r="U77" s="19">
        <v>154.02</v>
      </c>
      <c r="V77" s="24">
        <v>-37.42</v>
      </c>
    </row>
    <row r="78" ht="15.0" customHeight="1">
      <c r="A78" s="17" t="s">
        <v>123</v>
      </c>
      <c r="B78" s="19">
        <v>3639.28</v>
      </c>
      <c r="C78" s="19">
        <v>3602.21</v>
      </c>
      <c r="D78" s="19">
        <v>2940.05</v>
      </c>
      <c r="E78" s="19">
        <v>1691.26</v>
      </c>
      <c r="F78" s="19">
        <v>1450.19</v>
      </c>
      <c r="G78" s="19">
        <v>1618.13</v>
      </c>
      <c r="H78" s="19">
        <v>1407.97</v>
      </c>
      <c r="I78" s="19">
        <v>1254.87</v>
      </c>
      <c r="J78" s="19">
        <v>1173.64</v>
      </c>
      <c r="K78" s="19">
        <v>1021.23</v>
      </c>
      <c r="L78" s="19">
        <v>903.52</v>
      </c>
      <c r="M78" s="19">
        <v>814.78</v>
      </c>
      <c r="N78" s="19">
        <v>668.77</v>
      </c>
      <c r="O78" s="19">
        <v>556.04</v>
      </c>
      <c r="P78" s="19">
        <v>521.67</v>
      </c>
      <c r="Q78" s="19">
        <v>525.72</v>
      </c>
      <c r="R78" s="19">
        <v>693.79</v>
      </c>
      <c r="S78" s="24">
        <v>-3.42</v>
      </c>
      <c r="T78" s="19">
        <v>276.49</v>
      </c>
      <c r="U78" s="19">
        <v>154.02</v>
      </c>
      <c r="V78" s="24">
        <v>-37.42</v>
      </c>
    </row>
    <row r="79" ht="15.0" customHeight="1">
      <c r="A79" s="14" t="s">
        <v>124</v>
      </c>
      <c r="B79" s="20">
        <v>7.41</v>
      </c>
      <c r="C79" s="20">
        <v>6.1</v>
      </c>
      <c r="D79" s="20">
        <v>6.97</v>
      </c>
      <c r="E79" s="20">
        <v>9.5</v>
      </c>
      <c r="F79" s="20">
        <v>10.02</v>
      </c>
      <c r="G79" s="20">
        <v>18.42</v>
      </c>
      <c r="H79" s="20">
        <v>24.2</v>
      </c>
      <c r="I79" s="20">
        <v>16.86</v>
      </c>
      <c r="J79" s="20">
        <v>17.43</v>
      </c>
      <c r="K79" s="20">
        <v>36.33</v>
      </c>
      <c r="L79" s="20">
        <v>11.47</v>
      </c>
      <c r="M79" s="20">
        <v>7.35</v>
      </c>
      <c r="N79" s="20">
        <v>8.12</v>
      </c>
      <c r="O79" s="20">
        <v>6.02</v>
      </c>
      <c r="P79" s="20">
        <v>1.73</v>
      </c>
      <c r="Q79" s="20">
        <v>1.68</v>
      </c>
      <c r="R79" s="20">
        <v>13.99</v>
      </c>
      <c r="S79" s="23">
        <v>-4.28</v>
      </c>
      <c r="T79" s="20">
        <v>4.33</v>
      </c>
      <c r="U79" s="20">
        <v>5.22</v>
      </c>
      <c r="V79" s="20">
        <v>0.83</v>
      </c>
    </row>
    <row r="80" ht="15.0" customHeight="1">
      <c r="A80" s="17" t="s">
        <v>125</v>
      </c>
      <c r="B80" s="21">
        <v>7.41</v>
      </c>
      <c r="C80" s="21">
        <v>6.1</v>
      </c>
      <c r="D80" s="21">
        <v>6.97</v>
      </c>
      <c r="E80" s="21">
        <v>9.5</v>
      </c>
      <c r="F80" s="21">
        <v>10.02</v>
      </c>
      <c r="G80" s="21">
        <v>18.42</v>
      </c>
      <c r="H80" s="21">
        <v>24.2</v>
      </c>
      <c r="I80" s="21">
        <v>16.86</v>
      </c>
      <c r="J80" s="21">
        <v>17.43</v>
      </c>
      <c r="K80" s="21">
        <v>36.33</v>
      </c>
      <c r="L80" s="21">
        <v>11.47</v>
      </c>
      <c r="M80" s="21">
        <v>7.35</v>
      </c>
      <c r="N80" s="21">
        <v>8.12</v>
      </c>
      <c r="O80" s="21">
        <v>6.02</v>
      </c>
      <c r="P80" s="21">
        <v>1.73</v>
      </c>
      <c r="Q80" s="21">
        <v>1.68</v>
      </c>
      <c r="R80" s="21">
        <v>13.99</v>
      </c>
      <c r="S80" s="24">
        <v>-4.28</v>
      </c>
      <c r="T80" s="21">
        <v>4.33</v>
      </c>
      <c r="U80" s="21">
        <v>5.22</v>
      </c>
      <c r="V80" s="21">
        <v>0.83</v>
      </c>
    </row>
    <row r="81" ht="15.0" customHeight="1">
      <c r="A81" s="17" t="s">
        <v>126</v>
      </c>
      <c r="B81" s="19">
        <v>3631.87</v>
      </c>
      <c r="C81" s="19">
        <v>3596.1</v>
      </c>
      <c r="D81" s="19">
        <v>2933.08</v>
      </c>
      <c r="E81" s="19">
        <v>1681.76</v>
      </c>
      <c r="F81" s="19">
        <v>1440.17</v>
      </c>
      <c r="G81" s="19">
        <v>1599.7</v>
      </c>
      <c r="H81" s="19">
        <v>1383.78</v>
      </c>
      <c r="I81" s="19">
        <v>1238.01</v>
      </c>
      <c r="J81" s="19">
        <v>1156.21</v>
      </c>
      <c r="K81" s="19">
        <v>984.9</v>
      </c>
      <c r="L81" s="19">
        <v>892.05</v>
      </c>
      <c r="M81" s="19">
        <v>807.43</v>
      </c>
      <c r="N81" s="19">
        <v>660.64</v>
      </c>
      <c r="O81" s="19">
        <v>550.03</v>
      </c>
      <c r="P81" s="19">
        <v>519.94</v>
      </c>
      <c r="Q81" s="19">
        <v>524.04</v>
      </c>
      <c r="R81" s="19">
        <v>679.8</v>
      </c>
      <c r="S81" s="21">
        <v>0.86</v>
      </c>
      <c r="T81" s="19">
        <v>272.16</v>
      </c>
      <c r="U81" s="19">
        <v>148.8</v>
      </c>
      <c r="V81" s="24">
        <v>-38.25</v>
      </c>
    </row>
    <row r="82" ht="15.0" customHeight="1">
      <c r="A82" s="17" t="s">
        <v>127</v>
      </c>
      <c r="B82" s="19">
        <v>3631.87</v>
      </c>
      <c r="C82" s="19">
        <v>3596.1</v>
      </c>
      <c r="D82" s="19">
        <v>2933.08</v>
      </c>
      <c r="E82" s="19">
        <v>1681.76</v>
      </c>
      <c r="F82" s="19">
        <v>1440.17</v>
      </c>
      <c r="G82" s="19">
        <v>1599.7</v>
      </c>
      <c r="H82" s="19">
        <v>1383.78</v>
      </c>
      <c r="I82" s="19">
        <v>1238.01</v>
      </c>
      <c r="J82" s="19">
        <v>1156.21</v>
      </c>
      <c r="K82" s="19">
        <v>984.9</v>
      </c>
      <c r="L82" s="19">
        <v>892.05</v>
      </c>
      <c r="M82" s="19">
        <v>807.43</v>
      </c>
      <c r="N82" s="19">
        <v>660.64</v>
      </c>
      <c r="O82" s="19">
        <v>550.03</v>
      </c>
      <c r="P82" s="19">
        <v>519.94</v>
      </c>
      <c r="Q82" s="19">
        <v>524.04</v>
      </c>
      <c r="R82" s="19">
        <v>679.8</v>
      </c>
      <c r="S82" s="21">
        <v>0.86</v>
      </c>
      <c r="T82" s="19">
        <v>272.16</v>
      </c>
      <c r="U82" s="19">
        <v>148.8</v>
      </c>
      <c r="V82" s="24">
        <v>-38.25</v>
      </c>
    </row>
    <row r="83" ht="15.0" customHeight="1">
      <c r="A83" s="14" t="s">
        <v>128</v>
      </c>
      <c r="B83" s="15"/>
      <c r="C83" s="15"/>
      <c r="D83" s="23">
        <v>-1.0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7" t="s">
        <v>129</v>
      </c>
      <c r="B84" s="19">
        <v>3631.87</v>
      </c>
      <c r="C84" s="19">
        <v>3596.1</v>
      </c>
      <c r="D84" s="19">
        <v>2932.08</v>
      </c>
      <c r="E84" s="19">
        <v>1681.76</v>
      </c>
      <c r="F84" s="19">
        <v>1440.17</v>
      </c>
      <c r="G84" s="19">
        <v>1599.7</v>
      </c>
      <c r="H84" s="19">
        <v>1383.78</v>
      </c>
      <c r="I84" s="19">
        <v>1238.01</v>
      </c>
      <c r="J84" s="19">
        <v>1156.21</v>
      </c>
      <c r="K84" s="19">
        <v>984.9</v>
      </c>
      <c r="L84" s="19">
        <v>892.05</v>
      </c>
      <c r="M84" s="19">
        <v>807.43</v>
      </c>
      <c r="N84" s="19">
        <v>660.64</v>
      </c>
      <c r="O84" s="19">
        <v>550.03</v>
      </c>
      <c r="P84" s="19">
        <v>519.94</v>
      </c>
      <c r="Q84" s="19">
        <v>524.04</v>
      </c>
      <c r="R84" s="19">
        <v>679.8</v>
      </c>
      <c r="S84" s="21">
        <v>0.86</v>
      </c>
      <c r="T84" s="19">
        <v>272.16</v>
      </c>
      <c r="U84" s="19">
        <v>148.8</v>
      </c>
      <c r="V84" s="24">
        <v>-38.25</v>
      </c>
    </row>
    <row r="85" ht="15.0" customHeight="1">
      <c r="A85" s="14" t="s">
        <v>123</v>
      </c>
      <c r="B85" s="16">
        <v>3639.28</v>
      </c>
      <c r="C85" s="16">
        <v>3602.21</v>
      </c>
      <c r="D85" s="16">
        <v>2940.05</v>
      </c>
      <c r="E85" s="16">
        <v>1691.26</v>
      </c>
      <c r="F85" s="16">
        <v>1450.19</v>
      </c>
      <c r="G85" s="16">
        <v>1618.13</v>
      </c>
      <c r="H85" s="16">
        <v>1407.97</v>
      </c>
      <c r="I85" s="16">
        <v>1254.87</v>
      </c>
      <c r="J85" s="16">
        <v>1173.64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130</v>
      </c>
      <c r="B86" s="20">
        <v>40.25</v>
      </c>
      <c r="C86" s="23">
        <v>-32.54</v>
      </c>
      <c r="D86" s="23">
        <v>-10.95</v>
      </c>
      <c r="E86" s="16">
        <v>141.57</v>
      </c>
      <c r="F86" s="20">
        <v>12.03</v>
      </c>
      <c r="G86" s="23">
        <v>-19.45</v>
      </c>
      <c r="H86" s="23">
        <v>-19.54</v>
      </c>
      <c r="I86" s="23">
        <v>-26.22</v>
      </c>
      <c r="J86" s="23">
        <v>-14.53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131</v>
      </c>
      <c r="B87" s="22">
        <v>-2695.57</v>
      </c>
      <c r="C87" s="16">
        <v>579.69</v>
      </c>
      <c r="D87" s="22">
        <v>-145.31</v>
      </c>
      <c r="E87" s="16">
        <v>1387.21</v>
      </c>
      <c r="F87" s="16">
        <v>683.51</v>
      </c>
      <c r="G87" s="22">
        <v>-2005.0</v>
      </c>
      <c r="H87" s="16">
        <v>374.09</v>
      </c>
      <c r="I87" s="16">
        <v>339.0</v>
      </c>
      <c r="J87" s="22">
        <v>-683.65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132</v>
      </c>
      <c r="B88" s="15"/>
      <c r="C88" s="22">
        <v>-104.75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133</v>
      </c>
      <c r="B89" s="15">
        <v>0.0</v>
      </c>
      <c r="C89" s="23">
        <v>-13.22</v>
      </c>
      <c r="D89" s="23">
        <v>-11.94</v>
      </c>
      <c r="E89" s="20">
        <v>19.0</v>
      </c>
      <c r="F89" s="20">
        <v>5.01</v>
      </c>
      <c r="G89" s="23">
        <v>-1.02</v>
      </c>
      <c r="H89" s="15">
        <v>0.0</v>
      </c>
      <c r="I89" s="15"/>
      <c r="J89" s="15">
        <v>0.0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134</v>
      </c>
      <c r="B90" s="15">
        <v>0.0</v>
      </c>
      <c r="C90" s="20">
        <v>3.05</v>
      </c>
      <c r="D90" s="20">
        <v>2.99</v>
      </c>
      <c r="E90" s="23">
        <v>-3.8</v>
      </c>
      <c r="F90" s="23">
        <v>-1.0</v>
      </c>
      <c r="G90" s="15">
        <v>0.0</v>
      </c>
      <c r="H90" s="15">
        <v>0.0</v>
      </c>
      <c r="I90" s="15"/>
      <c r="J90" s="15">
        <v>0.0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7" t="s">
        <v>135</v>
      </c>
      <c r="B91" s="25">
        <v>-2655.32</v>
      </c>
      <c r="C91" s="19">
        <v>432.22</v>
      </c>
      <c r="D91" s="25">
        <v>-165.22</v>
      </c>
      <c r="E91" s="19">
        <v>1543.99</v>
      </c>
      <c r="F91" s="19">
        <v>699.54</v>
      </c>
      <c r="G91" s="25">
        <v>-2025.47</v>
      </c>
      <c r="H91" s="19">
        <v>354.55</v>
      </c>
      <c r="I91" s="19">
        <v>312.78</v>
      </c>
      <c r="J91" s="25">
        <v>-698.18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127</v>
      </c>
      <c r="B92" s="16">
        <v>974.43</v>
      </c>
      <c r="C92" s="16">
        <v>4028.33</v>
      </c>
      <c r="D92" s="16">
        <v>2765.87</v>
      </c>
      <c r="E92" s="16">
        <v>3220.04</v>
      </c>
      <c r="F92" s="16">
        <v>2140.71</v>
      </c>
      <c r="G92" s="22">
        <v>-417.58</v>
      </c>
      <c r="H92" s="16">
        <v>1738.33</v>
      </c>
      <c r="I92" s="16">
        <v>1550.79</v>
      </c>
      <c r="J92" s="20">
        <v>15.49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4" t="s">
        <v>136</v>
      </c>
      <c r="B93" s="20">
        <v>9.53</v>
      </c>
      <c r="C93" s="20">
        <v>6.1</v>
      </c>
      <c r="D93" s="20">
        <v>8.96</v>
      </c>
      <c r="E93" s="20">
        <v>15.2</v>
      </c>
      <c r="F93" s="20">
        <v>9.02</v>
      </c>
      <c r="G93" s="20">
        <v>10.23</v>
      </c>
      <c r="H93" s="20">
        <v>24.2</v>
      </c>
      <c r="I93" s="20">
        <v>16.86</v>
      </c>
      <c r="J93" s="16">
        <v>459.96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7" t="s">
        <v>137</v>
      </c>
      <c r="B94" s="19">
        <v>983.96</v>
      </c>
      <c r="C94" s="19">
        <v>4034.43</v>
      </c>
      <c r="D94" s="19">
        <v>2774.83</v>
      </c>
      <c r="E94" s="19">
        <v>3235.24</v>
      </c>
      <c r="F94" s="19">
        <v>2149.73</v>
      </c>
      <c r="G94" s="25">
        <v>-407.35</v>
      </c>
      <c r="H94" s="19">
        <v>1762.53</v>
      </c>
      <c r="I94" s="19">
        <v>1567.65</v>
      </c>
      <c r="J94" s="19">
        <v>475.46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0" customHeight="1">
      <c r="A95" s="14" t="s">
        <v>138</v>
      </c>
      <c r="B95" s="16">
        <v>260.45</v>
      </c>
      <c r="C95" s="16">
        <v>259.56</v>
      </c>
      <c r="D95" s="16">
        <v>259.56</v>
      </c>
      <c r="E95" s="16">
        <v>258.88</v>
      </c>
      <c r="F95" s="16">
        <v>257.0</v>
      </c>
      <c r="G95" s="16">
        <v>253.94</v>
      </c>
      <c r="H95" s="16">
        <v>253.73</v>
      </c>
      <c r="I95" s="16">
        <v>253.73</v>
      </c>
      <c r="J95" s="16">
        <v>253.73</v>
      </c>
      <c r="K95" s="16">
        <v>253.73</v>
      </c>
      <c r="L95" s="16">
        <v>252.47</v>
      </c>
      <c r="M95" s="16">
        <v>249.28</v>
      </c>
      <c r="N95" s="16">
        <v>245.44</v>
      </c>
      <c r="O95" s="16">
        <v>245.38</v>
      </c>
      <c r="P95" s="16">
        <v>245.38</v>
      </c>
      <c r="Q95" s="16">
        <v>245.38</v>
      </c>
      <c r="R95" s="16">
        <v>245.38</v>
      </c>
      <c r="S95" s="16">
        <v>245.35</v>
      </c>
      <c r="T95" s="16">
        <v>245.15</v>
      </c>
      <c r="U95" s="16">
        <v>244.83</v>
      </c>
      <c r="V95" s="16">
        <v>248.3</v>
      </c>
    </row>
    <row r="96" ht="15.0" customHeight="1">
      <c r="A96" s="14" t="s">
        <v>139</v>
      </c>
      <c r="B96" s="20">
        <v>13.99</v>
      </c>
      <c r="C96" s="20">
        <v>13.85</v>
      </c>
      <c r="D96" s="20">
        <v>11.3</v>
      </c>
      <c r="E96" s="20">
        <v>6.5</v>
      </c>
      <c r="F96" s="20">
        <v>5.6</v>
      </c>
      <c r="G96" s="20">
        <v>6.3</v>
      </c>
      <c r="H96" s="20">
        <v>5.45</v>
      </c>
      <c r="I96" s="20">
        <v>4.88</v>
      </c>
      <c r="J96" s="20">
        <v>4.56</v>
      </c>
      <c r="K96" s="20">
        <v>3.88</v>
      </c>
      <c r="L96" s="20">
        <v>3.53</v>
      </c>
      <c r="M96" s="20">
        <v>3.24</v>
      </c>
      <c r="N96" s="20">
        <v>2.69</v>
      </c>
      <c r="O96" s="20">
        <v>2.24</v>
      </c>
      <c r="P96" s="20">
        <v>2.12</v>
      </c>
      <c r="Q96" s="20">
        <v>2.14</v>
      </c>
      <c r="R96" s="20">
        <v>2.77</v>
      </c>
      <c r="S96" s="20">
        <v>0.01</v>
      </c>
      <c r="T96" s="20">
        <v>1.11</v>
      </c>
      <c r="U96" s="20">
        <v>0.61</v>
      </c>
      <c r="V96" s="23">
        <v>-0.16</v>
      </c>
    </row>
    <row r="97" ht="15.0" customHeight="1">
      <c r="A97" s="14" t="s">
        <v>140</v>
      </c>
      <c r="B97" s="20">
        <v>13.99</v>
      </c>
      <c r="C97" s="20">
        <v>13.85</v>
      </c>
      <c r="D97" s="20">
        <v>11.3</v>
      </c>
      <c r="E97" s="20">
        <v>6.5</v>
      </c>
      <c r="F97" s="20">
        <v>5.6</v>
      </c>
      <c r="G97" s="20">
        <v>6.3</v>
      </c>
      <c r="H97" s="20">
        <v>5.45</v>
      </c>
      <c r="I97" s="20">
        <v>4.88</v>
      </c>
      <c r="J97" s="20">
        <v>4.56</v>
      </c>
      <c r="K97" s="20">
        <v>3.88</v>
      </c>
      <c r="L97" s="20">
        <v>3.53</v>
      </c>
      <c r="M97" s="20">
        <v>3.24</v>
      </c>
      <c r="N97" s="20">
        <v>2.69</v>
      </c>
      <c r="O97" s="20">
        <v>2.24</v>
      </c>
      <c r="P97" s="20">
        <v>2.12</v>
      </c>
      <c r="Q97" s="20">
        <v>2.14</v>
      </c>
      <c r="R97" s="20">
        <v>2.77</v>
      </c>
      <c r="S97" s="15">
        <v>0.0</v>
      </c>
      <c r="T97" s="20">
        <v>1.11</v>
      </c>
      <c r="U97" s="20">
        <v>0.61</v>
      </c>
      <c r="V97" s="23">
        <v>-0.16</v>
      </c>
    </row>
    <row r="98" ht="15.0" customHeight="1">
      <c r="A98" s="14" t="s">
        <v>141</v>
      </c>
      <c r="B98" s="16">
        <v>260.45</v>
      </c>
      <c r="C98" s="16">
        <v>260.58</v>
      </c>
      <c r="D98" s="16">
        <v>259.56</v>
      </c>
      <c r="E98" s="16">
        <v>258.88</v>
      </c>
      <c r="F98" s="16">
        <v>257.68</v>
      </c>
      <c r="G98" s="16">
        <v>253.94</v>
      </c>
      <c r="H98" s="16">
        <v>253.73</v>
      </c>
      <c r="I98" s="16">
        <v>253.73</v>
      </c>
      <c r="J98" s="16">
        <v>253.73</v>
      </c>
      <c r="K98" s="16">
        <v>253.73</v>
      </c>
      <c r="L98" s="16">
        <v>252.47</v>
      </c>
      <c r="M98" s="16">
        <v>249.28</v>
      </c>
      <c r="N98" s="16">
        <v>249.26</v>
      </c>
      <c r="O98" s="16">
        <v>252.96</v>
      </c>
      <c r="P98" s="16">
        <v>245.38</v>
      </c>
      <c r="Q98" s="16">
        <v>245.38</v>
      </c>
      <c r="R98" s="16">
        <v>245.38</v>
      </c>
      <c r="S98" s="16">
        <v>245.35</v>
      </c>
      <c r="T98" s="16">
        <v>245.15</v>
      </c>
      <c r="U98" s="16">
        <v>244.83</v>
      </c>
      <c r="V98" s="16">
        <v>248.3</v>
      </c>
    </row>
    <row r="99" ht="15.0" customHeight="1">
      <c r="A99" s="14" t="s">
        <v>142</v>
      </c>
      <c r="B99" s="20">
        <v>13.94</v>
      </c>
      <c r="C99" s="20">
        <v>13.8</v>
      </c>
      <c r="D99" s="20">
        <v>11.3</v>
      </c>
      <c r="E99" s="20">
        <v>6.5</v>
      </c>
      <c r="F99" s="20">
        <v>5.59</v>
      </c>
      <c r="G99" s="20">
        <v>6.3</v>
      </c>
      <c r="H99" s="20">
        <v>5.45</v>
      </c>
      <c r="I99" s="20">
        <v>4.88</v>
      </c>
      <c r="J99" s="20">
        <v>4.56</v>
      </c>
      <c r="K99" s="20">
        <v>3.88</v>
      </c>
      <c r="L99" s="20">
        <v>3.52</v>
      </c>
      <c r="M99" s="20">
        <v>3.21</v>
      </c>
      <c r="N99" s="20">
        <v>2.65</v>
      </c>
      <c r="O99" s="20">
        <v>2.17</v>
      </c>
      <c r="P99" s="20">
        <v>2.12</v>
      </c>
      <c r="Q99" s="20">
        <v>2.14</v>
      </c>
      <c r="R99" s="20">
        <v>2.77</v>
      </c>
      <c r="S99" s="20">
        <v>0.01</v>
      </c>
      <c r="T99" s="20">
        <v>1.11</v>
      </c>
      <c r="U99" s="20">
        <v>0.61</v>
      </c>
      <c r="V99" s="23">
        <v>-0.16</v>
      </c>
    </row>
    <row r="100" ht="15.0" customHeight="1">
      <c r="A100" s="14" t="s">
        <v>143</v>
      </c>
      <c r="B100" s="20">
        <v>13.94</v>
      </c>
      <c r="C100" s="20">
        <v>13.8</v>
      </c>
      <c r="D100" s="20">
        <v>11.3</v>
      </c>
      <c r="E100" s="20">
        <v>6.5</v>
      </c>
      <c r="F100" s="20">
        <v>5.59</v>
      </c>
      <c r="G100" s="20">
        <v>6.3</v>
      </c>
      <c r="H100" s="20">
        <v>5.45</v>
      </c>
      <c r="I100" s="20">
        <v>4.88</v>
      </c>
      <c r="J100" s="20">
        <v>4.56</v>
      </c>
      <c r="K100" s="20">
        <v>3.88</v>
      </c>
      <c r="L100" s="20">
        <v>3.52</v>
      </c>
      <c r="M100" s="20">
        <v>3.21</v>
      </c>
      <c r="N100" s="20">
        <v>2.65</v>
      </c>
      <c r="O100" s="20">
        <v>2.17</v>
      </c>
      <c r="P100" s="20">
        <v>2.12</v>
      </c>
      <c r="Q100" s="20">
        <v>2.14</v>
      </c>
      <c r="R100" s="20">
        <v>2.77</v>
      </c>
      <c r="S100" s="15">
        <v>0.0</v>
      </c>
      <c r="T100" s="20">
        <v>1.11</v>
      </c>
      <c r="U100" s="20">
        <v>0.61</v>
      </c>
      <c r="V100" s="23">
        <v>-0.16</v>
      </c>
    </row>
    <row r="101" ht="15.0" customHeight="1">
      <c r="A101" s="14" t="s">
        <v>144</v>
      </c>
      <c r="B101" s="16">
        <v>3631.87</v>
      </c>
      <c r="C101" s="16">
        <v>3596.1</v>
      </c>
      <c r="D101" s="16">
        <v>2932.08</v>
      </c>
      <c r="E101" s="16">
        <v>1681.76</v>
      </c>
      <c r="F101" s="16">
        <v>1440.17</v>
      </c>
      <c r="G101" s="16">
        <v>1599.7</v>
      </c>
      <c r="H101" s="16">
        <v>1383.78</v>
      </c>
      <c r="I101" s="16">
        <v>1238.01</v>
      </c>
      <c r="J101" s="16">
        <v>1156.21</v>
      </c>
      <c r="K101" s="16">
        <v>984.9</v>
      </c>
      <c r="L101" s="16">
        <v>892.05</v>
      </c>
      <c r="M101" s="16">
        <v>807.43</v>
      </c>
      <c r="N101" s="16">
        <v>660.64</v>
      </c>
      <c r="O101" s="16">
        <v>550.03</v>
      </c>
      <c r="P101" s="16">
        <v>519.94</v>
      </c>
      <c r="Q101" s="16">
        <v>524.04</v>
      </c>
      <c r="R101" s="16">
        <v>679.8</v>
      </c>
      <c r="S101" s="20">
        <v>0.86</v>
      </c>
      <c r="T101" s="16">
        <v>272.16</v>
      </c>
      <c r="U101" s="16">
        <v>148.8</v>
      </c>
      <c r="V101" s="23">
        <v>-38.25</v>
      </c>
    </row>
    <row r="102" ht="15.0" customHeight="1">
      <c r="A102" s="14" t="s">
        <v>145</v>
      </c>
      <c r="B102" s="16">
        <v>3631.87</v>
      </c>
      <c r="C102" s="16">
        <v>3596.1</v>
      </c>
      <c r="D102" s="16">
        <v>2933.08</v>
      </c>
      <c r="E102" s="16">
        <v>1681.76</v>
      </c>
      <c r="F102" s="16">
        <v>1440.17</v>
      </c>
      <c r="G102" s="16">
        <v>1599.7</v>
      </c>
      <c r="H102" s="16">
        <v>1383.78</v>
      </c>
      <c r="I102" s="16">
        <v>1238.01</v>
      </c>
      <c r="J102" s="16">
        <v>1156.21</v>
      </c>
      <c r="K102" s="16">
        <v>984.9</v>
      </c>
      <c r="L102" s="16">
        <v>892.05</v>
      </c>
      <c r="M102" s="16">
        <v>807.43</v>
      </c>
      <c r="N102" s="16">
        <v>660.64</v>
      </c>
      <c r="O102" s="16">
        <v>550.03</v>
      </c>
      <c r="P102" s="16">
        <v>519.94</v>
      </c>
      <c r="Q102" s="16">
        <v>524.04</v>
      </c>
      <c r="R102" s="16">
        <v>679.8</v>
      </c>
      <c r="S102" s="20">
        <v>0.86</v>
      </c>
      <c r="T102" s="16">
        <v>272.16</v>
      </c>
      <c r="U102" s="16">
        <v>148.8</v>
      </c>
      <c r="V102" s="23">
        <v>-38.25</v>
      </c>
    </row>
    <row r="103" ht="15.0" customHeight="1">
      <c r="A103" s="14" t="s">
        <v>146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>
        <v>0.0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>
        <v>0.0</v>
      </c>
    </row>
    <row r="104" ht="15.0" customHeight="1">
      <c r="A104" s="14" t="s">
        <v>147</v>
      </c>
      <c r="B104" s="15"/>
      <c r="C104" s="16">
        <v>844.11</v>
      </c>
      <c r="D104" s="16">
        <v>823.09</v>
      </c>
      <c r="E104" s="16">
        <v>724.96</v>
      </c>
      <c r="F104" s="16">
        <v>689.52</v>
      </c>
      <c r="G104" s="16">
        <v>704.16</v>
      </c>
      <c r="H104" s="16">
        <v>612.32</v>
      </c>
      <c r="I104" s="16">
        <v>488.84</v>
      </c>
      <c r="J104" s="16">
        <v>447.38</v>
      </c>
      <c r="K104" s="16">
        <v>422.24</v>
      </c>
      <c r="L104" s="16">
        <v>385.31</v>
      </c>
      <c r="M104" s="16">
        <v>328.85</v>
      </c>
      <c r="N104" s="16">
        <v>289.71</v>
      </c>
      <c r="O104" s="16">
        <v>280.17</v>
      </c>
      <c r="P104" s="16">
        <v>277.25</v>
      </c>
      <c r="Q104" s="16">
        <v>298.97</v>
      </c>
      <c r="R104" s="16">
        <v>331.67</v>
      </c>
      <c r="S104" s="16">
        <v>302.78</v>
      </c>
      <c r="T104" s="16">
        <v>276.49</v>
      </c>
      <c r="U104" s="16">
        <v>249.74</v>
      </c>
      <c r="V104" s="20">
        <v>60.71</v>
      </c>
    </row>
    <row r="105" ht="15.0" customHeight="1">
      <c r="A105" s="14" t="s">
        <v>148</v>
      </c>
      <c r="B105" s="15"/>
      <c r="C105" s="20">
        <v>32.54</v>
      </c>
      <c r="D105" s="20">
        <v>29.86</v>
      </c>
      <c r="E105" s="20">
        <v>26.6</v>
      </c>
      <c r="F105" s="20">
        <v>30.07</v>
      </c>
      <c r="G105" s="20">
        <v>39.92</v>
      </c>
      <c r="H105" s="20">
        <v>26.99</v>
      </c>
      <c r="I105" s="20">
        <v>28.09</v>
      </c>
      <c r="J105" s="20">
        <v>28.08</v>
      </c>
      <c r="K105" s="20">
        <v>33.39</v>
      </c>
      <c r="L105" s="20">
        <v>53.54</v>
      </c>
      <c r="M105" s="20">
        <v>21.13</v>
      </c>
      <c r="N105" s="20">
        <v>19.86</v>
      </c>
      <c r="O105" s="20">
        <v>18.05</v>
      </c>
      <c r="P105" s="20">
        <v>16.41</v>
      </c>
      <c r="Q105" s="20">
        <v>16.8</v>
      </c>
      <c r="R105" s="15"/>
      <c r="S105" s="20">
        <v>17.96</v>
      </c>
      <c r="T105" s="20">
        <v>13.87</v>
      </c>
      <c r="U105" s="20">
        <v>16.53</v>
      </c>
      <c r="V105" s="20">
        <v>3.33</v>
      </c>
    </row>
    <row r="106" ht="15.0" customHeight="1">
      <c r="A106" s="14" t="s">
        <v>149</v>
      </c>
      <c r="B106" s="16">
        <v>934.18</v>
      </c>
      <c r="C106" s="16">
        <v>876.65</v>
      </c>
      <c r="D106" s="16">
        <v>852.95</v>
      </c>
      <c r="E106" s="16">
        <v>751.56</v>
      </c>
      <c r="F106" s="16">
        <v>719.58</v>
      </c>
      <c r="G106" s="16">
        <v>744.07</v>
      </c>
      <c r="H106" s="16">
        <v>639.31</v>
      </c>
      <c r="I106" s="16">
        <v>516.93</v>
      </c>
      <c r="J106" s="16">
        <v>475.46</v>
      </c>
      <c r="K106" s="16">
        <v>455.63</v>
      </c>
      <c r="L106" s="16">
        <v>412.08</v>
      </c>
      <c r="M106" s="16">
        <v>349.98</v>
      </c>
      <c r="N106" s="16">
        <v>309.56</v>
      </c>
      <c r="O106" s="16">
        <v>298.22</v>
      </c>
      <c r="P106" s="16">
        <v>302.29</v>
      </c>
      <c r="Q106" s="16">
        <v>315.77</v>
      </c>
      <c r="R106" s="16">
        <v>331.67</v>
      </c>
      <c r="S106" s="16">
        <v>320.74</v>
      </c>
      <c r="T106" s="16">
        <v>333.7</v>
      </c>
      <c r="U106" s="16">
        <v>266.27</v>
      </c>
      <c r="V106" s="20">
        <v>60.71</v>
      </c>
    </row>
    <row r="107" ht="15.0" customHeight="1">
      <c r="A107" s="14" t="s">
        <v>150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20">
        <v>12.47</v>
      </c>
    </row>
    <row r="108" ht="15.0" customHeight="1">
      <c r="A108" s="14" t="s">
        <v>84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v>277.25</v>
      </c>
      <c r="Q108" s="16">
        <v>298.97</v>
      </c>
      <c r="R108" s="16">
        <v>331.67</v>
      </c>
      <c r="S108" s="16">
        <v>302.78</v>
      </c>
      <c r="T108" s="16">
        <v>276.49</v>
      </c>
      <c r="U108" s="16">
        <v>249.74</v>
      </c>
      <c r="V108" s="20">
        <v>60.71</v>
      </c>
    </row>
    <row r="109" ht="15.0" customHeight="1">
      <c r="A109" s="14" t="s">
        <v>151</v>
      </c>
      <c r="B109" s="15"/>
      <c r="C109" s="15"/>
      <c r="D109" s="15"/>
      <c r="E109" s="15"/>
      <c r="F109" s="15"/>
      <c r="G109" s="15"/>
      <c r="H109" s="15"/>
      <c r="I109" s="20">
        <v>95.52</v>
      </c>
      <c r="J109" s="20">
        <v>92.96</v>
      </c>
      <c r="K109" s="20">
        <v>92.3</v>
      </c>
      <c r="L109" s="20">
        <v>80.31</v>
      </c>
      <c r="M109" s="20">
        <v>72.57</v>
      </c>
      <c r="N109" s="20">
        <v>65.88</v>
      </c>
      <c r="O109" s="20">
        <v>53.28</v>
      </c>
      <c r="P109" s="20">
        <v>25.91</v>
      </c>
      <c r="Q109" s="20">
        <v>25.19</v>
      </c>
      <c r="R109" s="15"/>
      <c r="S109" s="20">
        <v>29.08</v>
      </c>
      <c r="T109" s="20">
        <v>14.73</v>
      </c>
      <c r="U109" s="20">
        <v>12.18</v>
      </c>
      <c r="V109" s="15"/>
    </row>
    <row r="110" ht="15.0" customHeight="1">
      <c r="A110" s="14" t="s">
        <v>152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3">
        <v>-15.96</v>
      </c>
      <c r="R110" s="15"/>
      <c r="S110" s="22">
        <v>-300.22</v>
      </c>
      <c r="T110" s="15"/>
      <c r="U110" s="15"/>
      <c r="V110" s="15"/>
    </row>
    <row r="111" ht="15.0" customHeight="1">
      <c r="A111" s="14" t="s">
        <v>101</v>
      </c>
      <c r="B111" s="15"/>
      <c r="C111" s="20">
        <v>31.53</v>
      </c>
      <c r="D111" s="20">
        <v>31.85</v>
      </c>
      <c r="E111" s="20">
        <v>28.5</v>
      </c>
      <c r="F111" s="20">
        <v>28.06</v>
      </c>
      <c r="G111" s="20">
        <v>34.8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153</v>
      </c>
      <c r="B112" s="15"/>
      <c r="C112" s="15"/>
      <c r="D112" s="15"/>
      <c r="E112" s="15"/>
      <c r="F112" s="20">
        <v>16.04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154</v>
      </c>
      <c r="B113" s="15"/>
      <c r="C113" s="15"/>
      <c r="D113" s="15"/>
      <c r="E113" s="15"/>
      <c r="F113" s="20">
        <v>2.0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155</v>
      </c>
      <c r="B114" s="15"/>
      <c r="C114" s="20">
        <v>24.41</v>
      </c>
      <c r="D114" s="20">
        <v>22.89</v>
      </c>
      <c r="E114" s="20">
        <v>19.95</v>
      </c>
      <c r="F114" s="20">
        <v>12.03</v>
      </c>
      <c r="G114" s="20">
        <v>13.84</v>
      </c>
      <c r="H114" s="20">
        <v>14.41</v>
      </c>
      <c r="I114" s="20">
        <v>14.87</v>
      </c>
      <c r="J114" s="20">
        <v>8.74</v>
      </c>
      <c r="K114" s="20">
        <v>13.44</v>
      </c>
      <c r="L114" s="20">
        <v>21.07</v>
      </c>
      <c r="M114" s="20">
        <v>14.15</v>
      </c>
      <c r="N114" s="20">
        <v>11.39</v>
      </c>
      <c r="O114" s="20">
        <v>8.34</v>
      </c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156</v>
      </c>
      <c r="B115" s="15"/>
      <c r="C115" s="20">
        <v>12.2</v>
      </c>
      <c r="D115" s="20">
        <v>11.94</v>
      </c>
      <c r="E115" s="20">
        <v>9.5</v>
      </c>
      <c r="F115" s="20">
        <v>9.02</v>
      </c>
      <c r="G115" s="20">
        <v>9.67</v>
      </c>
      <c r="H115" s="20">
        <v>7.75</v>
      </c>
      <c r="I115" s="20">
        <v>6.96</v>
      </c>
      <c r="J115" s="20">
        <v>5.92</v>
      </c>
      <c r="K115" s="20">
        <v>7.53</v>
      </c>
      <c r="L115" s="20">
        <v>7.2</v>
      </c>
      <c r="M115" s="20">
        <v>5.53</v>
      </c>
      <c r="N115" s="20">
        <v>5.12</v>
      </c>
      <c r="O115" s="20">
        <v>4.78</v>
      </c>
      <c r="P115" s="23">
        <v>-4.22</v>
      </c>
      <c r="Q115" s="20">
        <v>4.1</v>
      </c>
      <c r="R115" s="15"/>
      <c r="S115" s="20">
        <v>3.99</v>
      </c>
      <c r="T115" s="20">
        <v>4.5</v>
      </c>
      <c r="U115" s="20">
        <v>6.09</v>
      </c>
      <c r="V115" s="15"/>
    </row>
    <row r="116" ht="15.0" customHeight="1">
      <c r="A116" s="14" t="s">
        <v>157</v>
      </c>
      <c r="B116" s="15"/>
      <c r="C116" s="20">
        <v>1.02</v>
      </c>
      <c r="D116" s="15">
        <v>0.0</v>
      </c>
      <c r="E116" s="20">
        <v>0.95</v>
      </c>
      <c r="F116" s="20">
        <v>1.0</v>
      </c>
      <c r="G116" s="20">
        <v>1.44</v>
      </c>
      <c r="H116" s="20">
        <v>1.73</v>
      </c>
      <c r="I116" s="20">
        <v>0.26</v>
      </c>
      <c r="J116" s="20">
        <v>0.67</v>
      </c>
      <c r="K116" s="20">
        <v>0.51</v>
      </c>
      <c r="L116" s="20">
        <v>2.22</v>
      </c>
      <c r="M116" s="20">
        <v>0.54</v>
      </c>
      <c r="N116" s="20">
        <v>0.19</v>
      </c>
      <c r="O116" s="20">
        <v>0.68</v>
      </c>
      <c r="P116" s="23">
        <v>-1.04</v>
      </c>
      <c r="Q116" s="20">
        <v>0.21</v>
      </c>
      <c r="R116" s="15"/>
      <c r="S116" s="15"/>
      <c r="T116" s="15"/>
      <c r="U116" s="15"/>
      <c r="V116" s="15"/>
    </row>
    <row r="117" ht="15.0" customHeight="1">
      <c r="A117" s="14" t="s">
        <v>158</v>
      </c>
      <c r="B117" s="15"/>
      <c r="C117" s="20">
        <v>10.17</v>
      </c>
      <c r="D117" s="20">
        <v>9.95</v>
      </c>
      <c r="E117" s="20">
        <v>9.5</v>
      </c>
      <c r="F117" s="20">
        <v>2.0</v>
      </c>
      <c r="G117" s="20">
        <v>1.56</v>
      </c>
      <c r="H117" s="20">
        <v>1.46</v>
      </c>
      <c r="I117" s="20">
        <v>0.54</v>
      </c>
      <c r="J117" s="20">
        <v>0.48</v>
      </c>
      <c r="K117" s="20">
        <v>0.96</v>
      </c>
      <c r="L117" s="20">
        <v>1.24</v>
      </c>
      <c r="M117" s="20">
        <v>0.53</v>
      </c>
      <c r="N117" s="20">
        <v>0.71</v>
      </c>
      <c r="O117" s="20">
        <v>0.53</v>
      </c>
      <c r="P117" s="23">
        <v>-0.63</v>
      </c>
      <c r="Q117" s="20">
        <v>0.66</v>
      </c>
      <c r="R117" s="15"/>
      <c r="S117" s="15"/>
      <c r="T117" s="15"/>
      <c r="U117" s="15"/>
      <c r="V117" s="15"/>
    </row>
    <row r="118" ht="15.0" customHeight="1">
      <c r="A118" s="14" t="s">
        <v>159</v>
      </c>
      <c r="B118" s="15"/>
      <c r="C118" s="20">
        <v>1.02</v>
      </c>
      <c r="D118" s="20">
        <v>1.0</v>
      </c>
      <c r="E118" s="15">
        <v>0.0</v>
      </c>
      <c r="F118" s="15">
        <v>0.0</v>
      </c>
      <c r="G118" s="20">
        <v>1.17</v>
      </c>
      <c r="H118" s="20">
        <v>3.47</v>
      </c>
      <c r="I118" s="20">
        <v>7.1</v>
      </c>
      <c r="J118" s="20">
        <v>1.66</v>
      </c>
      <c r="K118" s="20">
        <v>4.44</v>
      </c>
      <c r="L118" s="20">
        <v>10.42</v>
      </c>
      <c r="M118" s="20">
        <v>7.54</v>
      </c>
      <c r="N118" s="20">
        <v>5.37</v>
      </c>
      <c r="O118" s="20">
        <v>2.26</v>
      </c>
      <c r="P118" s="23">
        <v>-3.27</v>
      </c>
      <c r="Q118" s="20">
        <v>0.37</v>
      </c>
      <c r="R118" s="15"/>
      <c r="S118" s="20">
        <v>2.63</v>
      </c>
      <c r="T118" s="20">
        <v>6.05</v>
      </c>
      <c r="U118" s="20">
        <v>9.57</v>
      </c>
      <c r="V118" s="15"/>
    </row>
    <row r="119" ht="15.0" customHeight="1">
      <c r="A119" s="14" t="s">
        <v>160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20">
        <v>0.09</v>
      </c>
      <c r="P119" s="15"/>
      <c r="Q119" s="15"/>
      <c r="R119" s="15"/>
      <c r="S119" s="15"/>
      <c r="T119" s="15"/>
      <c r="U119" s="15"/>
      <c r="V119" s="15"/>
    </row>
    <row r="120" ht="15.0" customHeight="1">
      <c r="A120" s="14" t="s">
        <v>161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20">
        <v>16.53</v>
      </c>
      <c r="V120" s="20">
        <v>3.33</v>
      </c>
    </row>
    <row r="121" ht="15.0" customHeight="1">
      <c r="A121" s="14" t="s">
        <v>162</v>
      </c>
      <c r="B121" s="15"/>
      <c r="C121" s="15"/>
      <c r="D121" s="15"/>
      <c r="E121" s="15"/>
      <c r="F121" s="15"/>
      <c r="G121" s="15"/>
      <c r="H121" s="15"/>
      <c r="I121" s="15">
        <v>0.0</v>
      </c>
      <c r="J121" s="15">
        <v>0.0</v>
      </c>
      <c r="K121" s="23">
        <v>-14.73</v>
      </c>
      <c r="L121" s="23">
        <v>-14.34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0" customHeight="1">
      <c r="A122" s="14" t="s">
        <v>163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0">
        <v>12.43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0" customHeight="1">
      <c r="A123" s="14" t="s">
        <v>164</v>
      </c>
      <c r="B123" s="15"/>
      <c r="C123" s="15"/>
      <c r="D123" s="15"/>
      <c r="E123" s="15"/>
      <c r="F123" s="22">
        <v>-304.67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4" t="s">
        <v>165</v>
      </c>
      <c r="B124" s="15"/>
      <c r="C124" s="15"/>
      <c r="D124" s="15">
        <v>0.0</v>
      </c>
      <c r="E124" s="22">
        <v>-332.55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166</v>
      </c>
      <c r="B125" s="22">
        <v>-264.79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167</v>
      </c>
      <c r="B126" s="20">
        <v>13.94</v>
      </c>
      <c r="C126" s="20">
        <v>13.8</v>
      </c>
      <c r="D126" s="20">
        <v>11.3</v>
      </c>
      <c r="E126" s="20">
        <v>6.5</v>
      </c>
      <c r="F126" s="20">
        <v>5.59</v>
      </c>
      <c r="G126" s="20">
        <v>6.3</v>
      </c>
      <c r="H126" s="20">
        <v>5.45</v>
      </c>
      <c r="I126" s="20">
        <v>4.88</v>
      </c>
      <c r="J126" s="20">
        <v>4.56</v>
      </c>
      <c r="K126" s="20">
        <v>3.88</v>
      </c>
      <c r="L126" s="20">
        <v>3.52</v>
      </c>
      <c r="M126" s="20">
        <v>3.21</v>
      </c>
      <c r="N126" s="20">
        <v>2.65</v>
      </c>
      <c r="O126" s="20">
        <v>2.17</v>
      </c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168</v>
      </c>
      <c r="B127" s="16">
        <v>260.45</v>
      </c>
      <c r="C127" s="16">
        <v>259.56</v>
      </c>
      <c r="D127" s="16">
        <v>259.56</v>
      </c>
      <c r="E127" s="16">
        <v>258.88</v>
      </c>
      <c r="F127" s="16">
        <v>257.0</v>
      </c>
      <c r="G127" s="16">
        <v>253.94</v>
      </c>
      <c r="H127" s="16">
        <v>253.73</v>
      </c>
      <c r="I127" s="16">
        <v>253.73</v>
      </c>
      <c r="J127" s="16">
        <v>253.73</v>
      </c>
      <c r="K127" s="16">
        <v>253.73</v>
      </c>
      <c r="L127" s="16">
        <v>252.47</v>
      </c>
      <c r="M127" s="16">
        <v>249.28</v>
      </c>
      <c r="N127" s="16">
        <v>245.44</v>
      </c>
      <c r="O127" s="16">
        <v>245.38</v>
      </c>
      <c r="P127" s="15"/>
      <c r="Q127" s="15"/>
      <c r="R127" s="15"/>
      <c r="S127" s="15"/>
      <c r="T127" s="15"/>
      <c r="U127" s="15"/>
      <c r="V127" s="15"/>
    </row>
    <row r="128" ht="15.0" customHeight="1">
      <c r="A128" s="14" t="s">
        <v>169</v>
      </c>
      <c r="B128" s="16">
        <v>260.45</v>
      </c>
      <c r="C128" s="16">
        <v>260.58</v>
      </c>
      <c r="D128" s="16">
        <v>259.56</v>
      </c>
      <c r="E128" s="16">
        <v>258.88</v>
      </c>
      <c r="F128" s="16">
        <v>257.68</v>
      </c>
      <c r="G128" s="16">
        <v>253.94</v>
      </c>
      <c r="H128" s="16">
        <v>253.73</v>
      </c>
      <c r="I128" s="16">
        <v>253.73</v>
      </c>
      <c r="J128" s="16">
        <v>253.73</v>
      </c>
      <c r="K128" s="16">
        <v>253.73</v>
      </c>
      <c r="L128" s="16">
        <v>252.47</v>
      </c>
      <c r="M128" s="16">
        <v>249.28</v>
      </c>
      <c r="N128" s="16">
        <v>249.26</v>
      </c>
      <c r="O128" s="16">
        <v>252.96</v>
      </c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170</v>
      </c>
      <c r="B129" s="20">
        <v>13.99</v>
      </c>
      <c r="C129" s="20">
        <v>13.85</v>
      </c>
      <c r="D129" s="20">
        <v>11.3</v>
      </c>
      <c r="E129" s="20">
        <v>6.5</v>
      </c>
      <c r="F129" s="20">
        <v>5.6</v>
      </c>
      <c r="G129" s="20">
        <v>6.3</v>
      </c>
      <c r="H129" s="20">
        <v>5.45</v>
      </c>
      <c r="I129" s="20">
        <v>4.88</v>
      </c>
      <c r="J129" s="20">
        <v>4.56</v>
      </c>
      <c r="K129" s="20">
        <v>3.88</v>
      </c>
      <c r="L129" s="20">
        <v>3.53</v>
      </c>
      <c r="M129" s="20">
        <v>3.24</v>
      </c>
      <c r="N129" s="20">
        <v>2.69</v>
      </c>
      <c r="O129" s="20">
        <v>2.24</v>
      </c>
      <c r="P129" s="15"/>
      <c r="Q129" s="15"/>
      <c r="R129" s="15"/>
      <c r="S129" s="15"/>
      <c r="T129" s="15"/>
      <c r="U129" s="15"/>
      <c r="V129" s="15"/>
    </row>
    <row r="130" ht="15.0" customHeight="1">
      <c r="A130" s="14" t="s">
        <v>171</v>
      </c>
      <c r="B130" s="20">
        <v>13.99</v>
      </c>
      <c r="C130" s="20">
        <v>13.85</v>
      </c>
      <c r="D130" s="20">
        <v>11.3</v>
      </c>
      <c r="E130" s="20">
        <v>6.5</v>
      </c>
      <c r="F130" s="20">
        <v>5.6</v>
      </c>
      <c r="G130" s="20">
        <v>6.3</v>
      </c>
      <c r="H130" s="20">
        <v>5.45</v>
      </c>
      <c r="I130" s="20">
        <v>4.88</v>
      </c>
      <c r="J130" s="20">
        <v>4.56</v>
      </c>
      <c r="K130" s="20">
        <v>3.88</v>
      </c>
      <c r="L130" s="20">
        <v>3.53</v>
      </c>
      <c r="M130" s="20">
        <v>3.24</v>
      </c>
      <c r="N130" s="20">
        <v>2.69</v>
      </c>
      <c r="O130" s="20">
        <v>2.24</v>
      </c>
      <c r="P130" s="15"/>
      <c r="Q130" s="15"/>
      <c r="R130" s="15"/>
      <c r="S130" s="15"/>
      <c r="T130" s="15"/>
      <c r="U130" s="15"/>
      <c r="V130" s="15"/>
    </row>
    <row r="131" ht="15.0" customHeight="1">
      <c r="A131" s="14" t="s">
        <v>172</v>
      </c>
      <c r="B131" s="20">
        <v>13.94</v>
      </c>
      <c r="C131" s="20">
        <v>13.8</v>
      </c>
      <c r="D131" s="20">
        <v>11.3</v>
      </c>
      <c r="E131" s="20">
        <v>6.5</v>
      </c>
      <c r="F131" s="20">
        <v>5.59</v>
      </c>
      <c r="G131" s="20">
        <v>6.3</v>
      </c>
      <c r="H131" s="20">
        <v>5.45</v>
      </c>
      <c r="I131" s="20">
        <v>4.88</v>
      </c>
      <c r="J131" s="20">
        <v>4.56</v>
      </c>
      <c r="K131" s="20">
        <v>3.88</v>
      </c>
      <c r="L131" s="20">
        <v>3.52</v>
      </c>
      <c r="M131" s="20">
        <v>3.21</v>
      </c>
      <c r="N131" s="20">
        <v>2.65</v>
      </c>
      <c r="O131" s="20">
        <v>2.17</v>
      </c>
      <c r="P131" s="15"/>
      <c r="Q131" s="15"/>
      <c r="R131" s="15"/>
      <c r="S131" s="15"/>
      <c r="T131" s="15"/>
      <c r="U131" s="15"/>
      <c r="V131" s="15"/>
    </row>
    <row r="132" ht="15.0" customHeight="1">
      <c r="A132" s="14" t="s">
        <v>173</v>
      </c>
      <c r="B132" s="20">
        <v>1.0</v>
      </c>
      <c r="C132" s="20">
        <v>1.0</v>
      </c>
      <c r="D132" s="20">
        <v>1.0</v>
      </c>
      <c r="E132" s="20">
        <v>1.0</v>
      </c>
      <c r="F132" s="20">
        <v>1.0</v>
      </c>
      <c r="G132" s="20">
        <v>1.0</v>
      </c>
      <c r="H132" s="20">
        <v>1.0</v>
      </c>
      <c r="I132" s="20">
        <v>1.0</v>
      </c>
      <c r="J132" s="20">
        <v>1.0</v>
      </c>
      <c r="K132" s="20">
        <v>1.0</v>
      </c>
      <c r="L132" s="20">
        <v>1.0</v>
      </c>
      <c r="M132" s="20">
        <v>1.0</v>
      </c>
      <c r="N132" s="20">
        <v>1.0</v>
      </c>
      <c r="O132" s="20">
        <v>1.0</v>
      </c>
      <c r="P132" s="15"/>
      <c r="Q132" s="15"/>
      <c r="R132" s="15"/>
      <c r="S132" s="15"/>
      <c r="T132" s="15"/>
      <c r="U132" s="15"/>
      <c r="V132" s="15"/>
    </row>
    <row r="133" ht="15.0" customHeight="1">
      <c r="A133" s="14" t="s">
        <v>174</v>
      </c>
      <c r="B133" s="16">
        <v>3631.87</v>
      </c>
      <c r="C133" s="16">
        <v>3596.1</v>
      </c>
      <c r="D133" s="16">
        <v>2933.08</v>
      </c>
      <c r="E133" s="16">
        <v>1681.76</v>
      </c>
      <c r="F133" s="16">
        <v>1440.17</v>
      </c>
      <c r="G133" s="16">
        <v>1599.7</v>
      </c>
      <c r="H133" s="16">
        <v>1383.78</v>
      </c>
      <c r="I133" s="16">
        <v>1238.01</v>
      </c>
      <c r="J133" s="16">
        <v>1156.21</v>
      </c>
      <c r="K133" s="16">
        <v>984.9</v>
      </c>
      <c r="L133" s="16">
        <v>892.05</v>
      </c>
      <c r="M133" s="16">
        <v>807.43</v>
      </c>
      <c r="N133" s="16">
        <v>660.64</v>
      </c>
      <c r="O133" s="16">
        <v>550.03</v>
      </c>
      <c r="P133" s="15"/>
      <c r="Q133" s="15"/>
      <c r="R133" s="15"/>
      <c r="S133" s="15"/>
      <c r="T133" s="15"/>
      <c r="U133" s="15"/>
      <c r="V133" s="15"/>
    </row>
    <row r="134" ht="15.0" customHeight="1">
      <c r="A134" s="14" t="s">
        <v>175</v>
      </c>
      <c r="B134" s="16">
        <v>3631.87</v>
      </c>
      <c r="C134" s="16">
        <v>3596.1</v>
      </c>
      <c r="D134" s="16">
        <v>2932.08</v>
      </c>
      <c r="E134" s="16">
        <v>1681.76</v>
      </c>
      <c r="F134" s="16">
        <v>1440.17</v>
      </c>
      <c r="G134" s="16">
        <v>1599.7</v>
      </c>
      <c r="H134" s="16">
        <v>1383.78</v>
      </c>
      <c r="I134" s="16">
        <v>1238.01</v>
      </c>
      <c r="J134" s="16">
        <v>1156.21</v>
      </c>
      <c r="K134" s="16">
        <v>984.9</v>
      </c>
      <c r="L134" s="16">
        <v>892.05</v>
      </c>
      <c r="M134" s="16">
        <v>807.43</v>
      </c>
      <c r="N134" s="16">
        <v>660.64</v>
      </c>
      <c r="O134" s="16">
        <v>550.03</v>
      </c>
      <c r="P134" s="15"/>
      <c r="Q134" s="15"/>
      <c r="R134" s="15"/>
      <c r="S134" s="15"/>
      <c r="T134" s="15"/>
      <c r="U134" s="15"/>
      <c r="V134" s="15"/>
    </row>
    <row r="135" ht="15.0" customHeight="1">
      <c r="A135" s="14" t="s">
        <v>176</v>
      </c>
      <c r="B135" s="16">
        <v>3631.87</v>
      </c>
      <c r="C135" s="16">
        <v>3596.1</v>
      </c>
      <c r="D135" s="16">
        <v>2933.08</v>
      </c>
      <c r="E135" s="16">
        <v>1681.76</v>
      </c>
      <c r="F135" s="16">
        <v>1440.17</v>
      </c>
      <c r="G135" s="16">
        <v>1599.7</v>
      </c>
      <c r="H135" s="16">
        <v>1383.78</v>
      </c>
      <c r="I135" s="16">
        <v>1238.01</v>
      </c>
      <c r="J135" s="16">
        <v>1156.21</v>
      </c>
      <c r="K135" s="16">
        <v>984.9</v>
      </c>
      <c r="L135" s="16">
        <v>892.05</v>
      </c>
      <c r="M135" s="16">
        <v>807.43</v>
      </c>
      <c r="N135" s="16">
        <v>660.64</v>
      </c>
      <c r="O135" s="16">
        <v>550.03</v>
      </c>
      <c r="P135" s="15"/>
      <c r="Q135" s="15"/>
      <c r="R135" s="15"/>
      <c r="S135" s="15"/>
      <c r="T135" s="15"/>
      <c r="U135" s="15"/>
      <c r="V135" s="15"/>
    </row>
    <row r="136" ht="15.0" customHeight="1">
      <c r="A136" s="14" t="s">
        <v>177</v>
      </c>
      <c r="B136" s="16">
        <v>3631.87</v>
      </c>
      <c r="C136" s="16">
        <v>3596.1</v>
      </c>
      <c r="D136" s="16">
        <v>2932.08</v>
      </c>
      <c r="E136" s="16">
        <v>1681.76</v>
      </c>
      <c r="F136" s="16">
        <v>1440.17</v>
      </c>
      <c r="G136" s="16">
        <v>1599.7</v>
      </c>
      <c r="H136" s="16">
        <v>1383.78</v>
      </c>
      <c r="I136" s="16">
        <v>1238.01</v>
      </c>
      <c r="J136" s="16">
        <v>1156.21</v>
      </c>
      <c r="K136" s="16">
        <v>984.9</v>
      </c>
      <c r="L136" s="16">
        <v>892.05</v>
      </c>
      <c r="M136" s="16">
        <v>807.43</v>
      </c>
      <c r="N136" s="16">
        <v>660.64</v>
      </c>
      <c r="O136" s="16">
        <v>550.03</v>
      </c>
      <c r="P136" s="15"/>
      <c r="Q136" s="15"/>
      <c r="R136" s="15"/>
      <c r="S136" s="15"/>
      <c r="T136" s="15"/>
      <c r="U136" s="15"/>
      <c r="V136" s="15"/>
    </row>
    <row r="137" ht="15.0" customHeight="1">
      <c r="A137" s="14" t="s">
        <v>178</v>
      </c>
      <c r="B137" s="20">
        <v>1.0</v>
      </c>
      <c r="C137" s="20">
        <v>1.0</v>
      </c>
      <c r="D137" s="20">
        <v>1.0</v>
      </c>
      <c r="E137" s="20">
        <v>1.0</v>
      </c>
      <c r="F137" s="20">
        <v>1.0</v>
      </c>
      <c r="G137" s="20">
        <v>1.0</v>
      </c>
      <c r="H137" s="20">
        <v>1.0</v>
      </c>
      <c r="I137" s="20">
        <v>1.0</v>
      </c>
      <c r="J137" s="20">
        <v>1.0</v>
      </c>
      <c r="K137" s="20">
        <v>1.0</v>
      </c>
      <c r="L137" s="20">
        <v>1.0</v>
      </c>
      <c r="M137" s="20">
        <v>1.0</v>
      </c>
      <c r="N137" s="20">
        <v>1.0</v>
      </c>
      <c r="O137" s="20">
        <v>1.0</v>
      </c>
      <c r="P137" s="15"/>
      <c r="Q137" s="15"/>
      <c r="R137" s="15"/>
      <c r="S137" s="15"/>
      <c r="T137" s="15"/>
      <c r="U137" s="15"/>
      <c r="V137" s="15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46091.553539537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182</v>
      </c>
      <c r="B20" s="15">
        <v>12850.42</v>
      </c>
      <c r="C20" s="15">
        <v>12205.55</v>
      </c>
      <c r="D20" s="16">
        <v>8714.56</v>
      </c>
      <c r="E20" s="15">
        <v>10517.7</v>
      </c>
      <c r="F20" s="16">
        <v>8821.12</v>
      </c>
      <c r="G20" s="16">
        <v>6859.35</v>
      </c>
      <c r="H20" s="16">
        <v>6264.53</v>
      </c>
      <c r="I20" s="16">
        <v>4591.42</v>
      </c>
      <c r="J20" s="16">
        <v>4659.01</v>
      </c>
      <c r="K20" s="16">
        <v>4599.34</v>
      </c>
      <c r="L20" s="16">
        <v>3766.58</v>
      </c>
      <c r="M20" s="16">
        <v>3075.83</v>
      </c>
      <c r="N20" s="16">
        <v>2357.08</v>
      </c>
      <c r="O20" s="16">
        <v>2211.13</v>
      </c>
      <c r="P20" s="16">
        <v>2502.47</v>
      </c>
      <c r="Q20" s="16">
        <v>1994.74</v>
      </c>
      <c r="R20" s="16">
        <v>1809.98</v>
      </c>
      <c r="S20" s="15"/>
      <c r="T20" s="16">
        <v>2061.29</v>
      </c>
      <c r="U20" s="16">
        <v>1376.71</v>
      </c>
      <c r="V20" s="15"/>
    </row>
    <row r="21" ht="15.0" customHeight="1">
      <c r="A21" s="14" t="s">
        <v>76</v>
      </c>
      <c r="B21" s="15"/>
      <c r="C21" s="16">
        <v>6830.67</v>
      </c>
      <c r="D21" s="16">
        <v>4408.62</v>
      </c>
      <c r="E21" s="16">
        <v>5566.64</v>
      </c>
      <c r="F21" s="16">
        <v>4736.94</v>
      </c>
      <c r="G21" s="16">
        <v>4142.34</v>
      </c>
      <c r="H21" s="16">
        <v>3817.23</v>
      </c>
      <c r="I21" s="16">
        <v>2834.87</v>
      </c>
      <c r="J21" s="16">
        <v>2620.69</v>
      </c>
      <c r="K21" s="16">
        <v>2595.55</v>
      </c>
      <c r="L21" s="16">
        <v>2196.74</v>
      </c>
      <c r="M21" s="16">
        <v>1780.9</v>
      </c>
      <c r="N21" s="16">
        <v>1349.6</v>
      </c>
      <c r="O21" s="16">
        <v>1304.59</v>
      </c>
      <c r="P21" s="16">
        <v>1292.89</v>
      </c>
      <c r="Q21" s="16">
        <v>1115.81</v>
      </c>
      <c r="R21" s="16">
        <v>987.93</v>
      </c>
      <c r="S21" s="16">
        <v>1653.07</v>
      </c>
      <c r="T21" s="16">
        <v>1122.73</v>
      </c>
      <c r="U21" s="16">
        <v>725.69</v>
      </c>
      <c r="V21" s="15"/>
    </row>
    <row r="22" ht="15.0" customHeight="1">
      <c r="A22" s="14" t="s">
        <v>183</v>
      </c>
      <c r="B22" s="15"/>
      <c r="C22" s="16">
        <v>1974.97</v>
      </c>
      <c r="D22" s="16">
        <v>1387.32</v>
      </c>
      <c r="E22" s="16">
        <v>2199.74</v>
      </c>
      <c r="F22" s="16">
        <v>1080.48</v>
      </c>
      <c r="G22" s="16">
        <v>695.44</v>
      </c>
      <c r="H22" s="16">
        <v>540.09</v>
      </c>
      <c r="I22" s="16">
        <v>282.02</v>
      </c>
      <c r="J22" s="16">
        <v>556.36</v>
      </c>
      <c r="K22" s="16">
        <v>484.59</v>
      </c>
      <c r="L22" s="16">
        <v>388.28</v>
      </c>
      <c r="M22" s="16">
        <v>255.92</v>
      </c>
      <c r="N22" s="16">
        <v>313.84</v>
      </c>
      <c r="O22" s="16">
        <v>328.72</v>
      </c>
      <c r="P22" s="16">
        <v>359.23</v>
      </c>
      <c r="Q22" s="16">
        <v>251.62</v>
      </c>
      <c r="R22" s="16">
        <v>249.21</v>
      </c>
      <c r="S22" s="16">
        <v>297.0</v>
      </c>
      <c r="T22" s="16">
        <v>275.01</v>
      </c>
      <c r="U22" s="16">
        <v>249.48</v>
      </c>
      <c r="V22" s="15"/>
    </row>
    <row r="23" ht="15.0" customHeight="1">
      <c r="A23" s="14" t="s">
        <v>184</v>
      </c>
      <c r="B23" s="15"/>
      <c r="C23" s="16">
        <v>2092.17</v>
      </c>
      <c r="D23" s="16">
        <v>1891.71</v>
      </c>
      <c r="E23" s="16">
        <v>1650.98</v>
      </c>
      <c r="F23" s="16">
        <v>1807.29</v>
      </c>
      <c r="G23" s="16">
        <v>1227.98</v>
      </c>
      <c r="H23" s="16">
        <v>1124.26</v>
      </c>
      <c r="I23" s="16">
        <v>811.92</v>
      </c>
      <c r="J23" s="16">
        <v>847.55</v>
      </c>
      <c r="K23" s="16">
        <v>847.8</v>
      </c>
      <c r="L23" s="16">
        <v>587.12</v>
      </c>
      <c r="M23" s="16">
        <v>542.51</v>
      </c>
      <c r="N23" s="16">
        <v>323.26</v>
      </c>
      <c r="O23" s="16">
        <v>247.39</v>
      </c>
      <c r="P23" s="16">
        <v>471.17</v>
      </c>
      <c r="Q23" s="16">
        <v>321.9</v>
      </c>
      <c r="R23" s="16">
        <v>310.7</v>
      </c>
      <c r="S23" s="16">
        <v>427.72</v>
      </c>
      <c r="T23" s="16">
        <v>374.24</v>
      </c>
      <c r="U23" s="16">
        <v>174.82</v>
      </c>
      <c r="V23" s="15"/>
    </row>
    <row r="24" ht="15.0" customHeight="1">
      <c r="A24" s="14" t="s">
        <v>185</v>
      </c>
      <c r="B24" s="15"/>
      <c r="C24" s="16">
        <v>1307.74</v>
      </c>
      <c r="D24" s="16">
        <v>1026.9</v>
      </c>
      <c r="E24" s="16">
        <v>1100.34</v>
      </c>
      <c r="F24" s="16">
        <v>1196.41</v>
      </c>
      <c r="G24" s="16">
        <v>793.59</v>
      </c>
      <c r="H24" s="16">
        <v>782.95</v>
      </c>
      <c r="I24" s="16">
        <v>662.61</v>
      </c>
      <c r="J24" s="16">
        <v>634.41</v>
      </c>
      <c r="K24" s="16">
        <v>671.41</v>
      </c>
      <c r="L24" s="16">
        <v>594.45</v>
      </c>
      <c r="M24" s="16">
        <v>496.5</v>
      </c>
      <c r="N24" s="16">
        <v>370.38</v>
      </c>
      <c r="O24" s="16">
        <v>330.43</v>
      </c>
      <c r="P24" s="16">
        <v>379.19</v>
      </c>
      <c r="Q24" s="16">
        <v>305.42</v>
      </c>
      <c r="R24" s="16">
        <v>262.15</v>
      </c>
      <c r="S24" s="16">
        <v>377.03</v>
      </c>
      <c r="T24" s="16">
        <v>289.3</v>
      </c>
      <c r="U24" s="16">
        <v>226.72</v>
      </c>
      <c r="V24" s="15"/>
    </row>
    <row r="25" ht="15.0" customHeight="1">
      <c r="A25" s="14" t="s">
        <v>186</v>
      </c>
      <c r="B25" s="16">
        <v>6379.28</v>
      </c>
      <c r="C25" s="16">
        <v>5955.76</v>
      </c>
      <c r="D25" s="16">
        <v>5347.93</v>
      </c>
      <c r="E25" s="16">
        <v>6245.29</v>
      </c>
      <c r="F25" s="16">
        <v>5000.0</v>
      </c>
      <c r="G25" s="16">
        <v>3483.45</v>
      </c>
      <c r="H25" s="16">
        <v>3309.01</v>
      </c>
      <c r="I25" s="16">
        <v>3357.93</v>
      </c>
      <c r="J25" s="16">
        <v>3212.07</v>
      </c>
      <c r="K25" s="16">
        <v>2870.56</v>
      </c>
      <c r="L25" s="16">
        <v>2538.96</v>
      </c>
      <c r="M25" s="16">
        <v>2415.42</v>
      </c>
      <c r="N25" s="16">
        <v>1883.03</v>
      </c>
      <c r="O25" s="16">
        <v>1631.59</v>
      </c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187</v>
      </c>
      <c r="B26" s="15"/>
      <c r="C26" s="16">
        <v>6028.75</v>
      </c>
      <c r="D26" s="16">
        <v>5445.59</v>
      </c>
      <c r="E26" s="16">
        <v>6329.07</v>
      </c>
      <c r="F26" s="16">
        <v>5068.2</v>
      </c>
      <c r="G26" s="16">
        <v>3558.64</v>
      </c>
      <c r="H26" s="16">
        <v>3377.46</v>
      </c>
      <c r="I26" s="16">
        <v>3397.94</v>
      </c>
      <c r="J26" s="16">
        <v>3253.1</v>
      </c>
      <c r="K26" s="16">
        <v>2900.91</v>
      </c>
      <c r="L26" s="16">
        <v>2512.8</v>
      </c>
      <c r="M26" s="16">
        <v>2393.38</v>
      </c>
      <c r="N26" s="16">
        <v>1861.35</v>
      </c>
      <c r="O26" s="16">
        <v>1648.71</v>
      </c>
      <c r="P26" s="16">
        <v>1783.14</v>
      </c>
      <c r="Q26" s="16">
        <v>1533.15</v>
      </c>
      <c r="R26" s="16">
        <v>1200.72</v>
      </c>
      <c r="S26" s="16">
        <v>2008.76</v>
      </c>
      <c r="T26" s="16">
        <v>1529.78</v>
      </c>
      <c r="U26" s="16">
        <v>1290.21</v>
      </c>
      <c r="V26" s="15"/>
    </row>
    <row r="27" ht="15.0" customHeight="1">
      <c r="A27" s="14" t="s">
        <v>188</v>
      </c>
      <c r="B27" s="15"/>
      <c r="C27" s="23">
        <v>-72.99</v>
      </c>
      <c r="D27" s="23">
        <v>-97.66</v>
      </c>
      <c r="E27" s="23">
        <v>-83.77</v>
      </c>
      <c r="F27" s="23">
        <v>-68.2</v>
      </c>
      <c r="G27" s="23">
        <v>-75.18</v>
      </c>
      <c r="H27" s="23">
        <v>-68.45</v>
      </c>
      <c r="I27" s="23">
        <v>-40.01</v>
      </c>
      <c r="J27" s="23">
        <v>-41.03</v>
      </c>
      <c r="K27" s="23">
        <v>-30.35</v>
      </c>
      <c r="L27" s="23">
        <v>-26.16</v>
      </c>
      <c r="M27" s="23">
        <v>-22.05</v>
      </c>
      <c r="N27" s="23">
        <v>-21.68</v>
      </c>
      <c r="O27" s="23">
        <v>-17.12</v>
      </c>
      <c r="P27" s="23">
        <v>-15.62</v>
      </c>
      <c r="Q27" s="23">
        <v>-13.88</v>
      </c>
      <c r="R27" s="23">
        <v>-21.04</v>
      </c>
      <c r="S27" s="23">
        <v>-35.57</v>
      </c>
      <c r="T27" s="23">
        <v>-13.46</v>
      </c>
      <c r="U27" s="23">
        <v>-14.57</v>
      </c>
      <c r="V27" s="15"/>
    </row>
    <row r="28" ht="15.0" customHeight="1">
      <c r="A28" s="14" t="s">
        <v>189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0">
        <v>52.33</v>
      </c>
      <c r="M28" s="20">
        <v>44.09</v>
      </c>
      <c r="N28" s="20">
        <v>43.35</v>
      </c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190</v>
      </c>
      <c r="B29" s="15"/>
      <c r="C29" s="16">
        <v>729.95</v>
      </c>
      <c r="D29" s="16">
        <v>606.07</v>
      </c>
      <c r="E29" s="16">
        <v>574.17</v>
      </c>
      <c r="F29" s="16">
        <v>267.93</v>
      </c>
      <c r="G29" s="16">
        <v>415.59</v>
      </c>
      <c r="H29" s="16">
        <v>276.61</v>
      </c>
      <c r="I29" s="16">
        <v>297.64</v>
      </c>
      <c r="J29" s="16">
        <v>257.17</v>
      </c>
      <c r="K29" s="16">
        <v>207.68</v>
      </c>
      <c r="L29" s="16">
        <v>250.13</v>
      </c>
      <c r="M29" s="16">
        <v>176.36</v>
      </c>
      <c r="N29" s="16">
        <v>144.2</v>
      </c>
      <c r="O29" s="16">
        <v>148.09</v>
      </c>
      <c r="P29" s="20">
        <v>88.51</v>
      </c>
      <c r="Q29" s="20">
        <v>76.35</v>
      </c>
      <c r="R29" s="20">
        <v>33.98</v>
      </c>
      <c r="S29" s="16">
        <v>128.94</v>
      </c>
      <c r="T29" s="20">
        <v>27.75</v>
      </c>
      <c r="U29" s="20">
        <v>32.78</v>
      </c>
      <c r="V29" s="15"/>
    </row>
    <row r="30" ht="15.0" customHeight="1">
      <c r="A30" s="14" t="s">
        <v>191</v>
      </c>
      <c r="B30" s="15"/>
      <c r="C30" s="15"/>
      <c r="D30" s="15"/>
      <c r="E30" s="15"/>
      <c r="F30" s="15"/>
      <c r="G30" s="16">
        <v>356.07</v>
      </c>
      <c r="H30" s="16">
        <v>331.93</v>
      </c>
      <c r="I30" s="16">
        <v>417.67</v>
      </c>
      <c r="J30" s="16">
        <v>378.24</v>
      </c>
      <c r="K30" s="16">
        <v>162.16</v>
      </c>
      <c r="L30" s="16">
        <v>177.92</v>
      </c>
      <c r="M30" s="16">
        <v>203.2</v>
      </c>
      <c r="N30" s="16">
        <v>237.5</v>
      </c>
      <c r="O30" s="16">
        <v>129.26</v>
      </c>
      <c r="P30" s="16">
        <v>183.95</v>
      </c>
      <c r="Q30" s="16">
        <v>163.12</v>
      </c>
      <c r="R30" s="16">
        <v>175.58</v>
      </c>
      <c r="S30" s="16">
        <v>272.1</v>
      </c>
      <c r="T30" s="16">
        <v>225.39</v>
      </c>
      <c r="U30" s="16">
        <v>178.46</v>
      </c>
      <c r="V30" s="15"/>
    </row>
    <row r="31" ht="15.0" customHeight="1">
      <c r="A31" s="14" t="s">
        <v>192</v>
      </c>
      <c r="B31" s="15"/>
      <c r="C31" s="16">
        <v>1370.45</v>
      </c>
      <c r="D31" s="16">
        <v>1412.49</v>
      </c>
      <c r="E31" s="16">
        <v>2243.03</v>
      </c>
      <c r="F31" s="16">
        <v>1868.67</v>
      </c>
      <c r="G31" s="16">
        <v>1425.33</v>
      </c>
      <c r="H31" s="16">
        <v>1304.29</v>
      </c>
      <c r="I31" s="16">
        <v>681.15</v>
      </c>
      <c r="J31" s="16">
        <v>556.36</v>
      </c>
      <c r="K31" s="16">
        <v>678.05</v>
      </c>
      <c r="L31" s="16">
        <v>485.61</v>
      </c>
      <c r="M31" s="16">
        <v>482.13</v>
      </c>
      <c r="N31" s="16">
        <v>303.47</v>
      </c>
      <c r="O31" s="16">
        <v>344.12</v>
      </c>
      <c r="P31" s="16">
        <v>498.93</v>
      </c>
      <c r="Q31" s="16">
        <v>648.14</v>
      </c>
      <c r="R31" s="16">
        <v>232.21</v>
      </c>
      <c r="S31" s="16">
        <v>784.3</v>
      </c>
      <c r="T31" s="16">
        <v>169.04</v>
      </c>
      <c r="U31" s="20">
        <v>59.18</v>
      </c>
      <c r="V31" s="15"/>
    </row>
    <row r="32" ht="15.0" customHeight="1">
      <c r="A32" s="14" t="s">
        <v>193</v>
      </c>
      <c r="B32" s="15"/>
      <c r="C32" s="16">
        <v>212.82</v>
      </c>
      <c r="D32" s="16">
        <v>228.54</v>
      </c>
      <c r="E32" s="16">
        <v>310.62</v>
      </c>
      <c r="F32" s="16">
        <v>277.67</v>
      </c>
      <c r="G32" s="16">
        <v>127.39</v>
      </c>
      <c r="H32" s="16">
        <v>216.6</v>
      </c>
      <c r="I32" s="16">
        <v>159.07</v>
      </c>
      <c r="J32" s="16">
        <v>114.07</v>
      </c>
      <c r="K32" s="16">
        <v>166.9</v>
      </c>
      <c r="L32" s="16">
        <v>158.03</v>
      </c>
      <c r="M32" s="16">
        <v>184.03</v>
      </c>
      <c r="N32" s="16">
        <v>151.74</v>
      </c>
      <c r="O32" s="16">
        <v>126.69</v>
      </c>
      <c r="P32" s="20">
        <v>52.93</v>
      </c>
      <c r="Q32" s="20">
        <v>91.97</v>
      </c>
      <c r="R32" s="20">
        <v>62.3</v>
      </c>
      <c r="S32" s="20">
        <v>78.25</v>
      </c>
      <c r="T32" s="20">
        <v>84.1</v>
      </c>
      <c r="U32" s="20">
        <v>36.42</v>
      </c>
      <c r="V32" s="15"/>
    </row>
    <row r="33" ht="15.0" customHeight="1">
      <c r="A33" s="14" t="s">
        <v>194</v>
      </c>
      <c r="B33" s="16">
        <v>1712.37</v>
      </c>
      <c r="C33" s="16">
        <v>1964.69</v>
      </c>
      <c r="D33" s="16">
        <v>1513.17</v>
      </c>
      <c r="E33" s="16">
        <v>1426.02</v>
      </c>
      <c r="F33" s="16">
        <v>975.25</v>
      </c>
      <c r="G33" s="16">
        <v>1253.04</v>
      </c>
      <c r="H33" s="16">
        <v>920.78</v>
      </c>
      <c r="I33" s="16">
        <v>719.21</v>
      </c>
      <c r="J33" s="16">
        <v>480.31</v>
      </c>
      <c r="K33" s="16">
        <v>555.71</v>
      </c>
      <c r="L33" s="16">
        <v>480.37</v>
      </c>
      <c r="M33" s="16">
        <v>253.04</v>
      </c>
      <c r="N33" s="16">
        <v>217.71</v>
      </c>
      <c r="O33" s="16">
        <v>282.49</v>
      </c>
      <c r="P33" s="16">
        <v>273.33</v>
      </c>
      <c r="Q33" s="16">
        <v>452.92</v>
      </c>
      <c r="R33" s="16">
        <v>237.07</v>
      </c>
      <c r="S33" s="20">
        <v>86.25</v>
      </c>
      <c r="T33" s="15"/>
      <c r="U33" s="15"/>
      <c r="V33" s="15"/>
    </row>
    <row r="34" ht="15.0" customHeight="1">
      <c r="A34" s="14" t="s">
        <v>195</v>
      </c>
      <c r="B34" s="15"/>
      <c r="C34" s="16">
        <v>1664.49</v>
      </c>
      <c r="D34" s="16">
        <v>1364.17</v>
      </c>
      <c r="E34" s="16">
        <v>1232.12</v>
      </c>
      <c r="F34" s="16">
        <v>904.13</v>
      </c>
      <c r="G34" s="16">
        <v>1132.96</v>
      </c>
      <c r="H34" s="16">
        <v>819.52</v>
      </c>
      <c r="I34" s="16">
        <v>694.81</v>
      </c>
      <c r="J34" s="16">
        <v>460.3</v>
      </c>
      <c r="K34" s="16">
        <v>523.47</v>
      </c>
      <c r="L34" s="16">
        <v>467.81</v>
      </c>
      <c r="M34" s="16">
        <v>219.5</v>
      </c>
      <c r="N34" s="16">
        <v>216.76</v>
      </c>
      <c r="O34" s="16">
        <v>270.51</v>
      </c>
      <c r="P34" s="15"/>
      <c r="Q34" s="15"/>
      <c r="R34" s="15"/>
      <c r="S34" s="15"/>
      <c r="T34" s="16">
        <v>140.45</v>
      </c>
      <c r="U34" s="16">
        <v>117.46</v>
      </c>
      <c r="V34" s="15"/>
    </row>
    <row r="35" ht="15.0" customHeight="1">
      <c r="A35" s="14" t="s">
        <v>196</v>
      </c>
      <c r="B35" s="15"/>
      <c r="C35" s="16">
        <v>300.2</v>
      </c>
      <c r="D35" s="16">
        <v>149.0</v>
      </c>
      <c r="E35" s="16">
        <v>193.9</v>
      </c>
      <c r="F35" s="20">
        <v>71.12</v>
      </c>
      <c r="G35" s="16">
        <v>120.08</v>
      </c>
      <c r="H35" s="16">
        <v>101.27</v>
      </c>
      <c r="I35" s="20">
        <v>24.4</v>
      </c>
      <c r="J35" s="20">
        <v>20.01</v>
      </c>
      <c r="K35" s="20">
        <v>32.24</v>
      </c>
      <c r="L35" s="20">
        <v>12.56</v>
      </c>
      <c r="M35" s="20">
        <v>33.55</v>
      </c>
      <c r="N35" s="20">
        <v>0.94</v>
      </c>
      <c r="O35" s="20">
        <v>11.98</v>
      </c>
      <c r="P35" s="20">
        <v>13.88</v>
      </c>
      <c r="Q35" s="20">
        <v>15.62</v>
      </c>
      <c r="R35" s="20">
        <v>23.46</v>
      </c>
      <c r="S35" s="20">
        <v>7.11</v>
      </c>
      <c r="T35" s="15"/>
      <c r="U35" s="15"/>
      <c r="V35" s="15"/>
    </row>
    <row r="36" ht="15.0" customHeight="1">
      <c r="A36" s="14" t="s">
        <v>197</v>
      </c>
      <c r="B36" s="16">
        <v>2470.14</v>
      </c>
      <c r="C36" s="16">
        <v>838.93</v>
      </c>
      <c r="D36" s="16">
        <v>1118.52</v>
      </c>
      <c r="E36" s="16">
        <v>430.16</v>
      </c>
      <c r="F36" s="16">
        <v>361.46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>
        <v>1179.68</v>
      </c>
      <c r="S36" s="16">
        <v>1973.19</v>
      </c>
      <c r="T36" s="16">
        <v>1516.32</v>
      </c>
      <c r="U36" s="15"/>
      <c r="V36" s="15"/>
    </row>
    <row r="37" ht="15.0" customHeight="1">
      <c r="A37" s="17" t="s">
        <v>198</v>
      </c>
      <c r="B37" s="18">
        <v>23412.22</v>
      </c>
      <c r="C37" s="18">
        <v>23278.14</v>
      </c>
      <c r="D37" s="18">
        <v>18941.27</v>
      </c>
      <c r="E37" s="18">
        <v>21746.99</v>
      </c>
      <c r="F37" s="18">
        <v>17572.09</v>
      </c>
      <c r="G37" s="18">
        <v>13920.24</v>
      </c>
      <c r="H37" s="18">
        <v>12623.76</v>
      </c>
      <c r="I37" s="18">
        <v>10224.08</v>
      </c>
      <c r="J37" s="19">
        <v>9657.24</v>
      </c>
      <c r="K37" s="19">
        <v>9240.42</v>
      </c>
      <c r="L37" s="19">
        <v>7857.6</v>
      </c>
      <c r="M37" s="19">
        <v>6790.03</v>
      </c>
      <c r="N37" s="19">
        <v>5294.71</v>
      </c>
      <c r="O37" s="19">
        <v>4873.38</v>
      </c>
      <c r="P37" s="19">
        <v>5381.53</v>
      </c>
      <c r="Q37" s="19">
        <v>4962.13</v>
      </c>
      <c r="R37" s="19">
        <v>3754.28</v>
      </c>
      <c r="S37" s="19">
        <v>6084.97</v>
      </c>
      <c r="T37" s="19">
        <v>4224.34</v>
      </c>
      <c r="U37" s="19">
        <v>3076.66</v>
      </c>
      <c r="V37" s="18"/>
    </row>
    <row r="38" ht="15.0" customHeight="1">
      <c r="A38" s="14" t="s">
        <v>199</v>
      </c>
      <c r="B38" s="16">
        <v>2305.03</v>
      </c>
      <c r="C38" s="16">
        <v>2398.55</v>
      </c>
      <c r="D38" s="16">
        <v>2730.35</v>
      </c>
      <c r="E38" s="16">
        <v>2388.93</v>
      </c>
      <c r="F38" s="16">
        <v>2211.61</v>
      </c>
      <c r="G38" s="16">
        <v>2195.95</v>
      </c>
      <c r="H38" s="16">
        <v>1982.22</v>
      </c>
      <c r="I38" s="16">
        <v>1625.78</v>
      </c>
      <c r="J38" s="16">
        <v>1602.03</v>
      </c>
      <c r="K38" s="16">
        <v>1598.86</v>
      </c>
      <c r="L38" s="16">
        <v>1639.97</v>
      </c>
      <c r="M38" s="16">
        <v>1271.93</v>
      </c>
      <c r="N38" s="16">
        <v>1050.84</v>
      </c>
      <c r="O38" s="16">
        <v>894.55</v>
      </c>
      <c r="P38" s="16">
        <v>636.03</v>
      </c>
      <c r="Q38" s="16">
        <v>503.24</v>
      </c>
      <c r="R38" s="16">
        <v>527.54</v>
      </c>
      <c r="S38" s="16">
        <v>606.45</v>
      </c>
      <c r="T38" s="16">
        <v>516.37</v>
      </c>
      <c r="U38" s="16">
        <v>527.19</v>
      </c>
      <c r="V38" s="15"/>
    </row>
    <row r="39" ht="15.0" customHeight="1">
      <c r="A39" s="14" t="s">
        <v>200</v>
      </c>
      <c r="B39" s="15"/>
      <c r="C39" s="16">
        <v>2426.31</v>
      </c>
      <c r="D39" s="16">
        <v>2757.53</v>
      </c>
      <c r="E39" s="16">
        <v>2414.35</v>
      </c>
      <c r="F39" s="16">
        <v>2211.61</v>
      </c>
      <c r="G39" s="16">
        <v>2195.95</v>
      </c>
      <c r="H39" s="16">
        <v>1982.22</v>
      </c>
      <c r="I39" s="16">
        <v>1625.78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201</v>
      </c>
      <c r="B40" s="15"/>
      <c r="C40" s="23">
        <v>-27.76</v>
      </c>
      <c r="D40" s="23">
        <v>-27.18</v>
      </c>
      <c r="E40" s="23">
        <v>-25.41</v>
      </c>
      <c r="F40" s="15">
        <v>0.0</v>
      </c>
      <c r="G40" s="15">
        <v>0.0</v>
      </c>
      <c r="H40" s="15">
        <v>0.0</v>
      </c>
      <c r="I40" s="15">
        <v>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202</v>
      </c>
      <c r="B41" s="16">
        <v>324.76</v>
      </c>
      <c r="C41" s="16">
        <v>328.99</v>
      </c>
      <c r="D41" s="16">
        <v>291.96</v>
      </c>
      <c r="E41" s="16">
        <v>275.79</v>
      </c>
      <c r="F41" s="16">
        <v>299.1</v>
      </c>
      <c r="G41" s="16">
        <v>326.83</v>
      </c>
      <c r="H41" s="16">
        <v>340.37</v>
      </c>
      <c r="I41" s="16">
        <v>324.96</v>
      </c>
      <c r="J41" s="16">
        <v>349.23</v>
      </c>
      <c r="K41" s="16">
        <v>338.55</v>
      </c>
      <c r="L41" s="16">
        <v>394.55</v>
      </c>
      <c r="M41" s="16">
        <v>121.73</v>
      </c>
      <c r="N41" s="16">
        <v>115.92</v>
      </c>
      <c r="O41" s="20">
        <v>74.47</v>
      </c>
      <c r="P41" s="20">
        <v>81.56</v>
      </c>
      <c r="Q41" s="20">
        <v>88.5</v>
      </c>
      <c r="R41" s="20">
        <v>90.62</v>
      </c>
      <c r="S41" s="16">
        <v>119.16</v>
      </c>
      <c r="T41" s="20">
        <v>96.71</v>
      </c>
      <c r="U41" s="20">
        <v>53.72</v>
      </c>
      <c r="V41" s="15"/>
    </row>
    <row r="42" ht="15.0" customHeight="1">
      <c r="A42" s="14" t="s">
        <v>203</v>
      </c>
      <c r="B42" s="15"/>
      <c r="C42" s="16">
        <v>814.25</v>
      </c>
      <c r="D42" s="16">
        <v>737.96</v>
      </c>
      <c r="E42" s="16">
        <v>689.95</v>
      </c>
      <c r="F42" s="16">
        <v>686.87</v>
      </c>
      <c r="G42" s="16">
        <v>703.79</v>
      </c>
      <c r="H42" s="16">
        <v>660.11</v>
      </c>
      <c r="I42" s="16">
        <v>624.55</v>
      </c>
      <c r="J42" s="16">
        <v>623.4</v>
      </c>
      <c r="K42" s="16">
        <v>576.58</v>
      </c>
      <c r="L42" s="16">
        <v>624.8</v>
      </c>
      <c r="M42" s="16">
        <v>306.72</v>
      </c>
      <c r="N42" s="16">
        <v>280.85</v>
      </c>
      <c r="O42" s="16">
        <v>203.74</v>
      </c>
      <c r="P42" s="16">
        <v>196.97</v>
      </c>
      <c r="Q42" s="16">
        <v>187.41</v>
      </c>
      <c r="R42" s="16">
        <v>176.39</v>
      </c>
      <c r="S42" s="16">
        <v>190.29</v>
      </c>
      <c r="T42" s="16">
        <v>144.65</v>
      </c>
      <c r="U42" s="20">
        <v>91.96</v>
      </c>
      <c r="V42" s="15"/>
    </row>
    <row r="43" ht="15.0" customHeight="1">
      <c r="A43" s="14" t="s">
        <v>204</v>
      </c>
      <c r="B43" s="15"/>
      <c r="C43" s="22">
        <v>-485.26</v>
      </c>
      <c r="D43" s="22">
        <v>-446.0</v>
      </c>
      <c r="E43" s="22">
        <v>-414.16</v>
      </c>
      <c r="F43" s="22">
        <v>-387.76</v>
      </c>
      <c r="G43" s="22">
        <v>-376.96</v>
      </c>
      <c r="H43" s="22">
        <v>-319.74</v>
      </c>
      <c r="I43" s="22">
        <v>-299.59</v>
      </c>
      <c r="J43" s="22">
        <v>-274.18</v>
      </c>
      <c r="K43" s="22">
        <v>-238.03</v>
      </c>
      <c r="L43" s="22">
        <v>-230.24</v>
      </c>
      <c r="M43" s="22">
        <v>-184.99</v>
      </c>
      <c r="N43" s="22">
        <v>-164.93</v>
      </c>
      <c r="O43" s="22">
        <v>-129.26</v>
      </c>
      <c r="P43" s="22">
        <v>-115.41</v>
      </c>
      <c r="Q43" s="23">
        <v>-98.91</v>
      </c>
      <c r="R43" s="23">
        <v>-85.77</v>
      </c>
      <c r="S43" s="23">
        <v>-71.14</v>
      </c>
      <c r="T43" s="15"/>
      <c r="U43" s="15"/>
      <c r="V43" s="15"/>
    </row>
    <row r="44" ht="15.0" customHeight="1">
      <c r="A44" s="14" t="s">
        <v>205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23">
        <v>-98.91</v>
      </c>
      <c r="R44" s="15"/>
      <c r="S44" s="15"/>
      <c r="T44" s="23">
        <v>-47.94</v>
      </c>
      <c r="U44" s="23">
        <v>-38.24</v>
      </c>
      <c r="V44" s="15"/>
    </row>
    <row r="45" ht="15.0" customHeight="1">
      <c r="A45" s="14" t="s">
        <v>206</v>
      </c>
      <c r="B45" s="15"/>
      <c r="C45" s="16">
        <v>2727.54</v>
      </c>
      <c r="D45" s="16">
        <v>3022.31</v>
      </c>
      <c r="E45" s="16">
        <v>2664.72</v>
      </c>
      <c r="F45" s="16">
        <v>2510.72</v>
      </c>
      <c r="G45" s="16">
        <v>2522.79</v>
      </c>
      <c r="H45" s="16">
        <v>2322.59</v>
      </c>
      <c r="I45" s="16">
        <v>1950.74</v>
      </c>
      <c r="J45" s="16">
        <v>1951.26</v>
      </c>
      <c r="K45" s="16">
        <v>1937.41</v>
      </c>
      <c r="L45" s="16">
        <v>2034.52</v>
      </c>
      <c r="M45" s="16">
        <v>1393.66</v>
      </c>
      <c r="N45" s="16">
        <v>1166.76</v>
      </c>
      <c r="O45" s="16">
        <v>969.03</v>
      </c>
      <c r="P45" s="16">
        <v>717.59</v>
      </c>
      <c r="Q45" s="16">
        <v>591.74</v>
      </c>
      <c r="R45" s="15"/>
      <c r="S45" s="15"/>
      <c r="T45" s="15"/>
      <c r="U45" s="15"/>
      <c r="V45" s="15"/>
    </row>
    <row r="46" ht="15.0" customHeight="1">
      <c r="A46" s="14" t="s">
        <v>207</v>
      </c>
      <c r="B46" s="16">
        <v>8613.24</v>
      </c>
      <c r="C46" s="16">
        <v>8304.96</v>
      </c>
      <c r="D46" s="16">
        <v>7543.69</v>
      </c>
      <c r="E46" s="16">
        <v>6536.15</v>
      </c>
      <c r="F46" s="16">
        <v>5572.87</v>
      </c>
      <c r="G46" s="16">
        <v>5848.57</v>
      </c>
      <c r="H46" s="16">
        <v>5657.86</v>
      </c>
      <c r="I46" s="16">
        <v>5336.0</v>
      </c>
      <c r="J46" s="16">
        <v>5181.35</v>
      </c>
      <c r="K46" s="16">
        <v>4897.12</v>
      </c>
      <c r="L46" s="16">
        <v>4494.99</v>
      </c>
      <c r="M46" s="16">
        <v>3653.81</v>
      </c>
      <c r="N46" s="16">
        <v>2852.81</v>
      </c>
      <c r="O46" s="16">
        <v>2396.89</v>
      </c>
      <c r="P46" s="16">
        <v>2430.45</v>
      </c>
      <c r="Q46" s="16">
        <v>2358.29</v>
      </c>
      <c r="R46" s="15"/>
      <c r="S46" s="15"/>
      <c r="T46" s="15"/>
      <c r="U46" s="15"/>
      <c r="V46" s="15"/>
    </row>
    <row r="47" ht="15.0" customHeight="1">
      <c r="A47" s="14" t="s">
        <v>208</v>
      </c>
      <c r="B47" s="15"/>
      <c r="C47" s="16">
        <v>3251.87</v>
      </c>
      <c r="D47" s="16">
        <v>2979.02</v>
      </c>
      <c r="E47" s="16">
        <v>2720.26</v>
      </c>
      <c r="F47" s="16">
        <v>2494.15</v>
      </c>
      <c r="G47" s="16">
        <v>2451.78</v>
      </c>
      <c r="H47" s="16">
        <v>2383.54</v>
      </c>
      <c r="I47" s="16">
        <v>2336.21</v>
      </c>
      <c r="J47" s="16">
        <v>2188.41</v>
      </c>
      <c r="K47" s="16">
        <v>1755.34</v>
      </c>
      <c r="L47" s="16">
        <v>1732.06</v>
      </c>
      <c r="M47" s="16">
        <v>1689.84</v>
      </c>
      <c r="N47" s="16">
        <v>1349.6</v>
      </c>
      <c r="O47" s="16">
        <v>1224.12</v>
      </c>
      <c r="P47" s="16">
        <v>1241.69</v>
      </c>
      <c r="Q47" s="16">
        <v>1205.17</v>
      </c>
      <c r="R47" s="16">
        <v>869.79</v>
      </c>
      <c r="S47" s="16">
        <v>993.27</v>
      </c>
      <c r="T47" s="16">
        <v>837.63</v>
      </c>
      <c r="U47" s="16">
        <v>829.49</v>
      </c>
      <c r="V47" s="15"/>
    </row>
    <row r="48" ht="15.0" customHeight="1">
      <c r="A48" s="14" t="s">
        <v>209</v>
      </c>
      <c r="B48" s="15"/>
      <c r="C48" s="22">
        <v>-1721.03</v>
      </c>
      <c r="D48" s="22">
        <v>-1609.82</v>
      </c>
      <c r="E48" s="22">
        <v>-1586.03</v>
      </c>
      <c r="F48" s="22">
        <v>-1482.85</v>
      </c>
      <c r="G48" s="22">
        <v>-1308.38</v>
      </c>
      <c r="H48" s="22">
        <v>-1188.96</v>
      </c>
      <c r="I48" s="22">
        <v>-1121.26</v>
      </c>
      <c r="J48" s="22">
        <v>-1049.68</v>
      </c>
      <c r="K48" s="22">
        <v>-978.66</v>
      </c>
      <c r="L48" s="22">
        <v>-950.28</v>
      </c>
      <c r="M48" s="22">
        <v>-960.42</v>
      </c>
      <c r="N48" s="22">
        <v>-832.19</v>
      </c>
      <c r="O48" s="22">
        <v>-737.04</v>
      </c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210</v>
      </c>
      <c r="B49" s="15"/>
      <c r="C49" s="16">
        <v>4698.4</v>
      </c>
      <c r="D49" s="16">
        <v>4292.84</v>
      </c>
      <c r="E49" s="16">
        <v>4028.62</v>
      </c>
      <c r="F49" s="16">
        <v>3870.81</v>
      </c>
      <c r="G49" s="16">
        <v>3753.9</v>
      </c>
      <c r="H49" s="16">
        <v>3505.92</v>
      </c>
      <c r="I49" s="16">
        <v>3176.42</v>
      </c>
      <c r="J49" s="16">
        <v>3094.0</v>
      </c>
      <c r="K49" s="16">
        <v>2540.55</v>
      </c>
      <c r="L49" s="16">
        <v>2545.24</v>
      </c>
      <c r="M49" s="16">
        <v>2206.47</v>
      </c>
      <c r="N49" s="16">
        <v>1855.69</v>
      </c>
      <c r="O49" s="16">
        <v>1670.12</v>
      </c>
      <c r="P49" s="16">
        <v>1585.3</v>
      </c>
      <c r="Q49" s="16">
        <v>1618.18</v>
      </c>
      <c r="R49" s="16">
        <v>1695.09</v>
      </c>
      <c r="S49" s="16">
        <v>1960.74</v>
      </c>
      <c r="T49" s="16">
        <v>1523.05</v>
      </c>
      <c r="U49" s="16">
        <v>1761.86</v>
      </c>
      <c r="V49" s="15"/>
    </row>
    <row r="50" ht="15.0" customHeight="1">
      <c r="A50" s="14" t="s">
        <v>211</v>
      </c>
      <c r="B50" s="15"/>
      <c r="C50" s="15">
        <v>14470.45</v>
      </c>
      <c r="D50" s="15">
        <v>13311.44</v>
      </c>
      <c r="E50" s="15">
        <v>12128.2</v>
      </c>
      <c r="F50" s="15">
        <v>11363.99</v>
      </c>
      <c r="G50" s="15">
        <v>10943.22</v>
      </c>
      <c r="H50" s="16">
        <v>9968.29</v>
      </c>
      <c r="I50" s="16">
        <v>9204.31</v>
      </c>
      <c r="J50" s="16">
        <v>8738.64</v>
      </c>
      <c r="K50" s="16">
        <v>7688.97</v>
      </c>
      <c r="L50" s="16">
        <v>7610.61</v>
      </c>
      <c r="M50" s="16">
        <v>6605.04</v>
      </c>
      <c r="N50" s="16">
        <v>5450.22</v>
      </c>
      <c r="O50" s="16">
        <v>4679.06</v>
      </c>
      <c r="P50" s="16">
        <v>4504.27</v>
      </c>
      <c r="Q50" s="16">
        <v>4313.99</v>
      </c>
      <c r="R50" s="16">
        <v>4209.81</v>
      </c>
      <c r="S50" s="16">
        <v>4475.47</v>
      </c>
      <c r="T50" s="16">
        <v>2601.21</v>
      </c>
      <c r="U50" s="16">
        <v>2608.65</v>
      </c>
      <c r="V50" s="15"/>
    </row>
    <row r="51" ht="15.0" customHeight="1">
      <c r="A51" s="14" t="s">
        <v>212</v>
      </c>
      <c r="B51" s="15"/>
      <c r="C51" s="22">
        <v>-9772.05</v>
      </c>
      <c r="D51" s="22">
        <v>-9018.6</v>
      </c>
      <c r="E51" s="22">
        <v>-8099.59</v>
      </c>
      <c r="F51" s="22">
        <v>-7493.18</v>
      </c>
      <c r="G51" s="22">
        <v>-7189.32</v>
      </c>
      <c r="H51" s="22">
        <v>-6462.37</v>
      </c>
      <c r="I51" s="22">
        <v>-6027.89</v>
      </c>
      <c r="J51" s="22">
        <v>-5644.65</v>
      </c>
      <c r="K51" s="22">
        <v>-5148.42</v>
      </c>
      <c r="L51" s="22">
        <v>-5065.37</v>
      </c>
      <c r="M51" s="22">
        <v>-4398.56</v>
      </c>
      <c r="N51" s="22">
        <v>-3594.52</v>
      </c>
      <c r="O51" s="22">
        <v>-3008.95</v>
      </c>
      <c r="P51" s="22">
        <v>-2918.97</v>
      </c>
      <c r="Q51" s="22">
        <v>-2695.81</v>
      </c>
      <c r="R51" s="22">
        <v>-2514.72</v>
      </c>
      <c r="S51" s="22">
        <v>-2470.27</v>
      </c>
      <c r="T51" s="22">
        <v>-1295.14</v>
      </c>
      <c r="U51" s="22">
        <v>-1098.09</v>
      </c>
      <c r="V51" s="15"/>
    </row>
    <row r="52" ht="15.0" customHeight="1">
      <c r="A52" s="14" t="s">
        <v>213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23">
        <v>-44.46</v>
      </c>
      <c r="T52" s="16">
        <v>216.98</v>
      </c>
      <c r="U52" s="16">
        <v>251.3</v>
      </c>
      <c r="V52" s="15"/>
    </row>
    <row r="53" ht="15.0" customHeight="1">
      <c r="A53" s="14" t="s">
        <v>214</v>
      </c>
      <c r="B53" s="15"/>
      <c r="C53" s="16">
        <v>336.19</v>
      </c>
      <c r="D53" s="16">
        <v>276.86</v>
      </c>
      <c r="E53" s="16">
        <v>256.02</v>
      </c>
      <c r="F53" s="16">
        <v>261.11</v>
      </c>
      <c r="G53" s="16">
        <v>254.78</v>
      </c>
      <c r="H53" s="16">
        <v>224.1</v>
      </c>
      <c r="I53" s="16">
        <v>223.47</v>
      </c>
      <c r="J53" s="16">
        <v>181.12</v>
      </c>
      <c r="K53" s="16">
        <v>182.08</v>
      </c>
      <c r="L53" s="16">
        <v>182.1</v>
      </c>
      <c r="M53" s="16">
        <v>128.44</v>
      </c>
      <c r="N53" s="20">
        <v>99.9</v>
      </c>
      <c r="O53" s="20">
        <v>78.75</v>
      </c>
      <c r="P53" s="20">
        <v>65.08</v>
      </c>
      <c r="Q53" s="20">
        <v>96.31</v>
      </c>
      <c r="R53" s="20">
        <v>85.77</v>
      </c>
      <c r="S53" s="15"/>
      <c r="T53" s="20">
        <v>57.19</v>
      </c>
      <c r="U53" s="20">
        <v>61.92</v>
      </c>
      <c r="V53" s="15"/>
    </row>
    <row r="54" ht="15.0" customHeight="1">
      <c r="A54" s="14" t="s">
        <v>215</v>
      </c>
      <c r="B54" s="15"/>
      <c r="C54" s="16">
        <v>1216.24</v>
      </c>
      <c r="D54" s="16">
        <v>1054.08</v>
      </c>
      <c r="E54" s="16">
        <v>916.79</v>
      </c>
      <c r="F54" s="16">
        <v>888.54</v>
      </c>
      <c r="G54" s="16">
        <v>832.23</v>
      </c>
      <c r="H54" s="16">
        <v>716.37</v>
      </c>
      <c r="I54" s="16">
        <v>655.78</v>
      </c>
      <c r="J54" s="16">
        <v>565.37</v>
      </c>
      <c r="K54" s="16">
        <v>546.23</v>
      </c>
      <c r="L54" s="16">
        <v>571.42</v>
      </c>
      <c r="M54" s="16">
        <v>485.0</v>
      </c>
      <c r="N54" s="16">
        <v>425.99</v>
      </c>
      <c r="O54" s="16">
        <v>350.12</v>
      </c>
      <c r="P54" s="16">
        <v>316.71</v>
      </c>
      <c r="Q54" s="16">
        <v>296.74</v>
      </c>
      <c r="R54" s="16">
        <v>277.53</v>
      </c>
      <c r="S54" s="16">
        <v>298.78</v>
      </c>
      <c r="T54" s="16">
        <v>253.14</v>
      </c>
      <c r="U54" s="16">
        <v>251.3</v>
      </c>
      <c r="V54" s="15"/>
    </row>
    <row r="55" ht="15.0" customHeight="1">
      <c r="A55" s="14" t="s">
        <v>212</v>
      </c>
      <c r="B55" s="15"/>
      <c r="C55" s="22">
        <v>-880.05</v>
      </c>
      <c r="D55" s="22">
        <v>-777.22</v>
      </c>
      <c r="E55" s="22">
        <v>-660.77</v>
      </c>
      <c r="F55" s="22">
        <v>-627.44</v>
      </c>
      <c r="G55" s="22">
        <v>-577.44</v>
      </c>
      <c r="H55" s="22">
        <v>-492.27</v>
      </c>
      <c r="I55" s="22">
        <v>-432.31</v>
      </c>
      <c r="J55" s="22">
        <v>-384.25</v>
      </c>
      <c r="K55" s="22">
        <v>-364.15</v>
      </c>
      <c r="L55" s="22">
        <v>-389.32</v>
      </c>
      <c r="M55" s="22">
        <v>-356.56</v>
      </c>
      <c r="N55" s="22">
        <v>-326.09</v>
      </c>
      <c r="O55" s="22">
        <v>-271.36</v>
      </c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216</v>
      </c>
      <c r="B56" s="15"/>
      <c r="C56" s="16">
        <v>1739.54</v>
      </c>
      <c r="D56" s="16">
        <v>1604.78</v>
      </c>
      <c r="E56" s="16">
        <v>1117.28</v>
      </c>
      <c r="F56" s="16">
        <v>429.66</v>
      </c>
      <c r="G56" s="16">
        <v>696.48</v>
      </c>
      <c r="H56" s="16">
        <v>733.25</v>
      </c>
      <c r="I56" s="16">
        <v>721.16</v>
      </c>
      <c r="J56" s="16">
        <v>767.5</v>
      </c>
      <c r="K56" s="16">
        <v>1397.82</v>
      </c>
      <c r="L56" s="16">
        <v>985.86</v>
      </c>
      <c r="M56" s="16">
        <v>589.48</v>
      </c>
      <c r="N56" s="16">
        <v>379.81</v>
      </c>
      <c r="O56" s="16">
        <v>160.93</v>
      </c>
      <c r="P56" s="16">
        <v>296.76</v>
      </c>
      <c r="Q56" s="16">
        <v>190.02</v>
      </c>
      <c r="R56" s="16">
        <v>146.45</v>
      </c>
      <c r="S56" s="16">
        <v>178.73</v>
      </c>
      <c r="T56" s="16">
        <v>343.13</v>
      </c>
      <c r="U56" s="16">
        <v>178.46</v>
      </c>
      <c r="V56" s="15"/>
    </row>
    <row r="57" ht="15.0" customHeight="1">
      <c r="A57" s="14" t="s">
        <v>216</v>
      </c>
      <c r="B57" s="15"/>
      <c r="C57" s="16">
        <v>1739.54</v>
      </c>
      <c r="D57" s="16">
        <v>1604.78</v>
      </c>
      <c r="E57" s="16">
        <v>1135.17</v>
      </c>
      <c r="F57" s="16">
        <v>448.17</v>
      </c>
      <c r="G57" s="16">
        <v>696.48</v>
      </c>
      <c r="H57" s="16">
        <v>733.25</v>
      </c>
      <c r="I57" s="16">
        <v>721.16</v>
      </c>
      <c r="J57" s="16">
        <v>767.5</v>
      </c>
      <c r="K57" s="16">
        <v>1397.82</v>
      </c>
      <c r="L57" s="16">
        <v>985.86</v>
      </c>
      <c r="M57" s="16">
        <v>589.48</v>
      </c>
      <c r="N57" s="16">
        <v>379.81</v>
      </c>
      <c r="O57" s="16">
        <v>160.93</v>
      </c>
      <c r="P57" s="16">
        <v>296.76</v>
      </c>
      <c r="Q57" s="16">
        <v>190.02</v>
      </c>
      <c r="R57" s="16">
        <v>146.45</v>
      </c>
      <c r="S57" s="16">
        <v>178.73</v>
      </c>
      <c r="T57" s="16">
        <v>343.13</v>
      </c>
      <c r="U57" s="16">
        <v>178.46</v>
      </c>
      <c r="V57" s="15"/>
    </row>
    <row r="58" ht="15.0" customHeight="1">
      <c r="A58" s="14" t="s">
        <v>217</v>
      </c>
      <c r="B58" s="15"/>
      <c r="C58" s="15">
        <v>0.0</v>
      </c>
      <c r="D58" s="15">
        <v>0.0</v>
      </c>
      <c r="E58" s="23">
        <v>-17.88</v>
      </c>
      <c r="F58" s="23">
        <v>-18.51</v>
      </c>
      <c r="G58" s="15">
        <v>0.0</v>
      </c>
      <c r="H58" s="15">
        <v>0.0</v>
      </c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15">
        <v>0.0</v>
      </c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218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10899.96</v>
      </c>
      <c r="M59" s="16">
        <v>9369.35</v>
      </c>
      <c r="N59" s="16">
        <v>7605.61</v>
      </c>
      <c r="O59" s="16">
        <v>6414.24</v>
      </c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84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2">
        <v>-6369.39</v>
      </c>
      <c r="M60" s="22">
        <v>-5682.96</v>
      </c>
      <c r="N60" s="22">
        <v>-4723.58</v>
      </c>
      <c r="O60" s="22">
        <v>-3990.81</v>
      </c>
      <c r="P60" s="22">
        <v>-3892.54</v>
      </c>
      <c r="Q60" s="22">
        <v>-3619.86</v>
      </c>
      <c r="R60" s="22">
        <v>-3053.59</v>
      </c>
      <c r="S60" s="22">
        <v>-3066.05</v>
      </c>
      <c r="T60" s="22">
        <v>-1500.34</v>
      </c>
      <c r="U60" s="22">
        <v>-1363.05</v>
      </c>
      <c r="V60" s="15"/>
    </row>
    <row r="61" ht="15.0" customHeight="1">
      <c r="A61" s="14" t="s">
        <v>219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3">
        <v>-35.58</v>
      </c>
      <c r="M61" s="23">
        <v>-32.59</v>
      </c>
      <c r="N61" s="23">
        <v>-29.22</v>
      </c>
      <c r="O61" s="23">
        <v>-26.54</v>
      </c>
      <c r="P61" s="23">
        <v>-36.44</v>
      </c>
      <c r="Q61" s="23">
        <v>-27.77</v>
      </c>
      <c r="R61" s="23">
        <v>-40.46</v>
      </c>
      <c r="S61" s="23">
        <v>-44.46</v>
      </c>
      <c r="T61" s="23">
        <v>-42.05</v>
      </c>
      <c r="U61" s="15"/>
      <c r="V61" s="15"/>
    </row>
    <row r="62" ht="15.0" customHeight="1">
      <c r="A62" s="14" t="s">
        <v>220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6">
        <v>483.31</v>
      </c>
      <c r="Q62" s="16">
        <v>453.78</v>
      </c>
      <c r="R62" s="15"/>
      <c r="S62" s="15"/>
      <c r="T62" s="15"/>
      <c r="U62" s="15"/>
      <c r="V62" s="15"/>
    </row>
    <row r="63" ht="15.0" customHeight="1">
      <c r="A63" s="14" t="s">
        <v>221</v>
      </c>
      <c r="B63" s="20">
        <v>6.56</v>
      </c>
      <c r="C63" s="20">
        <v>7.2</v>
      </c>
      <c r="D63" s="20">
        <v>13.09</v>
      </c>
      <c r="E63" s="20">
        <v>30.12</v>
      </c>
      <c r="F63" s="20">
        <v>15.59</v>
      </c>
      <c r="G63" s="20">
        <v>14.62</v>
      </c>
      <c r="H63" s="20">
        <v>12.19</v>
      </c>
      <c r="I63" s="20">
        <v>11.71</v>
      </c>
      <c r="J63" s="20">
        <v>14.01</v>
      </c>
      <c r="K63" s="20">
        <v>22.76</v>
      </c>
      <c r="L63" s="20">
        <v>28.26</v>
      </c>
      <c r="M63" s="20">
        <v>18.21</v>
      </c>
      <c r="N63" s="20">
        <v>14.14</v>
      </c>
      <c r="O63" s="20">
        <v>7.7</v>
      </c>
      <c r="P63" s="20">
        <v>10.41</v>
      </c>
      <c r="Q63" s="20">
        <v>11.28</v>
      </c>
      <c r="R63" s="20">
        <v>5.66</v>
      </c>
      <c r="S63" s="20">
        <v>7.11</v>
      </c>
      <c r="T63" s="20">
        <v>3.36</v>
      </c>
      <c r="U63" s="20">
        <v>2.73</v>
      </c>
      <c r="V63" s="15"/>
    </row>
    <row r="64" ht="15.0" customHeight="1">
      <c r="A64" s="14" t="s">
        <v>222</v>
      </c>
      <c r="B64" s="16">
        <v>431.92</v>
      </c>
      <c r="C64" s="16">
        <v>411.24</v>
      </c>
      <c r="D64" s="16">
        <v>392.64</v>
      </c>
      <c r="E64" s="16">
        <v>307.79</v>
      </c>
      <c r="F64" s="16">
        <v>174.4</v>
      </c>
      <c r="G64" s="16">
        <v>195.27</v>
      </c>
      <c r="H64" s="16">
        <v>135.02</v>
      </c>
      <c r="I64" s="20">
        <v>59.53</v>
      </c>
      <c r="J64" s="20">
        <v>73.05</v>
      </c>
      <c r="K64" s="16">
        <v>190.61</v>
      </c>
      <c r="L64" s="16">
        <v>101.52</v>
      </c>
      <c r="M64" s="16">
        <v>125.56</v>
      </c>
      <c r="N64" s="16">
        <v>138.54</v>
      </c>
      <c r="O64" s="20">
        <v>98.44</v>
      </c>
      <c r="P64" s="16">
        <v>103.26</v>
      </c>
      <c r="Q64" s="20">
        <v>92.84</v>
      </c>
      <c r="R64" s="20">
        <v>92.24</v>
      </c>
      <c r="S64" s="16">
        <v>172.51</v>
      </c>
      <c r="T64" s="20">
        <v>97.56</v>
      </c>
      <c r="U64" s="16">
        <v>124.74</v>
      </c>
      <c r="V64" s="15"/>
    </row>
    <row r="65" ht="15.0" customHeight="1">
      <c r="A65" s="14" t="s">
        <v>223</v>
      </c>
      <c r="B65" s="15"/>
      <c r="C65" s="15"/>
      <c r="D65" s="15"/>
      <c r="E65" s="15"/>
      <c r="F65" s="15"/>
      <c r="G65" s="20">
        <v>20.88</v>
      </c>
      <c r="H65" s="20">
        <v>16.88</v>
      </c>
      <c r="I65" s="20">
        <v>17.57</v>
      </c>
      <c r="J65" s="20">
        <v>26.02</v>
      </c>
      <c r="K65" s="20">
        <v>7.59</v>
      </c>
      <c r="L65" s="20">
        <v>26.16</v>
      </c>
      <c r="M65" s="20">
        <v>11.5</v>
      </c>
      <c r="N65" s="15">
        <v>0.0</v>
      </c>
      <c r="O65" s="20">
        <v>8.56</v>
      </c>
      <c r="P65" s="20">
        <v>10.41</v>
      </c>
      <c r="Q65" s="20">
        <v>10.41</v>
      </c>
      <c r="R65" s="20">
        <v>7.28</v>
      </c>
      <c r="S65" s="20">
        <v>23.12</v>
      </c>
      <c r="T65" s="20">
        <v>9.25</v>
      </c>
      <c r="U65" s="20">
        <v>17.3</v>
      </c>
      <c r="V65" s="15"/>
    </row>
    <row r="66" ht="15.0" customHeight="1">
      <c r="A66" s="14" t="s">
        <v>224</v>
      </c>
      <c r="B66" s="16">
        <v>106.07</v>
      </c>
      <c r="C66" s="20">
        <v>92.53</v>
      </c>
      <c r="D66" s="20">
        <v>79.53</v>
      </c>
      <c r="E66" s="20">
        <v>63.06</v>
      </c>
      <c r="F66" s="20">
        <v>41.89</v>
      </c>
      <c r="G66" s="15"/>
      <c r="H66" s="15"/>
      <c r="I66" s="15"/>
      <c r="J66" s="15"/>
      <c r="K66" s="15"/>
      <c r="L66" s="16">
        <v>155.94</v>
      </c>
      <c r="M66" s="16">
        <v>155.28</v>
      </c>
      <c r="N66" s="16">
        <v>152.68</v>
      </c>
      <c r="O66" s="16">
        <v>115.56</v>
      </c>
      <c r="P66" s="16">
        <v>2370.58</v>
      </c>
      <c r="Q66" s="15"/>
      <c r="R66" s="15"/>
      <c r="S66" s="15">
        <v>0.0</v>
      </c>
      <c r="T66" s="20">
        <v>6.73</v>
      </c>
      <c r="U66" s="20">
        <v>5.46</v>
      </c>
      <c r="V66" s="15"/>
    </row>
    <row r="67" ht="15.0" customHeight="1">
      <c r="A67" s="14" t="s">
        <v>225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20">
        <v>0.86</v>
      </c>
      <c r="P67" s="20">
        <v>0.87</v>
      </c>
      <c r="Q67" s="20">
        <v>0.87</v>
      </c>
      <c r="R67" s="20">
        <v>0.81</v>
      </c>
      <c r="S67" s="20">
        <v>1.78</v>
      </c>
      <c r="T67" s="20">
        <v>1.68</v>
      </c>
      <c r="U67" s="15">
        <v>0.0</v>
      </c>
      <c r="V67" s="15"/>
    </row>
    <row r="68" ht="15.0" customHeight="1">
      <c r="A68" s="14" t="s">
        <v>226</v>
      </c>
      <c r="B68" s="16">
        <v>471.28</v>
      </c>
      <c r="C68" s="16">
        <v>530.5</v>
      </c>
      <c r="D68" s="16">
        <v>765.14</v>
      </c>
      <c r="E68" s="16">
        <v>644.77</v>
      </c>
      <c r="F68" s="16">
        <v>579.7</v>
      </c>
      <c r="G68" s="16">
        <v>740.34</v>
      </c>
      <c r="H68" s="16">
        <v>722.0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227</v>
      </c>
      <c r="B69" s="15"/>
      <c r="C69" s="15"/>
      <c r="D69" s="15"/>
      <c r="E69" s="15"/>
      <c r="F69" s="15"/>
      <c r="G69" s="16">
        <v>877.13</v>
      </c>
      <c r="H69" s="16">
        <v>820.46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228</v>
      </c>
      <c r="B70" s="15"/>
      <c r="C70" s="15"/>
      <c r="D70" s="15"/>
      <c r="E70" s="15"/>
      <c r="F70" s="15"/>
      <c r="G70" s="22">
        <v>-136.79</v>
      </c>
      <c r="H70" s="23">
        <v>-98.45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7" t="s">
        <v>229</v>
      </c>
      <c r="B71" s="18">
        <v>12258.85</v>
      </c>
      <c r="C71" s="18">
        <v>12073.96</v>
      </c>
      <c r="D71" s="18">
        <v>11816.4</v>
      </c>
      <c r="E71" s="18">
        <v>10246.61</v>
      </c>
      <c r="F71" s="19">
        <v>8895.16</v>
      </c>
      <c r="G71" s="19">
        <v>9342.46</v>
      </c>
      <c r="H71" s="19">
        <v>8866.54</v>
      </c>
      <c r="I71" s="19">
        <v>7375.55</v>
      </c>
      <c r="J71" s="19">
        <v>7245.68</v>
      </c>
      <c r="K71" s="19">
        <v>7055.49</v>
      </c>
      <c r="L71" s="19">
        <v>6685.45</v>
      </c>
      <c r="M71" s="19">
        <v>5202.75</v>
      </c>
      <c r="N71" s="19">
        <v>4172.25</v>
      </c>
      <c r="O71" s="19">
        <v>3481.48</v>
      </c>
      <c r="P71" s="19">
        <v>3273.0</v>
      </c>
      <c r="Q71" s="19">
        <v>820.8</v>
      </c>
      <c r="R71" s="25">
        <v>-1222.57</v>
      </c>
      <c r="S71" s="25">
        <v>-888.34</v>
      </c>
      <c r="T71" s="19">
        <v>280.05</v>
      </c>
      <c r="U71" s="19">
        <v>448.89</v>
      </c>
      <c r="V71" s="18"/>
    </row>
    <row r="72" ht="15.0" customHeight="1">
      <c r="A72" s="14" t="s">
        <v>230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>
        <v>2244.63</v>
      </c>
      <c r="R72" s="16">
        <v>4356.26</v>
      </c>
      <c r="S72" s="16">
        <v>4654.21</v>
      </c>
      <c r="T72" s="16">
        <v>2944.34</v>
      </c>
      <c r="U72" s="16">
        <v>2787.11</v>
      </c>
      <c r="V72" s="15"/>
    </row>
    <row r="73" ht="15.0" customHeight="1">
      <c r="A73" s="17" t="s">
        <v>231</v>
      </c>
      <c r="B73" s="18">
        <v>35671.07</v>
      </c>
      <c r="C73" s="18">
        <v>35352.1</v>
      </c>
      <c r="D73" s="18">
        <v>30757.67</v>
      </c>
      <c r="E73" s="18">
        <v>31993.6</v>
      </c>
      <c r="F73" s="18">
        <v>26467.26</v>
      </c>
      <c r="G73" s="18">
        <v>23262.7</v>
      </c>
      <c r="H73" s="18">
        <v>21490.3</v>
      </c>
      <c r="I73" s="18">
        <v>17599.63</v>
      </c>
      <c r="J73" s="18">
        <v>16902.92</v>
      </c>
      <c r="K73" s="18">
        <v>16295.9</v>
      </c>
      <c r="L73" s="18">
        <v>14543.05</v>
      </c>
      <c r="M73" s="18">
        <v>11992.77</v>
      </c>
      <c r="N73" s="19">
        <v>9466.96</v>
      </c>
      <c r="O73" s="19">
        <v>8354.86</v>
      </c>
      <c r="P73" s="19">
        <v>8654.52</v>
      </c>
      <c r="Q73" s="19">
        <v>8027.56</v>
      </c>
      <c r="R73" s="19">
        <v>6887.97</v>
      </c>
      <c r="S73" s="19">
        <v>9850.85</v>
      </c>
      <c r="T73" s="19">
        <v>7448.72</v>
      </c>
      <c r="U73" s="19">
        <v>6312.65</v>
      </c>
      <c r="V73" s="18"/>
    </row>
    <row r="74" ht="15.0" customHeight="1">
      <c r="A74" s="14" t="s">
        <v>232</v>
      </c>
      <c r="B74" s="15"/>
      <c r="C74" s="15"/>
      <c r="D74" s="15"/>
      <c r="E74" s="15"/>
      <c r="F74" s="16">
        <v>2272.99</v>
      </c>
      <c r="G74" s="16">
        <v>1634.17</v>
      </c>
      <c r="H74" s="16">
        <v>815.77</v>
      </c>
      <c r="I74" s="16">
        <v>645.04</v>
      </c>
      <c r="J74" s="16">
        <v>628.41</v>
      </c>
      <c r="K74" s="16">
        <v>205.79</v>
      </c>
      <c r="L74" s="16">
        <v>300.36</v>
      </c>
      <c r="M74" s="20">
        <v>85.31</v>
      </c>
      <c r="N74" s="20">
        <v>72.57</v>
      </c>
      <c r="O74" s="20">
        <v>58.21</v>
      </c>
      <c r="P74" s="20">
        <v>62.47</v>
      </c>
      <c r="Q74" s="20">
        <v>57.27</v>
      </c>
      <c r="R74" s="20">
        <v>86.57</v>
      </c>
      <c r="S74" s="16">
        <v>221.42</v>
      </c>
      <c r="T74" s="16">
        <v>359.11</v>
      </c>
      <c r="U74" s="16">
        <v>726.6</v>
      </c>
      <c r="V74" s="15"/>
    </row>
    <row r="75" ht="15.0" customHeight="1">
      <c r="A75" s="14" t="s">
        <v>233</v>
      </c>
      <c r="B75" s="15"/>
      <c r="C75" s="20">
        <v>11.31</v>
      </c>
      <c r="D75" s="20">
        <v>11.07</v>
      </c>
      <c r="E75" s="20">
        <v>11.3</v>
      </c>
      <c r="F75" s="20">
        <v>11.69</v>
      </c>
      <c r="G75" s="20">
        <v>12.53</v>
      </c>
      <c r="H75" s="20">
        <v>11.25</v>
      </c>
      <c r="I75" s="20">
        <v>6.83</v>
      </c>
      <c r="J75" s="20">
        <v>5.0</v>
      </c>
      <c r="K75" s="20">
        <v>0.95</v>
      </c>
      <c r="L75" s="20">
        <v>2.09</v>
      </c>
      <c r="M75" s="20">
        <v>0.96</v>
      </c>
      <c r="N75" s="20">
        <v>9.42</v>
      </c>
      <c r="O75" s="20">
        <v>0.86</v>
      </c>
      <c r="P75" s="20">
        <v>1.74</v>
      </c>
      <c r="Q75" s="20">
        <v>0.87</v>
      </c>
      <c r="R75" s="20">
        <v>1.62</v>
      </c>
      <c r="S75" s="20">
        <v>6.22</v>
      </c>
      <c r="T75" s="20">
        <v>10.93</v>
      </c>
      <c r="U75" s="20">
        <v>54.63</v>
      </c>
      <c r="V75" s="15"/>
    </row>
    <row r="76" ht="15.0" customHeight="1">
      <c r="A76" s="14" t="s">
        <v>234</v>
      </c>
      <c r="B76" s="16">
        <v>119.19</v>
      </c>
      <c r="C76" s="16">
        <v>143.93</v>
      </c>
      <c r="D76" s="16">
        <v>172.16</v>
      </c>
      <c r="E76" s="16">
        <v>152.48</v>
      </c>
      <c r="F76" s="16">
        <v>124.71</v>
      </c>
      <c r="G76" s="16">
        <v>122.17</v>
      </c>
      <c r="H76" s="16">
        <v>103.14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235</v>
      </c>
      <c r="B77" s="20">
        <v>9.84</v>
      </c>
      <c r="C77" s="15"/>
      <c r="D77" s="15"/>
      <c r="E77" s="15"/>
      <c r="F77" s="15"/>
      <c r="G77" s="15"/>
      <c r="H77" s="15"/>
      <c r="I77" s="16">
        <v>651.87</v>
      </c>
      <c r="J77" s="16">
        <v>633.41</v>
      </c>
      <c r="K77" s="16">
        <v>206.73</v>
      </c>
      <c r="L77" s="16">
        <v>302.46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232</v>
      </c>
      <c r="B78" s="16">
        <v>4470.09</v>
      </c>
      <c r="C78" s="16">
        <v>2129.19</v>
      </c>
      <c r="D78" s="16">
        <v>1726.6</v>
      </c>
      <c r="E78" s="16">
        <v>2820.97</v>
      </c>
      <c r="F78" s="15"/>
      <c r="G78" s="15"/>
      <c r="H78" s="15"/>
      <c r="I78" s="15"/>
      <c r="J78" s="15"/>
      <c r="K78" s="15"/>
      <c r="L78" s="15"/>
      <c r="M78" s="20">
        <v>86.27</v>
      </c>
      <c r="N78" s="20">
        <v>81.99</v>
      </c>
      <c r="O78" s="20">
        <v>59.07</v>
      </c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233</v>
      </c>
      <c r="B79" s="16">
        <v>3922.26</v>
      </c>
      <c r="C79" s="15"/>
      <c r="D79" s="15"/>
      <c r="E79" s="15"/>
      <c r="F79" s="15"/>
      <c r="G79" s="15"/>
      <c r="H79" s="15"/>
      <c r="I79" s="15"/>
      <c r="J79" s="15"/>
      <c r="K79" s="16">
        <v>189.66</v>
      </c>
      <c r="L79" s="16">
        <v>141.29</v>
      </c>
      <c r="M79" s="20">
        <v>91.06</v>
      </c>
      <c r="N79" s="16">
        <v>2636.05</v>
      </c>
      <c r="O79" s="16">
        <v>2223.97</v>
      </c>
      <c r="P79" s="20">
        <v>65.95</v>
      </c>
      <c r="Q79" s="16">
        <v>252.49</v>
      </c>
      <c r="R79" s="16">
        <v>129.46</v>
      </c>
      <c r="S79" s="16">
        <v>642.91</v>
      </c>
      <c r="T79" s="16">
        <v>163.15</v>
      </c>
      <c r="U79" s="16">
        <v>124.74</v>
      </c>
      <c r="V79" s="15"/>
    </row>
    <row r="80" ht="15.0" customHeight="1">
      <c r="A80" s="14" t="s">
        <v>236</v>
      </c>
      <c r="B80" s="16">
        <v>3247.6</v>
      </c>
      <c r="C80" s="16">
        <v>4236.78</v>
      </c>
      <c r="D80" s="16">
        <v>3829.73</v>
      </c>
      <c r="E80" s="16">
        <v>5023.53</v>
      </c>
      <c r="F80" s="16">
        <v>5549.49</v>
      </c>
      <c r="G80" s="16">
        <v>3820.73</v>
      </c>
      <c r="H80" s="16">
        <v>3144.92</v>
      </c>
      <c r="I80" s="16">
        <v>2620.18</v>
      </c>
      <c r="J80" s="16">
        <v>3139.03</v>
      </c>
      <c r="K80" s="16">
        <v>3089.62</v>
      </c>
      <c r="L80" s="16">
        <v>2493.96</v>
      </c>
      <c r="M80" s="16">
        <v>2150.88</v>
      </c>
      <c r="N80" s="16">
        <v>1627.62</v>
      </c>
      <c r="O80" s="16">
        <v>1266.93</v>
      </c>
      <c r="P80" s="16">
        <v>1154.92</v>
      </c>
      <c r="Q80" s="16">
        <v>727.1</v>
      </c>
      <c r="R80" s="16">
        <v>459.58</v>
      </c>
      <c r="S80" s="16">
        <v>906.12</v>
      </c>
      <c r="T80" s="16">
        <v>608.04</v>
      </c>
      <c r="U80" s="16">
        <v>457.08</v>
      </c>
      <c r="V80" s="15"/>
    </row>
    <row r="81" ht="15.0" customHeight="1">
      <c r="A81" s="14" t="s">
        <v>237</v>
      </c>
      <c r="B81" s="15"/>
      <c r="C81" s="16">
        <v>907.81</v>
      </c>
      <c r="D81" s="16">
        <v>523.52</v>
      </c>
      <c r="E81" s="16">
        <v>606.17</v>
      </c>
      <c r="F81" s="16">
        <v>288.39</v>
      </c>
      <c r="G81" s="16">
        <v>375.91</v>
      </c>
      <c r="H81" s="16">
        <v>444.45</v>
      </c>
      <c r="I81" s="16">
        <v>383.51</v>
      </c>
      <c r="J81" s="16">
        <v>389.25</v>
      </c>
      <c r="K81" s="16">
        <v>338.55</v>
      </c>
      <c r="L81" s="16">
        <v>325.48</v>
      </c>
      <c r="M81" s="16">
        <v>137.07</v>
      </c>
      <c r="N81" s="16">
        <v>133.83</v>
      </c>
      <c r="O81" s="16">
        <v>124.98</v>
      </c>
      <c r="P81" s="20">
        <v>89.37</v>
      </c>
      <c r="Q81" s="16">
        <v>103.25</v>
      </c>
      <c r="R81" s="16">
        <v>116.51</v>
      </c>
      <c r="S81" s="20">
        <v>72.03</v>
      </c>
      <c r="T81" s="20">
        <v>45.41</v>
      </c>
      <c r="U81" s="20">
        <v>54.63</v>
      </c>
      <c r="V81" s="15"/>
    </row>
    <row r="82" ht="15.0" customHeight="1">
      <c r="A82" s="14" t="s">
        <v>238</v>
      </c>
      <c r="B82" s="15"/>
      <c r="C82" s="16">
        <v>288.89</v>
      </c>
      <c r="D82" s="16">
        <v>266.79</v>
      </c>
      <c r="E82" s="16">
        <v>256.02</v>
      </c>
      <c r="F82" s="16">
        <v>174.4</v>
      </c>
      <c r="G82" s="16">
        <v>304.91</v>
      </c>
      <c r="H82" s="16">
        <v>265.36</v>
      </c>
      <c r="I82" s="16">
        <v>242.99</v>
      </c>
      <c r="J82" s="16">
        <v>209.14</v>
      </c>
      <c r="K82" s="15"/>
      <c r="L82" s="15"/>
      <c r="M82" s="15"/>
      <c r="N82" s="16">
        <v>123.46</v>
      </c>
      <c r="O82" s="20">
        <v>86.46</v>
      </c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239</v>
      </c>
      <c r="B83" s="15"/>
      <c r="C83" s="16">
        <v>366.0</v>
      </c>
      <c r="D83" s="16">
        <v>299.01</v>
      </c>
      <c r="E83" s="16">
        <v>130.84</v>
      </c>
      <c r="F83" s="16">
        <v>169.52</v>
      </c>
      <c r="G83" s="16">
        <v>171.25</v>
      </c>
      <c r="H83" s="20">
        <v>33.76</v>
      </c>
      <c r="I83" s="20">
        <v>29.28</v>
      </c>
      <c r="J83" s="20">
        <v>53.03</v>
      </c>
      <c r="K83" s="16">
        <v>114.75</v>
      </c>
      <c r="L83" s="16">
        <v>156.98</v>
      </c>
      <c r="M83" s="16">
        <v>156.24</v>
      </c>
      <c r="N83" s="20">
        <v>12.25</v>
      </c>
      <c r="O83" s="20">
        <v>19.69</v>
      </c>
      <c r="P83" s="20">
        <v>32.97</v>
      </c>
      <c r="Q83" s="20">
        <v>35.57</v>
      </c>
      <c r="R83" s="20">
        <v>17.8</v>
      </c>
      <c r="S83" s="20">
        <v>5.34</v>
      </c>
      <c r="T83" s="15"/>
      <c r="U83" s="15"/>
      <c r="V83" s="15"/>
    </row>
    <row r="84" ht="15.0" customHeight="1">
      <c r="A84" s="14" t="s">
        <v>192</v>
      </c>
      <c r="B84" s="15"/>
      <c r="C84" s="16">
        <v>1676.82</v>
      </c>
      <c r="D84" s="16">
        <v>862.8</v>
      </c>
      <c r="E84" s="16">
        <v>1892.88</v>
      </c>
      <c r="F84" s="16">
        <v>1618.28</v>
      </c>
      <c r="G84" s="16">
        <v>1197.7</v>
      </c>
      <c r="H84" s="16">
        <v>1029.55</v>
      </c>
      <c r="I84" s="16">
        <v>283.0</v>
      </c>
      <c r="J84" s="16">
        <v>426.28</v>
      </c>
      <c r="K84" s="16">
        <v>686.58</v>
      </c>
      <c r="L84" s="16">
        <v>318.16</v>
      </c>
      <c r="M84" s="16">
        <v>269.34</v>
      </c>
      <c r="N84" s="16">
        <v>245.04</v>
      </c>
      <c r="O84" s="16">
        <v>275.64</v>
      </c>
      <c r="P84" s="16">
        <v>436.46</v>
      </c>
      <c r="Q84" s="16">
        <v>635.99</v>
      </c>
      <c r="R84" s="16">
        <v>191.76</v>
      </c>
      <c r="S84" s="16">
        <v>836.76</v>
      </c>
      <c r="T84" s="20">
        <v>89.99</v>
      </c>
      <c r="U84" s="20">
        <v>37.33</v>
      </c>
      <c r="V84" s="15"/>
    </row>
    <row r="85" ht="15.0" customHeight="1">
      <c r="A85" s="14" t="s">
        <v>240</v>
      </c>
      <c r="B85" s="15"/>
      <c r="C85" s="16">
        <v>2272.09</v>
      </c>
      <c r="D85" s="16">
        <v>2010.51</v>
      </c>
      <c r="E85" s="16">
        <v>2222.33</v>
      </c>
      <c r="F85" s="16">
        <v>1632.89</v>
      </c>
      <c r="G85" s="16">
        <v>1380.43</v>
      </c>
      <c r="H85" s="16">
        <v>1239.59</v>
      </c>
      <c r="I85" s="16">
        <v>1017.82</v>
      </c>
      <c r="J85" s="16">
        <v>993.64</v>
      </c>
      <c r="K85" s="16">
        <v>852.54</v>
      </c>
      <c r="L85" s="16">
        <v>703.29</v>
      </c>
      <c r="M85" s="16">
        <v>562.64</v>
      </c>
      <c r="N85" s="16">
        <v>493.85</v>
      </c>
      <c r="O85" s="16">
        <v>450.27</v>
      </c>
      <c r="P85" s="16">
        <v>420.84</v>
      </c>
      <c r="Q85" s="16">
        <v>424.28</v>
      </c>
      <c r="R85" s="16">
        <v>394.04</v>
      </c>
      <c r="S85" s="16">
        <v>304.12</v>
      </c>
      <c r="T85" s="16">
        <v>342.29</v>
      </c>
      <c r="U85" s="16">
        <v>273.16</v>
      </c>
      <c r="V85" s="15"/>
    </row>
    <row r="86" ht="15.0" customHeight="1">
      <c r="A86" s="14" t="s">
        <v>241</v>
      </c>
      <c r="B86" s="15"/>
      <c r="C86" s="20">
        <v>52.43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242</v>
      </c>
      <c r="B87" s="15"/>
      <c r="C87" s="16">
        <v>705.27</v>
      </c>
      <c r="D87" s="15"/>
      <c r="E87" s="15"/>
      <c r="F87" s="15"/>
      <c r="G87" s="15"/>
      <c r="H87" s="15"/>
      <c r="I87" s="16">
        <v>314.23</v>
      </c>
      <c r="J87" s="16">
        <v>298.19</v>
      </c>
      <c r="K87" s="16">
        <v>293.03</v>
      </c>
      <c r="L87" s="16">
        <v>253.27</v>
      </c>
      <c r="M87" s="16">
        <v>203.2</v>
      </c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243</v>
      </c>
      <c r="B88" s="15"/>
      <c r="C88" s="16">
        <v>1514.38</v>
      </c>
      <c r="D88" s="15"/>
      <c r="E88" s="15"/>
      <c r="F88" s="15"/>
      <c r="G88" s="15"/>
      <c r="H88" s="15"/>
      <c r="I88" s="16">
        <v>703.59</v>
      </c>
      <c r="J88" s="16">
        <v>695.45</v>
      </c>
      <c r="K88" s="16">
        <v>559.51</v>
      </c>
      <c r="L88" s="16">
        <v>450.02</v>
      </c>
      <c r="M88" s="16">
        <v>359.44</v>
      </c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244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>
        <v>217.78</v>
      </c>
      <c r="R89" s="15"/>
      <c r="S89" s="15"/>
      <c r="T89" s="15"/>
      <c r="U89" s="15"/>
      <c r="V89" s="15"/>
    </row>
    <row r="90" ht="15.0" customHeight="1">
      <c r="A90" s="14" t="s">
        <v>245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>
        <v>206.5</v>
      </c>
      <c r="R90" s="15"/>
      <c r="S90" s="15"/>
      <c r="T90" s="15"/>
      <c r="U90" s="15"/>
      <c r="V90" s="15"/>
    </row>
    <row r="91" ht="15.0" customHeight="1">
      <c r="A91" s="17" t="s">
        <v>246</v>
      </c>
      <c r="B91" s="18">
        <v>11768.98</v>
      </c>
      <c r="C91" s="18">
        <v>12032.83</v>
      </c>
      <c r="D91" s="19">
        <v>9702.19</v>
      </c>
      <c r="E91" s="18">
        <v>13116.53</v>
      </c>
      <c r="F91" s="18">
        <v>11842.36</v>
      </c>
      <c r="G91" s="19">
        <v>9019.81</v>
      </c>
      <c r="H91" s="19">
        <v>7087.79</v>
      </c>
      <c r="I91" s="19">
        <v>5228.66</v>
      </c>
      <c r="J91" s="19">
        <v>5843.77</v>
      </c>
      <c r="K91" s="19">
        <v>5478.44</v>
      </c>
      <c r="L91" s="19">
        <v>4441.62</v>
      </c>
      <c r="M91" s="19">
        <v>3453.48</v>
      </c>
      <c r="N91" s="19">
        <v>2718.04</v>
      </c>
      <c r="O91" s="19">
        <v>2283.03</v>
      </c>
      <c r="P91" s="19">
        <v>2264.72</v>
      </c>
      <c r="Q91" s="19">
        <v>2236.82</v>
      </c>
      <c r="R91" s="19">
        <v>1397.34</v>
      </c>
      <c r="S91" s="19">
        <v>2994.91</v>
      </c>
      <c r="T91" s="19">
        <v>1618.92</v>
      </c>
      <c r="U91" s="19">
        <v>1728.17</v>
      </c>
      <c r="V91" s="18"/>
    </row>
    <row r="92" ht="15.0" customHeight="1">
      <c r="A92" s="14" t="s">
        <v>247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>
        <v>2271.32</v>
      </c>
      <c r="O92" s="16">
        <v>2470.5</v>
      </c>
      <c r="P92" s="16">
        <v>2950.21</v>
      </c>
      <c r="Q92" s="16">
        <v>2699.28</v>
      </c>
      <c r="R92" s="16">
        <v>2753.41</v>
      </c>
      <c r="S92" s="16">
        <v>4409.67</v>
      </c>
      <c r="T92" s="16">
        <v>3367.36</v>
      </c>
      <c r="U92" s="16">
        <v>2087.83</v>
      </c>
      <c r="V92" s="15"/>
    </row>
    <row r="93" ht="15.0" customHeight="1">
      <c r="A93" s="14" t="s">
        <v>232</v>
      </c>
      <c r="B93" s="16">
        <v>426.45</v>
      </c>
      <c r="C93" s="16">
        <v>975.66</v>
      </c>
      <c r="D93" s="16">
        <v>1982.32</v>
      </c>
      <c r="E93" s="16">
        <v>3318.9</v>
      </c>
      <c r="F93" s="16">
        <v>1569.56</v>
      </c>
      <c r="G93" s="16">
        <v>2179.25</v>
      </c>
      <c r="H93" s="16">
        <v>2800.8</v>
      </c>
      <c r="I93" s="16">
        <v>2489.42</v>
      </c>
      <c r="J93" s="16">
        <v>2355.52</v>
      </c>
      <c r="K93" s="16">
        <v>2709.35</v>
      </c>
      <c r="L93" s="16">
        <v>2231.27</v>
      </c>
      <c r="M93" s="16">
        <v>2432.68</v>
      </c>
      <c r="N93" s="16">
        <v>2157.28</v>
      </c>
      <c r="O93" s="16">
        <v>2374.63</v>
      </c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248</v>
      </c>
      <c r="B94" s="20">
        <v>32.8</v>
      </c>
      <c r="C94" s="20">
        <v>84.3</v>
      </c>
      <c r="D94" s="20">
        <v>31.21</v>
      </c>
      <c r="E94" s="20">
        <v>54.59</v>
      </c>
      <c r="F94" s="16">
        <v>264.03</v>
      </c>
      <c r="G94" s="16">
        <v>290.29</v>
      </c>
      <c r="H94" s="16">
        <v>225.98</v>
      </c>
      <c r="I94" s="16">
        <v>201.03</v>
      </c>
      <c r="J94" s="16">
        <v>164.11</v>
      </c>
      <c r="K94" s="16">
        <v>127.07</v>
      </c>
      <c r="L94" s="16">
        <v>133.96</v>
      </c>
      <c r="M94" s="16">
        <v>142.82</v>
      </c>
      <c r="N94" s="16">
        <v>114.04</v>
      </c>
      <c r="O94" s="20">
        <v>95.88</v>
      </c>
      <c r="P94" s="20">
        <v>8.68</v>
      </c>
      <c r="Q94" s="20">
        <v>3.47</v>
      </c>
      <c r="R94" s="15">
        <v>0.0</v>
      </c>
      <c r="S94" s="20">
        <v>4.45</v>
      </c>
      <c r="T94" s="20">
        <v>10.93</v>
      </c>
      <c r="U94" s="20">
        <v>4.55</v>
      </c>
      <c r="V94" s="15"/>
    </row>
    <row r="95" ht="15.0" customHeight="1">
      <c r="A95" s="14" t="s">
        <v>234</v>
      </c>
      <c r="B95" s="16">
        <v>383.81</v>
      </c>
      <c r="C95" s="16">
        <v>422.55</v>
      </c>
      <c r="D95" s="16">
        <v>634.26</v>
      </c>
      <c r="E95" s="16">
        <v>528.99</v>
      </c>
      <c r="F95" s="16">
        <v>480.32</v>
      </c>
      <c r="G95" s="16">
        <v>644.27</v>
      </c>
      <c r="H95" s="16">
        <v>632.92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249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>
        <v>364.73</v>
      </c>
      <c r="O96" s="16">
        <v>317.59</v>
      </c>
      <c r="P96" s="15"/>
      <c r="Q96" s="15"/>
      <c r="R96" s="15"/>
      <c r="S96" s="15"/>
      <c r="T96" s="15"/>
      <c r="U96" s="15"/>
      <c r="V96" s="15"/>
    </row>
    <row r="97" ht="15.0" customHeight="1">
      <c r="A97" s="14" t="s">
        <v>250</v>
      </c>
      <c r="B97" s="16">
        <v>668.11</v>
      </c>
      <c r="C97" s="16">
        <v>638.45</v>
      </c>
      <c r="D97" s="16">
        <v>660.44</v>
      </c>
      <c r="E97" s="16">
        <v>520.52</v>
      </c>
      <c r="F97" s="16">
        <v>432.58</v>
      </c>
      <c r="G97" s="16">
        <v>501.22</v>
      </c>
      <c r="H97" s="16">
        <v>479.15</v>
      </c>
      <c r="I97" s="16">
        <v>478.17</v>
      </c>
      <c r="J97" s="16">
        <v>437.28</v>
      </c>
      <c r="K97" s="16">
        <v>493.13</v>
      </c>
      <c r="L97" s="16">
        <v>475.14</v>
      </c>
      <c r="M97" s="16">
        <v>316.31</v>
      </c>
      <c r="N97" s="16">
        <v>296.87</v>
      </c>
      <c r="O97" s="16">
        <v>255.95</v>
      </c>
      <c r="P97" s="16">
        <v>284.61</v>
      </c>
      <c r="Q97" s="16">
        <v>265.5</v>
      </c>
      <c r="R97" s="16">
        <v>271.86</v>
      </c>
      <c r="S97" s="16">
        <v>192.96</v>
      </c>
      <c r="T97" s="16">
        <v>269.96</v>
      </c>
      <c r="U97" s="16">
        <v>315.04</v>
      </c>
      <c r="V97" s="15"/>
    </row>
    <row r="98" ht="15.0" customHeight="1">
      <c r="A98" s="14" t="s">
        <v>251</v>
      </c>
      <c r="B98" s="15"/>
      <c r="C98" s="16">
        <v>273.47</v>
      </c>
      <c r="D98" s="16">
        <v>239.61</v>
      </c>
      <c r="E98" s="16">
        <v>166.6</v>
      </c>
      <c r="F98" s="20">
        <v>95.48</v>
      </c>
      <c r="G98" s="20">
        <v>98.15</v>
      </c>
      <c r="H98" s="20">
        <v>95.64</v>
      </c>
      <c r="I98" s="20">
        <v>70.26</v>
      </c>
      <c r="J98" s="20">
        <v>63.04</v>
      </c>
      <c r="K98" s="20">
        <v>66.38</v>
      </c>
      <c r="L98" s="20">
        <v>64.89</v>
      </c>
      <c r="M98" s="20">
        <v>65.18</v>
      </c>
      <c r="N98" s="20">
        <v>52.78</v>
      </c>
      <c r="O98" s="20">
        <v>45.37</v>
      </c>
      <c r="P98" s="20">
        <v>49.46</v>
      </c>
      <c r="Q98" s="20">
        <v>54.66</v>
      </c>
      <c r="R98" s="20">
        <v>76.06</v>
      </c>
      <c r="S98" s="16">
        <v>123.6</v>
      </c>
      <c r="T98" s="16">
        <v>117.74</v>
      </c>
      <c r="U98" s="20">
        <v>43.71</v>
      </c>
      <c r="V98" s="15"/>
    </row>
    <row r="99" ht="15.0" customHeight="1">
      <c r="A99" s="14" t="s">
        <v>247</v>
      </c>
      <c r="B99" s="16">
        <v>556.57</v>
      </c>
      <c r="C99" s="16">
        <v>209.73</v>
      </c>
      <c r="D99" s="16">
        <v>218.47</v>
      </c>
      <c r="E99" s="20">
        <v>90.36</v>
      </c>
      <c r="F99" s="16">
        <v>256.24</v>
      </c>
      <c r="G99" s="16">
        <v>361.29</v>
      </c>
      <c r="H99" s="16">
        <v>396.63</v>
      </c>
      <c r="I99" s="16">
        <v>353.26</v>
      </c>
      <c r="J99" s="16">
        <v>300.19</v>
      </c>
      <c r="K99" s="16">
        <v>237.08</v>
      </c>
      <c r="L99" s="16">
        <v>236.52</v>
      </c>
      <c r="M99" s="20">
        <v>23.0</v>
      </c>
      <c r="N99" s="20">
        <v>15.08</v>
      </c>
      <c r="O99" s="20">
        <v>16.26</v>
      </c>
      <c r="P99" s="20">
        <v>3.47</v>
      </c>
      <c r="Q99" s="20">
        <v>1.74</v>
      </c>
      <c r="R99" s="20">
        <v>3.24</v>
      </c>
      <c r="S99" s="20">
        <v>6.22</v>
      </c>
      <c r="T99" s="20">
        <v>9.25</v>
      </c>
      <c r="U99" s="20">
        <v>21.85</v>
      </c>
      <c r="V99" s="15"/>
    </row>
    <row r="100" ht="15.0" customHeight="1">
      <c r="A100" s="17" t="s">
        <v>252</v>
      </c>
      <c r="B100" s="19">
        <v>2067.75</v>
      </c>
      <c r="C100" s="19">
        <v>2604.17</v>
      </c>
      <c r="D100" s="19">
        <v>3766.31</v>
      </c>
      <c r="E100" s="19">
        <v>4679.97</v>
      </c>
      <c r="F100" s="19">
        <v>3098.21</v>
      </c>
      <c r="G100" s="19">
        <v>4074.47</v>
      </c>
      <c r="H100" s="19">
        <v>4631.12</v>
      </c>
      <c r="I100" s="19">
        <v>3592.14</v>
      </c>
      <c r="J100" s="19">
        <v>3320.14</v>
      </c>
      <c r="K100" s="19">
        <v>3633.01</v>
      </c>
      <c r="L100" s="19">
        <v>3141.78</v>
      </c>
      <c r="M100" s="19">
        <v>2979.98</v>
      </c>
      <c r="N100" s="19">
        <v>2636.05</v>
      </c>
      <c r="O100" s="19">
        <v>2788.09</v>
      </c>
      <c r="P100" s="19">
        <v>3296.42</v>
      </c>
      <c r="Q100" s="19">
        <v>3024.65</v>
      </c>
      <c r="R100" s="19">
        <v>3104.56</v>
      </c>
      <c r="S100" s="19">
        <v>4736.91</v>
      </c>
      <c r="T100" s="19">
        <v>3775.24</v>
      </c>
      <c r="U100" s="19">
        <v>2472.98</v>
      </c>
      <c r="V100" s="18"/>
    </row>
    <row r="101" ht="15.0" customHeight="1">
      <c r="A101" s="17" t="s">
        <v>253</v>
      </c>
      <c r="B101" s="18">
        <v>13836.73</v>
      </c>
      <c r="C101" s="18">
        <v>14637.0</v>
      </c>
      <c r="D101" s="18">
        <v>13468.5</v>
      </c>
      <c r="E101" s="18">
        <v>17796.5</v>
      </c>
      <c r="F101" s="18">
        <v>14940.56</v>
      </c>
      <c r="G101" s="18">
        <v>13094.28</v>
      </c>
      <c r="H101" s="18">
        <v>11718.91</v>
      </c>
      <c r="I101" s="19">
        <v>8820.8</v>
      </c>
      <c r="J101" s="19">
        <v>9163.92</v>
      </c>
      <c r="K101" s="19">
        <v>9111.44</v>
      </c>
      <c r="L101" s="19">
        <v>7583.4</v>
      </c>
      <c r="M101" s="19">
        <v>6433.46</v>
      </c>
      <c r="N101" s="19">
        <v>5354.09</v>
      </c>
      <c r="O101" s="19">
        <v>5071.12</v>
      </c>
      <c r="P101" s="19">
        <v>5561.14</v>
      </c>
      <c r="Q101" s="19">
        <v>5261.47</v>
      </c>
      <c r="R101" s="19">
        <v>4501.9</v>
      </c>
      <c r="S101" s="19">
        <v>7731.82</v>
      </c>
      <c r="T101" s="19">
        <v>5394.16</v>
      </c>
      <c r="U101" s="19">
        <v>4201.15</v>
      </c>
      <c r="V101" s="18"/>
    </row>
    <row r="102" ht="15.0" customHeight="1">
      <c r="A102" s="14" t="s">
        <v>254</v>
      </c>
      <c r="B102" s="15"/>
      <c r="C102" s="16">
        <v>445.17</v>
      </c>
      <c r="D102" s="16">
        <v>435.93</v>
      </c>
      <c r="E102" s="16">
        <v>407.57</v>
      </c>
      <c r="F102" s="16">
        <v>419.91</v>
      </c>
      <c r="G102" s="16">
        <v>444.83</v>
      </c>
      <c r="H102" s="16">
        <v>396.63</v>
      </c>
      <c r="I102" s="16">
        <v>412.79</v>
      </c>
      <c r="J102" s="16">
        <v>423.27</v>
      </c>
      <c r="K102" s="16">
        <v>401.14</v>
      </c>
      <c r="L102" s="16">
        <v>442.7</v>
      </c>
      <c r="M102" s="16">
        <v>399.7</v>
      </c>
      <c r="N102" s="16">
        <v>387.35</v>
      </c>
      <c r="O102" s="16">
        <v>350.12</v>
      </c>
      <c r="P102" s="16">
        <v>354.89</v>
      </c>
      <c r="Q102" s="16">
        <v>354.87</v>
      </c>
      <c r="R102" s="16">
        <v>330.93</v>
      </c>
      <c r="S102" s="16">
        <v>368.14</v>
      </c>
      <c r="T102" s="16">
        <v>348.17</v>
      </c>
      <c r="U102" s="16">
        <v>376.96</v>
      </c>
      <c r="V102" s="15"/>
    </row>
    <row r="103" ht="15.0" customHeight="1">
      <c r="A103" s="14" t="s">
        <v>255</v>
      </c>
      <c r="B103" s="15"/>
      <c r="C103" s="16">
        <v>1030.15</v>
      </c>
      <c r="D103" s="16">
        <v>548.69</v>
      </c>
      <c r="E103" s="16">
        <v>659.83</v>
      </c>
      <c r="F103" s="22">
        <v>-749.22</v>
      </c>
      <c r="G103" s="22">
        <v>-1520.36</v>
      </c>
      <c r="H103" s="16">
        <v>465.08</v>
      </c>
      <c r="I103" s="16">
        <v>116.13</v>
      </c>
      <c r="J103" s="22">
        <v>-243.16</v>
      </c>
      <c r="K103" s="16">
        <v>437.17</v>
      </c>
      <c r="L103" s="16">
        <v>266.87</v>
      </c>
      <c r="M103" s="16">
        <v>180.2</v>
      </c>
      <c r="N103" s="22">
        <v>-534.37</v>
      </c>
      <c r="O103" s="22">
        <v>-445.99</v>
      </c>
      <c r="P103" s="22">
        <v>-359.23</v>
      </c>
      <c r="Q103" s="22">
        <v>-319.3</v>
      </c>
      <c r="R103" s="22">
        <v>-112.47</v>
      </c>
      <c r="S103" s="23">
        <v>-58.69</v>
      </c>
      <c r="T103" s="22">
        <v>-133.72</v>
      </c>
      <c r="U103" s="22">
        <v>-113.82</v>
      </c>
      <c r="V103" s="15"/>
    </row>
    <row r="104" ht="15.0" customHeight="1">
      <c r="A104" s="14" t="s">
        <v>256</v>
      </c>
      <c r="B104" s="15"/>
      <c r="C104" s="15"/>
      <c r="D104" s="15"/>
      <c r="E104" s="15"/>
      <c r="F104" s="15"/>
      <c r="G104" s="15"/>
      <c r="H104" s="20">
        <v>4.69</v>
      </c>
      <c r="I104" s="20">
        <v>4.88</v>
      </c>
      <c r="J104" s="20">
        <v>5.0</v>
      </c>
      <c r="K104" s="20">
        <v>4.74</v>
      </c>
      <c r="L104" s="20">
        <v>5.23</v>
      </c>
      <c r="M104" s="20">
        <v>4.79</v>
      </c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257</v>
      </c>
      <c r="B105" s="15"/>
      <c r="C105" s="20">
        <v>5.14</v>
      </c>
      <c r="D105" s="20">
        <v>5.03</v>
      </c>
      <c r="E105" s="20">
        <v>4.71</v>
      </c>
      <c r="F105" s="20">
        <v>4.87</v>
      </c>
      <c r="G105" s="20">
        <v>5.22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258</v>
      </c>
      <c r="B106" s="15"/>
      <c r="C106" s="15">
        <v>0.0</v>
      </c>
      <c r="D106" s="20">
        <v>10.07</v>
      </c>
      <c r="E106" s="20">
        <v>17.88</v>
      </c>
      <c r="F106" s="20">
        <v>2.92</v>
      </c>
      <c r="G106" s="15">
        <v>0.0</v>
      </c>
      <c r="H106" s="15">
        <v>0.0</v>
      </c>
      <c r="I106" s="20">
        <v>24.4</v>
      </c>
      <c r="J106" s="20">
        <v>25.02</v>
      </c>
      <c r="K106" s="20">
        <v>23.71</v>
      </c>
      <c r="L106" s="20">
        <v>7.33</v>
      </c>
      <c r="M106" s="23">
        <v>-11.5</v>
      </c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259</v>
      </c>
      <c r="B107" s="15"/>
      <c r="C107" s="16">
        <v>1025.01</v>
      </c>
      <c r="D107" s="16">
        <v>533.59</v>
      </c>
      <c r="E107" s="16">
        <v>637.24</v>
      </c>
      <c r="F107" s="22">
        <v>-757.01</v>
      </c>
      <c r="G107" s="22">
        <v>-1524.53</v>
      </c>
      <c r="H107" s="16">
        <v>460.39</v>
      </c>
      <c r="I107" s="20">
        <v>86.85</v>
      </c>
      <c r="J107" s="22">
        <v>-273.18</v>
      </c>
      <c r="K107" s="16">
        <v>408.73</v>
      </c>
      <c r="L107" s="16">
        <v>254.31</v>
      </c>
      <c r="M107" s="16">
        <v>186.91</v>
      </c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260</v>
      </c>
      <c r="B108" s="15"/>
      <c r="C108" s="15"/>
      <c r="D108" s="15"/>
      <c r="E108" s="15"/>
      <c r="F108" s="15"/>
      <c r="G108" s="23">
        <v>-1.04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261</v>
      </c>
      <c r="B109" s="15"/>
      <c r="C109" s="15">
        <v>19176.04</v>
      </c>
      <c r="D109" s="15">
        <v>16248.18</v>
      </c>
      <c r="E109" s="15">
        <v>13085.47</v>
      </c>
      <c r="F109" s="15">
        <v>11809.23</v>
      </c>
      <c r="G109" s="15">
        <v>11203.23</v>
      </c>
      <c r="H109" s="16">
        <v>8830.91</v>
      </c>
      <c r="I109" s="16">
        <v>8164.04</v>
      </c>
      <c r="J109" s="16">
        <v>7488.84</v>
      </c>
      <c r="K109" s="16">
        <v>6294.94</v>
      </c>
      <c r="L109" s="16">
        <v>6194.61</v>
      </c>
      <c r="M109" s="16">
        <v>4936.28</v>
      </c>
      <c r="N109" s="16">
        <v>4227.85</v>
      </c>
      <c r="O109" s="16">
        <v>3359.06</v>
      </c>
      <c r="P109" s="16">
        <v>3082.1</v>
      </c>
      <c r="Q109" s="16">
        <v>2709.69</v>
      </c>
      <c r="R109" s="16">
        <v>2149.81</v>
      </c>
      <c r="S109" s="16">
        <v>1774.01</v>
      </c>
      <c r="T109" s="16">
        <v>1811.51</v>
      </c>
      <c r="U109" s="16">
        <v>1819.22</v>
      </c>
      <c r="V109" s="15"/>
    </row>
    <row r="110" ht="15.0" customHeight="1">
      <c r="A110" s="17" t="s">
        <v>262</v>
      </c>
      <c r="B110" s="18">
        <v>21756.71</v>
      </c>
      <c r="C110" s="18">
        <v>20651.36</v>
      </c>
      <c r="D110" s="18">
        <v>17232.79</v>
      </c>
      <c r="E110" s="18">
        <v>14152.86</v>
      </c>
      <c r="F110" s="18">
        <v>11479.93</v>
      </c>
      <c r="G110" s="18">
        <v>10127.7</v>
      </c>
      <c r="H110" s="19">
        <v>9692.62</v>
      </c>
      <c r="I110" s="19">
        <v>8692.96</v>
      </c>
      <c r="J110" s="19">
        <v>7668.95</v>
      </c>
      <c r="K110" s="19">
        <v>7133.25</v>
      </c>
      <c r="L110" s="19">
        <v>6904.18</v>
      </c>
      <c r="M110" s="19">
        <v>5516.18</v>
      </c>
      <c r="N110" s="19">
        <v>4080.83</v>
      </c>
      <c r="O110" s="19">
        <v>3263.19</v>
      </c>
      <c r="P110" s="19">
        <v>3077.76</v>
      </c>
      <c r="Q110" s="19">
        <v>2745.26</v>
      </c>
      <c r="R110" s="19">
        <v>2368.27</v>
      </c>
      <c r="S110" s="19">
        <v>2083.46</v>
      </c>
      <c r="T110" s="19">
        <v>2025.97</v>
      </c>
      <c r="U110" s="19">
        <v>2082.37</v>
      </c>
      <c r="V110" s="18"/>
    </row>
    <row r="111" ht="15.0" customHeight="1">
      <c r="A111" s="14" t="s">
        <v>136</v>
      </c>
      <c r="B111" s="20">
        <v>77.64</v>
      </c>
      <c r="C111" s="20">
        <v>63.74</v>
      </c>
      <c r="D111" s="20">
        <v>56.38</v>
      </c>
      <c r="E111" s="20">
        <v>44.24</v>
      </c>
      <c r="F111" s="20">
        <v>46.77</v>
      </c>
      <c r="G111" s="20">
        <v>40.72</v>
      </c>
      <c r="H111" s="20">
        <v>78.76</v>
      </c>
      <c r="I111" s="20">
        <v>85.88</v>
      </c>
      <c r="J111" s="20">
        <v>70.05</v>
      </c>
      <c r="K111" s="20">
        <v>51.21</v>
      </c>
      <c r="L111" s="20">
        <v>55.47</v>
      </c>
      <c r="M111" s="20">
        <v>43.13</v>
      </c>
      <c r="N111" s="20">
        <v>32.04</v>
      </c>
      <c r="O111" s="20">
        <v>20.54</v>
      </c>
      <c r="P111" s="20">
        <v>15.62</v>
      </c>
      <c r="Q111" s="20">
        <v>20.82</v>
      </c>
      <c r="R111" s="20">
        <v>17.8</v>
      </c>
      <c r="S111" s="20">
        <v>35.57</v>
      </c>
      <c r="T111" s="20">
        <v>28.59</v>
      </c>
      <c r="U111" s="20">
        <v>29.14</v>
      </c>
      <c r="V111" s="15"/>
    </row>
    <row r="112" ht="15.0" customHeight="1">
      <c r="A112" s="17" t="s">
        <v>263</v>
      </c>
      <c r="B112" s="21">
        <v>77.64</v>
      </c>
      <c r="C112" s="21">
        <v>63.74</v>
      </c>
      <c r="D112" s="21">
        <v>56.38</v>
      </c>
      <c r="E112" s="21">
        <v>44.24</v>
      </c>
      <c r="F112" s="21">
        <v>46.77</v>
      </c>
      <c r="G112" s="21">
        <v>40.72</v>
      </c>
      <c r="H112" s="21">
        <v>78.76</v>
      </c>
      <c r="I112" s="21">
        <v>85.88</v>
      </c>
      <c r="J112" s="21">
        <v>70.05</v>
      </c>
      <c r="K112" s="21">
        <v>51.21</v>
      </c>
      <c r="L112" s="21">
        <v>55.47</v>
      </c>
      <c r="M112" s="21">
        <v>43.13</v>
      </c>
      <c r="N112" s="21">
        <v>32.04</v>
      </c>
      <c r="O112" s="21">
        <v>20.54</v>
      </c>
      <c r="P112" s="18"/>
      <c r="Q112" s="18"/>
      <c r="R112" s="18"/>
      <c r="S112" s="18"/>
      <c r="T112" s="18"/>
      <c r="U112" s="18"/>
      <c r="V112" s="18"/>
    </row>
    <row r="113" ht="15.0" customHeight="1">
      <c r="A113" s="17" t="s">
        <v>264</v>
      </c>
      <c r="B113" s="18">
        <v>21834.34</v>
      </c>
      <c r="C113" s="18">
        <v>20715.1</v>
      </c>
      <c r="D113" s="18">
        <v>17289.17</v>
      </c>
      <c r="E113" s="18">
        <v>14197.1</v>
      </c>
      <c r="F113" s="18">
        <v>11526.69</v>
      </c>
      <c r="G113" s="18">
        <v>10168.43</v>
      </c>
      <c r="H113" s="19">
        <v>9771.39</v>
      </c>
      <c r="I113" s="19">
        <v>8778.83</v>
      </c>
      <c r="J113" s="19">
        <v>7739.0</v>
      </c>
      <c r="K113" s="19">
        <v>7184.46</v>
      </c>
      <c r="L113" s="19">
        <v>6959.65</v>
      </c>
      <c r="M113" s="19">
        <v>5559.31</v>
      </c>
      <c r="N113" s="19">
        <v>4112.87</v>
      </c>
      <c r="O113" s="19">
        <v>3283.73</v>
      </c>
      <c r="P113" s="19">
        <v>3093.38</v>
      </c>
      <c r="Q113" s="19">
        <v>2766.09</v>
      </c>
      <c r="R113" s="19">
        <v>2386.07</v>
      </c>
      <c r="S113" s="19">
        <v>2119.03</v>
      </c>
      <c r="T113" s="19">
        <v>2054.56</v>
      </c>
      <c r="U113" s="19">
        <v>2111.5</v>
      </c>
      <c r="V113" s="18"/>
    </row>
    <row r="114" ht="15.0" customHeight="1">
      <c r="A114" s="17" t="s">
        <v>265</v>
      </c>
      <c r="B114" s="18">
        <v>35671.07</v>
      </c>
      <c r="C114" s="18">
        <v>35352.1</v>
      </c>
      <c r="D114" s="18">
        <v>30757.67</v>
      </c>
      <c r="E114" s="18">
        <v>31993.6</v>
      </c>
      <c r="F114" s="18">
        <v>26467.26</v>
      </c>
      <c r="G114" s="18">
        <v>23262.7</v>
      </c>
      <c r="H114" s="18">
        <v>21490.3</v>
      </c>
      <c r="I114" s="18">
        <v>17599.63</v>
      </c>
      <c r="J114" s="18">
        <v>16902.92</v>
      </c>
      <c r="K114" s="18">
        <v>16295.9</v>
      </c>
      <c r="L114" s="18">
        <v>14543.05</v>
      </c>
      <c r="M114" s="18">
        <v>11992.77</v>
      </c>
      <c r="N114" s="19">
        <v>9466.96</v>
      </c>
      <c r="O114" s="19">
        <v>8354.86</v>
      </c>
      <c r="P114" s="19">
        <v>8654.52</v>
      </c>
      <c r="Q114" s="19">
        <v>8027.56</v>
      </c>
      <c r="R114" s="19">
        <v>6887.97</v>
      </c>
      <c r="S114" s="19">
        <v>9850.85</v>
      </c>
      <c r="T114" s="19">
        <v>7448.72</v>
      </c>
      <c r="U114" s="19">
        <v>6312.65</v>
      </c>
      <c r="V114" s="18"/>
    </row>
    <row r="115" ht="15.0" customHeight="1">
      <c r="A115" s="14" t="s">
        <v>266</v>
      </c>
      <c r="B115" s="16">
        <v>260.45</v>
      </c>
      <c r="C115" s="16">
        <v>259.56</v>
      </c>
      <c r="D115" s="16">
        <v>259.56</v>
      </c>
      <c r="E115" s="16">
        <v>259.56</v>
      </c>
      <c r="F115" s="16">
        <v>258.5</v>
      </c>
      <c r="G115" s="16">
        <v>255.41</v>
      </c>
      <c r="H115" s="16">
        <v>253.73</v>
      </c>
      <c r="I115" s="16">
        <v>253.73</v>
      </c>
      <c r="J115" s="16">
        <v>253.73</v>
      </c>
      <c r="K115" s="16">
        <v>253.73</v>
      </c>
      <c r="L115" s="16">
        <v>253.73</v>
      </c>
      <c r="M115" s="16">
        <v>250.31</v>
      </c>
      <c r="N115" s="16">
        <v>246.73</v>
      </c>
      <c r="O115" s="16">
        <v>245.38</v>
      </c>
      <c r="P115" s="16">
        <v>245.38</v>
      </c>
      <c r="Q115" s="16">
        <v>245.38</v>
      </c>
      <c r="R115" s="16">
        <v>245.38</v>
      </c>
      <c r="S115" s="16">
        <v>242.47</v>
      </c>
      <c r="T115" s="16">
        <v>245.2</v>
      </c>
      <c r="U115" s="16">
        <v>245.06</v>
      </c>
      <c r="V115" s="15"/>
    </row>
    <row r="116" ht="15.0" customHeight="1">
      <c r="A116" s="14" t="s">
        <v>267</v>
      </c>
      <c r="B116" s="15">
        <v>0.0</v>
      </c>
      <c r="C116" s="15">
        <v>0.0</v>
      </c>
      <c r="D116" s="15">
        <v>0.0</v>
      </c>
      <c r="E116" s="15">
        <v>0.0</v>
      </c>
      <c r="F116" s="15">
        <v>0.0</v>
      </c>
      <c r="G116" s="15">
        <v>0.0</v>
      </c>
      <c r="H116" s="15">
        <v>0.0</v>
      </c>
      <c r="I116" s="15">
        <v>0.0</v>
      </c>
      <c r="J116" s="15">
        <v>0.0</v>
      </c>
      <c r="K116" s="15">
        <v>0.0</v>
      </c>
      <c r="L116" s="15">
        <v>0.0</v>
      </c>
      <c r="M116" s="15">
        <v>0.0</v>
      </c>
      <c r="N116" s="15">
        <v>0.0</v>
      </c>
      <c r="O116" s="15">
        <v>0.0</v>
      </c>
      <c r="P116" s="15">
        <v>0.0</v>
      </c>
      <c r="Q116" s="15">
        <v>0.0</v>
      </c>
      <c r="R116" s="15">
        <v>0.0</v>
      </c>
      <c r="S116" s="20">
        <v>2.91</v>
      </c>
      <c r="T116" s="20">
        <v>3.1</v>
      </c>
      <c r="U116" s="20">
        <v>3.23</v>
      </c>
      <c r="V116" s="15"/>
    </row>
    <row r="117" ht="15.0" customHeight="1">
      <c r="A117" s="14" t="s">
        <v>268</v>
      </c>
      <c r="B117" s="16">
        <v>260.45</v>
      </c>
      <c r="C117" s="16">
        <v>259.56</v>
      </c>
      <c r="D117" s="16">
        <v>259.56</v>
      </c>
      <c r="E117" s="16">
        <v>259.56</v>
      </c>
      <c r="F117" s="16">
        <v>258.5</v>
      </c>
      <c r="G117" s="16">
        <v>255.41</v>
      </c>
      <c r="H117" s="16">
        <v>253.73</v>
      </c>
      <c r="I117" s="16">
        <v>253.73</v>
      </c>
      <c r="J117" s="16">
        <v>253.73</v>
      </c>
      <c r="K117" s="16">
        <v>253.73</v>
      </c>
      <c r="L117" s="16">
        <v>253.73</v>
      </c>
      <c r="M117" s="16">
        <v>250.31</v>
      </c>
      <c r="N117" s="16">
        <v>246.73</v>
      </c>
      <c r="O117" s="16">
        <v>245.38</v>
      </c>
      <c r="P117" s="16">
        <v>245.38</v>
      </c>
      <c r="Q117" s="16">
        <v>245.38</v>
      </c>
      <c r="R117" s="16">
        <v>245.38</v>
      </c>
      <c r="S117" s="16">
        <v>245.38</v>
      </c>
      <c r="T117" s="16">
        <v>248.3</v>
      </c>
      <c r="U117" s="16">
        <v>248.3</v>
      </c>
      <c r="V117" s="15"/>
    </row>
    <row r="118" ht="15.0" customHeight="1">
      <c r="A118" s="14" t="s">
        <v>269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3">
        <v>-98.91</v>
      </c>
      <c r="R118" s="23">
        <v>-85.77</v>
      </c>
      <c r="S118" s="23">
        <v>-71.14</v>
      </c>
      <c r="T118" s="23">
        <v>-47.94</v>
      </c>
      <c r="U118" s="23">
        <v>-38.24</v>
      </c>
      <c r="V118" s="15"/>
    </row>
    <row r="119" ht="15.0" customHeight="1">
      <c r="A119" s="14" t="s">
        <v>270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6">
        <v>415.07</v>
      </c>
      <c r="S119" s="16">
        <v>617.12</v>
      </c>
      <c r="T119" s="16">
        <v>562.63</v>
      </c>
      <c r="U119" s="16">
        <v>502.61</v>
      </c>
      <c r="V119" s="15"/>
    </row>
    <row r="120" ht="15.0" customHeight="1">
      <c r="A120" s="14" t="s">
        <v>271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20">
        <v>13.66</v>
      </c>
      <c r="V120" s="15"/>
    </row>
    <row r="121" ht="15.0" customHeight="1">
      <c r="A121" s="14" t="s">
        <v>272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22">
        <v>-368.95</v>
      </c>
      <c r="S121" s="22">
        <v>-376.14</v>
      </c>
      <c r="T121" s="22">
        <v>-275.01</v>
      </c>
      <c r="U121" s="22">
        <v>-264.96</v>
      </c>
      <c r="V121" s="15"/>
    </row>
    <row r="122" ht="15.0" customHeight="1">
      <c r="A122" s="14" t="s">
        <v>273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20">
        <v>1.62</v>
      </c>
      <c r="S122" s="15"/>
      <c r="T122" s="15"/>
      <c r="U122" s="15"/>
      <c r="V122" s="15"/>
    </row>
    <row r="123" ht="15.0" customHeight="1">
      <c r="A123" s="14" t="s">
        <v>274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>
        <v>105.99</v>
      </c>
      <c r="S123" s="16">
        <v>204.52</v>
      </c>
      <c r="T123" s="16">
        <v>118.58</v>
      </c>
      <c r="U123" s="16">
        <v>150.24</v>
      </c>
      <c r="V123" s="15"/>
    </row>
    <row r="124" ht="15.0" customHeight="1">
      <c r="A124" s="14" t="s">
        <v>275</v>
      </c>
      <c r="B124" s="15"/>
      <c r="C124" s="16">
        <v>6955.07</v>
      </c>
      <c r="D124" s="16">
        <v>7132.93</v>
      </c>
      <c r="E124" s="16">
        <v>7874.62</v>
      </c>
      <c r="F124" s="16">
        <v>6210.05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276</v>
      </c>
      <c r="B125" s="15"/>
      <c r="C125" s="16">
        <v>5067.48</v>
      </c>
      <c r="D125" s="16">
        <v>5596.6</v>
      </c>
      <c r="E125" s="16">
        <v>4042.73</v>
      </c>
      <c r="F125" s="16">
        <v>4138.74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277</v>
      </c>
      <c r="B126" s="15"/>
      <c r="C126" s="15"/>
      <c r="D126" s="15"/>
      <c r="E126" s="16">
        <v>788.78</v>
      </c>
      <c r="F126" s="16">
        <v>708.3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278</v>
      </c>
      <c r="B127" s="15"/>
      <c r="C127" s="16">
        <v>147.02</v>
      </c>
      <c r="D127" s="16">
        <v>183.23</v>
      </c>
      <c r="E127" s="16">
        <v>152.48</v>
      </c>
      <c r="F127" s="16">
        <v>123.73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0" customHeight="1">
      <c r="A128" s="14" t="s">
        <v>279</v>
      </c>
      <c r="B128" s="15"/>
      <c r="C128" s="20">
        <v>88.42</v>
      </c>
      <c r="D128" s="16">
        <v>155.04</v>
      </c>
      <c r="E128" s="16">
        <v>115.78</v>
      </c>
      <c r="F128" s="20">
        <v>96.45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280</v>
      </c>
      <c r="B129" s="15"/>
      <c r="C129" s="16">
        <v>169.64</v>
      </c>
      <c r="D129" s="16">
        <v>297.0</v>
      </c>
      <c r="E129" s="16">
        <v>224.96</v>
      </c>
      <c r="F129" s="16">
        <v>200.7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4" t="s">
        <v>281</v>
      </c>
      <c r="B130" s="15"/>
      <c r="C130" s="16">
        <v>276.56</v>
      </c>
      <c r="D130" s="16">
        <v>376.53</v>
      </c>
      <c r="E130" s="16">
        <v>295.56</v>
      </c>
      <c r="F130" s="16">
        <v>287.41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0" customHeight="1">
      <c r="A131" s="14" t="s">
        <v>282</v>
      </c>
      <c r="B131" s="15"/>
      <c r="C131" s="15"/>
      <c r="D131" s="15"/>
      <c r="E131" s="16">
        <v>6139.87</v>
      </c>
      <c r="F131" s="16">
        <v>3842.56</v>
      </c>
      <c r="G131" s="16">
        <v>3813.42</v>
      </c>
      <c r="H131" s="16">
        <v>3616.57</v>
      </c>
      <c r="I131" s="16">
        <v>2489.42</v>
      </c>
      <c r="J131" s="16">
        <v>2355.52</v>
      </c>
      <c r="K131" s="16">
        <v>2709.35</v>
      </c>
      <c r="L131" s="16">
        <v>2985.85</v>
      </c>
      <c r="M131" s="16">
        <v>2876.46</v>
      </c>
      <c r="N131" s="16">
        <v>2666.21</v>
      </c>
      <c r="O131" s="16">
        <v>2808.64</v>
      </c>
      <c r="P131" s="16">
        <v>3012.68</v>
      </c>
      <c r="Q131" s="16">
        <v>2756.54</v>
      </c>
      <c r="R131" s="16">
        <v>2839.98</v>
      </c>
      <c r="S131" s="16">
        <v>4631.09</v>
      </c>
      <c r="T131" s="16">
        <v>3726.46</v>
      </c>
      <c r="U131" s="16">
        <v>2814.43</v>
      </c>
      <c r="V131" s="15"/>
    </row>
    <row r="132" ht="15.0" customHeight="1">
      <c r="A132" s="14" t="s">
        <v>283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>
        <v>2601.18</v>
      </c>
      <c r="O132" s="16">
        <v>2737.59</v>
      </c>
      <c r="P132" s="15"/>
      <c r="Q132" s="15"/>
      <c r="R132" s="15"/>
      <c r="S132" s="15"/>
      <c r="T132" s="15"/>
      <c r="U132" s="15"/>
      <c r="V132" s="15"/>
    </row>
    <row r="133" ht="15.0" customHeight="1">
      <c r="A133" s="14" t="s">
        <v>284</v>
      </c>
      <c r="B133" s="15"/>
      <c r="C133" s="16">
        <v>2129.19</v>
      </c>
      <c r="D133" s="16">
        <v>1726.6</v>
      </c>
      <c r="E133" s="16">
        <v>2820.97</v>
      </c>
      <c r="F133" s="16">
        <v>2272.99</v>
      </c>
      <c r="G133" s="16">
        <v>1679.07</v>
      </c>
      <c r="H133" s="16">
        <v>1146.76</v>
      </c>
      <c r="I133" s="16">
        <v>910.48</v>
      </c>
      <c r="J133" s="16">
        <v>559.36</v>
      </c>
      <c r="K133" s="16">
        <v>453.3</v>
      </c>
      <c r="L133" s="16">
        <v>403.97</v>
      </c>
      <c r="M133" s="20">
        <v>72.85</v>
      </c>
      <c r="N133" s="20">
        <v>65.03</v>
      </c>
      <c r="O133" s="20">
        <v>71.05</v>
      </c>
      <c r="P133" s="20">
        <v>62.47</v>
      </c>
      <c r="Q133" s="20">
        <v>57.27</v>
      </c>
      <c r="R133" s="20">
        <v>86.57</v>
      </c>
      <c r="S133" s="16">
        <v>221.42</v>
      </c>
      <c r="T133" s="16">
        <v>359.11</v>
      </c>
      <c r="U133" s="16">
        <v>726.6</v>
      </c>
      <c r="V133" s="15"/>
    </row>
    <row r="134" ht="15.0" customHeight="1">
      <c r="A134" s="14" t="s">
        <v>285</v>
      </c>
      <c r="B134" s="15"/>
      <c r="C134" s="16">
        <v>605.55</v>
      </c>
      <c r="D134" s="16">
        <v>1569.55</v>
      </c>
      <c r="E134" s="16">
        <v>1469.31</v>
      </c>
      <c r="F134" s="16">
        <v>125.68</v>
      </c>
      <c r="G134" s="20">
        <v>31.33</v>
      </c>
      <c r="H134" s="16">
        <v>1031.43</v>
      </c>
      <c r="I134" s="15">
        <v>0.0</v>
      </c>
      <c r="J134" s="16">
        <v>253.16</v>
      </c>
      <c r="K134" s="15">
        <v>0.0</v>
      </c>
      <c r="L134" s="15">
        <v>0.0</v>
      </c>
      <c r="M134" s="16">
        <v>103.52</v>
      </c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0" customHeight="1">
      <c r="A135" s="14" t="s">
        <v>286</v>
      </c>
      <c r="B135" s="15"/>
      <c r="C135" s="16">
        <v>207.68</v>
      </c>
      <c r="D135" s="16">
        <v>190.28</v>
      </c>
      <c r="E135" s="16">
        <v>1588.86</v>
      </c>
      <c r="F135" s="16">
        <v>1148.67</v>
      </c>
      <c r="G135" s="16">
        <v>1566.3</v>
      </c>
      <c r="H135" s="16">
        <v>1043.62</v>
      </c>
      <c r="I135" s="16">
        <v>1073.45</v>
      </c>
      <c r="J135" s="16">
        <v>1040.67</v>
      </c>
      <c r="K135" s="16">
        <v>1790.43</v>
      </c>
      <c r="L135" s="16">
        <v>1811.6</v>
      </c>
      <c r="M135" s="16">
        <v>2228.52</v>
      </c>
      <c r="N135" s="15"/>
      <c r="O135" s="15"/>
      <c r="P135" s="16">
        <v>2721.13</v>
      </c>
      <c r="Q135" s="16">
        <v>2202.11</v>
      </c>
      <c r="R135" s="16">
        <v>2282.5</v>
      </c>
      <c r="S135" s="16">
        <v>3798.77</v>
      </c>
      <c r="T135" s="16">
        <v>2824.91</v>
      </c>
      <c r="U135" s="16">
        <v>1517.84</v>
      </c>
      <c r="V135" s="15"/>
    </row>
    <row r="136" ht="15.0" customHeight="1">
      <c r="A136" s="14" t="s">
        <v>287</v>
      </c>
      <c r="B136" s="15"/>
      <c r="C136" s="16">
        <v>162.44</v>
      </c>
      <c r="D136" s="16">
        <v>222.49</v>
      </c>
      <c r="E136" s="16">
        <v>260.73</v>
      </c>
      <c r="F136" s="16">
        <v>295.21</v>
      </c>
      <c r="G136" s="16">
        <v>536.72</v>
      </c>
      <c r="H136" s="16">
        <v>394.76</v>
      </c>
      <c r="I136" s="16">
        <v>505.5</v>
      </c>
      <c r="J136" s="16">
        <v>502.32</v>
      </c>
      <c r="K136" s="16">
        <v>465.62</v>
      </c>
      <c r="L136" s="16">
        <v>770.27</v>
      </c>
      <c r="M136" s="16">
        <v>471.58</v>
      </c>
      <c r="N136" s="15"/>
      <c r="O136" s="15"/>
      <c r="P136" s="16">
        <v>229.07</v>
      </c>
      <c r="Q136" s="16">
        <v>497.17</v>
      </c>
      <c r="R136" s="16">
        <v>470.9</v>
      </c>
      <c r="S136" s="16">
        <v>610.9</v>
      </c>
      <c r="T136" s="16">
        <v>542.44</v>
      </c>
      <c r="U136" s="16">
        <v>569.99</v>
      </c>
      <c r="V136" s="15"/>
    </row>
    <row r="137" ht="15.0" customHeight="1">
      <c r="A137" s="14" t="s">
        <v>288</v>
      </c>
      <c r="B137" s="16">
        <v>260.45</v>
      </c>
      <c r="C137" s="16">
        <v>259.56</v>
      </c>
      <c r="D137" s="16">
        <v>259.56</v>
      </c>
      <c r="E137" s="16">
        <v>259.56</v>
      </c>
      <c r="F137" s="16">
        <v>258.5</v>
      </c>
      <c r="G137" s="16">
        <v>255.41</v>
      </c>
      <c r="H137" s="16">
        <v>253.73</v>
      </c>
      <c r="I137" s="16">
        <v>253.73</v>
      </c>
      <c r="J137" s="16">
        <v>253.73</v>
      </c>
      <c r="K137" s="16">
        <v>253.73</v>
      </c>
      <c r="L137" s="16">
        <v>253.73</v>
      </c>
      <c r="M137" s="16">
        <v>250.31</v>
      </c>
      <c r="N137" s="16">
        <v>246.73</v>
      </c>
      <c r="O137" s="16">
        <v>245.38</v>
      </c>
      <c r="P137" s="16">
        <v>245.38</v>
      </c>
      <c r="Q137" s="16">
        <v>245.38</v>
      </c>
      <c r="R137" s="16">
        <v>245.38</v>
      </c>
      <c r="S137" s="16">
        <v>242.47</v>
      </c>
      <c r="T137" s="16">
        <v>245.2</v>
      </c>
      <c r="U137" s="16">
        <v>245.06</v>
      </c>
      <c r="V137" s="15"/>
    </row>
    <row r="138" ht="15.0" customHeight="1">
      <c r="A138" s="14" t="s">
        <v>289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>
        <v>0.0</v>
      </c>
      <c r="H138" s="15">
        <v>0.0</v>
      </c>
      <c r="I138" s="15">
        <v>0.0</v>
      </c>
      <c r="J138" s="15">
        <v>0.0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>
        <v>0.0</v>
      </c>
      <c r="S138" s="20">
        <v>2.91</v>
      </c>
      <c r="T138" s="20">
        <v>3.1</v>
      </c>
      <c r="U138" s="20">
        <v>3.23</v>
      </c>
      <c r="V138" s="15"/>
    </row>
    <row r="139" ht="15.0" customHeight="1">
      <c r="A139" s="14" t="s">
        <v>290</v>
      </c>
      <c r="B139" s="20">
        <v>1.0</v>
      </c>
      <c r="C139" s="20">
        <v>1.0</v>
      </c>
      <c r="D139" s="20">
        <v>1.0</v>
      </c>
      <c r="E139" s="20">
        <v>1.0</v>
      </c>
      <c r="F139" s="20">
        <v>1.0</v>
      </c>
      <c r="G139" s="20">
        <v>1.0</v>
      </c>
      <c r="H139" s="20">
        <v>1.0</v>
      </c>
      <c r="I139" s="20">
        <v>1.0</v>
      </c>
      <c r="J139" s="20">
        <v>1.0</v>
      </c>
      <c r="K139" s="20">
        <v>1.0</v>
      </c>
      <c r="L139" s="20">
        <v>1.0</v>
      </c>
      <c r="M139" s="20">
        <v>1.0</v>
      </c>
      <c r="N139" s="20">
        <v>1.0</v>
      </c>
      <c r="O139" s="20">
        <v>1.0</v>
      </c>
      <c r="P139" s="20">
        <v>1.0</v>
      </c>
      <c r="Q139" s="20">
        <v>1.0</v>
      </c>
      <c r="R139" s="20">
        <v>1.0</v>
      </c>
      <c r="S139" s="20">
        <v>1.0</v>
      </c>
      <c r="T139" s="20">
        <v>1.0</v>
      </c>
      <c r="U139" s="20">
        <v>1.0</v>
      </c>
      <c r="V139" s="15"/>
    </row>
    <row r="140" ht="15.0" customHeight="1">
      <c r="A140" s="14" t="s">
        <v>291</v>
      </c>
      <c r="B140" s="16">
        <v>260.45</v>
      </c>
      <c r="C140" s="16">
        <v>259.56</v>
      </c>
      <c r="D140" s="16">
        <v>259.56</v>
      </c>
      <c r="E140" s="16">
        <v>259.56</v>
      </c>
      <c r="F140" s="16">
        <v>258.5</v>
      </c>
      <c r="G140" s="16">
        <v>255.41</v>
      </c>
      <c r="H140" s="16">
        <v>253.73</v>
      </c>
      <c r="I140" s="16">
        <v>253.73</v>
      </c>
      <c r="J140" s="16">
        <v>253.73</v>
      </c>
      <c r="K140" s="16">
        <v>253.73</v>
      </c>
      <c r="L140" s="16">
        <v>253.73</v>
      </c>
      <c r="M140" s="16">
        <v>250.31</v>
      </c>
      <c r="N140" s="16">
        <v>246.73</v>
      </c>
      <c r="O140" s="16">
        <v>245.38</v>
      </c>
      <c r="P140" s="16">
        <v>245.38</v>
      </c>
      <c r="Q140" s="16">
        <v>245.38</v>
      </c>
      <c r="R140" s="16">
        <v>245.38</v>
      </c>
      <c r="S140" s="16">
        <v>245.38</v>
      </c>
      <c r="T140" s="16">
        <v>248.3</v>
      </c>
      <c r="U140" s="16">
        <v>248.3</v>
      </c>
      <c r="V140" s="15"/>
    </row>
    <row r="141" ht="15.0" customHeight="1">
      <c r="A141" s="14" t="s">
        <v>292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v>2065.0</v>
      </c>
      <c r="Q141" s="16">
        <v>2101.0</v>
      </c>
      <c r="R141" s="15"/>
      <c r="S141" s="16">
        <v>2145.0</v>
      </c>
      <c r="T141" s="16">
        <v>2569.0</v>
      </c>
      <c r="U141" s="16">
        <v>2529.0</v>
      </c>
      <c r="V141" s="16">
        <v>2479.0</v>
      </c>
    </row>
    <row r="142" ht="15.0" customHeight="1">
      <c r="A142" s="14" t="s">
        <v>293</v>
      </c>
      <c r="B142" s="15"/>
      <c r="C142" s="15"/>
      <c r="D142" s="15"/>
      <c r="E142" s="15"/>
      <c r="F142" s="15"/>
      <c r="G142" s="15"/>
      <c r="H142" s="15"/>
      <c r="I142" s="16">
        <v>107.34</v>
      </c>
      <c r="J142" s="16">
        <v>102.07</v>
      </c>
      <c r="K142" s="20">
        <v>93.88</v>
      </c>
      <c r="L142" s="20">
        <v>81.63</v>
      </c>
      <c r="M142" s="20">
        <v>63.26</v>
      </c>
      <c r="N142" s="20">
        <v>53.72</v>
      </c>
      <c r="O142" s="20">
        <v>51.36</v>
      </c>
      <c r="P142" s="20">
        <v>32.11</v>
      </c>
      <c r="Q142" s="20">
        <v>32.97</v>
      </c>
      <c r="R142" s="15"/>
      <c r="S142" s="20">
        <v>30.23</v>
      </c>
      <c r="T142" s="20">
        <v>10.09</v>
      </c>
      <c r="U142" s="20">
        <v>13.66</v>
      </c>
      <c r="V142" s="20">
        <v>11.89</v>
      </c>
    </row>
    <row r="143" ht="15.0" customHeight="1">
      <c r="A143" s="14" t="s">
        <v>294</v>
      </c>
      <c r="B143" s="15"/>
      <c r="C143" s="15"/>
      <c r="D143" s="15"/>
      <c r="E143" s="15"/>
      <c r="F143" s="15"/>
      <c r="G143" s="15"/>
      <c r="H143" s="15"/>
      <c r="I143" s="16">
        <v>232.25</v>
      </c>
      <c r="J143" s="16">
        <v>269.17</v>
      </c>
      <c r="K143" s="16">
        <v>214.32</v>
      </c>
      <c r="L143" s="16">
        <v>164.31</v>
      </c>
      <c r="M143" s="16">
        <v>127.48</v>
      </c>
      <c r="N143" s="16">
        <v>110.27</v>
      </c>
      <c r="O143" s="16">
        <v>102.72</v>
      </c>
      <c r="P143" s="20">
        <v>61.61</v>
      </c>
      <c r="Q143" s="20">
        <v>65.94</v>
      </c>
      <c r="R143" s="15"/>
      <c r="S143" s="20">
        <v>81.81</v>
      </c>
      <c r="T143" s="20">
        <v>23.55</v>
      </c>
      <c r="U143" s="20">
        <v>33.69</v>
      </c>
      <c r="V143" s="20">
        <v>28.02</v>
      </c>
    </row>
    <row r="144" ht="15.0" customHeight="1">
      <c r="A144" s="14" t="s">
        <v>295</v>
      </c>
      <c r="B144" s="15"/>
      <c r="C144" s="15"/>
      <c r="D144" s="15"/>
      <c r="E144" s="15"/>
      <c r="F144" s="15"/>
      <c r="G144" s="15"/>
      <c r="H144" s="15"/>
      <c r="I144" s="16">
        <v>296.66</v>
      </c>
      <c r="J144" s="16">
        <v>277.18</v>
      </c>
      <c r="K144" s="16">
        <v>300.62</v>
      </c>
      <c r="L144" s="16">
        <v>294.08</v>
      </c>
      <c r="M144" s="16">
        <v>246.33</v>
      </c>
      <c r="N144" s="16">
        <v>219.59</v>
      </c>
      <c r="O144" s="16">
        <v>229.42</v>
      </c>
      <c r="P144" s="16">
        <v>111.93</v>
      </c>
      <c r="Q144" s="16">
        <v>137.09</v>
      </c>
      <c r="R144" s="15"/>
      <c r="S144" s="20">
        <v>8.0</v>
      </c>
      <c r="T144" s="20">
        <v>3.36</v>
      </c>
      <c r="U144" s="20">
        <v>10.02</v>
      </c>
      <c r="V144" s="20">
        <v>9.34</v>
      </c>
    </row>
    <row r="145" ht="15.0" customHeight="1">
      <c r="A145" s="14" t="s">
        <v>296</v>
      </c>
      <c r="B145" s="15"/>
      <c r="C145" s="15"/>
      <c r="D145" s="15"/>
      <c r="E145" s="15"/>
      <c r="F145" s="15"/>
      <c r="G145" s="15"/>
      <c r="H145" s="15"/>
      <c r="I145" s="16">
        <v>636.26</v>
      </c>
      <c r="J145" s="16">
        <v>648.42</v>
      </c>
      <c r="K145" s="16">
        <v>608.82</v>
      </c>
      <c r="L145" s="16">
        <v>540.03</v>
      </c>
      <c r="M145" s="16">
        <v>437.08</v>
      </c>
      <c r="N145" s="16">
        <v>383.58</v>
      </c>
      <c r="O145" s="16">
        <v>383.5</v>
      </c>
      <c r="P145" s="16">
        <v>205.65</v>
      </c>
      <c r="Q145" s="16">
        <v>236.0</v>
      </c>
      <c r="R145" s="15"/>
      <c r="S145" s="16">
        <v>120.05</v>
      </c>
      <c r="T145" s="20">
        <v>37.0</v>
      </c>
      <c r="U145" s="20">
        <v>57.36</v>
      </c>
      <c r="V145" s="20">
        <v>49.25</v>
      </c>
    </row>
    <row r="146" ht="15.0" customHeight="1">
      <c r="A146" s="14" t="s">
        <v>297</v>
      </c>
      <c r="B146" s="15"/>
      <c r="C146" s="15">
        <v>28719.0</v>
      </c>
      <c r="D146" s="15">
        <v>21800.0</v>
      </c>
      <c r="E146" s="15">
        <v>19800.0</v>
      </c>
      <c r="F146" s="15">
        <v>16928.0</v>
      </c>
      <c r="G146" s="15">
        <v>18279.0</v>
      </c>
      <c r="H146" s="15">
        <v>17250.0</v>
      </c>
      <c r="I146" s="15">
        <v>11820.0</v>
      </c>
      <c r="J146" s="15">
        <v>10209.0</v>
      </c>
      <c r="K146" s="16">
        <v>9641.0</v>
      </c>
      <c r="L146" s="16">
        <v>9124.0</v>
      </c>
      <c r="M146" s="16">
        <v>8425.0</v>
      </c>
      <c r="N146" s="16">
        <v>7621.0</v>
      </c>
      <c r="O146" s="16">
        <v>6934.0</v>
      </c>
      <c r="P146" s="16">
        <v>7313.0</v>
      </c>
      <c r="Q146" s="16">
        <v>8111.0</v>
      </c>
      <c r="R146" s="15"/>
      <c r="S146" s="16">
        <v>7272.0</v>
      </c>
      <c r="T146" s="16">
        <v>6857.0</v>
      </c>
      <c r="U146" s="16">
        <v>7100.0</v>
      </c>
      <c r="V146" s="16">
        <v>5584.0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46091.5535403819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299</v>
      </c>
      <c r="C15" s="10" t="s">
        <v>299</v>
      </c>
      <c r="D15" s="10" t="s">
        <v>299</v>
      </c>
      <c r="E15" s="10" t="s">
        <v>299</v>
      </c>
      <c r="F15" s="10" t="s">
        <v>299</v>
      </c>
      <c r="G15" s="10" t="s">
        <v>299</v>
      </c>
      <c r="H15" s="10" t="s">
        <v>299</v>
      </c>
      <c r="I15" s="10" t="s">
        <v>299</v>
      </c>
      <c r="J15" s="10" t="s">
        <v>299</v>
      </c>
      <c r="K15" s="10" t="s">
        <v>299</v>
      </c>
      <c r="L15" s="10" t="s">
        <v>299</v>
      </c>
      <c r="M15" s="10" t="s">
        <v>299</v>
      </c>
      <c r="N15" s="10" t="s">
        <v>299</v>
      </c>
      <c r="O15" s="10" t="s">
        <v>299</v>
      </c>
      <c r="P15" s="10" t="s">
        <v>299</v>
      </c>
      <c r="Q15" s="10" t="s">
        <v>299</v>
      </c>
      <c r="R15" s="10" t="s">
        <v>299</v>
      </c>
      <c r="S15" s="10" t="s">
        <v>299</v>
      </c>
      <c r="T15" s="10" t="s">
        <v>299</v>
      </c>
      <c r="U15" s="10" t="s">
        <v>299</v>
      </c>
      <c r="V15" s="10" t="s">
        <v>299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0.83160986623262</v>
      </c>
    </row>
    <row r="18">
      <c r="A18" s="12" t="s">
        <v>300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82</v>
      </c>
      <c r="B20" s="16">
        <v>934.18</v>
      </c>
      <c r="C20" s="15"/>
      <c r="D20" s="16">
        <v>872.86</v>
      </c>
      <c r="E20" s="16">
        <v>759.17</v>
      </c>
      <c r="F20" s="16">
        <v>960.11</v>
      </c>
      <c r="G20" s="16">
        <v>772.73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301</v>
      </c>
      <c r="B21" s="15"/>
      <c r="C21" s="16">
        <v>102.72</v>
      </c>
      <c r="D21" s="20">
        <v>74.65</v>
      </c>
      <c r="E21" s="20">
        <v>39.91</v>
      </c>
      <c r="F21" s="20">
        <v>17.04</v>
      </c>
      <c r="G21" s="20">
        <v>18.42</v>
      </c>
      <c r="H21" s="20">
        <v>24.2</v>
      </c>
      <c r="I21" s="20">
        <v>24.35</v>
      </c>
      <c r="J21" s="20">
        <v>24.21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302</v>
      </c>
      <c r="B22" s="15"/>
      <c r="C22" s="22">
        <v>-245.1</v>
      </c>
      <c r="D22" s="22">
        <v>-281.66</v>
      </c>
      <c r="E22" s="22">
        <v>-178.63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303</v>
      </c>
      <c r="B23" s="15"/>
      <c r="C23" s="15"/>
      <c r="D23" s="15"/>
      <c r="E23" s="15"/>
      <c r="F23" s="23">
        <v>-90.2</v>
      </c>
      <c r="G23" s="22">
        <v>-114.63</v>
      </c>
      <c r="H23" s="22">
        <v>-137.73</v>
      </c>
      <c r="I23" s="22">
        <v>-119.87</v>
      </c>
      <c r="J23" s="22">
        <v>-134.6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304</v>
      </c>
      <c r="B24" s="16">
        <v>4089.43</v>
      </c>
      <c r="C24" s="16">
        <v>5252.79</v>
      </c>
      <c r="D24" s="16">
        <v>3723.33</v>
      </c>
      <c r="E24" s="16">
        <v>2505.53</v>
      </c>
      <c r="F24" s="16">
        <v>2662.86</v>
      </c>
      <c r="G24" s="16">
        <v>2025.47</v>
      </c>
      <c r="H24" s="16">
        <v>2283.65</v>
      </c>
      <c r="I24" s="16">
        <v>1540.49</v>
      </c>
      <c r="J24" s="16">
        <v>1439.93</v>
      </c>
      <c r="K24" s="15"/>
      <c r="L24" s="16">
        <v>1296.48</v>
      </c>
      <c r="M24" s="15"/>
      <c r="N24" s="16">
        <v>977.43</v>
      </c>
      <c r="O24" s="15"/>
      <c r="P24" s="16">
        <v>779.05</v>
      </c>
      <c r="Q24" s="15"/>
      <c r="R24" s="15"/>
      <c r="S24" s="15"/>
      <c r="T24" s="15"/>
      <c r="U24" s="15"/>
      <c r="V24" s="15"/>
    </row>
    <row r="25" ht="15.0" customHeight="1">
      <c r="A25" s="14" t="s">
        <v>305</v>
      </c>
      <c r="B25" s="16">
        <v>4951.59</v>
      </c>
      <c r="C25" s="16">
        <v>4979.22</v>
      </c>
      <c r="D25" s="16">
        <v>4096.56</v>
      </c>
      <c r="E25" s="16">
        <v>2411.47</v>
      </c>
      <c r="F25" s="16">
        <v>2093.61</v>
      </c>
      <c r="G25" s="16">
        <v>2217.89</v>
      </c>
      <c r="H25" s="16">
        <v>1993.31</v>
      </c>
      <c r="I25" s="16">
        <v>1831.73</v>
      </c>
      <c r="J25" s="16">
        <v>1729.47</v>
      </c>
      <c r="K25" s="16">
        <v>1585.86</v>
      </c>
      <c r="L25" s="16">
        <v>1238.16</v>
      </c>
      <c r="M25" s="16">
        <v>1060.04</v>
      </c>
      <c r="N25" s="16">
        <v>909.74</v>
      </c>
      <c r="O25" s="16">
        <v>743.4</v>
      </c>
      <c r="P25" s="16">
        <v>704.78</v>
      </c>
      <c r="Q25" s="16">
        <v>695.36</v>
      </c>
      <c r="R25" s="16">
        <v>1068.25</v>
      </c>
      <c r="S25" s="22">
        <v>-117.18</v>
      </c>
      <c r="T25" s="16">
        <v>388.3</v>
      </c>
      <c r="U25" s="16">
        <v>233.2</v>
      </c>
      <c r="V25" s="23">
        <v>-53.22</v>
      </c>
    </row>
    <row r="26" ht="15.0" customHeight="1">
      <c r="A26" s="14" t="s">
        <v>306</v>
      </c>
      <c r="B26" s="15"/>
      <c r="C26" s="16">
        <v>876.65</v>
      </c>
      <c r="D26" s="15"/>
      <c r="E26" s="15"/>
      <c r="F26" s="15"/>
      <c r="G26" s="15"/>
      <c r="H26" s="16">
        <v>639.31</v>
      </c>
      <c r="I26" s="16">
        <v>516.93</v>
      </c>
      <c r="J26" s="16">
        <v>475.46</v>
      </c>
      <c r="K26" s="16">
        <v>455.63</v>
      </c>
      <c r="L26" s="16">
        <v>412.08</v>
      </c>
      <c r="M26" s="16">
        <v>349.98</v>
      </c>
      <c r="N26" s="16">
        <v>309.56</v>
      </c>
      <c r="O26" s="16">
        <v>298.22</v>
      </c>
      <c r="P26" s="16">
        <v>302.29</v>
      </c>
      <c r="Q26" s="16">
        <v>315.77</v>
      </c>
      <c r="R26" s="16">
        <v>331.67</v>
      </c>
      <c r="S26" s="16">
        <v>320.74</v>
      </c>
      <c r="T26" s="16">
        <v>333.7</v>
      </c>
      <c r="U26" s="16">
        <v>266.27</v>
      </c>
      <c r="V26" s="16">
        <v>113.1</v>
      </c>
    </row>
    <row r="27" ht="15.0" customHeight="1">
      <c r="A27" s="14" t="s">
        <v>307</v>
      </c>
      <c r="B27" s="22">
        <v>-405.66</v>
      </c>
      <c r="C27" s="16">
        <v>491.21</v>
      </c>
      <c r="D27" s="23">
        <v>-64.69</v>
      </c>
      <c r="E27" s="20">
        <v>59.86</v>
      </c>
      <c r="F27" s="16">
        <v>204.45</v>
      </c>
      <c r="G27" s="22">
        <v>-140.22</v>
      </c>
      <c r="H27" s="16">
        <v>228.92</v>
      </c>
      <c r="I27" s="22">
        <v>-260.34</v>
      </c>
      <c r="J27" s="22">
        <v>-254.67</v>
      </c>
      <c r="K27" s="23">
        <v>-36.33</v>
      </c>
      <c r="L27" s="23">
        <v>-95.61</v>
      </c>
      <c r="M27" s="20">
        <v>33.07</v>
      </c>
      <c r="N27" s="23">
        <v>-6.32</v>
      </c>
      <c r="O27" s="20">
        <v>4.3</v>
      </c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308</v>
      </c>
      <c r="B28" s="15"/>
      <c r="C28" s="15"/>
      <c r="D28" s="15"/>
      <c r="E28" s="15"/>
      <c r="F28" s="20">
        <v>5.01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309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>
        <v>0.0</v>
      </c>
      <c r="O29" s="20">
        <v>0.86</v>
      </c>
      <c r="P29" s="20">
        <v>0.86</v>
      </c>
      <c r="Q29" s="23">
        <v>-5.04</v>
      </c>
      <c r="R29" s="23">
        <v>-23.87</v>
      </c>
      <c r="S29" s="23">
        <v>-15.4</v>
      </c>
      <c r="T29" s="20">
        <v>81.47</v>
      </c>
      <c r="U29" s="15"/>
      <c r="V29" s="15"/>
    </row>
    <row r="30" ht="15.0" customHeight="1">
      <c r="A30" s="14" t="s">
        <v>310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3">
        <v>-6.32</v>
      </c>
      <c r="O30" s="20">
        <v>3.44</v>
      </c>
      <c r="P30" s="20">
        <v>2.59</v>
      </c>
      <c r="Q30" s="20">
        <v>0.84</v>
      </c>
      <c r="R30" s="20">
        <v>0.82</v>
      </c>
      <c r="S30" s="15">
        <v>0.0</v>
      </c>
      <c r="T30" s="15"/>
      <c r="U30" s="15"/>
      <c r="V30" s="15"/>
    </row>
    <row r="31" ht="15.0" customHeight="1">
      <c r="A31" s="14" t="s">
        <v>311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0.0</v>
      </c>
      <c r="O31" s="15">
        <v>0.0</v>
      </c>
      <c r="P31" s="15">
        <v>0.0</v>
      </c>
      <c r="Q31" s="23">
        <v>-32.75</v>
      </c>
      <c r="R31" s="22">
        <v>-475.69</v>
      </c>
      <c r="S31" s="15"/>
      <c r="T31" s="15"/>
      <c r="U31" s="15"/>
      <c r="V31" s="15"/>
    </row>
    <row r="32" ht="15.0" customHeight="1">
      <c r="A32" s="14" t="s">
        <v>312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0.0</v>
      </c>
      <c r="O32" s="15">
        <v>0.0</v>
      </c>
      <c r="P32" s="15">
        <v>0.0</v>
      </c>
      <c r="Q32" s="23">
        <v>-3.36</v>
      </c>
      <c r="R32" s="23">
        <v>-1.65</v>
      </c>
      <c r="S32" s="23">
        <v>-5.13</v>
      </c>
      <c r="T32" s="23">
        <v>-11.27</v>
      </c>
      <c r="U32" s="23">
        <v>-0.87</v>
      </c>
      <c r="V32" s="15">
        <v>0.0</v>
      </c>
    </row>
    <row r="33" ht="15.0" customHeight="1">
      <c r="A33" s="14" t="s">
        <v>313</v>
      </c>
      <c r="B33" s="15"/>
      <c r="C33" s="15"/>
      <c r="D33" s="15"/>
      <c r="E33" s="15"/>
      <c r="F33" s="16">
        <v>199.44</v>
      </c>
      <c r="G33" s="15"/>
      <c r="H33" s="15"/>
      <c r="I33" s="15"/>
      <c r="J33" s="15"/>
      <c r="K33" s="15"/>
      <c r="L33" s="15"/>
      <c r="M33" s="15"/>
      <c r="N33" s="15"/>
      <c r="O33" s="16">
        <v>816.45</v>
      </c>
      <c r="P33" s="15"/>
      <c r="Q33" s="16">
        <v>734.83</v>
      </c>
      <c r="R33" s="16">
        <v>835.35</v>
      </c>
      <c r="S33" s="20">
        <v>62.44</v>
      </c>
      <c r="T33" s="16">
        <v>676.93</v>
      </c>
      <c r="U33" s="16">
        <v>436.82</v>
      </c>
      <c r="V33" s="20">
        <v>70.69</v>
      </c>
    </row>
    <row r="34" ht="15.0" customHeight="1">
      <c r="A34" s="14" t="s">
        <v>314</v>
      </c>
      <c r="B34" s="22">
        <v>-1274.17</v>
      </c>
      <c r="C34" s="22">
        <v>-951.91</v>
      </c>
      <c r="D34" s="22">
        <v>-974.38</v>
      </c>
      <c r="E34" s="22">
        <v>-586.24</v>
      </c>
      <c r="F34" s="22">
        <v>-522.15</v>
      </c>
      <c r="G34" s="22">
        <v>-728.72</v>
      </c>
      <c r="H34" s="22">
        <v>-464.36</v>
      </c>
      <c r="I34" s="22">
        <v>-452.31</v>
      </c>
      <c r="J34" s="22">
        <v>-399.93</v>
      </c>
      <c r="K34" s="22">
        <v>-395.73</v>
      </c>
      <c r="L34" s="22">
        <v>-258.15</v>
      </c>
      <c r="M34" s="22">
        <v>-293.03</v>
      </c>
      <c r="N34" s="22">
        <v>-235.56</v>
      </c>
      <c r="O34" s="22">
        <v>-229.46</v>
      </c>
      <c r="P34" s="22">
        <v>-231.47</v>
      </c>
      <c r="Q34" s="22">
        <v>-235.99</v>
      </c>
      <c r="R34" s="23">
        <v>-64.19</v>
      </c>
      <c r="S34" s="22">
        <v>-120.6</v>
      </c>
      <c r="T34" s="22">
        <v>-115.28</v>
      </c>
      <c r="U34" s="23">
        <v>-61.78</v>
      </c>
      <c r="V34" s="20">
        <v>6.65</v>
      </c>
    </row>
    <row r="35" ht="15.0" customHeight="1">
      <c r="A35" s="14" t="s">
        <v>315</v>
      </c>
      <c r="B35" s="22">
        <v>-116.51</v>
      </c>
      <c r="C35" s="15"/>
      <c r="D35" s="15"/>
      <c r="E35" s="15"/>
      <c r="F35" s="15"/>
      <c r="G35" s="15"/>
      <c r="H35" s="15"/>
      <c r="I35" s="15"/>
      <c r="J35" s="15"/>
      <c r="K35" s="22">
        <v>-160.06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316</v>
      </c>
      <c r="B36" s="22">
        <v>-1323.95</v>
      </c>
      <c r="C36" s="22">
        <v>-2449.95</v>
      </c>
      <c r="D36" s="16">
        <v>2451.37</v>
      </c>
      <c r="E36" s="22">
        <v>-1355.86</v>
      </c>
      <c r="F36" s="22">
        <v>-2185.81</v>
      </c>
      <c r="G36" s="22">
        <v>-481.04</v>
      </c>
      <c r="H36" s="22">
        <v>-1660.16</v>
      </c>
      <c r="I36" s="20">
        <v>59.0</v>
      </c>
      <c r="J36" s="20">
        <v>20.34</v>
      </c>
      <c r="K36" s="22">
        <v>-803.24</v>
      </c>
      <c r="L36" s="22">
        <v>-279.18</v>
      </c>
      <c r="M36" s="22">
        <v>-392.23</v>
      </c>
      <c r="N36" s="16">
        <v>129.06</v>
      </c>
      <c r="O36" s="16">
        <v>253.53</v>
      </c>
      <c r="P36" s="22">
        <v>-462.94</v>
      </c>
      <c r="Q36" s="22">
        <v>-183.08</v>
      </c>
      <c r="R36" s="16">
        <v>617.25</v>
      </c>
      <c r="S36" s="22">
        <v>-390.02</v>
      </c>
      <c r="T36" s="22">
        <v>-826.01</v>
      </c>
      <c r="U36" s="22">
        <v>-139.23</v>
      </c>
      <c r="V36" s="20">
        <v>4.16</v>
      </c>
    </row>
    <row r="37" ht="15.0" customHeight="1">
      <c r="A37" s="14" t="s">
        <v>317</v>
      </c>
      <c r="B37" s="22">
        <v>-700.11</v>
      </c>
      <c r="C37" s="22">
        <v>-473.92</v>
      </c>
      <c r="D37" s="16">
        <v>1235.14</v>
      </c>
      <c r="E37" s="22">
        <v>-1091.72</v>
      </c>
      <c r="F37" s="22">
        <v>-1713.77</v>
      </c>
      <c r="G37" s="22">
        <v>-194.46</v>
      </c>
      <c r="H37" s="20">
        <v>80.03</v>
      </c>
      <c r="I37" s="22">
        <v>-194.79</v>
      </c>
      <c r="J37" s="22">
        <v>-330.21</v>
      </c>
      <c r="K37" s="22">
        <v>-480.18</v>
      </c>
      <c r="L37" s="16">
        <v>253.37</v>
      </c>
      <c r="M37" s="22">
        <v>-406.93</v>
      </c>
      <c r="N37" s="23">
        <v>-57.76</v>
      </c>
      <c r="O37" s="16">
        <v>256.11</v>
      </c>
      <c r="P37" s="23">
        <v>-26.77</v>
      </c>
      <c r="Q37" s="22">
        <v>-725.6</v>
      </c>
      <c r="R37" s="16">
        <v>1353.84</v>
      </c>
      <c r="S37" s="22">
        <v>-900.65</v>
      </c>
      <c r="T37" s="22">
        <v>-577.25</v>
      </c>
      <c r="U37" s="22">
        <v>-107.03</v>
      </c>
      <c r="V37" s="16">
        <v>162.16</v>
      </c>
    </row>
    <row r="38" ht="15.0" customHeight="1">
      <c r="A38" s="14" t="s">
        <v>318</v>
      </c>
      <c r="B38" s="22">
        <v>-780.6</v>
      </c>
      <c r="C38" s="16">
        <v>201.37</v>
      </c>
      <c r="D38" s="22">
        <v>-1537.7</v>
      </c>
      <c r="E38" s="22">
        <v>-771.52</v>
      </c>
      <c r="F38" s="16">
        <v>1796.96</v>
      </c>
      <c r="G38" s="16">
        <v>645.82</v>
      </c>
      <c r="H38" s="16">
        <v>502.52</v>
      </c>
      <c r="I38" s="22">
        <v>-503.82</v>
      </c>
      <c r="J38" s="23">
        <v>-17.43</v>
      </c>
      <c r="K38" s="16">
        <v>799.31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319</v>
      </c>
      <c r="B39" s="22">
        <v>-371.77</v>
      </c>
      <c r="C39" s="22">
        <v>-138.31</v>
      </c>
      <c r="D39" s="22">
        <v>-583.23</v>
      </c>
      <c r="E39" s="16">
        <v>644.2</v>
      </c>
      <c r="F39" s="23">
        <v>-51.11</v>
      </c>
      <c r="G39" s="20">
        <v>74.71</v>
      </c>
      <c r="H39" s="16">
        <v>243.81</v>
      </c>
      <c r="I39" s="16">
        <v>119.87</v>
      </c>
      <c r="J39" s="23">
        <v>-48.42</v>
      </c>
      <c r="K39" s="16">
        <v>225.85</v>
      </c>
      <c r="L39" s="15"/>
      <c r="M39" s="15"/>
      <c r="N39" s="15"/>
      <c r="O39" s="15"/>
      <c r="P39" s="15"/>
      <c r="Q39" s="23">
        <v>-99.1</v>
      </c>
      <c r="R39" s="16">
        <v>1028.75</v>
      </c>
      <c r="S39" s="23">
        <v>-47.9</v>
      </c>
      <c r="T39" s="22">
        <v>-1008.89</v>
      </c>
      <c r="U39" s="15"/>
      <c r="V39" s="15"/>
    </row>
    <row r="40" ht="15.0" customHeight="1">
      <c r="A40" s="14" t="s">
        <v>320</v>
      </c>
      <c r="B40" s="22">
        <v>-3176.43</v>
      </c>
      <c r="C40" s="22">
        <v>-2860.81</v>
      </c>
      <c r="D40" s="16">
        <v>1565.57</v>
      </c>
      <c r="E40" s="22">
        <v>-2574.89</v>
      </c>
      <c r="F40" s="22">
        <v>-2153.74</v>
      </c>
      <c r="G40" s="20">
        <v>45.03</v>
      </c>
      <c r="H40" s="22">
        <v>-833.8</v>
      </c>
      <c r="I40" s="22">
        <v>-519.74</v>
      </c>
      <c r="J40" s="22">
        <v>-375.72</v>
      </c>
      <c r="K40" s="15"/>
      <c r="L40" s="16">
        <v>363.32</v>
      </c>
      <c r="M40" s="15"/>
      <c r="N40" s="15"/>
      <c r="O40" s="15"/>
      <c r="P40" s="22">
        <v>-529.45</v>
      </c>
      <c r="Q40" s="15"/>
      <c r="R40" s="15"/>
      <c r="S40" s="15"/>
      <c r="T40" s="15"/>
      <c r="U40" s="15"/>
      <c r="V40" s="15"/>
    </row>
    <row r="41" ht="15.0" customHeight="1">
      <c r="A41" s="14" t="s">
        <v>321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>
        <v>389.13</v>
      </c>
      <c r="M41" s="16">
        <v>284.76</v>
      </c>
      <c r="N41" s="16">
        <v>124.55</v>
      </c>
      <c r="O41" s="23">
        <v>-3.44</v>
      </c>
      <c r="P41" s="23">
        <v>-39.73</v>
      </c>
      <c r="Q41" s="16">
        <v>809.58</v>
      </c>
      <c r="R41" s="22">
        <v>-942.34</v>
      </c>
      <c r="S41" s="16">
        <v>1242.77</v>
      </c>
      <c r="T41" s="16">
        <v>394.37</v>
      </c>
      <c r="U41" s="23">
        <v>-36.55</v>
      </c>
      <c r="V41" s="20">
        <v>87.32</v>
      </c>
    </row>
    <row r="42" ht="15.0" customHeight="1">
      <c r="A42" s="14" t="s">
        <v>322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20">
        <v>3.33</v>
      </c>
    </row>
    <row r="43" ht="15.0" customHeight="1">
      <c r="A43" s="17" t="s">
        <v>323</v>
      </c>
      <c r="B43" s="19">
        <v>913.0</v>
      </c>
      <c r="C43" s="19">
        <v>2391.98</v>
      </c>
      <c r="D43" s="19">
        <v>5288.9</v>
      </c>
      <c r="E43" s="24">
        <v>-69.36</v>
      </c>
      <c r="F43" s="19">
        <v>509.12</v>
      </c>
      <c r="G43" s="19">
        <v>2070.5</v>
      </c>
      <c r="H43" s="19">
        <v>1449.85</v>
      </c>
      <c r="I43" s="19">
        <v>1020.75</v>
      </c>
      <c r="J43" s="19">
        <v>1064.21</v>
      </c>
      <c r="K43" s="19">
        <v>1191.11</v>
      </c>
      <c r="L43" s="19">
        <v>1659.8</v>
      </c>
      <c r="M43" s="19">
        <v>635.66</v>
      </c>
      <c r="N43" s="19">
        <v>1173.27</v>
      </c>
      <c r="O43" s="19">
        <v>1322.65</v>
      </c>
      <c r="P43" s="19">
        <v>249.61</v>
      </c>
      <c r="Q43" s="19">
        <v>635.74</v>
      </c>
      <c r="R43" s="19">
        <v>1864.1</v>
      </c>
      <c r="S43" s="21">
        <v>14.54</v>
      </c>
      <c r="T43" s="25">
        <v>-331.96</v>
      </c>
      <c r="U43" s="19">
        <v>154.02</v>
      </c>
      <c r="V43" s="19">
        <v>323.5</v>
      </c>
    </row>
    <row r="44" ht="15.0" customHeight="1">
      <c r="A44" s="14" t="s">
        <v>324</v>
      </c>
      <c r="B44" s="22">
        <v>-1380.09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325</v>
      </c>
      <c r="B45" s="15"/>
      <c r="C45" s="23">
        <v>-47.8</v>
      </c>
      <c r="D45" s="23">
        <v>-39.81</v>
      </c>
      <c r="E45" s="23">
        <v>-10.45</v>
      </c>
      <c r="F45" s="23">
        <v>-6.01</v>
      </c>
      <c r="G45" s="23">
        <v>-33.77</v>
      </c>
      <c r="H45" s="23">
        <v>-13.03</v>
      </c>
      <c r="I45" s="23">
        <v>-21.54</v>
      </c>
      <c r="J45" s="23">
        <v>-35.83</v>
      </c>
      <c r="K45" s="23">
        <v>-10.8</v>
      </c>
      <c r="L45" s="23">
        <v>-23.9</v>
      </c>
      <c r="M45" s="23">
        <v>-25.72</v>
      </c>
      <c r="N45" s="23">
        <v>-5.42</v>
      </c>
      <c r="O45" s="23">
        <v>-6.02</v>
      </c>
      <c r="P45" s="23">
        <v>-6.05</v>
      </c>
      <c r="Q45" s="23">
        <v>-5.88</v>
      </c>
      <c r="R45" s="15">
        <v>0.0</v>
      </c>
      <c r="S45" s="23">
        <v>-19.67</v>
      </c>
      <c r="T45" s="23">
        <v>-39.87</v>
      </c>
      <c r="U45" s="23">
        <v>-1.74</v>
      </c>
      <c r="V45" s="23">
        <v>-0.83</v>
      </c>
    </row>
    <row r="46" ht="15.0" customHeight="1">
      <c r="A46" s="14" t="s">
        <v>326</v>
      </c>
      <c r="B46" s="15"/>
      <c r="C46" s="22">
        <v>-1218.36</v>
      </c>
      <c r="D46" s="22">
        <v>-1199.31</v>
      </c>
      <c r="E46" s="22">
        <v>-1154.43</v>
      </c>
      <c r="F46" s="22">
        <v>-614.35</v>
      </c>
      <c r="G46" s="22">
        <v>-725.65</v>
      </c>
      <c r="H46" s="22">
        <v>-732.37</v>
      </c>
      <c r="I46" s="22">
        <v>-657.4</v>
      </c>
      <c r="J46" s="22">
        <v>-755.31</v>
      </c>
      <c r="K46" s="22">
        <v>-948.57</v>
      </c>
      <c r="L46" s="22">
        <v>-926.47</v>
      </c>
      <c r="M46" s="22">
        <v>-524.51</v>
      </c>
      <c r="N46" s="22">
        <v>-495.48</v>
      </c>
      <c r="O46" s="22">
        <v>-315.41</v>
      </c>
      <c r="P46" s="22">
        <v>-296.25</v>
      </c>
      <c r="Q46" s="22">
        <v>-275.46</v>
      </c>
      <c r="R46" s="22">
        <v>-260.07</v>
      </c>
      <c r="S46" s="22">
        <v>-314.76</v>
      </c>
      <c r="T46" s="22">
        <v>-475.84</v>
      </c>
      <c r="U46" s="22">
        <v>-402.02</v>
      </c>
      <c r="V46" s="22">
        <v>-182.95</v>
      </c>
    </row>
    <row r="47" ht="15.0" customHeight="1">
      <c r="A47" s="14" t="s">
        <v>327</v>
      </c>
      <c r="B47" s="15"/>
      <c r="C47" s="15">
        <v>0.0</v>
      </c>
      <c r="D47" s="23">
        <v>-88.58</v>
      </c>
      <c r="E47" s="23">
        <v>-13.3</v>
      </c>
      <c r="F47" s="23">
        <v>-31.07</v>
      </c>
      <c r="G47" s="22">
        <v>-421.67</v>
      </c>
      <c r="H47" s="22">
        <v>-497.86</v>
      </c>
      <c r="I47" s="15"/>
      <c r="J47" s="15">
        <v>0.0</v>
      </c>
      <c r="K47" s="22">
        <v>-440.9</v>
      </c>
      <c r="L47" s="22">
        <v>-117.6</v>
      </c>
      <c r="M47" s="22">
        <v>-231.48</v>
      </c>
      <c r="N47" s="22">
        <v>-176.89</v>
      </c>
      <c r="O47" s="22">
        <v>-364.39</v>
      </c>
      <c r="P47" s="22">
        <v>-277.25</v>
      </c>
      <c r="Q47" s="15">
        <v>0.0</v>
      </c>
      <c r="R47" s="15">
        <v>0.0</v>
      </c>
      <c r="S47" s="15">
        <v>0.0</v>
      </c>
      <c r="T47" s="22">
        <v>-102.28</v>
      </c>
      <c r="U47" s="23">
        <v>-32.2</v>
      </c>
      <c r="V47" s="16">
        <v>356.76</v>
      </c>
    </row>
    <row r="48" ht="15.0" customHeight="1">
      <c r="A48" s="14" t="s">
        <v>328</v>
      </c>
      <c r="B48" s="15">
        <v>0.0</v>
      </c>
      <c r="C48" s="16">
        <v>656.98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329</v>
      </c>
      <c r="B49" s="20">
        <v>8.47</v>
      </c>
      <c r="C49" s="20">
        <v>1.02</v>
      </c>
      <c r="D49" s="16">
        <v>130.38</v>
      </c>
      <c r="E49" s="20">
        <v>6.65</v>
      </c>
      <c r="F49" s="15">
        <v>0.0</v>
      </c>
      <c r="G49" s="20">
        <v>4.09</v>
      </c>
      <c r="H49" s="20">
        <v>0.93</v>
      </c>
      <c r="I49" s="20">
        <v>1.87</v>
      </c>
      <c r="J49" s="20">
        <v>6.78</v>
      </c>
      <c r="K49" s="20">
        <v>4.91</v>
      </c>
      <c r="L49" s="20">
        <v>0.96</v>
      </c>
      <c r="M49" s="20">
        <v>1.84</v>
      </c>
      <c r="N49" s="20">
        <v>17.15</v>
      </c>
      <c r="O49" s="20">
        <v>3.44</v>
      </c>
      <c r="P49" s="20">
        <v>0.86</v>
      </c>
      <c r="Q49" s="20">
        <v>3.36</v>
      </c>
      <c r="R49" s="20">
        <v>2.47</v>
      </c>
      <c r="S49" s="20">
        <v>3.42</v>
      </c>
      <c r="T49" s="20">
        <v>11.27</v>
      </c>
      <c r="U49" s="15">
        <v>0.0</v>
      </c>
      <c r="V49" s="20">
        <v>7.48</v>
      </c>
    </row>
    <row r="50" ht="15.0" customHeight="1">
      <c r="A50" s="14" t="s">
        <v>330</v>
      </c>
      <c r="B50" s="15"/>
      <c r="C50" s="15"/>
      <c r="D50" s="15"/>
      <c r="E50" s="15"/>
      <c r="F50" s="15"/>
      <c r="G50" s="15"/>
      <c r="H50" s="15"/>
      <c r="I50" s="15"/>
      <c r="J50" s="15"/>
      <c r="K50" s="15">
        <v>0.0</v>
      </c>
      <c r="L50" s="20">
        <v>95.61</v>
      </c>
      <c r="M50" s="16">
        <v>129.52</v>
      </c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7" t="s">
        <v>331</v>
      </c>
      <c r="B51" s="25">
        <v>-1371.62</v>
      </c>
      <c r="C51" s="25">
        <v>-608.16</v>
      </c>
      <c r="D51" s="25">
        <v>-1197.32</v>
      </c>
      <c r="E51" s="25">
        <v>-1171.53</v>
      </c>
      <c r="F51" s="25">
        <v>-651.43</v>
      </c>
      <c r="G51" s="25">
        <v>-1177.0</v>
      </c>
      <c r="H51" s="25">
        <v>-1242.33</v>
      </c>
      <c r="I51" s="25">
        <v>-677.07</v>
      </c>
      <c r="J51" s="25">
        <v>-784.36</v>
      </c>
      <c r="K51" s="25">
        <v>-1395.36</v>
      </c>
      <c r="L51" s="25">
        <v>-971.4</v>
      </c>
      <c r="M51" s="25">
        <v>-650.36</v>
      </c>
      <c r="N51" s="25">
        <v>-660.64</v>
      </c>
      <c r="O51" s="25">
        <v>-682.38</v>
      </c>
      <c r="P51" s="25">
        <v>-578.68</v>
      </c>
      <c r="Q51" s="25">
        <v>-277.98</v>
      </c>
      <c r="R51" s="25">
        <v>-257.6</v>
      </c>
      <c r="S51" s="25">
        <v>-331.01</v>
      </c>
      <c r="T51" s="25">
        <v>-606.72</v>
      </c>
      <c r="U51" s="25">
        <v>-435.95</v>
      </c>
      <c r="V51" s="19">
        <v>180.46</v>
      </c>
    </row>
    <row r="52" ht="15.0" customHeight="1">
      <c r="A52" s="14" t="s">
        <v>332</v>
      </c>
      <c r="B52" s="15"/>
      <c r="C52" s="16">
        <v>437.31</v>
      </c>
      <c r="D52" s="16">
        <v>257.78</v>
      </c>
      <c r="E52" s="16">
        <v>4394.42</v>
      </c>
      <c r="F52" s="16">
        <v>1633.6</v>
      </c>
      <c r="G52" s="16">
        <v>1591.51</v>
      </c>
      <c r="H52" s="16">
        <v>1747.64</v>
      </c>
      <c r="I52" s="16">
        <v>1639.76</v>
      </c>
      <c r="J52" s="16">
        <v>2301.76</v>
      </c>
      <c r="K52" s="16">
        <v>2132.81</v>
      </c>
      <c r="L52" s="16">
        <v>257.19</v>
      </c>
      <c r="M52" s="16">
        <v>484.09</v>
      </c>
      <c r="N52" s="15">
        <v>0.0</v>
      </c>
      <c r="O52" s="15">
        <v>0.0</v>
      </c>
      <c r="P52" s="16">
        <v>307.48</v>
      </c>
      <c r="Q52" s="15"/>
      <c r="R52" s="15"/>
      <c r="S52" s="16">
        <v>394.3</v>
      </c>
      <c r="T52" s="16">
        <v>1112.04</v>
      </c>
      <c r="U52" s="16">
        <v>1240.86</v>
      </c>
      <c r="V52" s="22">
        <v>-358.42</v>
      </c>
    </row>
    <row r="53" ht="15.0" customHeight="1">
      <c r="A53" s="14" t="s">
        <v>333</v>
      </c>
      <c r="B53" s="15"/>
      <c r="C53" s="22">
        <v>-609.18</v>
      </c>
      <c r="D53" s="22">
        <v>-3408.82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334</v>
      </c>
      <c r="B54" s="15"/>
      <c r="C54" s="15"/>
      <c r="D54" s="15"/>
      <c r="E54" s="22">
        <v>-2148.28</v>
      </c>
      <c r="F54" s="22">
        <v>-1391.06</v>
      </c>
      <c r="G54" s="22">
        <v>-1725.59</v>
      </c>
      <c r="H54" s="22">
        <v>-1197.66</v>
      </c>
      <c r="I54" s="22">
        <v>-1369.12</v>
      </c>
      <c r="J54" s="22">
        <v>-2333.71</v>
      </c>
      <c r="K54" s="22">
        <v>-1499.45</v>
      </c>
      <c r="L54" s="22">
        <v>-586.09</v>
      </c>
      <c r="M54" s="22">
        <v>-333.45</v>
      </c>
      <c r="N54" s="22">
        <v>-449.45</v>
      </c>
      <c r="O54" s="22">
        <v>-471.82</v>
      </c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335</v>
      </c>
      <c r="B55" s="22">
        <v>-146.16</v>
      </c>
      <c r="C55" s="22">
        <v>-200.35</v>
      </c>
      <c r="D55" s="22">
        <v>-180.15</v>
      </c>
      <c r="E55" s="22">
        <v>-144.42</v>
      </c>
      <c r="F55" s="22">
        <v>-151.33</v>
      </c>
      <c r="G55" s="22">
        <v>-157.62</v>
      </c>
      <c r="H55" s="22">
        <v>-113.53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336</v>
      </c>
      <c r="B56" s="16">
        <v>185.35</v>
      </c>
      <c r="C56" s="15"/>
      <c r="D56" s="15">
        <v>0.0</v>
      </c>
      <c r="E56" s="16">
        <v>139.67</v>
      </c>
      <c r="F56" s="16">
        <v>434.96</v>
      </c>
      <c r="G56" s="16">
        <v>241.54</v>
      </c>
      <c r="H56" s="15"/>
      <c r="I56" s="15"/>
      <c r="J56" s="15"/>
      <c r="K56" s="15">
        <v>0.0</v>
      </c>
      <c r="L56" s="16">
        <v>102.3</v>
      </c>
      <c r="M56" s="16">
        <v>102.88</v>
      </c>
      <c r="N56" s="20">
        <v>37.91</v>
      </c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337</v>
      </c>
      <c r="B57" s="15"/>
      <c r="C57" s="15"/>
      <c r="D57" s="15">
        <v>0.0</v>
      </c>
      <c r="E57" s="20">
        <v>76.01</v>
      </c>
      <c r="F57" s="15">
        <v>0.0</v>
      </c>
      <c r="G57" s="20">
        <v>15.35</v>
      </c>
      <c r="H57" s="15"/>
      <c r="I57" s="15">
        <v>0.0</v>
      </c>
      <c r="J57" s="20">
        <v>35.83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338</v>
      </c>
      <c r="B58" s="22">
        <v>-1374.79</v>
      </c>
      <c r="C58" s="22">
        <v>-976.32</v>
      </c>
      <c r="D58" s="22">
        <v>-710.63</v>
      </c>
      <c r="E58" s="22">
        <v>-613.79</v>
      </c>
      <c r="F58" s="22">
        <v>-591.3</v>
      </c>
      <c r="G58" s="22">
        <v>-548.59</v>
      </c>
      <c r="H58" s="22">
        <v>-436.44</v>
      </c>
      <c r="I58" s="22">
        <v>-385.82</v>
      </c>
      <c r="J58" s="22">
        <v>-358.29</v>
      </c>
      <c r="K58" s="22">
        <v>-322.08</v>
      </c>
      <c r="L58" s="22">
        <v>-271.53</v>
      </c>
      <c r="M58" s="22">
        <v>-229.65</v>
      </c>
      <c r="N58" s="22">
        <v>-194.04</v>
      </c>
      <c r="O58" s="22">
        <v>-166.73</v>
      </c>
      <c r="P58" s="22">
        <v>-158.92</v>
      </c>
      <c r="Q58" s="22">
        <v>-146.13</v>
      </c>
      <c r="R58" s="22">
        <v>-134.97</v>
      </c>
      <c r="S58" s="22">
        <v>-140.27</v>
      </c>
      <c r="T58" s="22">
        <v>-141.28</v>
      </c>
      <c r="U58" s="22">
        <v>-1026.8</v>
      </c>
      <c r="V58" s="15">
        <v>0.0</v>
      </c>
    </row>
    <row r="59" ht="15.0" customHeight="1">
      <c r="A59" s="14" t="s">
        <v>333</v>
      </c>
      <c r="B59" s="16">
        <v>1594.04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3">
        <v>-25.19</v>
      </c>
      <c r="R59" s="22">
        <v>-1283.88</v>
      </c>
      <c r="S59" s="15"/>
      <c r="T59" s="15"/>
      <c r="U59" s="15"/>
      <c r="V59" s="15"/>
    </row>
    <row r="60" ht="15.0" customHeight="1">
      <c r="A60" s="14" t="s">
        <v>339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>
        <v>0.0</v>
      </c>
      <c r="N60" s="20">
        <v>4.51</v>
      </c>
      <c r="O60" s="20">
        <v>11.17</v>
      </c>
      <c r="P60" s="20">
        <v>9.5</v>
      </c>
      <c r="Q60" s="20">
        <v>13.44</v>
      </c>
      <c r="R60" s="15">
        <v>0.0</v>
      </c>
      <c r="S60" s="20">
        <v>4.28</v>
      </c>
      <c r="T60" s="20">
        <v>4.33</v>
      </c>
      <c r="U60" s="20">
        <v>6.96</v>
      </c>
      <c r="V60" s="15">
        <v>0.0</v>
      </c>
    </row>
    <row r="61" ht="15.0" customHeight="1">
      <c r="A61" s="14" t="s">
        <v>340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2">
        <v>-498.13</v>
      </c>
      <c r="M61" s="15"/>
      <c r="N61" s="15"/>
      <c r="O61" s="15"/>
      <c r="P61" s="15"/>
      <c r="Q61" s="15"/>
      <c r="R61" s="15"/>
      <c r="S61" s="15"/>
      <c r="T61" s="15"/>
      <c r="U61" s="15"/>
      <c r="V61" s="23">
        <v>-24.12</v>
      </c>
    </row>
    <row r="62" ht="15.0" customHeight="1">
      <c r="A62" s="17" t="s">
        <v>341</v>
      </c>
      <c r="B62" s="19">
        <v>258.44</v>
      </c>
      <c r="C62" s="25">
        <v>-1348.54</v>
      </c>
      <c r="D62" s="25">
        <v>-4041.82</v>
      </c>
      <c r="E62" s="19">
        <v>1703.61</v>
      </c>
      <c r="F62" s="24">
        <v>-65.14</v>
      </c>
      <c r="G62" s="25">
        <v>-583.38</v>
      </c>
      <c r="H62" s="18">
        <v>0.0</v>
      </c>
      <c r="I62" s="25">
        <v>-115.19</v>
      </c>
      <c r="J62" s="25">
        <v>-354.41</v>
      </c>
      <c r="K62" s="19">
        <v>311.28</v>
      </c>
      <c r="L62" s="25">
        <v>-498.13</v>
      </c>
      <c r="M62" s="21">
        <v>23.88</v>
      </c>
      <c r="N62" s="25">
        <v>-601.08</v>
      </c>
      <c r="O62" s="25">
        <v>-627.38</v>
      </c>
      <c r="P62" s="19">
        <v>158.06</v>
      </c>
      <c r="Q62" s="25">
        <v>-157.88</v>
      </c>
      <c r="R62" s="25">
        <v>-1418.85</v>
      </c>
      <c r="S62" s="19">
        <v>258.3</v>
      </c>
      <c r="T62" s="19">
        <v>975.09</v>
      </c>
      <c r="U62" s="19">
        <v>221.02</v>
      </c>
      <c r="V62" s="25">
        <v>-382.54</v>
      </c>
    </row>
    <row r="63" ht="15.0" customHeight="1">
      <c r="A63" s="14" t="s">
        <v>342</v>
      </c>
      <c r="B63" s="22">
        <v>-200.18</v>
      </c>
      <c r="C63" s="16">
        <v>435.27</v>
      </c>
      <c r="D63" s="20">
        <v>49.76</v>
      </c>
      <c r="E63" s="16">
        <v>462.72</v>
      </c>
      <c r="F63" s="22">
        <v>-207.46</v>
      </c>
      <c r="G63" s="16">
        <v>310.12</v>
      </c>
      <c r="H63" s="16">
        <v>207.52</v>
      </c>
      <c r="I63" s="16">
        <v>228.5</v>
      </c>
      <c r="J63" s="23">
        <v>-74.56</v>
      </c>
      <c r="K63" s="16">
        <v>107.03</v>
      </c>
      <c r="L63" s="16">
        <v>190.26</v>
      </c>
      <c r="M63" s="20">
        <v>9.19</v>
      </c>
      <c r="N63" s="23">
        <v>-88.45</v>
      </c>
      <c r="O63" s="20">
        <v>12.89</v>
      </c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343</v>
      </c>
      <c r="B64" s="22">
        <v>-165.23</v>
      </c>
      <c r="C64" s="23">
        <v>-20.34</v>
      </c>
      <c r="D64" s="23">
        <v>-61.71</v>
      </c>
      <c r="E64" s="20">
        <v>25.65</v>
      </c>
      <c r="F64" s="20">
        <v>8.02</v>
      </c>
      <c r="G64" s="23">
        <v>-87.0</v>
      </c>
      <c r="H64" s="20">
        <v>20.47</v>
      </c>
      <c r="I64" s="20">
        <v>12.17</v>
      </c>
      <c r="J64" s="23">
        <v>-28.08</v>
      </c>
      <c r="K64" s="20">
        <v>17.68</v>
      </c>
      <c r="L64" s="23">
        <v>-3.82</v>
      </c>
      <c r="M64" s="20">
        <v>21.13</v>
      </c>
      <c r="N64" s="23">
        <v>-0.9</v>
      </c>
      <c r="O64" s="23">
        <v>-13.75</v>
      </c>
      <c r="P64" s="23">
        <v>-9.5</v>
      </c>
      <c r="Q64" s="23">
        <v>-16.8</v>
      </c>
      <c r="R64" s="23">
        <v>-9.05</v>
      </c>
      <c r="S64" s="20">
        <v>5.13</v>
      </c>
      <c r="T64" s="23">
        <v>-3.47</v>
      </c>
      <c r="U64" s="23">
        <v>-10.44</v>
      </c>
      <c r="V64" s="20">
        <v>2.49</v>
      </c>
    </row>
    <row r="65" ht="15.0" customHeight="1">
      <c r="A65" s="14" t="s">
        <v>344</v>
      </c>
      <c r="B65" s="16">
        <v>2089.61</v>
      </c>
      <c r="C65" s="16">
        <v>1545.23</v>
      </c>
      <c r="D65" s="16">
        <v>1525.25</v>
      </c>
      <c r="E65" s="16">
        <v>942.21</v>
      </c>
      <c r="F65" s="16">
        <v>1169.13</v>
      </c>
      <c r="G65" s="16">
        <v>1025.41</v>
      </c>
      <c r="H65" s="16">
        <v>691.06</v>
      </c>
      <c r="I65" s="16">
        <v>468.41</v>
      </c>
      <c r="J65" s="16">
        <v>586.38</v>
      </c>
      <c r="K65" s="16">
        <v>435.28</v>
      </c>
      <c r="L65" s="16">
        <v>276.29</v>
      </c>
      <c r="M65" s="16">
        <v>221.41</v>
      </c>
      <c r="N65" s="16">
        <v>311.01</v>
      </c>
      <c r="O65" s="16">
        <v>283.35</v>
      </c>
      <c r="P65" s="16">
        <v>468.56</v>
      </c>
      <c r="Q65" s="16">
        <v>279.39</v>
      </c>
      <c r="R65" s="20">
        <v>84.96</v>
      </c>
      <c r="S65" s="16">
        <v>148.5</v>
      </c>
      <c r="T65" s="16">
        <v>108.49</v>
      </c>
      <c r="U65" s="16">
        <v>192.12</v>
      </c>
      <c r="V65" s="20">
        <v>51.8</v>
      </c>
    </row>
    <row r="66" ht="15.0" customHeight="1">
      <c r="A66" s="14" t="s">
        <v>345</v>
      </c>
      <c r="B66" s="16">
        <v>1712.37</v>
      </c>
      <c r="C66" s="16">
        <v>1964.69</v>
      </c>
      <c r="D66" s="16">
        <v>1513.17</v>
      </c>
      <c r="E66" s="16">
        <v>1426.02</v>
      </c>
      <c r="F66" s="16">
        <v>975.25</v>
      </c>
      <c r="G66" s="16">
        <v>1253.04</v>
      </c>
      <c r="H66" s="16">
        <v>920.78</v>
      </c>
      <c r="I66" s="16">
        <v>719.21</v>
      </c>
      <c r="J66" s="16">
        <v>480.31</v>
      </c>
      <c r="K66" s="16">
        <v>555.71</v>
      </c>
      <c r="L66" s="16">
        <v>480.37</v>
      </c>
      <c r="M66" s="16">
        <v>253.04</v>
      </c>
      <c r="N66" s="16">
        <v>217.71</v>
      </c>
      <c r="O66" s="16">
        <v>282.49</v>
      </c>
      <c r="P66" s="16">
        <v>287.21</v>
      </c>
      <c r="Q66" s="16">
        <v>468.53</v>
      </c>
      <c r="R66" s="16">
        <v>260.53</v>
      </c>
      <c r="S66" s="20">
        <v>93.37</v>
      </c>
      <c r="T66" s="16">
        <v>140.45</v>
      </c>
      <c r="U66" s="16">
        <v>117.46</v>
      </c>
      <c r="V66" s="16">
        <v>179.17</v>
      </c>
    </row>
    <row r="67" ht="15.0" customHeight="1">
      <c r="A67" s="17" t="s">
        <v>342</v>
      </c>
      <c r="B67" s="25">
        <v>-365.41</v>
      </c>
      <c r="C67" s="19">
        <v>414.93</v>
      </c>
      <c r="D67" s="24">
        <v>-11.94</v>
      </c>
      <c r="E67" s="19">
        <v>488.37</v>
      </c>
      <c r="F67" s="25">
        <v>-199.44</v>
      </c>
      <c r="G67" s="19">
        <v>223.12</v>
      </c>
      <c r="H67" s="19">
        <v>227.99</v>
      </c>
      <c r="I67" s="19">
        <v>240.67</v>
      </c>
      <c r="J67" s="25">
        <v>-102.64</v>
      </c>
      <c r="K67" s="19">
        <v>124.71</v>
      </c>
      <c r="L67" s="19">
        <v>186.44</v>
      </c>
      <c r="M67" s="21">
        <v>30.31</v>
      </c>
      <c r="N67" s="24">
        <v>-89.35</v>
      </c>
      <c r="O67" s="24">
        <v>-0.86</v>
      </c>
      <c r="P67" s="25">
        <v>-180.51</v>
      </c>
      <c r="Q67" s="19">
        <v>183.08</v>
      </c>
      <c r="R67" s="19">
        <v>178.59</v>
      </c>
      <c r="S67" s="24">
        <v>-53.03</v>
      </c>
      <c r="T67" s="21">
        <v>32.94</v>
      </c>
      <c r="U67" s="24">
        <v>-71.35</v>
      </c>
      <c r="V67" s="19">
        <v>123.91</v>
      </c>
    </row>
    <row r="68" ht="15.0" customHeight="1">
      <c r="A68" s="14" t="s">
        <v>346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3">
        <v>-97.6</v>
      </c>
      <c r="Q68" s="23">
        <v>-49.55</v>
      </c>
      <c r="R68" s="22">
        <v>-135.8</v>
      </c>
      <c r="S68" s="22">
        <v>-257.45</v>
      </c>
      <c r="T68" s="22">
        <v>-183.75</v>
      </c>
      <c r="U68" s="23">
        <v>-84.41</v>
      </c>
      <c r="V68" s="23">
        <v>-9.98</v>
      </c>
    </row>
    <row r="69" ht="15.0" customHeight="1">
      <c r="A69" s="14" t="s">
        <v>347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315.77</v>
      </c>
      <c r="R69" s="16">
        <v>331.67</v>
      </c>
      <c r="S69" s="16">
        <v>320.74</v>
      </c>
      <c r="T69" s="16">
        <v>333.7</v>
      </c>
      <c r="U69" s="16">
        <v>266.27</v>
      </c>
      <c r="V69" s="16">
        <v>113.1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46091.5535406366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0.83160986623262</v>
      </c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26" t="s">
        <v>350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ht="15.0" customHeight="1">
      <c r="A21" s="28" t="s">
        <v>350</v>
      </c>
      <c r="B21" s="29">
        <v>86000.08</v>
      </c>
      <c r="C21" s="29">
        <v>61813.25</v>
      </c>
      <c r="D21" s="29">
        <v>48902.12</v>
      </c>
      <c r="E21" s="29">
        <v>52717.4</v>
      </c>
      <c r="F21" s="29">
        <v>47652.84</v>
      </c>
      <c r="G21" s="29">
        <v>45870.57</v>
      </c>
      <c r="H21" s="29">
        <v>32889.19</v>
      </c>
      <c r="I21" s="29">
        <v>32305.59</v>
      </c>
      <c r="J21" s="29">
        <v>26453.34</v>
      </c>
      <c r="K21" s="29">
        <v>29880.52</v>
      </c>
      <c r="L21" s="29">
        <v>19003.98</v>
      </c>
      <c r="M21" s="29">
        <v>18020.9</v>
      </c>
      <c r="N21" s="29">
        <v>11834.56</v>
      </c>
      <c r="O21" s="30">
        <v>6872.43</v>
      </c>
      <c r="P21" s="30">
        <v>6299.47</v>
      </c>
      <c r="Q21" s="30">
        <v>5040.79</v>
      </c>
      <c r="R21" s="30">
        <v>4070.6</v>
      </c>
      <c r="S21" s="30">
        <v>4330.23</v>
      </c>
      <c r="T21" s="30">
        <v>8266.78</v>
      </c>
      <c r="U21" s="30">
        <v>6456.55</v>
      </c>
    </row>
    <row r="22" ht="15.0" customHeight="1">
      <c r="A22" s="28" t="s">
        <v>351</v>
      </c>
      <c r="B22" s="29">
        <v>61016.71</v>
      </c>
      <c r="C22" s="29">
        <v>52757.79</v>
      </c>
      <c r="D22" s="29">
        <v>44111.71</v>
      </c>
      <c r="E22" s="29">
        <v>41826.27</v>
      </c>
      <c r="F22" s="29">
        <v>39353.49</v>
      </c>
      <c r="G22" s="29">
        <v>32134.4</v>
      </c>
      <c r="H22" s="29">
        <v>27765.23</v>
      </c>
      <c r="I22" s="29">
        <v>25552.26</v>
      </c>
      <c r="J22" s="29">
        <v>20714.88</v>
      </c>
      <c r="K22" s="29">
        <v>18679.95</v>
      </c>
      <c r="L22" s="29">
        <v>13026.7</v>
      </c>
      <c r="M22" s="29">
        <v>10245.75</v>
      </c>
      <c r="N22" s="30">
        <v>6816.26</v>
      </c>
      <c r="O22" s="30">
        <v>5403.59</v>
      </c>
      <c r="P22" s="30">
        <v>5604.39</v>
      </c>
      <c r="Q22" s="30">
        <v>5281.76</v>
      </c>
      <c r="R22" s="29"/>
      <c r="S22" s="29"/>
      <c r="T22" s="29"/>
      <c r="U22" s="29"/>
    </row>
    <row r="23" ht="15.0" customHeight="1">
      <c r="A23" s="26" t="s">
        <v>352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ht="15.0" customHeight="1">
      <c r="A24" s="28" t="s">
        <v>352</v>
      </c>
      <c r="B24" s="29">
        <v>84218.39</v>
      </c>
      <c r="C24" s="29">
        <v>58743.62</v>
      </c>
      <c r="D24" s="29">
        <v>43451.25</v>
      </c>
      <c r="E24" s="29">
        <v>49186.61</v>
      </c>
      <c r="F24" s="29">
        <v>44272.77</v>
      </c>
      <c r="G24" s="29">
        <v>42348.71</v>
      </c>
      <c r="H24" s="29">
        <v>30381.23</v>
      </c>
      <c r="I24" s="29">
        <v>29726.92</v>
      </c>
      <c r="J24" s="29">
        <v>24041.77</v>
      </c>
      <c r="K24" s="29">
        <v>27771.7</v>
      </c>
      <c r="L24" s="29">
        <v>16694.95</v>
      </c>
      <c r="M24" s="29">
        <v>15967.29</v>
      </c>
      <c r="N24" s="30">
        <v>9662.81</v>
      </c>
      <c r="O24" s="30">
        <v>7079.81</v>
      </c>
      <c r="P24" s="30">
        <v>6689.04</v>
      </c>
      <c r="Q24" s="30">
        <v>5195.33</v>
      </c>
      <c r="R24" s="30">
        <v>3900.76</v>
      </c>
      <c r="S24" s="30">
        <v>4072.04</v>
      </c>
      <c r="T24" s="30">
        <v>7573.87</v>
      </c>
      <c r="U24" s="30">
        <v>6414.09</v>
      </c>
    </row>
    <row r="25" ht="15.0" customHeight="1">
      <c r="A25" s="28" t="s">
        <v>353</v>
      </c>
      <c r="B25" s="29">
        <v>57431.94</v>
      </c>
      <c r="C25" s="29">
        <v>48840.07</v>
      </c>
      <c r="D25" s="29">
        <v>40539.04</v>
      </c>
      <c r="E25" s="29">
        <v>38754.56</v>
      </c>
      <c r="F25" s="29">
        <v>36287.09</v>
      </c>
      <c r="G25" s="29">
        <v>29610.02</v>
      </c>
      <c r="H25" s="29">
        <v>25400.91</v>
      </c>
      <c r="I25" s="29">
        <v>23206.14</v>
      </c>
      <c r="J25" s="29">
        <v>18499.04</v>
      </c>
      <c r="K25" s="29">
        <v>16816.85</v>
      </c>
      <c r="L25" s="29">
        <v>11792.72</v>
      </c>
      <c r="M25" s="30">
        <v>9522.51</v>
      </c>
      <c r="N25" s="30">
        <v>6499.7</v>
      </c>
      <c r="O25" s="30">
        <v>5469.71</v>
      </c>
      <c r="P25" s="30">
        <v>5496.97</v>
      </c>
      <c r="Q25" s="30">
        <v>5100.85</v>
      </c>
      <c r="R25" s="29"/>
      <c r="S25" s="29"/>
      <c r="T25" s="29"/>
      <c r="U25" s="29"/>
    </row>
    <row r="26" ht="15.0" customHeight="1">
      <c r="A26" s="26" t="s">
        <v>354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ht="15.0" customHeight="1">
      <c r="A27" s="28" t="s">
        <v>355</v>
      </c>
      <c r="B27" s="30">
        <v>324.47</v>
      </c>
      <c r="C27" s="30">
        <v>226.32</v>
      </c>
      <c r="D27" s="30">
        <v>167.4</v>
      </c>
      <c r="E27" s="30">
        <v>190.28</v>
      </c>
      <c r="F27" s="30">
        <v>173.34</v>
      </c>
      <c r="G27" s="30">
        <v>166.9</v>
      </c>
      <c r="H27" s="30">
        <v>119.74</v>
      </c>
      <c r="I27" s="30">
        <v>117.16</v>
      </c>
      <c r="J27" s="31">
        <v>94.75</v>
      </c>
      <c r="K27" s="30">
        <v>109.45</v>
      </c>
      <c r="L27" s="31">
        <v>66.7</v>
      </c>
      <c r="M27" s="31">
        <v>64.72</v>
      </c>
      <c r="N27" s="31">
        <v>39.38</v>
      </c>
      <c r="O27" s="31">
        <v>28.85</v>
      </c>
      <c r="P27" s="31">
        <v>27.26</v>
      </c>
      <c r="Q27" s="31">
        <v>21.17</v>
      </c>
      <c r="R27" s="31">
        <v>15.71</v>
      </c>
      <c r="S27" s="31">
        <v>16.4</v>
      </c>
      <c r="T27" s="31">
        <v>30.5</v>
      </c>
      <c r="U27" s="31">
        <v>26.18</v>
      </c>
    </row>
    <row r="28" ht="15.0" customHeight="1">
      <c r="A28" s="28" t="s">
        <v>356</v>
      </c>
      <c r="B28" s="30">
        <v>221.98</v>
      </c>
      <c r="C28" s="30">
        <v>189.66</v>
      </c>
      <c r="D28" s="30">
        <v>158.1</v>
      </c>
      <c r="E28" s="30">
        <v>151.81</v>
      </c>
      <c r="F28" s="30">
        <v>142.78</v>
      </c>
      <c r="G28" s="30">
        <v>116.7</v>
      </c>
      <c r="H28" s="30">
        <v>100.29</v>
      </c>
      <c r="I28" s="31">
        <v>92.03</v>
      </c>
      <c r="J28" s="31">
        <v>73.73</v>
      </c>
      <c r="K28" s="31">
        <v>67.42</v>
      </c>
      <c r="L28" s="31">
        <v>47.72</v>
      </c>
      <c r="M28" s="31">
        <v>38.73</v>
      </c>
      <c r="N28" s="31">
        <v>26.45</v>
      </c>
      <c r="O28" s="31">
        <v>22.21</v>
      </c>
      <c r="P28" s="31">
        <v>22.26</v>
      </c>
      <c r="Q28" s="31">
        <v>20.66</v>
      </c>
      <c r="R28" s="29"/>
      <c r="S28" s="29"/>
      <c r="T28" s="29"/>
      <c r="U28" s="29"/>
    </row>
    <row r="29" ht="15.0" customHeight="1">
      <c r="A29" s="26" t="s">
        <v>357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ht="15.0" customHeight="1">
      <c r="A30" s="28" t="s">
        <v>358</v>
      </c>
      <c r="B30" s="32">
        <v>1.35</v>
      </c>
      <c r="C30" s="32">
        <v>6.97</v>
      </c>
      <c r="D30" s="33">
        <v>-2.82</v>
      </c>
      <c r="E30" s="33">
        <v>-0.22</v>
      </c>
      <c r="F30" s="32">
        <v>3.04</v>
      </c>
      <c r="G30" s="32">
        <v>1.68</v>
      </c>
      <c r="H30" s="32">
        <v>1.17</v>
      </c>
      <c r="I30" s="32">
        <v>0.95</v>
      </c>
      <c r="J30" s="32">
        <v>0.93</v>
      </c>
      <c r="K30" s="32">
        <v>2.81</v>
      </c>
      <c r="L30" s="32">
        <v>0.54</v>
      </c>
      <c r="M30" s="32">
        <v>4.35</v>
      </c>
      <c r="N30" s="32">
        <v>10.01</v>
      </c>
      <c r="O30" s="33">
        <v>-8.26</v>
      </c>
      <c r="P30" s="32">
        <v>5.47</v>
      </c>
      <c r="Q30" s="32">
        <v>30.35</v>
      </c>
      <c r="R30" s="33">
        <v>-8.63</v>
      </c>
      <c r="S30" s="33">
        <v>-20.46</v>
      </c>
      <c r="T30" s="33">
        <v>-3.5</v>
      </c>
      <c r="U30" s="32"/>
    </row>
    <row r="31" ht="15.0" customHeight="1">
      <c r="A31" s="28" t="s">
        <v>359</v>
      </c>
      <c r="B31" s="32">
        <v>1.81</v>
      </c>
      <c r="C31" s="32">
        <v>1.94</v>
      </c>
      <c r="D31" s="32">
        <v>0.48</v>
      </c>
      <c r="E31" s="32">
        <v>1.3</v>
      </c>
      <c r="F31" s="32">
        <v>1.68</v>
      </c>
      <c r="G31" s="32">
        <v>1.51</v>
      </c>
      <c r="H31" s="32">
        <v>1.32</v>
      </c>
      <c r="I31" s="32">
        <v>1.81</v>
      </c>
      <c r="J31" s="32">
        <v>3.04</v>
      </c>
      <c r="K31" s="32">
        <v>2.53</v>
      </c>
      <c r="L31" s="32">
        <v>2.79</v>
      </c>
      <c r="M31" s="32">
        <v>7.06</v>
      </c>
      <c r="N31" s="32">
        <v>6.47</v>
      </c>
      <c r="O31" s="32">
        <v>1.1</v>
      </c>
      <c r="P31" s="32">
        <v>2.32</v>
      </c>
      <c r="Q31" s="32"/>
      <c r="R31" s="32"/>
      <c r="S31" s="32"/>
      <c r="T31" s="32"/>
      <c r="U31" s="32"/>
    </row>
    <row r="32" ht="15.0" customHeight="1">
      <c r="A32" s="26" t="s">
        <v>360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ht="15.0" customHeight="1">
      <c r="A33" s="28" t="s">
        <v>361</v>
      </c>
      <c r="B33" s="32">
        <v>0.82</v>
      </c>
      <c r="C33" s="32">
        <v>0.86</v>
      </c>
      <c r="D33" s="32">
        <v>0.98</v>
      </c>
      <c r="E33" s="32">
        <v>0.82</v>
      </c>
      <c r="F33" s="32">
        <v>0.89</v>
      </c>
      <c r="G33" s="32">
        <v>0.73</v>
      </c>
      <c r="H33" s="32">
        <v>0.93</v>
      </c>
      <c r="I33" s="32">
        <v>0.87</v>
      </c>
      <c r="J33" s="32">
        <v>0.9</v>
      </c>
      <c r="K33" s="32">
        <v>0.75</v>
      </c>
      <c r="L33" s="32">
        <v>1.01</v>
      </c>
      <c r="M33" s="32">
        <v>0.89</v>
      </c>
      <c r="N33" s="32">
        <v>1.2</v>
      </c>
      <c r="O33" s="32">
        <v>1.58</v>
      </c>
      <c r="P33" s="32">
        <v>1.58</v>
      </c>
      <c r="Q33" s="32">
        <v>1.78</v>
      </c>
      <c r="R33" s="32">
        <v>2.64</v>
      </c>
      <c r="S33" s="32">
        <v>2.39</v>
      </c>
      <c r="T33" s="32">
        <v>10.1</v>
      </c>
      <c r="U33" s="32"/>
    </row>
    <row r="34" ht="15.0" customHeight="1">
      <c r="A34" s="28" t="s">
        <v>362</v>
      </c>
      <c r="B34" s="32">
        <v>0.87</v>
      </c>
      <c r="C34" s="32">
        <v>0.85</v>
      </c>
      <c r="D34" s="32">
        <v>0.86</v>
      </c>
      <c r="E34" s="32">
        <v>0.84</v>
      </c>
      <c r="F34" s="32">
        <v>0.85</v>
      </c>
      <c r="G34" s="32">
        <v>0.83</v>
      </c>
      <c r="H34" s="32">
        <v>0.89</v>
      </c>
      <c r="I34" s="32">
        <v>0.88</v>
      </c>
      <c r="J34" s="32">
        <v>0.92</v>
      </c>
      <c r="K34" s="32">
        <v>0.99</v>
      </c>
      <c r="L34" s="32">
        <v>1.16</v>
      </c>
      <c r="M34" s="32">
        <v>1.29</v>
      </c>
      <c r="N34" s="32">
        <v>1.62</v>
      </c>
      <c r="O34" s="32">
        <v>1.89</v>
      </c>
      <c r="P34" s="32">
        <v>4.12</v>
      </c>
      <c r="Q34" s="32"/>
      <c r="R34" s="32"/>
      <c r="S34" s="32"/>
      <c r="T34" s="32"/>
      <c r="U34" s="32"/>
    </row>
    <row r="35" ht="15.0" customHeight="1">
      <c r="A35" s="28" t="s">
        <v>363</v>
      </c>
      <c r="B35" s="32">
        <v>1.17</v>
      </c>
      <c r="C35" s="32">
        <v>1.22</v>
      </c>
      <c r="D35" s="32">
        <v>1.41</v>
      </c>
      <c r="E35" s="32">
        <v>1.18</v>
      </c>
      <c r="F35" s="32">
        <v>1.27</v>
      </c>
      <c r="G35" s="32">
        <v>1.04</v>
      </c>
      <c r="H35" s="32">
        <v>1.32</v>
      </c>
      <c r="I35" s="32">
        <v>1.25</v>
      </c>
      <c r="J35" s="32">
        <v>1.29</v>
      </c>
      <c r="K35" s="32">
        <v>1.08</v>
      </c>
      <c r="L35" s="32">
        <v>1.44</v>
      </c>
      <c r="M35" s="32">
        <v>1.27</v>
      </c>
      <c r="N35" s="32">
        <v>1.72</v>
      </c>
      <c r="O35" s="32">
        <v>2.26</v>
      </c>
      <c r="P35" s="32">
        <v>2.25</v>
      </c>
      <c r="Q35" s="32">
        <v>2.55</v>
      </c>
      <c r="R35" s="32">
        <v>3.77</v>
      </c>
      <c r="S35" s="32">
        <v>3.42</v>
      </c>
      <c r="T35" s="32">
        <v>14.43</v>
      </c>
      <c r="U35" s="32"/>
    </row>
    <row r="36" ht="15.0" customHeight="1">
      <c r="A36" s="28" t="s">
        <v>364</v>
      </c>
      <c r="B36" s="32">
        <v>1.24</v>
      </c>
      <c r="C36" s="32">
        <v>1.22</v>
      </c>
      <c r="D36" s="32">
        <v>1.24</v>
      </c>
      <c r="E36" s="32">
        <v>1.2</v>
      </c>
      <c r="F36" s="32">
        <v>1.22</v>
      </c>
      <c r="G36" s="32">
        <v>1.18</v>
      </c>
      <c r="H36" s="32">
        <v>1.26</v>
      </c>
      <c r="I36" s="32">
        <v>1.25</v>
      </c>
      <c r="J36" s="32">
        <v>1.31</v>
      </c>
      <c r="K36" s="32">
        <v>1.41</v>
      </c>
      <c r="L36" s="32">
        <v>1.66</v>
      </c>
      <c r="M36" s="32">
        <v>1.85</v>
      </c>
      <c r="N36" s="32">
        <v>2.32</v>
      </c>
      <c r="O36" s="32">
        <v>2.7</v>
      </c>
      <c r="P36" s="32">
        <v>5.88</v>
      </c>
      <c r="Q36" s="32"/>
      <c r="R36" s="32"/>
      <c r="S36" s="32"/>
      <c r="T36" s="32"/>
      <c r="U36" s="32"/>
    </row>
    <row r="37" ht="15.0" customHeight="1">
      <c r="A37" s="26" t="s">
        <v>365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ht="15.0" customHeight="1">
      <c r="A38" s="28" t="s">
        <v>366</v>
      </c>
      <c r="B38" s="31">
        <v>4.08</v>
      </c>
      <c r="C38" s="31">
        <v>3.41</v>
      </c>
      <c r="D38" s="31">
        <v>3.07</v>
      </c>
      <c r="E38" s="31">
        <v>4.28</v>
      </c>
      <c r="F38" s="31">
        <v>4.37</v>
      </c>
      <c r="G38" s="31">
        <v>4.37</v>
      </c>
      <c r="H38" s="31">
        <v>3.49</v>
      </c>
      <c r="I38" s="31">
        <v>3.88</v>
      </c>
      <c r="J38" s="31">
        <v>3.37</v>
      </c>
      <c r="K38" s="31">
        <v>4.02</v>
      </c>
      <c r="L38" s="31">
        <v>3.03</v>
      </c>
      <c r="M38" s="31">
        <v>3.91</v>
      </c>
      <c r="N38" s="31">
        <v>2.96</v>
      </c>
      <c r="O38" s="31">
        <v>2.3</v>
      </c>
      <c r="P38" s="31">
        <v>2.44</v>
      </c>
      <c r="Q38" s="31">
        <v>2.19</v>
      </c>
      <c r="R38" s="31">
        <v>1.83</v>
      </c>
      <c r="S38" s="31">
        <v>1.98</v>
      </c>
      <c r="T38" s="31">
        <v>3.59</v>
      </c>
      <c r="U38" s="31">
        <v>2.15</v>
      </c>
    </row>
    <row r="39" ht="15.0" customHeight="1">
      <c r="A39" s="28" t="s">
        <v>367</v>
      </c>
      <c r="B39" s="31">
        <v>3.79</v>
      </c>
      <c r="C39" s="31">
        <v>3.8</v>
      </c>
      <c r="D39" s="31">
        <v>3.86</v>
      </c>
      <c r="E39" s="31">
        <v>4.11</v>
      </c>
      <c r="F39" s="31">
        <v>3.94</v>
      </c>
      <c r="G39" s="31">
        <v>3.85</v>
      </c>
      <c r="H39" s="31">
        <v>3.57</v>
      </c>
      <c r="I39" s="31">
        <v>3.64</v>
      </c>
      <c r="J39" s="31">
        <v>3.48</v>
      </c>
      <c r="K39" s="31">
        <v>3.34</v>
      </c>
      <c r="L39" s="31">
        <v>2.98</v>
      </c>
      <c r="M39" s="31">
        <v>2.84</v>
      </c>
      <c r="N39" s="31">
        <v>2.4</v>
      </c>
      <c r="O39" s="31">
        <v>2.18</v>
      </c>
      <c r="P39" s="31">
        <v>2.39</v>
      </c>
      <c r="Q39" s="31">
        <v>2.32</v>
      </c>
      <c r="R39" s="29"/>
      <c r="S39" s="29"/>
      <c r="T39" s="29"/>
      <c r="U39" s="29"/>
    </row>
    <row r="40" ht="15.0" customHeight="1">
      <c r="A40" s="26" t="s">
        <v>368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ht="15.0" customHeight="1">
      <c r="A41" s="28" t="s">
        <v>369</v>
      </c>
      <c r="B41" s="31">
        <v>4.7</v>
      </c>
      <c r="C41" s="31">
        <v>4.13</v>
      </c>
      <c r="D41" s="31">
        <v>3.78</v>
      </c>
      <c r="E41" s="31">
        <v>5.48</v>
      </c>
      <c r="F41" s="31">
        <v>5.82</v>
      </c>
      <c r="G41" s="31">
        <v>5.75</v>
      </c>
      <c r="H41" s="31">
        <v>4.51</v>
      </c>
      <c r="I41" s="31">
        <v>5.2</v>
      </c>
      <c r="J41" s="31">
        <v>4.63</v>
      </c>
      <c r="K41" s="31">
        <v>5.7</v>
      </c>
      <c r="L41" s="31">
        <v>4.05</v>
      </c>
      <c r="M41" s="31">
        <v>5.48</v>
      </c>
      <c r="N41" s="31">
        <v>4.21</v>
      </c>
      <c r="O41" s="31">
        <v>3.0</v>
      </c>
      <c r="P41" s="31">
        <v>3.11</v>
      </c>
      <c r="Q41" s="31">
        <v>2.97</v>
      </c>
      <c r="R41" s="31">
        <v>2.81</v>
      </c>
      <c r="S41" s="31">
        <v>2.85</v>
      </c>
      <c r="T41" s="31">
        <v>4.98</v>
      </c>
      <c r="U41" s="31">
        <v>2.58</v>
      </c>
    </row>
    <row r="42" ht="15.0" customHeight="1">
      <c r="A42" s="28" t="s">
        <v>370</v>
      </c>
      <c r="B42" s="31">
        <v>4.64</v>
      </c>
      <c r="C42" s="31">
        <v>4.79</v>
      </c>
      <c r="D42" s="31">
        <v>4.96</v>
      </c>
      <c r="E42" s="31">
        <v>5.38</v>
      </c>
      <c r="F42" s="31">
        <v>5.23</v>
      </c>
      <c r="G42" s="31">
        <v>5.16</v>
      </c>
      <c r="H42" s="31">
        <v>4.81</v>
      </c>
      <c r="I42" s="31">
        <v>4.99</v>
      </c>
      <c r="J42" s="31">
        <v>4.83</v>
      </c>
      <c r="K42" s="31">
        <v>4.6</v>
      </c>
      <c r="L42" s="31">
        <v>4.03</v>
      </c>
      <c r="M42" s="31">
        <v>3.84</v>
      </c>
      <c r="N42" s="31">
        <v>3.27</v>
      </c>
      <c r="O42" s="31">
        <v>2.97</v>
      </c>
      <c r="P42" s="31">
        <v>3.3</v>
      </c>
      <c r="Q42" s="31">
        <v>3.14</v>
      </c>
      <c r="R42" s="29"/>
      <c r="S42" s="29"/>
      <c r="T42" s="29"/>
      <c r="U42" s="29"/>
    </row>
    <row r="43" ht="15.0" customHeight="1">
      <c r="A43" s="26" t="s">
        <v>371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ht="15.0" customHeight="1">
      <c r="A44" s="28" t="s">
        <v>372</v>
      </c>
      <c r="B44" s="31">
        <v>1.83</v>
      </c>
      <c r="C44" s="31">
        <v>1.27</v>
      </c>
      <c r="D44" s="31">
        <v>0.91</v>
      </c>
      <c r="E44" s="31">
        <v>1.42</v>
      </c>
      <c r="F44" s="31">
        <v>1.51</v>
      </c>
      <c r="G44" s="31">
        <v>1.58</v>
      </c>
      <c r="H44" s="31">
        <v>1.13</v>
      </c>
      <c r="I44" s="31">
        <v>1.12</v>
      </c>
      <c r="J44" s="31">
        <v>1.15</v>
      </c>
      <c r="K44" s="31">
        <v>1.31</v>
      </c>
      <c r="L44" s="31">
        <v>0.97</v>
      </c>
      <c r="M44" s="31">
        <v>1.03</v>
      </c>
      <c r="N44" s="31">
        <v>0.69</v>
      </c>
      <c r="O44" s="31">
        <v>0.49</v>
      </c>
      <c r="P44" s="31">
        <v>0.52</v>
      </c>
      <c r="Q44" s="31">
        <v>0.4</v>
      </c>
      <c r="R44" s="31">
        <v>0.25</v>
      </c>
      <c r="S44" s="31">
        <v>0.37</v>
      </c>
      <c r="T44" s="31">
        <v>0.75</v>
      </c>
      <c r="U44" s="29"/>
    </row>
    <row r="45" ht="15.0" customHeight="1">
      <c r="A45" s="28" t="s">
        <v>373</v>
      </c>
      <c r="B45" s="31">
        <v>1.36</v>
      </c>
      <c r="C45" s="31">
        <v>1.29</v>
      </c>
      <c r="D45" s="31">
        <v>1.27</v>
      </c>
      <c r="E45" s="31">
        <v>1.36</v>
      </c>
      <c r="F45" s="31">
        <v>1.31</v>
      </c>
      <c r="G45" s="31">
        <v>1.27</v>
      </c>
      <c r="H45" s="31">
        <v>1.14</v>
      </c>
      <c r="I45" s="31">
        <v>1.13</v>
      </c>
      <c r="J45" s="31">
        <v>1.05</v>
      </c>
      <c r="K45" s="31">
        <v>0.91</v>
      </c>
      <c r="L45" s="31">
        <v>0.75</v>
      </c>
      <c r="M45" s="31">
        <v>0.63</v>
      </c>
      <c r="N45" s="31">
        <v>0.47</v>
      </c>
      <c r="O45" s="31">
        <v>0.4</v>
      </c>
      <c r="P45" s="31">
        <v>0.44</v>
      </c>
      <c r="Q45" s="29"/>
      <c r="R45" s="29"/>
      <c r="S45" s="29"/>
      <c r="T45" s="29"/>
      <c r="U45" s="29"/>
    </row>
    <row r="46" ht="15.0" customHeight="1">
      <c r="A46" s="26" t="s">
        <v>374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ht="15.0" customHeight="1">
      <c r="A47" s="28" t="s">
        <v>375</v>
      </c>
      <c r="B47" s="31">
        <v>74.29</v>
      </c>
      <c r="C47" s="31">
        <v>14.34</v>
      </c>
      <c r="D47" s="29"/>
      <c r="E47" s="29"/>
      <c r="F47" s="31">
        <v>32.91</v>
      </c>
      <c r="G47" s="31">
        <v>59.66</v>
      </c>
      <c r="H47" s="31">
        <v>85.3</v>
      </c>
      <c r="I47" s="30">
        <v>105.34</v>
      </c>
      <c r="J47" s="30">
        <v>107.42</v>
      </c>
      <c r="K47" s="31">
        <v>35.59</v>
      </c>
      <c r="L47" s="30">
        <v>186.52</v>
      </c>
      <c r="M47" s="31">
        <v>22.97</v>
      </c>
      <c r="N47" s="31">
        <v>9.99</v>
      </c>
      <c r="O47" s="29"/>
      <c r="P47" s="31">
        <v>18.27</v>
      </c>
      <c r="Q47" s="31">
        <v>3.29</v>
      </c>
      <c r="R47" s="29"/>
      <c r="S47" s="29"/>
      <c r="T47" s="29"/>
      <c r="U47" s="29"/>
    </row>
    <row r="48" ht="15.0" customHeight="1">
      <c r="A48" s="28" t="s">
        <v>376</v>
      </c>
      <c r="B48" s="31">
        <v>55.3</v>
      </c>
      <c r="C48" s="31">
        <v>51.6</v>
      </c>
      <c r="D48" s="30">
        <v>209.03</v>
      </c>
      <c r="E48" s="31">
        <v>76.78</v>
      </c>
      <c r="F48" s="31">
        <v>59.41</v>
      </c>
      <c r="G48" s="31">
        <v>66.18</v>
      </c>
      <c r="H48" s="31">
        <v>75.66</v>
      </c>
      <c r="I48" s="31">
        <v>55.12</v>
      </c>
      <c r="J48" s="31">
        <v>32.84</v>
      </c>
      <c r="K48" s="31">
        <v>39.47</v>
      </c>
      <c r="L48" s="31">
        <v>35.86</v>
      </c>
      <c r="M48" s="31">
        <v>14.16</v>
      </c>
      <c r="N48" s="31">
        <v>15.45</v>
      </c>
      <c r="O48" s="31">
        <v>91.31</v>
      </c>
      <c r="P48" s="31">
        <v>43.09</v>
      </c>
      <c r="Q48" s="29"/>
      <c r="R48" s="29"/>
      <c r="S48" s="29"/>
      <c r="T48" s="29"/>
      <c r="U48" s="29"/>
    </row>
    <row r="49" ht="15.0" customHeight="1">
      <c r="A49" s="26" t="s">
        <v>377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ht="15.0" customHeight="1">
      <c r="A50" s="28" t="s">
        <v>378</v>
      </c>
      <c r="B50" s="31">
        <v>18.67</v>
      </c>
      <c r="C50" s="31">
        <v>15.31</v>
      </c>
      <c r="D50" s="31">
        <v>17.91</v>
      </c>
      <c r="E50" s="31">
        <v>23.24</v>
      </c>
      <c r="F50" s="31">
        <v>18.26</v>
      </c>
      <c r="G50" s="31">
        <v>20.53</v>
      </c>
      <c r="H50" s="31">
        <v>16.45</v>
      </c>
      <c r="I50" s="31">
        <v>17.44</v>
      </c>
      <c r="J50" s="31">
        <v>16.86</v>
      </c>
      <c r="K50" s="31">
        <v>19.19</v>
      </c>
      <c r="L50" s="31">
        <v>13.68</v>
      </c>
      <c r="M50" s="31">
        <v>15.79</v>
      </c>
      <c r="N50" s="31">
        <v>11.71</v>
      </c>
      <c r="O50" s="31">
        <v>8.55</v>
      </c>
      <c r="P50" s="31">
        <v>7.69</v>
      </c>
      <c r="Q50" s="31">
        <v>5.15</v>
      </c>
      <c r="R50" s="31">
        <v>11.68</v>
      </c>
      <c r="S50" s="31">
        <v>6.79</v>
      </c>
      <c r="T50" s="31">
        <v>16.98</v>
      </c>
      <c r="U50" s="29"/>
    </row>
    <row r="51" ht="15.0" customHeight="1">
      <c r="A51" s="28" t="s">
        <v>379</v>
      </c>
      <c r="B51" s="31">
        <v>18.3</v>
      </c>
      <c r="C51" s="31">
        <v>18.55</v>
      </c>
      <c r="D51" s="31">
        <v>19.29</v>
      </c>
      <c r="E51" s="31">
        <v>19.32</v>
      </c>
      <c r="F51" s="31">
        <v>18.06</v>
      </c>
      <c r="G51" s="31">
        <v>18.19</v>
      </c>
      <c r="H51" s="31">
        <v>16.77</v>
      </c>
      <c r="I51" s="31">
        <v>16.71</v>
      </c>
      <c r="J51" s="31">
        <v>15.71</v>
      </c>
      <c r="K51" s="31">
        <v>14.19</v>
      </c>
      <c r="L51" s="31">
        <v>11.67</v>
      </c>
      <c r="M51" s="31">
        <v>9.64</v>
      </c>
      <c r="N51" s="31">
        <v>8.36</v>
      </c>
      <c r="O51" s="31">
        <v>7.34</v>
      </c>
      <c r="P51" s="31">
        <v>8.26</v>
      </c>
      <c r="Q51" s="29"/>
      <c r="R51" s="29"/>
      <c r="S51" s="29"/>
      <c r="T51" s="29"/>
      <c r="U51" s="29"/>
    </row>
    <row r="52" ht="15.0" customHeight="1">
      <c r="A52" s="26" t="s">
        <v>380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ht="15.0" customHeight="1">
      <c r="A53" s="28" t="s">
        <v>381</v>
      </c>
      <c r="B53" s="31">
        <v>23.26</v>
      </c>
      <c r="C53" s="31">
        <v>19.8</v>
      </c>
      <c r="D53" s="31">
        <v>26.01</v>
      </c>
      <c r="E53" s="31">
        <v>35.02</v>
      </c>
      <c r="F53" s="31">
        <v>26.97</v>
      </c>
      <c r="G53" s="31">
        <v>30.37</v>
      </c>
      <c r="H53" s="31">
        <v>23.55</v>
      </c>
      <c r="I53" s="31">
        <v>24.88</v>
      </c>
      <c r="J53" s="31">
        <v>25.28</v>
      </c>
      <c r="K53" s="31">
        <v>28.3</v>
      </c>
      <c r="L53" s="31">
        <v>19.73</v>
      </c>
      <c r="M53" s="31">
        <v>23.38</v>
      </c>
      <c r="N53" s="31">
        <v>18.18</v>
      </c>
      <c r="O53" s="31">
        <v>13.55</v>
      </c>
      <c r="P53" s="31">
        <v>12.35</v>
      </c>
      <c r="Q53" s="31">
        <v>7.77</v>
      </c>
      <c r="R53" s="30">
        <v>4330.07</v>
      </c>
      <c r="S53" s="31">
        <v>15.22</v>
      </c>
      <c r="T53" s="31">
        <v>47.96</v>
      </c>
      <c r="U53" s="29"/>
    </row>
    <row r="54" ht="15.0" customHeight="1">
      <c r="A54" s="28" t="s">
        <v>382</v>
      </c>
      <c r="B54" s="31">
        <v>24.82</v>
      </c>
      <c r="C54" s="31">
        <v>26.32</v>
      </c>
      <c r="D54" s="31">
        <v>28.34</v>
      </c>
      <c r="E54" s="31">
        <v>28.32</v>
      </c>
      <c r="F54" s="31">
        <v>26.41</v>
      </c>
      <c r="G54" s="31">
        <v>26.56</v>
      </c>
      <c r="H54" s="31">
        <v>24.36</v>
      </c>
      <c r="I54" s="31">
        <v>24.44</v>
      </c>
      <c r="J54" s="31">
        <v>23.36</v>
      </c>
      <c r="K54" s="31">
        <v>21.27</v>
      </c>
      <c r="L54" s="31">
        <v>17.79</v>
      </c>
      <c r="M54" s="31">
        <v>14.86</v>
      </c>
      <c r="N54" s="31">
        <v>14.18</v>
      </c>
      <c r="O54" s="31">
        <v>13.27</v>
      </c>
      <c r="P54" s="31">
        <v>16.25</v>
      </c>
      <c r="Q54" s="29"/>
      <c r="R54" s="29"/>
      <c r="S54" s="29"/>
      <c r="T54" s="29"/>
      <c r="U54" s="29"/>
    </row>
    <row r="55" ht="15.0" customHeight="1">
      <c r="A55" s="26" t="s">
        <v>383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ht="15.0" customHeight="1">
      <c r="A56" s="28" t="s">
        <v>384</v>
      </c>
      <c r="B56" s="31">
        <v>22.86</v>
      </c>
      <c r="C56" s="31">
        <v>19.31</v>
      </c>
      <c r="D56" s="31">
        <v>21.64</v>
      </c>
      <c r="E56" s="31">
        <v>25.39</v>
      </c>
      <c r="F56" s="31">
        <v>26.51</v>
      </c>
      <c r="G56" s="31">
        <v>30.37</v>
      </c>
      <c r="H56" s="31">
        <v>23.55</v>
      </c>
      <c r="I56" s="31">
        <v>24.88</v>
      </c>
      <c r="J56" s="31">
        <v>24.9</v>
      </c>
      <c r="K56" s="31">
        <v>29.7</v>
      </c>
      <c r="L56" s="31">
        <v>22.3</v>
      </c>
      <c r="M56" s="31">
        <v>23.38</v>
      </c>
      <c r="N56" s="31">
        <v>18.18</v>
      </c>
      <c r="O56" s="31">
        <v>13.33</v>
      </c>
      <c r="P56" s="31">
        <v>12.35</v>
      </c>
      <c r="Q56" s="31">
        <v>7.77</v>
      </c>
      <c r="R56" s="30">
        <v>4330.07</v>
      </c>
      <c r="S56" s="31">
        <v>13.13</v>
      </c>
      <c r="T56" s="31">
        <v>47.96</v>
      </c>
      <c r="U56" s="29"/>
    </row>
    <row r="57" ht="15.0" customHeight="1">
      <c r="A57" s="28" t="s">
        <v>385</v>
      </c>
      <c r="B57" s="31">
        <v>3.79</v>
      </c>
      <c r="C57" s="31">
        <v>3.8</v>
      </c>
      <c r="D57" s="31">
        <v>3.86</v>
      </c>
      <c r="E57" s="31">
        <v>4.11</v>
      </c>
      <c r="F57" s="31">
        <v>3.94</v>
      </c>
      <c r="G57" s="31">
        <v>3.85</v>
      </c>
      <c r="H57" s="31">
        <v>3.57</v>
      </c>
      <c r="I57" s="31">
        <v>3.64</v>
      </c>
      <c r="J57" s="31">
        <v>3.48</v>
      </c>
      <c r="K57" s="31">
        <v>3.34</v>
      </c>
      <c r="L57" s="31">
        <v>2.98</v>
      </c>
      <c r="M57" s="31">
        <v>2.84</v>
      </c>
      <c r="N57" s="31">
        <v>2.4</v>
      </c>
      <c r="O57" s="31">
        <v>2.18</v>
      </c>
      <c r="P57" s="31">
        <v>2.39</v>
      </c>
      <c r="Q57" s="31">
        <v>2.32</v>
      </c>
      <c r="R57" s="29"/>
      <c r="S57" s="29"/>
      <c r="T57" s="29"/>
      <c r="U57" s="29"/>
    </row>
    <row r="58" ht="15.0" customHeight="1">
      <c r="A58" s="26" t="s">
        <v>386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ht="15.0" customHeight="1">
      <c r="A59" s="28" t="s">
        <v>387</v>
      </c>
      <c r="B59" s="31">
        <v>1.19</v>
      </c>
      <c r="C59" s="31">
        <v>0.3</v>
      </c>
      <c r="D59" s="31">
        <v>1.15</v>
      </c>
      <c r="E59" s="34">
        <v>-3.73</v>
      </c>
      <c r="F59" s="31">
        <v>5.37</v>
      </c>
      <c r="G59" s="31">
        <v>2.43</v>
      </c>
      <c r="H59" s="31">
        <v>2.2</v>
      </c>
      <c r="I59" s="31">
        <v>1.31</v>
      </c>
      <c r="J59" s="31">
        <v>3.63</v>
      </c>
      <c r="K59" s="31">
        <v>5.89</v>
      </c>
      <c r="L59" s="31">
        <v>0.98</v>
      </c>
      <c r="M59" s="31">
        <v>1.45</v>
      </c>
      <c r="N59" s="31">
        <v>5.81</v>
      </c>
      <c r="O59" s="34">
        <v>-3.84</v>
      </c>
      <c r="P59" s="34">
        <v>-0.51</v>
      </c>
      <c r="Q59" s="29">
        <v>0.0</v>
      </c>
      <c r="R59" s="34">
        <v>-43.44</v>
      </c>
      <c r="S59" s="31">
        <v>0.18</v>
      </c>
      <c r="T59" s="29"/>
      <c r="U59" s="29"/>
    </row>
    <row r="60" ht="15.0" customHeight="1">
      <c r="A60" s="28" t="s">
        <v>388</v>
      </c>
      <c r="B60" s="31">
        <v>1.36</v>
      </c>
      <c r="C60" s="31">
        <v>1.56</v>
      </c>
      <c r="D60" s="31">
        <v>3.65</v>
      </c>
      <c r="E60" s="31">
        <v>3.98</v>
      </c>
      <c r="F60" s="31">
        <v>2.46</v>
      </c>
      <c r="G60" s="31">
        <v>2.48</v>
      </c>
      <c r="H60" s="31">
        <v>2.01</v>
      </c>
      <c r="I60" s="31">
        <v>1.85</v>
      </c>
      <c r="J60" s="31">
        <v>2.33</v>
      </c>
      <c r="K60" s="31">
        <v>2.74</v>
      </c>
      <c r="L60" s="31">
        <v>19.08</v>
      </c>
      <c r="M60" s="31">
        <v>0.05</v>
      </c>
      <c r="N60" s="31">
        <v>0.97</v>
      </c>
      <c r="O60" s="31">
        <v>0.46</v>
      </c>
      <c r="P60" s="29"/>
      <c r="Q60" s="29"/>
      <c r="R60" s="29"/>
      <c r="S60" s="29"/>
      <c r="T60" s="29"/>
      <c r="U60" s="29"/>
    </row>
    <row r="61" ht="15.0" customHeight="1">
      <c r="A61" s="26" t="s">
        <v>389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ht="15.0" customHeight="1">
      <c r="A62" s="28" t="s">
        <v>390</v>
      </c>
      <c r="B62" s="31">
        <v>1.86</v>
      </c>
      <c r="C62" s="31">
        <v>1.33</v>
      </c>
      <c r="D62" s="31">
        <v>1.03</v>
      </c>
      <c r="E62" s="31">
        <v>1.53</v>
      </c>
      <c r="F62" s="31">
        <v>1.63</v>
      </c>
      <c r="G62" s="31">
        <v>1.72</v>
      </c>
      <c r="H62" s="31">
        <v>1.22</v>
      </c>
      <c r="I62" s="31">
        <v>1.22</v>
      </c>
      <c r="J62" s="31">
        <v>1.26</v>
      </c>
      <c r="K62" s="31">
        <v>1.42</v>
      </c>
      <c r="L62" s="31">
        <v>1.11</v>
      </c>
      <c r="M62" s="31">
        <v>1.16</v>
      </c>
      <c r="N62" s="31">
        <v>0.82</v>
      </c>
      <c r="O62" s="31">
        <v>0.47</v>
      </c>
      <c r="P62" s="31">
        <v>0.49</v>
      </c>
      <c r="Q62" s="31">
        <v>0.39</v>
      </c>
      <c r="R62" s="31">
        <v>0.27</v>
      </c>
      <c r="S62" s="31">
        <v>0.4</v>
      </c>
      <c r="T62" s="31">
        <v>0.83</v>
      </c>
      <c r="U62" s="29"/>
    </row>
    <row r="63" ht="15.0" customHeight="1">
      <c r="A63" s="28" t="s">
        <v>391</v>
      </c>
      <c r="B63" s="31">
        <v>1.45</v>
      </c>
      <c r="C63" s="31">
        <v>1.39</v>
      </c>
      <c r="D63" s="31">
        <v>1.38</v>
      </c>
      <c r="E63" s="31">
        <v>1.47</v>
      </c>
      <c r="F63" s="31">
        <v>1.42</v>
      </c>
      <c r="G63" s="31">
        <v>1.37</v>
      </c>
      <c r="H63" s="31">
        <v>1.25</v>
      </c>
      <c r="I63" s="31">
        <v>1.24</v>
      </c>
      <c r="J63" s="31">
        <v>1.17</v>
      </c>
      <c r="K63" s="31">
        <v>1.01</v>
      </c>
      <c r="L63" s="31">
        <v>0.82</v>
      </c>
      <c r="M63" s="31">
        <v>0.67</v>
      </c>
      <c r="N63" s="31">
        <v>0.49</v>
      </c>
      <c r="O63" s="31">
        <v>0.4</v>
      </c>
      <c r="P63" s="31">
        <v>0.45</v>
      </c>
      <c r="Q63" s="29"/>
      <c r="R63" s="29"/>
      <c r="S63" s="29"/>
      <c r="T63" s="29"/>
      <c r="U63" s="29"/>
    </row>
    <row r="64" ht="15.0" customHeight="1">
      <c r="A64" s="26" t="s">
        <v>392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ht="15.0" customHeight="1">
      <c r="A65" s="28" t="s">
        <v>393</v>
      </c>
      <c r="B65" s="31">
        <v>14.53</v>
      </c>
      <c r="C65" s="31">
        <v>12.3</v>
      </c>
      <c r="D65" s="31">
        <v>14.09</v>
      </c>
      <c r="E65" s="31">
        <v>16.14</v>
      </c>
      <c r="F65" s="31">
        <v>15.62</v>
      </c>
      <c r="G65" s="31">
        <v>17.29</v>
      </c>
      <c r="H65" s="31">
        <v>13.44</v>
      </c>
      <c r="I65" s="31">
        <v>14.18</v>
      </c>
      <c r="J65" s="31">
        <v>13.32</v>
      </c>
      <c r="K65" s="31">
        <v>15.9</v>
      </c>
      <c r="L65" s="31">
        <v>12.86</v>
      </c>
      <c r="M65" s="31">
        <v>13.1</v>
      </c>
      <c r="N65" s="31">
        <v>10.46</v>
      </c>
      <c r="O65" s="31">
        <v>6.27</v>
      </c>
      <c r="P65" s="31">
        <v>5.74</v>
      </c>
      <c r="Q65" s="31">
        <v>3.32</v>
      </c>
      <c r="R65" s="31">
        <v>8.58</v>
      </c>
      <c r="S65" s="31">
        <v>4.71</v>
      </c>
      <c r="T65" s="31">
        <v>13.63</v>
      </c>
      <c r="U65" s="29"/>
    </row>
    <row r="66" ht="15.0" customHeight="1">
      <c r="A66" s="28" t="s">
        <v>394</v>
      </c>
      <c r="B66" s="31">
        <v>14.33</v>
      </c>
      <c r="C66" s="31">
        <v>14.74</v>
      </c>
      <c r="D66" s="31">
        <v>15.32</v>
      </c>
      <c r="E66" s="31">
        <v>15.46</v>
      </c>
      <c r="F66" s="31">
        <v>14.92</v>
      </c>
      <c r="G66" s="31">
        <v>14.9</v>
      </c>
      <c r="H66" s="31">
        <v>13.92</v>
      </c>
      <c r="I66" s="31">
        <v>13.93</v>
      </c>
      <c r="J66" s="31">
        <v>13.3</v>
      </c>
      <c r="K66" s="31">
        <v>12.09</v>
      </c>
      <c r="L66" s="31">
        <v>9.92</v>
      </c>
      <c r="M66" s="31">
        <v>7.56</v>
      </c>
      <c r="N66" s="31">
        <v>6.36</v>
      </c>
      <c r="O66" s="31">
        <v>5.16</v>
      </c>
      <c r="P66" s="31">
        <v>5.94</v>
      </c>
      <c r="Q66" s="29"/>
      <c r="R66" s="29"/>
      <c r="S66" s="29"/>
      <c r="T66" s="29"/>
      <c r="U66" s="29"/>
    </row>
    <row r="67" ht="15.0" customHeight="1">
      <c r="A67" s="26" t="s">
        <v>395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ht="15.0" customHeight="1">
      <c r="A68" s="28" t="s">
        <v>396</v>
      </c>
      <c r="B68" s="31">
        <v>35.57</v>
      </c>
      <c r="C68" s="31">
        <v>11.55</v>
      </c>
      <c r="D68" s="29"/>
      <c r="E68" s="30">
        <v>106.51</v>
      </c>
      <c r="F68" s="31">
        <v>22.56</v>
      </c>
      <c r="G68" s="31">
        <v>31.4</v>
      </c>
      <c r="H68" s="31">
        <v>30.92</v>
      </c>
      <c r="I68" s="31">
        <v>29.38</v>
      </c>
      <c r="J68" s="31">
        <v>23.0</v>
      </c>
      <c r="K68" s="31">
        <v>16.45</v>
      </c>
      <c r="L68" s="31">
        <v>28.65</v>
      </c>
      <c r="M68" s="31">
        <v>14.71</v>
      </c>
      <c r="N68" s="31">
        <v>8.98</v>
      </c>
      <c r="O68" s="29"/>
      <c r="P68" s="31">
        <v>9.59</v>
      </c>
      <c r="Q68" s="31">
        <v>2.75</v>
      </c>
      <c r="R68" s="30">
        <v>269.28</v>
      </c>
      <c r="S68" s="29"/>
      <c r="T68" s="31">
        <v>51.29</v>
      </c>
      <c r="U68" s="29"/>
    </row>
    <row r="69" ht="15.0" customHeight="1">
      <c r="A69" s="28" t="s">
        <v>397</v>
      </c>
      <c r="B69" s="31">
        <v>29.31</v>
      </c>
      <c r="C69" s="31">
        <v>28.08</v>
      </c>
      <c r="D69" s="31">
        <v>45.89</v>
      </c>
      <c r="E69" s="31">
        <v>34.19</v>
      </c>
      <c r="F69" s="31">
        <v>26.99</v>
      </c>
      <c r="G69" s="31">
        <v>25.59</v>
      </c>
      <c r="H69" s="31">
        <v>24.4</v>
      </c>
      <c r="I69" s="31">
        <v>21.14</v>
      </c>
      <c r="J69" s="31">
        <v>16.85</v>
      </c>
      <c r="K69" s="31">
        <v>18.05</v>
      </c>
      <c r="L69" s="31">
        <v>17.14</v>
      </c>
      <c r="M69" s="31">
        <v>9.82</v>
      </c>
      <c r="N69" s="31">
        <v>9.36</v>
      </c>
      <c r="O69" s="31">
        <v>13.35</v>
      </c>
      <c r="P69" s="31">
        <v>11.4</v>
      </c>
      <c r="Q69" s="29"/>
      <c r="R69" s="29"/>
      <c r="S69" s="29"/>
      <c r="T69" s="29"/>
      <c r="U69" s="29"/>
    </row>
    <row r="70" ht="15.0" customHeight="1">
      <c r="A70" s="26" t="s">
        <v>398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ht="15.0" customHeight="1">
      <c r="A71" s="28" t="s">
        <v>399</v>
      </c>
      <c r="B71" s="31">
        <v>75.56</v>
      </c>
      <c r="C71" s="31">
        <v>15.09</v>
      </c>
      <c r="D71" s="29"/>
      <c r="E71" s="29"/>
      <c r="F71" s="31">
        <v>35.63</v>
      </c>
      <c r="G71" s="31">
        <v>64.62</v>
      </c>
      <c r="H71" s="31">
        <v>92.34</v>
      </c>
      <c r="I71" s="30">
        <v>114.48</v>
      </c>
      <c r="J71" s="30">
        <v>118.2</v>
      </c>
      <c r="K71" s="31">
        <v>38.48</v>
      </c>
      <c r="L71" s="30">
        <v>213.19</v>
      </c>
      <c r="M71" s="31">
        <v>25.67</v>
      </c>
      <c r="N71" s="31">
        <v>11.87</v>
      </c>
      <c r="O71" s="29"/>
      <c r="P71" s="31">
        <v>17.2</v>
      </c>
      <c r="Q71" s="31">
        <v>3.2</v>
      </c>
      <c r="R71" s="29"/>
      <c r="S71" s="29"/>
      <c r="T71" s="29"/>
      <c r="U71" s="29"/>
    </row>
    <row r="72" ht="15.0" customHeight="1">
      <c r="A72" s="28" t="s">
        <v>400</v>
      </c>
      <c r="B72" s="31">
        <v>58.8</v>
      </c>
      <c r="C72" s="31">
        <v>55.78</v>
      </c>
      <c r="D72" s="30">
        <v>235.97</v>
      </c>
      <c r="E72" s="31">
        <v>83.39</v>
      </c>
      <c r="F72" s="31">
        <v>64.51</v>
      </c>
      <c r="G72" s="31">
        <v>71.94</v>
      </c>
      <c r="H72" s="31">
        <v>82.81</v>
      </c>
      <c r="I72" s="31">
        <v>60.86</v>
      </c>
      <c r="J72" s="31">
        <v>36.64</v>
      </c>
      <c r="K72" s="31">
        <v>43.09</v>
      </c>
      <c r="L72" s="31">
        <v>38.81</v>
      </c>
      <c r="M72" s="31">
        <v>15.07</v>
      </c>
      <c r="N72" s="31">
        <v>16.0</v>
      </c>
      <c r="O72" s="31">
        <v>90.25</v>
      </c>
      <c r="P72" s="31">
        <v>44.12</v>
      </c>
      <c r="Q72" s="29"/>
      <c r="R72" s="29"/>
      <c r="S72" s="29"/>
      <c r="T72" s="29"/>
      <c r="U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