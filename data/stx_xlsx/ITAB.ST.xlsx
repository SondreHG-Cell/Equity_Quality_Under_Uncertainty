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Cx9VOk6+3k35h83gsy4lGKmmoWtgohGUq1r32H8FRc="/>
    </ext>
  </extLst>
</workbook>
</file>

<file path=xl/sharedStrings.xml><?xml version="1.0" encoding="utf-8"?>
<sst xmlns="http://schemas.openxmlformats.org/spreadsheetml/2006/main" count="851" uniqueCount="449">
  <si>
    <t>Company Fundamentals - Income Statement</t>
  </si>
  <si>
    <t>Company Name</t>
  </si>
  <si>
    <t>ITAB Shop Concept AB (ITAB.ST)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</si>
  <si>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</si>
  <si>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</si>
  <si>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</si>
  <si>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</si>
  <si>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</si>
  <si>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</si>
  <si>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</si>
  <si>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</si>
  <si>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</si>
  <si>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</si>
  <si>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</si>
  <si>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</si>
  <si>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</si>
  <si>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</si>
  <si>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</si>
  <si>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</si>
  <si>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</si>
  <si>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</si>
  <si>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</si>
  <si>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</si>
  <si>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</si>
  <si>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</si>
  <si>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</si>
  <si>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</si>
  <si>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</si>
  <si>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</si>
  <si>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</si>
  <si>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</si>
  <si>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</si>
  <si>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</si>
  <si>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</si>
  <si>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</si>
  <si>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</si>
  <si>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</si>
  <si>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</si>
  <si>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</si>
  <si>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</si>
  <si>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</si>
  <si>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</si>
  <si>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</si>
  <si>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</si>
  <si>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</si>
  <si>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</si>
  <si>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</si>
  <si>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</si>
  <si>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</si>
  <si>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</si>
  <si>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</si>
  <si>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</si>
  <si>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</si>
  <si>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</si>
  <si>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</si>
  <si>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</si>
  <si>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</si>
  <si>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</si>
  <si>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</si>
  <si>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</si>
  <si>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</si>
  <si>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</si>
  <si>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</si>
  <si>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</si>
  <si>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</si>
  <si>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</si>
  <si>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</si>
  <si>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</si>
  <si>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</si>
  <si>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</si>
  <si>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</si>
  <si>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from contracts with customers</t>
  </si>
  <si>
    <t>Total revenue</t>
  </si>
  <si>
    <t>Costs of goods sold</t>
  </si>
  <si>
    <t>Depreciation and Amortization in Cost of goods sold</t>
  </si>
  <si>
    <t>Personnel expenses in Cost of goods sold</t>
  </si>
  <si>
    <t>Cost of goods sold - Other</t>
  </si>
  <si>
    <t>Cost of goods sold</t>
  </si>
  <si>
    <t>Gross profit</t>
  </si>
  <si>
    <t>Selling expenses</t>
  </si>
  <si>
    <t>Depreciation and Amortization in Selling expenses</t>
  </si>
  <si>
    <t>Personnel expenses in Selling expenses</t>
  </si>
  <si>
    <t>Selling expenses - Other</t>
  </si>
  <si>
    <t>Administrative expenses</t>
  </si>
  <si>
    <t>Depreciation and Amortization in Administrative expenses</t>
  </si>
  <si>
    <t>Personnel Expenses in Administrative expenses</t>
  </si>
  <si>
    <t>Administrative expenses - Other</t>
  </si>
  <si>
    <t>Other operating income and expenses</t>
  </si>
  <si>
    <t>Impact on profit from acquired companies and assets</t>
  </si>
  <si>
    <t>Foreign Exchange Gain/Loss</t>
  </si>
  <si>
    <t>Capital gain on divestment of associated companies</t>
  </si>
  <si>
    <t>Capital gain on divestment of non-current assets</t>
  </si>
  <si>
    <t>Rental Income</t>
  </si>
  <si>
    <t>Other Operating Income</t>
  </si>
  <si>
    <t>Gain/Loss on Derivatives - Hedging</t>
  </si>
  <si>
    <t>Other Operating Expenses</t>
  </si>
  <si>
    <t>Provision for restructuring reserve</t>
  </si>
  <si>
    <t>Equity Earnings</t>
  </si>
  <si>
    <t>Expenses from acquisitions/divestments of companies</t>
  </si>
  <si>
    <t>Capital loss on divestment of property, plant and equipment</t>
  </si>
  <si>
    <t>Capital loss on divestment of noncurrent assets</t>
  </si>
  <si>
    <t>Capital loss on divestment of companies</t>
  </si>
  <si>
    <t>Capital loss on sale of non-current assets</t>
  </si>
  <si>
    <t>Reported operating expense</t>
  </si>
  <si>
    <t>Operating profit</t>
  </si>
  <si>
    <t>Financial income</t>
  </si>
  <si>
    <t>Interest Income</t>
  </si>
  <si>
    <t>Exchange rate differences</t>
  </si>
  <si>
    <t>Result from participations in group companies</t>
  </si>
  <si>
    <t>Other Financial Income</t>
  </si>
  <si>
    <t>Financial expenses</t>
  </si>
  <si>
    <t>Derivatives - Hedging - Gain/Loss</t>
  </si>
  <si>
    <t>Interest Expenses</t>
  </si>
  <si>
    <t>Profit from interest rate swaps</t>
  </si>
  <si>
    <t>Interest Expenses - Balancing value</t>
  </si>
  <si>
    <t>Interest Expense on Financial Lease Liabilities</t>
  </si>
  <si>
    <t>Other Financial Expenses</t>
  </si>
  <si>
    <t>Financial expenses - Balancing value</t>
  </si>
  <si>
    <t>Investment Income/Subsidiaries</t>
  </si>
  <si>
    <t>Financial items</t>
  </si>
  <si>
    <t>Balancing Item - Pretax Income</t>
  </si>
  <si>
    <t>Profit afer financial iems</t>
  </si>
  <si>
    <t>Tax expenses</t>
  </si>
  <si>
    <t>Current tax expenses</t>
  </si>
  <si>
    <t>Deferred tax expenses</t>
  </si>
  <si>
    <t>Taxes for the period - Balancing value</t>
  </si>
  <si>
    <t>Net profit or the period  Continuing Operations</t>
  </si>
  <si>
    <t>Net profit before extr items</t>
  </si>
  <si>
    <t>Discontinued Operations - Net - Income/Expense</t>
  </si>
  <si>
    <t>Items that will not be reclassified to the income statement</t>
  </si>
  <si>
    <t>Non-controlling interests</t>
  </si>
  <si>
    <t>Extraordinary Items (after Tax)</t>
  </si>
  <si>
    <t>Parent Company shareholders</t>
  </si>
  <si>
    <t>Net income excl extr items</t>
  </si>
  <si>
    <t>NET PROFIT FOR THE YEAR  CONTINUING OPERATIONS</t>
  </si>
  <si>
    <t>Other Comprehensive Income - Foreign Currency - Net of Tax</t>
  </si>
  <si>
    <t>Net profit for the period</t>
  </si>
  <si>
    <t>Revaluation of defined-benefit pension commitments</t>
  </si>
  <si>
    <t>Tax relating to items not to be reclassified</t>
  </si>
  <si>
    <t>Translation differences</t>
  </si>
  <si>
    <t>Change in fair value of cash fow hedges</t>
  </si>
  <si>
    <t>Change in fair value of hedges of net investments</t>
  </si>
  <si>
    <t>Tax on items that may be reclassified</t>
  </si>
  <si>
    <t>Change in fair value of cash fow hedges transferred to net profit or the year</t>
  </si>
  <si>
    <t>Foreign currency translation adjustments</t>
  </si>
  <si>
    <t>Balancing Item - Other Comprehensive Income</t>
  </si>
  <si>
    <t>Total other comprehensive income after tax</t>
  </si>
  <si>
    <t>COMPREHENSIVE INCOME FOR THE PERIOD</t>
  </si>
  <si>
    <t>basic (thousands)</t>
  </si>
  <si>
    <t>diluted (thousands)</t>
  </si>
  <si>
    <t>Basic EPS Excluding ExtraOrdinary Items</t>
  </si>
  <si>
    <t>Reported Basic EPS</t>
  </si>
  <si>
    <t>Diluted Net Income</t>
  </si>
  <si>
    <t>Diluted EPS Excluding ExtraOrd Items</t>
  </si>
  <si>
    <t>Reported Diluted EPS</t>
  </si>
  <si>
    <t>Dilution Adjustment</t>
  </si>
  <si>
    <t>Diluted Net Income excluding Extra Items applicable to Common - (Company Level)</t>
  </si>
  <si>
    <t>Amortization of Capitalized Research &amp; Development Expenses - Supplemental</t>
  </si>
  <si>
    <t>Amortization of Brands, Patents, Trademarks, Marketing &amp; Artistic Intangibles - Supplemental</t>
  </si>
  <si>
    <t>Amortization</t>
  </si>
  <si>
    <t>Depreciation</t>
  </si>
  <si>
    <t>Depreciation of Financial Lease Right-of-Use Assets - Supplemental</t>
  </si>
  <si>
    <t>Depreciation and amortisation for the period amount to</t>
  </si>
  <si>
    <t>Rental Expense</t>
  </si>
  <si>
    <t>Audit Fees</t>
  </si>
  <si>
    <t>Audit-Related Fees</t>
  </si>
  <si>
    <t>Tax Fees</t>
  </si>
  <si>
    <t>Other Fees</t>
  </si>
  <si>
    <t>Auditor Fees - Total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</si>
  <si>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</si>
  <si>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</si>
  <si>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</si>
  <si>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</si>
  <si>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Non-recurring item-acquisition costs</t>
  </si>
  <si>
    <t>Restructuring Charges &amp; Provisions</t>
  </si>
  <si>
    <t>Impairment of Inventories of a non-recurring nature</t>
  </si>
  <si>
    <t>Sale of Group Companies - Gain/Loss</t>
  </si>
  <si>
    <t>Sale of Tangible &amp; Intangible Fixed Assets - Gain/Loss</t>
  </si>
  <si>
    <t>COVID-19 Non-Recurring Income/Expense - Other</t>
  </si>
  <si>
    <t>COVID-19 One-time Government Grants Received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</si>
  <si>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</si>
  <si>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</si>
  <si>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</si>
  <si>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</si>
  <si>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(thousands)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</si>
  <si>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</si>
  <si>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</si>
  <si>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</si>
  <si>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</si>
  <si>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</si>
  <si>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</si>
  <si>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</si>
  <si>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</si>
  <si>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</si>
  <si>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</si>
  <si>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</si>
  <si>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</si>
  <si>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</si>
  <si>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Products in progress</t>
  </si>
  <si>
    <t>Finished products and goods for resale</t>
  </si>
  <si>
    <t>Work in progress for other parties</t>
  </si>
  <si>
    <t>Advance payments for goods</t>
  </si>
  <si>
    <t>Current receivables</t>
  </si>
  <si>
    <t>Accounts receivable</t>
  </si>
  <si>
    <t>Provision for Doubtful Accounts</t>
  </si>
  <si>
    <t>Current derivative receivables</t>
  </si>
  <si>
    <t>Current tax assets</t>
  </si>
  <si>
    <t>Derivative receivables</t>
  </si>
  <si>
    <t>Other Receivables</t>
  </si>
  <si>
    <t>Prepaid expenses and accrued income</t>
  </si>
  <si>
    <t>Prepaid expenses</t>
  </si>
  <si>
    <t>Accrued Income</t>
  </si>
  <si>
    <t>Cash and cash equivalents</t>
  </si>
  <si>
    <t>Balancing Item - Current Assets</t>
  </si>
  <si>
    <t>Total current assets</t>
  </si>
  <si>
    <t>Goodwill</t>
  </si>
  <si>
    <t>Goodwill,Gross</t>
  </si>
  <si>
    <t>Amortization of Goodwill</t>
  </si>
  <si>
    <t>Other intangible assets</t>
  </si>
  <si>
    <t>Research &amp; Development Costs - Gross</t>
  </si>
  <si>
    <t>Research &amp; Development Costs - Accumulated Amortization &amp; Impairment</t>
  </si>
  <si>
    <t>Patents, licenses, trademarks and similar rights, Gross</t>
  </si>
  <si>
    <t>Amortization of Patents, licenses, trademarks and similar rights</t>
  </si>
  <si>
    <t>Intangible Assets - Other</t>
  </si>
  <si>
    <t>Intangible assets</t>
  </si>
  <si>
    <t>Property, plant and equipment</t>
  </si>
  <si>
    <t>Buildings and land, Gross</t>
  </si>
  <si>
    <t>Acc Depr/Imp Buildings and land</t>
  </si>
  <si>
    <t>Buildings and land</t>
  </si>
  <si>
    <t>Buildings and land under lease, gross</t>
  </si>
  <si>
    <t>Building and land under lease, acc dep</t>
  </si>
  <si>
    <t>Plant and machinery, Gross</t>
  </si>
  <si>
    <t>Acc Depr/Imp Plant and machinery</t>
  </si>
  <si>
    <t>Plant, Machinery &amp; Equipment - Net - Balancing value</t>
  </si>
  <si>
    <t>Plant and machinery</t>
  </si>
  <si>
    <t>Plant and Machinery under lease - gross</t>
  </si>
  <si>
    <t>Plant and Machinery under lease - accumulated depraciation</t>
  </si>
  <si>
    <t>Equipment, tools and installations, Gross</t>
  </si>
  <si>
    <t>Acc Depr/Imp Equipment, tools and installations</t>
  </si>
  <si>
    <t>Total, Equipment, tools and installations,Net</t>
  </si>
  <si>
    <t>Equipment, tools and installations under lease, Gross</t>
  </si>
  <si>
    <t>Equipment, tools and installations under lease, Depreciation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</si>
  <si>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</si>
  <si>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</si>
  <si>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</si>
  <si>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Constructions in Progress, Net</t>
  </si>
  <si>
    <t>Construction in Progress, Gross</t>
  </si>
  <si>
    <t>Acc Depr/Imp Construction in Progress</t>
  </si>
  <si>
    <t>Deferred tax assets</t>
  </si>
  <si>
    <t>Financial assets</t>
  </si>
  <si>
    <t>Financial non-current assets</t>
  </si>
  <si>
    <t>Participations in associated companies</t>
  </si>
  <si>
    <t>Long-term investments</t>
  </si>
  <si>
    <t>Total non-current assets</t>
  </si>
  <si>
    <t>Balancing Item - Noncurrent Assets</t>
  </si>
  <si>
    <t>Assets held for sale</t>
  </si>
  <si>
    <t>Total Assets</t>
  </si>
  <si>
    <t>Interest-bearing current liabilities</t>
  </si>
  <si>
    <t>Convertible Debenture Loans</t>
  </si>
  <si>
    <t>Current Portion of Long-Term Debt excluding Capitalized Leases</t>
  </si>
  <si>
    <t>Current lease liabilities</t>
  </si>
  <si>
    <t>Shareholder loans</t>
  </si>
  <si>
    <t>Convertible Debt exc lease</t>
  </si>
  <si>
    <t>Overdraft facilities</t>
  </si>
  <si>
    <t>Derivative liabilities</t>
  </si>
  <si>
    <t>Advance payments from customers</t>
  </si>
  <si>
    <t>Accounts payable</t>
  </si>
  <si>
    <t>Current tax liabilities</t>
  </si>
  <si>
    <t>Current liabilities</t>
  </si>
  <si>
    <t>Accrued expenses and prepaid income</t>
  </si>
  <si>
    <t>Payroll and vacation expenses</t>
  </si>
  <si>
    <t>Accrued interest</t>
  </si>
  <si>
    <t>Prepayments</t>
  </si>
  <si>
    <t>Accrued expenses</t>
  </si>
  <si>
    <t>Accrued interest expenses</t>
  </si>
  <si>
    <t>Current provisions</t>
  </si>
  <si>
    <t>Liabilities to credit institutions</t>
  </si>
  <si>
    <t>Non-current lease liabilities</t>
  </si>
  <si>
    <t>Convertible debenture loans</t>
  </si>
  <si>
    <t>Provisions for pensions and similar obligations</t>
  </si>
  <si>
    <t>Deferred tax liabilities</t>
  </si>
  <si>
    <t>Other non-current provisions CURRENT LIABILITIES</t>
  </si>
  <si>
    <t>Guarantee fund</t>
  </si>
  <si>
    <t>Environment</t>
  </si>
  <si>
    <t>Provisions - Restructuring</t>
  </si>
  <si>
    <t>Other Non-Current Provisions</t>
  </si>
  <si>
    <t>Other non-current provisions - Balancing value</t>
  </si>
  <si>
    <t>Other non-current liabilities</t>
  </si>
  <si>
    <t>Non-current derivative liabilities</t>
  </si>
  <si>
    <t>Adjustment</t>
  </si>
  <si>
    <t>Liabilities attributable to assets held for sale</t>
  </si>
  <si>
    <t>Total Debt &amp; Liabilities (Current &amp; Non-current)</t>
  </si>
  <si>
    <t>Equity attributable to Parent Company shareholders</t>
  </si>
  <si>
    <t>Share Capital</t>
  </si>
  <si>
    <t>Other contributed capital</t>
  </si>
  <si>
    <t>Other reserves</t>
  </si>
  <si>
    <t>Translation reserve</t>
  </si>
  <si>
    <t>Hedging Reserves</t>
  </si>
  <si>
    <t>Common Stock - Treasury/Repurchased</t>
  </si>
  <si>
    <t>Profit bought forward including net profit or the year</t>
  </si>
  <si>
    <t>TOTAL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</si>
  <si>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</si>
  <si>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</si>
  <si>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</si>
  <si>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</si>
  <si>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Reported Total Capital Leases, Sup</t>
  </si>
  <si>
    <t>Reported Total Capital Leases, Sup - Balancing value</t>
  </si>
  <si>
    <t>Capital Lease Payment 1 Year</t>
  </si>
  <si>
    <t>Capital Lease Payment - 1- 3 Years</t>
  </si>
  <si>
    <t>Capital Lease Payment 3-5 Years</t>
  </si>
  <si>
    <t>Capital Lease Payment after 5 Years</t>
  </si>
  <si>
    <t>Reported Total LT Debt, Supplemental</t>
  </si>
  <si>
    <t>LT Debt Maturing after 5 Years</t>
  </si>
  <si>
    <t>LT Debt Maturing within 1-5 Years</t>
  </si>
  <si>
    <t>Common Shares - Issued - Issue Specific</t>
  </si>
  <si>
    <t>Common Shares - Treasury - Issue Specific</t>
  </si>
  <si>
    <t>Asset Allocation Factor - (Instrument Level)</t>
  </si>
  <si>
    <t>Common Shares Issued class B - (Instrument Level)</t>
  </si>
  <si>
    <t>Common Shares Treasury - (Instrument Level)</t>
  </si>
  <si>
    <t>S/O-B-Shares</t>
  </si>
  <si>
    <t>S/O-A-Shares</t>
  </si>
  <si>
    <t>Common Shares Issued class A - (Instrument Level)</t>
  </si>
  <si>
    <t>Company Fundamentals - Cash Flow</t>
  </si>
  <si>
    <t>Industrial - Indirect</t>
  </si>
  <si>
    <t>Cash Flow - Company Specific (Currency: Norwegian Krone)</t>
  </si>
  <si>
    <t>Other Non-Cash Items - Cash Flow - to Reconcile</t>
  </si>
  <si>
    <t>Acquisition/divestment of companies and operations</t>
  </si>
  <si>
    <t>impairment losses of current assets</t>
  </si>
  <si>
    <t>non-cash items from discontinued operations</t>
  </si>
  <si>
    <t>participations in associated companies</t>
  </si>
  <si>
    <t>Changes in Provisions</t>
  </si>
  <si>
    <t>Interest paid and received, tax and adjustments for items not included in the cash flow</t>
  </si>
  <si>
    <t>Cash flow from operating activities before change in working capital</t>
  </si>
  <si>
    <t>Depreciation &amp; Amortization - Right of Use Assets</t>
  </si>
  <si>
    <t>Depreciation charged to operating profit</t>
  </si>
  <si>
    <t>Profit from acquired operations</t>
  </si>
  <si>
    <t>Other items</t>
  </si>
  <si>
    <t>adjustment for pensions and other provisions</t>
  </si>
  <si>
    <t>Interest Received</t>
  </si>
  <si>
    <t>Interest paid</t>
  </si>
  <si>
    <t>Tax paid</t>
  </si>
  <si>
    <t>Cash flow from change in working capital</t>
  </si>
  <si>
    <t>Change in inventories</t>
  </si>
  <si>
    <t>Change in operating receivables</t>
  </si>
  <si>
    <t>Change in operating liabilities</t>
  </si>
  <si>
    <t>Balancing Item - Operating (Indirect)</t>
  </si>
  <si>
    <t>Cash flow from operating activities</t>
  </si>
  <si>
    <t>Other net investments</t>
  </si>
  <si>
    <t>Divestment of Group companies</t>
  </si>
  <si>
    <t>Acquisition of Business - Cash Flow</t>
  </si>
  <si>
    <t>Sale of Business, Net</t>
  </si>
  <si>
    <t>Divestment of intangible assets</t>
  </si>
  <si>
    <t>Investments in intangible assets</t>
  </si>
  <si>
    <t>Purchase on tangible non-current assets</t>
  </si>
  <si>
    <t>Purchase of Machinery</t>
  </si>
  <si>
    <t>Purchase of Equipment</t>
  </si>
  <si>
    <t>Purchase of Contructions in Progress</t>
  </si>
  <si>
    <t>Sale of Real Estate</t>
  </si>
  <si>
    <t>Divestment of property, plant and equipment</t>
  </si>
  <si>
    <t>Sale/Subsidiaries</t>
  </si>
  <si>
    <t>Buildings/Land</t>
  </si>
  <si>
    <t>Cash flow from investing activities</t>
  </si>
  <si>
    <t>Lease Debt - Reduced</t>
  </si>
  <si>
    <t>Repayment of non-current receivables</t>
  </si>
  <si>
    <t>Decrease in LT Receivable</t>
  </si>
  <si>
    <t>Options</t>
  </si>
  <si>
    <t>Convertible debenture loan</t>
  </si>
  <si>
    <t>Repayment of loans</t>
  </si>
  <si>
    <t>New loans raised</t>
  </si>
  <si>
    <t>New share issue of ordinary shares</t>
  </si>
  <si>
    <t>Dividends to shareholders</t>
  </si>
  <si>
    <t>Dividends to non-controlling interests</t>
  </si>
  <si>
    <t>Repurchase of ordinary shares</t>
  </si>
  <si>
    <t>Repayment of lease liabilities</t>
  </si>
  <si>
    <t>Cash flow from other financing activities</t>
  </si>
  <si>
    <t>Dividend paid to shareholders</t>
  </si>
  <si>
    <t>Payment of interest-bearing receivables</t>
  </si>
  <si>
    <t>Paid dividend to holdings without controlling influence</t>
  </si>
  <si>
    <t>Convertible bonds KV5B</t>
  </si>
  <si>
    <t>paid warrant premiums</t>
  </si>
  <si>
    <t>Repurchase and conversion of convertible debentures</t>
  </si>
  <si>
    <t>LT Debt</t>
  </si>
  <si>
    <t>ST Debt</t>
  </si>
  <si>
    <t>Balancing Item - Financing</t>
  </si>
  <si>
    <t>Repayment of convertible debenture loan</t>
  </si>
  <si>
    <t>Changes in operating receivables</t>
  </si>
  <si>
    <t>Cash flow from financing activities</t>
  </si>
  <si>
    <t>Adjustment for cash and cash equivalents from Discontinued Operations</t>
  </si>
  <si>
    <t>Discontinued Operations - Total - Cash Flow</t>
  </si>
  <si>
    <t>Translation differences on cash and cash equivalents</t>
  </si>
  <si>
    <t>Cash and cash equivalents at the start of the period</t>
  </si>
  <si>
    <t>CASH AND CASH EQUIVALENTS AT THE END OF THE PERIOD</t>
  </si>
  <si>
    <t>Cash flow for the period</t>
  </si>
  <si>
    <t>Net change in cash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</si>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</sst>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46094.4074074306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39538.0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13536.1</v>
      </c>
      <c r="C20" s="16">
        <v>6696.93</v>
      </c>
      <c r="D20" s="16">
        <v>6110.0</v>
      </c>
      <c r="E20" s="16">
        <v>6525.59</v>
      </c>
      <c r="F20" s="16">
        <v>6100.43</v>
      </c>
      <c r="G20" s="16">
        <v>5447.99</v>
      </c>
      <c r="H20" s="16">
        <v>5643.06</v>
      </c>
      <c r="I20" s="16">
        <v>5647.84</v>
      </c>
      <c r="J20" s="16">
        <v>6179.02</v>
      </c>
      <c r="K20" s="16">
        <v>5319.26</v>
      </c>
      <c r="L20" s="16">
        <v>4965.05</v>
      </c>
      <c r="M20" s="16">
        <v>3617.01</v>
      </c>
      <c r="N20" s="16">
        <v>3225.56</v>
      </c>
      <c r="O20" s="16">
        <v>3017.8</v>
      </c>
      <c r="P20" s="16">
        <v>2885.85</v>
      </c>
      <c r="Q20" s="16">
        <v>2307.36</v>
      </c>
      <c r="R20" s="16">
        <v>2284.49</v>
      </c>
      <c r="S20" s="16">
        <v>2918.59</v>
      </c>
      <c r="T20" s="16">
        <v>2106.04</v>
      </c>
      <c r="U20" s="16">
        <v>1581.7</v>
      </c>
      <c r="V20" s="16">
        <v>1096.51</v>
      </c>
      <c r="W20" s="16">
        <v>874.68</v>
      </c>
    </row>
    <row r="21" ht="15.0" customHeight="1">
      <c r="A21" s="17" t="s">
        <v>72</v>
      </c>
      <c r="B21" s="18">
        <v>13536.1</v>
      </c>
      <c r="C21" s="19">
        <v>6696.93</v>
      </c>
      <c r="D21" s="19">
        <v>6110.0</v>
      </c>
      <c r="E21" s="19">
        <v>6525.59</v>
      </c>
      <c r="F21" s="19">
        <v>6100.43</v>
      </c>
      <c r="G21" s="19">
        <v>5447.99</v>
      </c>
      <c r="H21" s="19">
        <v>5643.06</v>
      </c>
      <c r="I21" s="19">
        <v>5647.84</v>
      </c>
      <c r="J21" s="19">
        <v>6179.02</v>
      </c>
      <c r="K21" s="19">
        <v>5319.26</v>
      </c>
      <c r="L21" s="19">
        <v>4965.05</v>
      </c>
      <c r="M21" s="19">
        <v>3617.01</v>
      </c>
      <c r="N21" s="19">
        <v>3225.56</v>
      </c>
      <c r="O21" s="19">
        <v>3017.8</v>
      </c>
      <c r="P21" s="19">
        <v>2885.85</v>
      </c>
      <c r="Q21" s="19">
        <v>2307.36</v>
      </c>
      <c r="R21" s="19">
        <v>2284.49</v>
      </c>
      <c r="S21" s="19">
        <v>2918.59</v>
      </c>
      <c r="T21" s="19">
        <v>2106.04</v>
      </c>
      <c r="U21" s="19">
        <v>1581.7</v>
      </c>
      <c r="V21" s="19">
        <v>1096.51</v>
      </c>
      <c r="W21" s="19">
        <v>874.68</v>
      </c>
    </row>
    <row r="22" ht="15.0" customHeight="1">
      <c r="A22" s="14" t="s">
        <v>73</v>
      </c>
      <c r="B22" s="15">
        <v>10339.55</v>
      </c>
      <c r="C22" s="16">
        <v>4808.36</v>
      </c>
      <c r="D22" s="16">
        <v>4399.12</v>
      </c>
      <c r="E22" s="16">
        <v>5022.46</v>
      </c>
      <c r="F22" s="16">
        <v>4737.43</v>
      </c>
      <c r="G22" s="16">
        <v>3997.72</v>
      </c>
      <c r="H22" s="16">
        <v>4132.72</v>
      </c>
      <c r="I22" s="16">
        <v>4142.0</v>
      </c>
      <c r="J22" s="16">
        <v>4407.91</v>
      </c>
      <c r="K22" s="16">
        <v>3852.21</v>
      </c>
      <c r="L22" s="16">
        <v>3565.32</v>
      </c>
      <c r="M22" s="16">
        <v>2596.74</v>
      </c>
      <c r="N22" s="16">
        <v>2371.45</v>
      </c>
      <c r="O22" s="16">
        <v>2246.89</v>
      </c>
      <c r="P22" s="16">
        <v>2139.9</v>
      </c>
      <c r="Q22" s="16">
        <v>1751.54</v>
      </c>
      <c r="R22" s="16">
        <v>1691.46</v>
      </c>
      <c r="S22" s="16">
        <v>2204.15</v>
      </c>
      <c r="T22" s="16">
        <v>1627.85</v>
      </c>
      <c r="U22" s="16">
        <v>1226.41</v>
      </c>
      <c r="V22" s="16">
        <v>892.56</v>
      </c>
      <c r="W22" s="16">
        <v>696.04</v>
      </c>
    </row>
    <row r="23" ht="15.0" customHeight="1">
      <c r="A23" s="14" t="s">
        <v>74</v>
      </c>
      <c r="B23" s="15"/>
      <c r="C23" s="16">
        <v>163.74</v>
      </c>
      <c r="D23" s="16">
        <v>163.23</v>
      </c>
      <c r="E23" s="16">
        <v>167.23</v>
      </c>
      <c r="F23" s="16">
        <v>180.4</v>
      </c>
      <c r="G23" s="16">
        <v>177.06</v>
      </c>
      <c r="H23" s="16">
        <v>161.92</v>
      </c>
      <c r="I23" s="16">
        <v>103.01</v>
      </c>
      <c r="J23" s="16">
        <v>107.49</v>
      </c>
      <c r="K23" s="20">
        <v>89.36</v>
      </c>
      <c r="L23" s="20">
        <v>66.93</v>
      </c>
      <c r="M23" s="20">
        <v>62.0</v>
      </c>
      <c r="N23" s="20">
        <v>55.87</v>
      </c>
      <c r="O23" s="20">
        <v>57.34</v>
      </c>
      <c r="P23" s="20">
        <v>54.38</v>
      </c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16">
        <v>803.43</v>
      </c>
      <c r="D24" s="16">
        <v>682.76</v>
      </c>
      <c r="E24" s="16">
        <v>721.16</v>
      </c>
      <c r="F24" s="16">
        <v>779.72</v>
      </c>
      <c r="G24" s="16">
        <v>713.37</v>
      </c>
      <c r="H24" s="16">
        <v>723.06</v>
      </c>
      <c r="I24" s="16">
        <v>703.29</v>
      </c>
      <c r="J24" s="16">
        <v>718.51</v>
      </c>
      <c r="K24" s="16">
        <v>661.84</v>
      </c>
      <c r="L24" s="16">
        <v>534.46</v>
      </c>
      <c r="M24" s="16">
        <v>411.34</v>
      </c>
      <c r="N24" s="16">
        <v>358.77</v>
      </c>
      <c r="O24" s="16">
        <v>344.44</v>
      </c>
      <c r="P24" s="16">
        <v>328.69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6">
        <v>3841.2</v>
      </c>
      <c r="D25" s="16">
        <v>3553.14</v>
      </c>
      <c r="E25" s="16">
        <v>4134.08</v>
      </c>
      <c r="F25" s="16">
        <v>3777.32</v>
      </c>
      <c r="G25" s="16">
        <v>3107.29</v>
      </c>
      <c r="H25" s="16">
        <v>3247.74</v>
      </c>
      <c r="I25" s="16">
        <v>3335.7</v>
      </c>
      <c r="J25" s="16">
        <v>3581.91</v>
      </c>
      <c r="K25" s="16">
        <v>3101.02</v>
      </c>
      <c r="L25" s="16">
        <v>2963.93</v>
      </c>
      <c r="M25" s="16">
        <v>2123.39</v>
      </c>
      <c r="N25" s="16">
        <v>1956.8</v>
      </c>
      <c r="O25" s="16">
        <v>1845.11</v>
      </c>
      <c r="P25" s="16">
        <v>1756.84</v>
      </c>
      <c r="Q25" s="15"/>
      <c r="R25" s="15"/>
      <c r="S25" s="15"/>
      <c r="T25" s="15"/>
      <c r="U25" s="15"/>
      <c r="V25" s="15"/>
      <c r="W25" s="15"/>
    </row>
    <row r="26" ht="15.0" customHeight="1">
      <c r="A26" s="17" t="s">
        <v>77</v>
      </c>
      <c r="B26" s="18">
        <v>10339.55</v>
      </c>
      <c r="C26" s="19">
        <v>4808.36</v>
      </c>
      <c r="D26" s="19">
        <v>4399.12</v>
      </c>
      <c r="E26" s="19">
        <v>5022.46</v>
      </c>
      <c r="F26" s="19">
        <v>4737.43</v>
      </c>
      <c r="G26" s="19">
        <v>3997.72</v>
      </c>
      <c r="H26" s="19">
        <v>4132.72</v>
      </c>
      <c r="I26" s="19">
        <v>4142.0</v>
      </c>
      <c r="J26" s="19">
        <v>4407.91</v>
      </c>
      <c r="K26" s="19">
        <v>3852.21</v>
      </c>
      <c r="L26" s="19">
        <v>3565.32</v>
      </c>
      <c r="M26" s="19">
        <v>2596.74</v>
      </c>
      <c r="N26" s="19">
        <v>2371.45</v>
      </c>
      <c r="O26" s="19">
        <v>2246.89</v>
      </c>
      <c r="P26" s="19">
        <v>2139.9</v>
      </c>
      <c r="Q26" s="19">
        <v>1751.54</v>
      </c>
      <c r="R26" s="19">
        <v>1691.46</v>
      </c>
      <c r="S26" s="19">
        <v>2204.15</v>
      </c>
      <c r="T26" s="19">
        <v>1627.85</v>
      </c>
      <c r="U26" s="19">
        <v>1226.41</v>
      </c>
      <c r="V26" s="19">
        <v>892.56</v>
      </c>
      <c r="W26" s="19">
        <v>696.04</v>
      </c>
    </row>
    <row r="27" ht="15.0" customHeight="1">
      <c r="A27" s="17" t="s">
        <v>78</v>
      </c>
      <c r="B27" s="19">
        <v>3196.55</v>
      </c>
      <c r="C27" s="19">
        <v>1888.56</v>
      </c>
      <c r="D27" s="19">
        <v>1710.88</v>
      </c>
      <c r="E27" s="19">
        <v>1503.13</v>
      </c>
      <c r="F27" s="19">
        <v>1363.0</v>
      </c>
      <c r="G27" s="19">
        <v>1450.27</v>
      </c>
      <c r="H27" s="19">
        <v>1510.34</v>
      </c>
      <c r="I27" s="19">
        <v>1505.84</v>
      </c>
      <c r="J27" s="19">
        <v>1771.1</v>
      </c>
      <c r="K27" s="19">
        <v>1467.04</v>
      </c>
      <c r="L27" s="19">
        <v>1399.74</v>
      </c>
      <c r="M27" s="19">
        <v>1020.27</v>
      </c>
      <c r="N27" s="19">
        <v>854.11</v>
      </c>
      <c r="O27" s="19">
        <v>770.91</v>
      </c>
      <c r="P27" s="19">
        <v>745.94</v>
      </c>
      <c r="Q27" s="19">
        <v>555.81</v>
      </c>
      <c r="R27" s="19">
        <v>593.03</v>
      </c>
      <c r="S27" s="19">
        <v>714.44</v>
      </c>
      <c r="T27" s="19">
        <v>478.19</v>
      </c>
      <c r="U27" s="19">
        <v>355.29</v>
      </c>
      <c r="V27" s="19">
        <v>203.95</v>
      </c>
      <c r="W27" s="19">
        <v>178.64</v>
      </c>
    </row>
    <row r="28" ht="15.0" customHeight="1">
      <c r="A28" s="14" t="s">
        <v>79</v>
      </c>
      <c r="B28" s="16">
        <v>1779.39</v>
      </c>
      <c r="C28" s="16">
        <v>1017.0</v>
      </c>
      <c r="D28" s="16">
        <v>930.58</v>
      </c>
      <c r="E28" s="16">
        <v>827.58</v>
      </c>
      <c r="F28" s="16">
        <v>797.76</v>
      </c>
      <c r="G28" s="16">
        <v>1038.83</v>
      </c>
      <c r="H28" s="16">
        <v>1100.88</v>
      </c>
      <c r="I28" s="16">
        <v>1067.57</v>
      </c>
      <c r="J28" s="16">
        <v>1037.1</v>
      </c>
      <c r="K28" s="16">
        <v>845.46</v>
      </c>
      <c r="L28" s="16">
        <v>723.77</v>
      </c>
      <c r="M28" s="16">
        <v>546.83</v>
      </c>
      <c r="N28" s="16">
        <v>474.2</v>
      </c>
      <c r="O28" s="16">
        <v>447.82</v>
      </c>
      <c r="P28" s="16">
        <v>463.8</v>
      </c>
      <c r="Q28" s="16">
        <v>215.03</v>
      </c>
      <c r="R28" s="16">
        <v>383.74</v>
      </c>
      <c r="S28" s="16">
        <v>429.8</v>
      </c>
      <c r="T28" s="16">
        <v>265.23</v>
      </c>
      <c r="U28" s="16">
        <v>196.74</v>
      </c>
      <c r="V28" s="20">
        <v>97.78</v>
      </c>
      <c r="W28" s="20">
        <v>83.0</v>
      </c>
    </row>
    <row r="29" ht="15.0" customHeight="1">
      <c r="A29" s="14" t="s">
        <v>80</v>
      </c>
      <c r="B29" s="15"/>
      <c r="C29" s="20">
        <v>81.36</v>
      </c>
      <c r="D29" s="20">
        <v>73.65</v>
      </c>
      <c r="E29" s="20">
        <v>69.36</v>
      </c>
      <c r="F29" s="20">
        <v>70.15</v>
      </c>
      <c r="G29" s="20">
        <v>73.69</v>
      </c>
      <c r="H29" s="20">
        <v>76.31</v>
      </c>
      <c r="I29" s="20">
        <v>21.54</v>
      </c>
      <c r="J29" s="20">
        <v>17.43</v>
      </c>
      <c r="K29" s="20">
        <v>11.78</v>
      </c>
      <c r="L29" s="20">
        <v>9.56</v>
      </c>
      <c r="M29" s="20">
        <v>7.81</v>
      </c>
      <c r="N29" s="20">
        <v>7.27</v>
      </c>
      <c r="O29" s="20">
        <v>7.5</v>
      </c>
      <c r="P29" s="20">
        <v>8.14</v>
      </c>
      <c r="Q29" s="20">
        <v>11.77</v>
      </c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6">
        <v>698.68</v>
      </c>
      <c r="D30" s="16">
        <v>619.06</v>
      </c>
      <c r="E30" s="16">
        <v>556.78</v>
      </c>
      <c r="F30" s="16">
        <v>559.23</v>
      </c>
      <c r="G30" s="16">
        <v>529.14</v>
      </c>
      <c r="H30" s="16">
        <v>568.59</v>
      </c>
      <c r="I30" s="16">
        <v>556.26</v>
      </c>
      <c r="J30" s="16">
        <v>520.0</v>
      </c>
      <c r="K30" s="16">
        <v>421.26</v>
      </c>
      <c r="L30" s="16">
        <v>349.93</v>
      </c>
      <c r="M30" s="16">
        <v>252.33</v>
      </c>
      <c r="N30" s="16">
        <v>229.63</v>
      </c>
      <c r="O30" s="16">
        <v>210.97</v>
      </c>
      <c r="P30" s="16">
        <v>203.84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6">
        <v>236.96</v>
      </c>
      <c r="D31" s="16">
        <v>237.87</v>
      </c>
      <c r="E31" s="16">
        <v>201.43</v>
      </c>
      <c r="F31" s="16">
        <v>168.37</v>
      </c>
      <c r="G31" s="16">
        <v>436.0</v>
      </c>
      <c r="H31" s="16">
        <v>455.99</v>
      </c>
      <c r="I31" s="16">
        <v>489.77</v>
      </c>
      <c r="J31" s="16">
        <v>499.67</v>
      </c>
      <c r="K31" s="16">
        <v>412.42</v>
      </c>
      <c r="L31" s="16">
        <v>364.28</v>
      </c>
      <c r="M31" s="16">
        <v>286.69</v>
      </c>
      <c r="N31" s="16">
        <v>237.31</v>
      </c>
      <c r="O31" s="16">
        <v>229.35</v>
      </c>
      <c r="P31" s="16">
        <v>251.82</v>
      </c>
      <c r="Q31" s="16">
        <v>203.26</v>
      </c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6">
        <v>771.07</v>
      </c>
      <c r="C32" s="16">
        <v>382.39</v>
      </c>
      <c r="D32" s="16">
        <v>325.46</v>
      </c>
      <c r="E32" s="16">
        <v>326.85</v>
      </c>
      <c r="F32" s="16">
        <v>331.73</v>
      </c>
      <c r="G32" s="16">
        <v>291.69</v>
      </c>
      <c r="H32" s="16">
        <v>266.15</v>
      </c>
      <c r="I32" s="16">
        <v>275.32</v>
      </c>
      <c r="J32" s="16">
        <v>295.35</v>
      </c>
      <c r="K32" s="16">
        <v>250.4</v>
      </c>
      <c r="L32" s="16">
        <v>211.3</v>
      </c>
      <c r="M32" s="16">
        <v>190.24</v>
      </c>
      <c r="N32" s="16">
        <v>149.53</v>
      </c>
      <c r="O32" s="16">
        <v>130.6</v>
      </c>
      <c r="P32" s="16">
        <v>123.07</v>
      </c>
      <c r="Q32" s="20">
        <v>41.54</v>
      </c>
      <c r="R32" s="16">
        <v>116.69</v>
      </c>
      <c r="S32" s="16">
        <v>117.01</v>
      </c>
      <c r="T32" s="20">
        <v>79.44</v>
      </c>
      <c r="U32" s="20">
        <v>59.0</v>
      </c>
      <c r="V32" s="20">
        <v>41.33</v>
      </c>
      <c r="W32" s="20">
        <v>36.92</v>
      </c>
    </row>
    <row r="33" ht="15.0" customHeight="1">
      <c r="A33" s="14" t="s">
        <v>84</v>
      </c>
      <c r="B33" s="15"/>
      <c r="C33" s="20">
        <v>13.22</v>
      </c>
      <c r="D33" s="20">
        <v>15.92</v>
      </c>
      <c r="E33" s="20">
        <v>20.9</v>
      </c>
      <c r="F33" s="20">
        <v>21.05</v>
      </c>
      <c r="G33" s="20">
        <v>19.45</v>
      </c>
      <c r="H33" s="20">
        <v>17.68</v>
      </c>
      <c r="I33" s="20">
        <v>8.43</v>
      </c>
      <c r="J33" s="20">
        <v>9.68</v>
      </c>
      <c r="K33" s="20">
        <v>7.86</v>
      </c>
      <c r="L33" s="20">
        <v>7.65</v>
      </c>
      <c r="M33" s="20">
        <v>6.61</v>
      </c>
      <c r="N33" s="20">
        <v>6.63</v>
      </c>
      <c r="O33" s="20">
        <v>6.33</v>
      </c>
      <c r="P33" s="20">
        <v>5.29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6">
        <v>204.42</v>
      </c>
      <c r="D34" s="16">
        <v>173.18</v>
      </c>
      <c r="E34" s="16">
        <v>166.28</v>
      </c>
      <c r="F34" s="16">
        <v>168.37</v>
      </c>
      <c r="G34" s="16">
        <v>148.4</v>
      </c>
      <c r="H34" s="16">
        <v>149.82</v>
      </c>
      <c r="I34" s="16">
        <v>147.96</v>
      </c>
      <c r="J34" s="16">
        <v>142.35</v>
      </c>
      <c r="K34" s="16">
        <v>123.73</v>
      </c>
      <c r="L34" s="16">
        <v>109.95</v>
      </c>
      <c r="M34" s="20">
        <v>99.48</v>
      </c>
      <c r="N34" s="20">
        <v>80.89</v>
      </c>
      <c r="O34" s="20">
        <v>68.66</v>
      </c>
      <c r="P34" s="20">
        <v>63.67</v>
      </c>
      <c r="Q34" s="16">
        <v>252.66</v>
      </c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6">
        <v>164.75</v>
      </c>
      <c r="D35" s="16">
        <v>136.35</v>
      </c>
      <c r="E35" s="16">
        <v>139.67</v>
      </c>
      <c r="F35" s="16">
        <v>142.31</v>
      </c>
      <c r="G35" s="16">
        <v>123.84</v>
      </c>
      <c r="H35" s="20">
        <v>98.64</v>
      </c>
      <c r="I35" s="16">
        <v>118.93</v>
      </c>
      <c r="J35" s="16">
        <v>143.32</v>
      </c>
      <c r="K35" s="16">
        <v>118.82</v>
      </c>
      <c r="L35" s="20">
        <v>93.7</v>
      </c>
      <c r="M35" s="20">
        <v>84.14</v>
      </c>
      <c r="N35" s="20">
        <v>62.01</v>
      </c>
      <c r="O35" s="20">
        <v>55.61</v>
      </c>
      <c r="P35" s="20">
        <v>54.11</v>
      </c>
      <c r="Q35" s="21">
        <v>-211.12</v>
      </c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20">
        <v>31.77</v>
      </c>
      <c r="C36" s="15"/>
      <c r="D36" s="15"/>
      <c r="E36" s="15"/>
      <c r="F36" s="15"/>
      <c r="G36" s="15"/>
      <c r="H36" s="15"/>
      <c r="I36" s="15"/>
      <c r="J36" s="15"/>
      <c r="K36" s="15"/>
      <c r="L36" s="22">
        <v>-41.11</v>
      </c>
      <c r="M36" s="22">
        <v>-52.73</v>
      </c>
      <c r="N36" s="22">
        <v>-19.93</v>
      </c>
      <c r="O36" s="22">
        <v>-18.6</v>
      </c>
      <c r="P36" s="22">
        <v>-13.18</v>
      </c>
      <c r="Q36" s="22">
        <v>-31.97</v>
      </c>
      <c r="R36" s="22">
        <v>-26.9</v>
      </c>
      <c r="S36" s="20">
        <v>1.03</v>
      </c>
      <c r="T36" s="22">
        <v>-12.0</v>
      </c>
      <c r="U36" s="22">
        <v>-1.22</v>
      </c>
      <c r="V36" s="22">
        <v>-5.13</v>
      </c>
      <c r="W36" s="22">
        <v>-0.68</v>
      </c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>
        <v>0.0</v>
      </c>
      <c r="M37" s="22">
        <v>-39.13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87</v>
      </c>
      <c r="B38" s="15"/>
      <c r="C38" s="22">
        <v>-23.39</v>
      </c>
      <c r="D38" s="22">
        <v>-51.75</v>
      </c>
      <c r="E38" s="22">
        <v>-75.06</v>
      </c>
      <c r="F38" s="22">
        <v>-39.09</v>
      </c>
      <c r="G38" s="22">
        <v>-24.56</v>
      </c>
      <c r="H38" s="21">
        <v>-112.6</v>
      </c>
      <c r="I38" s="22">
        <v>-85.22</v>
      </c>
      <c r="J38" s="22">
        <v>-72.63</v>
      </c>
      <c r="K38" s="22">
        <v>-32.4</v>
      </c>
      <c r="L38" s="22">
        <v>-2.87</v>
      </c>
      <c r="M38" s="22">
        <v>-2.76</v>
      </c>
      <c r="N38" s="22">
        <v>-9.91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5"/>
      <c r="C39" s="22">
        <v>-20.34</v>
      </c>
      <c r="D39" s="22">
        <v>-38.82</v>
      </c>
      <c r="E39" s="22">
        <v>-55.11</v>
      </c>
      <c r="F39" s="22">
        <v>-22.05</v>
      </c>
      <c r="G39" s="22">
        <v>-15.35</v>
      </c>
      <c r="H39" s="22">
        <v>-14.89</v>
      </c>
      <c r="I39" s="22">
        <v>-19.67</v>
      </c>
      <c r="J39" s="22">
        <v>-14.53</v>
      </c>
      <c r="K39" s="22">
        <v>-23.57</v>
      </c>
      <c r="L39" s="22">
        <v>-37.29</v>
      </c>
      <c r="M39" s="22">
        <v>-10.47</v>
      </c>
      <c r="N39" s="22">
        <v>-10.01</v>
      </c>
      <c r="O39" s="22">
        <v>-9.78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5">
        <v>0.0</v>
      </c>
      <c r="D40" s="22">
        <v>-6.97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22">
        <v>-1.02</v>
      </c>
      <c r="D41" s="22">
        <v>-1.99</v>
      </c>
      <c r="E41" s="22">
        <v>-11.4</v>
      </c>
      <c r="F41" s="22">
        <v>-4.01</v>
      </c>
      <c r="G41" s="15"/>
      <c r="H41" s="15"/>
      <c r="I41" s="22">
        <v>-15.92</v>
      </c>
      <c r="J41" s="22">
        <v>-7.75</v>
      </c>
      <c r="K41" s="22">
        <v>-1.96</v>
      </c>
      <c r="L41" s="22">
        <v>-0.96</v>
      </c>
      <c r="M41" s="22">
        <v>-0.37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15"/>
      <c r="E42" s="22">
        <v>-1.9</v>
      </c>
      <c r="F42" s="22">
        <v>-2.0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15"/>
      <c r="I43" s="15"/>
      <c r="J43" s="22">
        <v>-6.78</v>
      </c>
      <c r="K43" s="22">
        <v>-6.87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93</v>
      </c>
      <c r="B44" s="15"/>
      <c r="C44" s="22">
        <v>-2.03</v>
      </c>
      <c r="D44" s="22">
        <v>-3.98</v>
      </c>
      <c r="E44" s="22">
        <v>-6.65</v>
      </c>
      <c r="F44" s="22">
        <v>-11.02</v>
      </c>
      <c r="G44" s="22">
        <v>-9.21</v>
      </c>
      <c r="H44" s="22">
        <v>-97.71</v>
      </c>
      <c r="I44" s="22">
        <v>-49.63</v>
      </c>
      <c r="J44" s="22">
        <v>-43.58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2">
        <v>-8.83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95</v>
      </c>
      <c r="B46" s="15"/>
      <c r="C46" s="20">
        <v>45.76</v>
      </c>
      <c r="D46" s="20">
        <v>76.64</v>
      </c>
      <c r="E46" s="20">
        <v>40.86</v>
      </c>
      <c r="F46" s="20">
        <v>56.12</v>
      </c>
      <c r="G46" s="20">
        <v>29.68</v>
      </c>
      <c r="H46" s="20">
        <v>16.75</v>
      </c>
      <c r="I46" s="20">
        <v>32.78</v>
      </c>
      <c r="J46" s="20">
        <v>27.11</v>
      </c>
      <c r="K46" s="20">
        <v>39.28</v>
      </c>
      <c r="L46" s="20">
        <v>20.08</v>
      </c>
      <c r="M46" s="20">
        <v>37.02</v>
      </c>
      <c r="N46" s="20">
        <v>28.48</v>
      </c>
      <c r="O46" s="20">
        <v>8.97</v>
      </c>
      <c r="P46" s="20">
        <v>7.66</v>
      </c>
      <c r="Q46" s="20">
        <v>14.96</v>
      </c>
      <c r="R46" s="20">
        <v>25.49</v>
      </c>
      <c r="S46" s="15"/>
      <c r="T46" s="20">
        <v>9.84</v>
      </c>
      <c r="U46" s="15"/>
      <c r="V46" s="20">
        <v>2.72</v>
      </c>
      <c r="W46" s="20">
        <v>1.31</v>
      </c>
    </row>
    <row r="47" ht="15.0" customHeight="1">
      <c r="A47" s="14" t="s">
        <v>89</v>
      </c>
      <c r="B47" s="15"/>
      <c r="C47" s="20">
        <v>26.44</v>
      </c>
      <c r="D47" s="20">
        <v>72.66</v>
      </c>
      <c r="E47" s="20">
        <v>34.21</v>
      </c>
      <c r="F47" s="20">
        <v>22.05</v>
      </c>
      <c r="G47" s="20">
        <v>19.45</v>
      </c>
      <c r="H47" s="20">
        <v>13.96</v>
      </c>
      <c r="I47" s="20">
        <v>29.97</v>
      </c>
      <c r="J47" s="20">
        <v>22.27</v>
      </c>
      <c r="K47" s="20">
        <v>29.46</v>
      </c>
      <c r="L47" s="20">
        <v>17.21</v>
      </c>
      <c r="M47" s="20">
        <v>27.01</v>
      </c>
      <c r="N47" s="20">
        <v>19.6</v>
      </c>
      <c r="O47" s="20">
        <v>4.4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>
        <v>0.0</v>
      </c>
      <c r="M48" s="20">
        <v>3.58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5">
        <v>0.0</v>
      </c>
      <c r="D49" s="20">
        <v>1.0</v>
      </c>
      <c r="E49" s="20">
        <v>1.9</v>
      </c>
      <c r="F49" s="20">
        <v>1.0</v>
      </c>
      <c r="G49" s="20">
        <v>3.07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98</v>
      </c>
      <c r="B50" s="15"/>
      <c r="C50" s="15"/>
      <c r="D50" s="15"/>
      <c r="E50" s="15">
        <v>0.0</v>
      </c>
      <c r="F50" s="20">
        <v>2.0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99</v>
      </c>
      <c r="B51" s="15"/>
      <c r="C51" s="20">
        <v>1.02</v>
      </c>
      <c r="D51" s="20">
        <v>1.0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100</v>
      </c>
      <c r="B52" s="15"/>
      <c r="C52" s="15"/>
      <c r="D52" s="15"/>
      <c r="E52" s="20">
        <v>0.95</v>
      </c>
      <c r="F52" s="20">
        <v>10.02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101</v>
      </c>
      <c r="B53" s="15"/>
      <c r="C53" s="20">
        <v>16.27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102</v>
      </c>
      <c r="B54" s="15"/>
      <c r="C54" s="15"/>
      <c r="D54" s="15"/>
      <c r="E54" s="20">
        <v>1.9</v>
      </c>
      <c r="F54" s="20">
        <v>14.03</v>
      </c>
      <c r="G54" s="20">
        <v>6.14</v>
      </c>
      <c r="H54" s="20">
        <v>1.86</v>
      </c>
      <c r="I54" s="20">
        <v>0.94</v>
      </c>
      <c r="J54" s="20">
        <v>3.87</v>
      </c>
      <c r="K54" s="20">
        <v>5.89</v>
      </c>
      <c r="L54" s="20">
        <v>0.96</v>
      </c>
      <c r="M54" s="20">
        <v>0.37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95</v>
      </c>
      <c r="B55" s="15"/>
      <c r="C55" s="20">
        <v>2.03</v>
      </c>
      <c r="D55" s="20">
        <v>1.99</v>
      </c>
      <c r="E55" s="20">
        <v>1.9</v>
      </c>
      <c r="F55" s="20">
        <v>7.02</v>
      </c>
      <c r="G55" s="20">
        <v>1.02</v>
      </c>
      <c r="H55" s="20">
        <v>0.93</v>
      </c>
      <c r="I55" s="20">
        <v>1.87</v>
      </c>
      <c r="J55" s="20">
        <v>0.97</v>
      </c>
      <c r="K55" s="20">
        <v>3.93</v>
      </c>
      <c r="L55" s="20">
        <v>1.91</v>
      </c>
      <c r="M55" s="20">
        <v>6.06</v>
      </c>
      <c r="N55" s="20">
        <v>8.88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94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20">
        <v>4.57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7" t="s">
        <v>103</v>
      </c>
      <c r="B57" s="19">
        <v>2582.24</v>
      </c>
      <c r="C57" s="19">
        <v>1421.76</v>
      </c>
      <c r="D57" s="19">
        <v>1280.92</v>
      </c>
      <c r="E57" s="19">
        <v>1120.22</v>
      </c>
      <c r="F57" s="19">
        <v>1146.52</v>
      </c>
      <c r="G57" s="19">
        <v>1335.64</v>
      </c>
      <c r="H57" s="19">
        <v>1271.18</v>
      </c>
      <c r="I57" s="19">
        <v>1290.45</v>
      </c>
      <c r="J57" s="19">
        <v>1286.93</v>
      </c>
      <c r="K57" s="19">
        <v>1102.74</v>
      </c>
      <c r="L57" s="19">
        <v>914.04</v>
      </c>
      <c r="M57" s="19">
        <v>721.36</v>
      </c>
      <c r="N57" s="19">
        <v>632.28</v>
      </c>
      <c r="O57" s="19">
        <v>568.79</v>
      </c>
      <c r="P57" s="19">
        <v>581.35</v>
      </c>
      <c r="Q57" s="19">
        <v>239.57</v>
      </c>
      <c r="R57" s="19">
        <v>499.02</v>
      </c>
      <c r="S57" s="19">
        <v>547.83</v>
      </c>
      <c r="T57" s="19">
        <v>342.51</v>
      </c>
      <c r="U57" s="19">
        <v>254.52</v>
      </c>
      <c r="V57" s="19">
        <v>136.7</v>
      </c>
      <c r="W57" s="19">
        <v>120.55</v>
      </c>
    </row>
    <row r="58" ht="15.0" customHeight="1">
      <c r="A58" s="17" t="s">
        <v>104</v>
      </c>
      <c r="B58" s="19">
        <v>614.31</v>
      </c>
      <c r="C58" s="19">
        <v>466.8</v>
      </c>
      <c r="D58" s="19">
        <v>429.96</v>
      </c>
      <c r="E58" s="19">
        <v>382.91</v>
      </c>
      <c r="F58" s="19">
        <v>216.48</v>
      </c>
      <c r="G58" s="19">
        <v>114.63</v>
      </c>
      <c r="H58" s="19">
        <v>239.16</v>
      </c>
      <c r="I58" s="19">
        <v>215.39</v>
      </c>
      <c r="J58" s="19">
        <v>484.17</v>
      </c>
      <c r="K58" s="19">
        <v>364.31</v>
      </c>
      <c r="L58" s="19">
        <v>485.7</v>
      </c>
      <c r="M58" s="19">
        <v>298.91</v>
      </c>
      <c r="N58" s="19">
        <v>221.83</v>
      </c>
      <c r="O58" s="19">
        <v>202.12</v>
      </c>
      <c r="P58" s="19">
        <v>164.59</v>
      </c>
      <c r="Q58" s="19">
        <v>316.25</v>
      </c>
      <c r="R58" s="23">
        <v>94.01</v>
      </c>
      <c r="S58" s="19">
        <v>166.62</v>
      </c>
      <c r="T58" s="19">
        <v>135.68</v>
      </c>
      <c r="U58" s="19">
        <v>100.77</v>
      </c>
      <c r="V58" s="23">
        <v>67.25</v>
      </c>
      <c r="W58" s="23">
        <v>58.09</v>
      </c>
    </row>
    <row r="59" ht="15.0" customHeight="1">
      <c r="A59" s="14" t="s">
        <v>105</v>
      </c>
      <c r="B59" s="20">
        <v>25.42</v>
      </c>
      <c r="C59" s="20">
        <v>49.83</v>
      </c>
      <c r="D59" s="20">
        <v>33.84</v>
      </c>
      <c r="E59" s="20">
        <v>15.2</v>
      </c>
      <c r="F59" s="20">
        <v>14.03</v>
      </c>
      <c r="G59" s="20">
        <v>5.12</v>
      </c>
      <c r="H59" s="20">
        <v>6.51</v>
      </c>
      <c r="I59" s="20">
        <v>5.62</v>
      </c>
      <c r="J59" s="20">
        <v>2.91</v>
      </c>
      <c r="K59" s="20">
        <v>27.49</v>
      </c>
      <c r="L59" s="20">
        <v>2.87</v>
      </c>
      <c r="M59" s="20">
        <v>2.66</v>
      </c>
      <c r="N59" s="20">
        <v>4.17</v>
      </c>
      <c r="O59" s="20">
        <v>2.42</v>
      </c>
      <c r="P59" s="20">
        <v>4.44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106</v>
      </c>
      <c r="B60" s="15"/>
      <c r="C60" s="20">
        <v>31.53</v>
      </c>
      <c r="D60" s="20">
        <v>33.84</v>
      </c>
      <c r="E60" s="20">
        <v>12.35</v>
      </c>
      <c r="F60" s="20">
        <v>5.01</v>
      </c>
      <c r="G60" s="20">
        <v>5.12</v>
      </c>
      <c r="H60" s="20">
        <v>5.58</v>
      </c>
      <c r="I60" s="20">
        <v>2.81</v>
      </c>
      <c r="J60" s="20">
        <v>2.91</v>
      </c>
      <c r="K60" s="20">
        <v>2.95</v>
      </c>
      <c r="L60" s="20">
        <v>2.87</v>
      </c>
      <c r="M60" s="20">
        <v>1.38</v>
      </c>
      <c r="N60" s="20">
        <v>1.11</v>
      </c>
      <c r="O60" s="20">
        <v>1.15</v>
      </c>
      <c r="P60" s="20">
        <v>0.58</v>
      </c>
      <c r="Q60" s="20">
        <v>0.03</v>
      </c>
      <c r="R60" s="20">
        <v>1.25</v>
      </c>
      <c r="S60" s="15"/>
      <c r="T60" s="20">
        <v>2.72</v>
      </c>
      <c r="U60" s="15"/>
      <c r="V60" s="20">
        <v>1.37</v>
      </c>
      <c r="W60" s="20">
        <v>0.88</v>
      </c>
    </row>
    <row r="61" ht="15.0" customHeight="1">
      <c r="A61" s="14" t="s">
        <v>107</v>
      </c>
      <c r="B61" s="15"/>
      <c r="C61" s="20">
        <v>18.31</v>
      </c>
      <c r="D61" s="15">
        <v>0.0</v>
      </c>
      <c r="E61" s="20">
        <v>2.85</v>
      </c>
      <c r="F61" s="20">
        <v>9.02</v>
      </c>
      <c r="G61" s="15">
        <v>0.0</v>
      </c>
      <c r="H61" s="20">
        <v>0.93</v>
      </c>
      <c r="I61" s="20">
        <v>2.81</v>
      </c>
      <c r="J61" s="15">
        <v>0.0</v>
      </c>
      <c r="K61" s="20">
        <v>15.71</v>
      </c>
      <c r="L61" s="15"/>
      <c r="M61" s="15">
        <v>0.0</v>
      </c>
      <c r="N61" s="20">
        <v>2.94</v>
      </c>
      <c r="O61" s="20">
        <v>1.27</v>
      </c>
      <c r="P61" s="20">
        <v>3.86</v>
      </c>
      <c r="Q61" s="20">
        <v>1.52</v>
      </c>
      <c r="R61" s="20">
        <v>11.88</v>
      </c>
      <c r="S61" s="15"/>
      <c r="T61" s="20">
        <v>4.91</v>
      </c>
      <c r="U61" s="15"/>
      <c r="V61" s="20">
        <v>0.96</v>
      </c>
      <c r="W61" s="20">
        <v>0.1</v>
      </c>
    </row>
    <row r="62" ht="15.0" customHeight="1">
      <c r="A62" s="14" t="s">
        <v>108</v>
      </c>
      <c r="B62" s="15"/>
      <c r="C62" s="15"/>
      <c r="D62" s="15"/>
      <c r="E62" s="15"/>
      <c r="F62" s="15"/>
      <c r="G62" s="15"/>
      <c r="H62" s="15"/>
      <c r="I62" s="15"/>
      <c r="J62" s="15"/>
      <c r="K62" s="20">
        <v>5.89</v>
      </c>
      <c r="L62" s="15">
        <v>0.0</v>
      </c>
      <c r="M62" s="20">
        <v>1.29</v>
      </c>
      <c r="N62" s="20">
        <v>0.12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109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20">
        <v>2.95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110</v>
      </c>
      <c r="B64" s="21">
        <v>-275.38</v>
      </c>
      <c r="C64" s="22">
        <v>-71.19</v>
      </c>
      <c r="D64" s="22">
        <v>-80.62</v>
      </c>
      <c r="E64" s="22">
        <v>-67.46</v>
      </c>
      <c r="F64" s="22">
        <v>-83.18</v>
      </c>
      <c r="G64" s="21">
        <v>-119.75</v>
      </c>
      <c r="H64" s="22">
        <v>-83.75</v>
      </c>
      <c r="I64" s="22">
        <v>-73.98</v>
      </c>
      <c r="J64" s="22">
        <v>-68.75</v>
      </c>
      <c r="K64" s="22">
        <v>-37.31</v>
      </c>
      <c r="L64" s="22">
        <v>-33.46</v>
      </c>
      <c r="M64" s="22">
        <v>-36.93</v>
      </c>
      <c r="N64" s="22">
        <v>-30.08</v>
      </c>
      <c r="O64" s="22">
        <v>-30.48</v>
      </c>
      <c r="P64" s="22">
        <v>-37.64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111</v>
      </c>
      <c r="B65" s="15"/>
      <c r="C65" s="20">
        <v>9.15</v>
      </c>
      <c r="D65" s="22">
        <v>-11.94</v>
      </c>
      <c r="E65" s="22">
        <v>-1.9</v>
      </c>
      <c r="F65" s="22">
        <v>-11.02</v>
      </c>
      <c r="G65" s="22">
        <v>-8.19</v>
      </c>
      <c r="H65" s="22">
        <v>-7.44</v>
      </c>
      <c r="I65" s="22">
        <v>-9.36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112</v>
      </c>
      <c r="B66" s="15"/>
      <c r="C66" s="22">
        <v>-44.75</v>
      </c>
      <c r="D66" s="22">
        <v>-35.83</v>
      </c>
      <c r="E66" s="22">
        <v>-44.66</v>
      </c>
      <c r="F66" s="22">
        <v>-51.11</v>
      </c>
      <c r="G66" s="22">
        <v>-80.86</v>
      </c>
      <c r="H66" s="22">
        <v>-67.0</v>
      </c>
      <c r="I66" s="22">
        <v>-52.44</v>
      </c>
      <c r="J66" s="22">
        <v>-57.13</v>
      </c>
      <c r="K66" s="22">
        <v>-35.35</v>
      </c>
      <c r="L66" s="22">
        <v>-27.73</v>
      </c>
      <c r="M66" s="22">
        <v>-28.57</v>
      </c>
      <c r="N66" s="22">
        <v>-29.19</v>
      </c>
      <c r="O66" s="22">
        <v>-29.29</v>
      </c>
      <c r="P66" s="22">
        <v>-36.53</v>
      </c>
      <c r="Q66" s="22">
        <v>-28.62</v>
      </c>
      <c r="R66" s="22">
        <v>-32.75</v>
      </c>
      <c r="S66" s="15"/>
      <c r="T66" s="22">
        <v>-30.58</v>
      </c>
      <c r="U66" s="15"/>
      <c r="V66" s="22">
        <v>-12.61</v>
      </c>
      <c r="W66" s="22">
        <v>-9.37</v>
      </c>
    </row>
    <row r="67" ht="15.0" customHeight="1">
      <c r="A67" s="14" t="s">
        <v>113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2">
        <v>-1.06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22">
        <v>-28.13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114</v>
      </c>
      <c r="B69" s="15"/>
      <c r="C69" s="15"/>
      <c r="D69" s="15"/>
      <c r="E69" s="22">
        <v>-31.35</v>
      </c>
      <c r="F69" s="22">
        <v>-38.08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112</v>
      </c>
      <c r="B70" s="15"/>
      <c r="C70" s="15"/>
      <c r="D70" s="15"/>
      <c r="E70" s="15"/>
      <c r="F70" s="15"/>
      <c r="G70" s="22">
        <v>-66.53</v>
      </c>
      <c r="H70" s="22">
        <v>-53.04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115</v>
      </c>
      <c r="B71" s="15"/>
      <c r="C71" s="22">
        <v>-14.24</v>
      </c>
      <c r="D71" s="22">
        <v>-13.93</v>
      </c>
      <c r="E71" s="22">
        <v>-13.3</v>
      </c>
      <c r="F71" s="22">
        <v>-13.03</v>
      </c>
      <c r="G71" s="22">
        <v>-14.33</v>
      </c>
      <c r="H71" s="22">
        <v>-13.96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107</v>
      </c>
      <c r="B72" s="15"/>
      <c r="C72" s="15">
        <v>0.0</v>
      </c>
      <c r="D72" s="22">
        <v>-4.98</v>
      </c>
      <c r="E72" s="15"/>
      <c r="F72" s="15"/>
      <c r="G72" s="22">
        <v>-5.12</v>
      </c>
      <c r="H72" s="22">
        <v>-6.51</v>
      </c>
      <c r="I72" s="15">
        <v>0.0</v>
      </c>
      <c r="J72" s="22">
        <v>-7.75</v>
      </c>
      <c r="K72" s="15">
        <v>0.0</v>
      </c>
      <c r="L72" s="22">
        <v>-3.82</v>
      </c>
      <c r="M72" s="22">
        <v>-6.98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116</v>
      </c>
      <c r="B73" s="15"/>
      <c r="C73" s="22">
        <v>-22.37</v>
      </c>
      <c r="D73" s="22">
        <v>-13.93</v>
      </c>
      <c r="E73" s="22">
        <v>-20.9</v>
      </c>
      <c r="F73" s="22">
        <v>-21.05</v>
      </c>
      <c r="G73" s="22">
        <v>-25.59</v>
      </c>
      <c r="H73" s="22">
        <v>-2.79</v>
      </c>
      <c r="I73" s="22">
        <v>-12.17</v>
      </c>
      <c r="J73" s="22">
        <v>-3.87</v>
      </c>
      <c r="K73" s="22">
        <v>-1.96</v>
      </c>
      <c r="L73" s="22">
        <v>-1.91</v>
      </c>
      <c r="M73" s="22">
        <v>-1.38</v>
      </c>
      <c r="N73" s="22">
        <v>-0.89</v>
      </c>
      <c r="O73" s="22">
        <v>-1.18</v>
      </c>
      <c r="P73" s="22">
        <v>-1.12</v>
      </c>
      <c r="Q73" s="22">
        <v>-0.31</v>
      </c>
      <c r="R73" s="15"/>
      <c r="S73" s="15"/>
      <c r="T73" s="15"/>
      <c r="U73" s="15"/>
      <c r="V73" s="15"/>
      <c r="W73" s="15"/>
    </row>
    <row r="74" ht="15.0" customHeight="1">
      <c r="A74" s="14" t="s">
        <v>117</v>
      </c>
      <c r="B74" s="15"/>
      <c r="C74" s="20">
        <v>1.02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118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20">
        <v>0.07</v>
      </c>
      <c r="W75" s="15">
        <v>0.0</v>
      </c>
    </row>
    <row r="76" ht="15.0" customHeight="1">
      <c r="A76" s="17" t="s">
        <v>119</v>
      </c>
      <c r="B76" s="24">
        <v>-249.96</v>
      </c>
      <c r="C76" s="25">
        <v>-21.36</v>
      </c>
      <c r="D76" s="25">
        <v>-46.78</v>
      </c>
      <c r="E76" s="25">
        <v>-52.26</v>
      </c>
      <c r="F76" s="25">
        <v>-69.15</v>
      </c>
      <c r="G76" s="24">
        <v>-114.63</v>
      </c>
      <c r="H76" s="25">
        <v>-77.24</v>
      </c>
      <c r="I76" s="25">
        <v>-68.36</v>
      </c>
      <c r="J76" s="25">
        <v>-65.85</v>
      </c>
      <c r="K76" s="25">
        <v>-9.82</v>
      </c>
      <c r="L76" s="25">
        <v>-30.6</v>
      </c>
      <c r="M76" s="25">
        <v>-34.26</v>
      </c>
      <c r="N76" s="25">
        <v>-25.91</v>
      </c>
      <c r="O76" s="25">
        <v>-28.06</v>
      </c>
      <c r="P76" s="25">
        <v>-33.2</v>
      </c>
      <c r="Q76" s="25">
        <v>-27.38</v>
      </c>
      <c r="R76" s="25">
        <v>-19.61</v>
      </c>
      <c r="S76" s="25">
        <v>-46.7</v>
      </c>
      <c r="T76" s="25">
        <v>-22.94</v>
      </c>
      <c r="U76" s="25">
        <v>-16.71</v>
      </c>
      <c r="V76" s="25">
        <v>-10.21</v>
      </c>
      <c r="W76" s="25">
        <v>-8.39</v>
      </c>
    </row>
    <row r="77" ht="15.0" customHeight="1">
      <c r="A77" s="14" t="s">
        <v>120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1">
        <v>-264.44</v>
      </c>
      <c r="R77" s="15"/>
      <c r="S77" s="15"/>
      <c r="T77" s="15"/>
      <c r="U77" s="15"/>
      <c r="V77" s="15"/>
      <c r="W77" s="15"/>
    </row>
    <row r="78" ht="15.0" customHeight="1">
      <c r="A78" s="17" t="s">
        <v>121</v>
      </c>
      <c r="B78" s="19">
        <v>364.35</v>
      </c>
      <c r="C78" s="19">
        <v>445.44</v>
      </c>
      <c r="D78" s="19">
        <v>383.18</v>
      </c>
      <c r="E78" s="19">
        <v>330.65</v>
      </c>
      <c r="F78" s="19">
        <v>147.32</v>
      </c>
      <c r="G78" s="18">
        <v>0.0</v>
      </c>
      <c r="H78" s="19">
        <v>161.92</v>
      </c>
      <c r="I78" s="19">
        <v>147.03</v>
      </c>
      <c r="J78" s="19">
        <v>418.33</v>
      </c>
      <c r="K78" s="19">
        <v>354.49</v>
      </c>
      <c r="L78" s="19">
        <v>455.11</v>
      </c>
      <c r="M78" s="19">
        <v>264.64</v>
      </c>
      <c r="N78" s="19">
        <v>195.92</v>
      </c>
      <c r="O78" s="19">
        <v>174.06</v>
      </c>
      <c r="P78" s="19">
        <v>131.39</v>
      </c>
      <c r="Q78" s="23">
        <v>24.43</v>
      </c>
      <c r="R78" s="23">
        <v>74.4</v>
      </c>
      <c r="S78" s="19">
        <v>119.92</v>
      </c>
      <c r="T78" s="19">
        <v>112.74</v>
      </c>
      <c r="U78" s="23">
        <v>84.06</v>
      </c>
      <c r="V78" s="23">
        <v>57.04</v>
      </c>
      <c r="W78" s="23">
        <v>49.69</v>
      </c>
    </row>
    <row r="79" ht="15.0" customHeight="1">
      <c r="A79" s="14" t="s">
        <v>122</v>
      </c>
      <c r="B79" s="16">
        <v>197.0</v>
      </c>
      <c r="C79" s="16">
        <v>120.01</v>
      </c>
      <c r="D79" s="20">
        <v>92.56</v>
      </c>
      <c r="E79" s="20">
        <v>99.77</v>
      </c>
      <c r="F79" s="20">
        <v>52.11</v>
      </c>
      <c r="G79" s="20">
        <v>22.52</v>
      </c>
      <c r="H79" s="20">
        <v>50.25</v>
      </c>
      <c r="I79" s="20">
        <v>56.19</v>
      </c>
      <c r="J79" s="20">
        <v>99.74</v>
      </c>
      <c r="K79" s="20">
        <v>99.18</v>
      </c>
      <c r="L79" s="20">
        <v>97.52</v>
      </c>
      <c r="M79" s="20">
        <v>64.58</v>
      </c>
      <c r="N79" s="20">
        <v>49.56</v>
      </c>
      <c r="O79" s="20">
        <v>34.99</v>
      </c>
      <c r="P79" s="20">
        <v>24.8</v>
      </c>
      <c r="Q79" s="20">
        <v>5.49</v>
      </c>
      <c r="R79" s="20">
        <v>13.59</v>
      </c>
      <c r="S79" s="20">
        <v>31.9</v>
      </c>
      <c r="T79" s="20">
        <v>30.68</v>
      </c>
      <c r="U79" s="20">
        <v>22.19</v>
      </c>
      <c r="V79" s="20">
        <v>17.3</v>
      </c>
      <c r="W79" s="20">
        <v>15.14</v>
      </c>
    </row>
    <row r="80" ht="15.0" customHeight="1">
      <c r="A80" s="14" t="s">
        <v>123</v>
      </c>
      <c r="B80" s="15"/>
      <c r="C80" s="16">
        <v>130.18</v>
      </c>
      <c r="D80" s="20">
        <v>76.64</v>
      </c>
      <c r="E80" s="20">
        <v>89.31</v>
      </c>
      <c r="F80" s="20">
        <v>63.14</v>
      </c>
      <c r="G80" s="20">
        <v>26.61</v>
      </c>
      <c r="H80" s="20">
        <v>59.56</v>
      </c>
      <c r="I80" s="20">
        <v>72.11</v>
      </c>
      <c r="J80" s="16">
        <v>109.42</v>
      </c>
      <c r="K80" s="16">
        <v>101.14</v>
      </c>
      <c r="L80" s="20">
        <v>93.7</v>
      </c>
      <c r="M80" s="20">
        <v>83.96</v>
      </c>
      <c r="N80" s="20">
        <v>64.16</v>
      </c>
      <c r="O80" s="20">
        <v>37.06</v>
      </c>
      <c r="P80" s="20">
        <v>21.1</v>
      </c>
      <c r="Q80" s="20">
        <v>4.92</v>
      </c>
      <c r="R80" s="20">
        <v>11.82</v>
      </c>
      <c r="S80" s="15"/>
      <c r="T80" s="20">
        <v>30.52</v>
      </c>
      <c r="U80" s="15"/>
      <c r="V80" s="20">
        <v>18.12</v>
      </c>
      <c r="W80" s="20">
        <v>12.22</v>
      </c>
    </row>
    <row r="81" ht="15.0" customHeight="1">
      <c r="A81" s="14" t="s">
        <v>124</v>
      </c>
      <c r="B81" s="15"/>
      <c r="C81" s="22">
        <v>-10.17</v>
      </c>
      <c r="D81" s="20">
        <v>15.92</v>
      </c>
      <c r="E81" s="20">
        <v>10.45</v>
      </c>
      <c r="F81" s="22">
        <v>-11.02</v>
      </c>
      <c r="G81" s="22">
        <v>-4.09</v>
      </c>
      <c r="H81" s="22">
        <v>-9.31</v>
      </c>
      <c r="I81" s="22">
        <v>-15.92</v>
      </c>
      <c r="J81" s="22">
        <v>-9.68</v>
      </c>
      <c r="K81" s="22">
        <v>-1.96</v>
      </c>
      <c r="L81" s="20">
        <v>3.82</v>
      </c>
      <c r="M81" s="22">
        <v>-19.38</v>
      </c>
      <c r="N81" s="22">
        <v>-14.61</v>
      </c>
      <c r="O81" s="22">
        <v>-2.07</v>
      </c>
      <c r="P81" s="20">
        <v>3.7</v>
      </c>
      <c r="Q81" s="20">
        <v>0.57</v>
      </c>
      <c r="R81" s="20">
        <v>1.77</v>
      </c>
      <c r="S81" s="15"/>
      <c r="T81" s="20">
        <v>0.16</v>
      </c>
      <c r="U81" s="15"/>
      <c r="V81" s="22">
        <v>-0.81</v>
      </c>
      <c r="W81" s="20">
        <v>2.92</v>
      </c>
    </row>
    <row r="82" ht="15.0" customHeight="1">
      <c r="A82" s="14" t="s">
        <v>125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>
        <v>0.0</v>
      </c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7" t="s">
        <v>122</v>
      </c>
      <c r="B83" s="19">
        <v>197.0</v>
      </c>
      <c r="C83" s="19">
        <v>120.01</v>
      </c>
      <c r="D83" s="23">
        <v>92.56</v>
      </c>
      <c r="E83" s="23">
        <v>99.77</v>
      </c>
      <c r="F83" s="23">
        <v>52.11</v>
      </c>
      <c r="G83" s="23">
        <v>22.52</v>
      </c>
      <c r="H83" s="23">
        <v>50.25</v>
      </c>
      <c r="I83" s="23">
        <v>56.19</v>
      </c>
      <c r="J83" s="23">
        <v>99.74</v>
      </c>
      <c r="K83" s="23">
        <v>99.18</v>
      </c>
      <c r="L83" s="23">
        <v>97.52</v>
      </c>
      <c r="M83" s="23">
        <v>64.58</v>
      </c>
      <c r="N83" s="23">
        <v>49.56</v>
      </c>
      <c r="O83" s="23">
        <v>34.99</v>
      </c>
      <c r="P83" s="23">
        <v>24.8</v>
      </c>
      <c r="Q83" s="23">
        <v>5.49</v>
      </c>
      <c r="R83" s="23">
        <v>13.59</v>
      </c>
      <c r="S83" s="23">
        <v>31.9</v>
      </c>
      <c r="T83" s="23">
        <v>30.68</v>
      </c>
      <c r="U83" s="23">
        <v>22.19</v>
      </c>
      <c r="V83" s="23">
        <v>17.3</v>
      </c>
      <c r="W83" s="23">
        <v>15.14</v>
      </c>
    </row>
    <row r="84" ht="15.0" customHeight="1">
      <c r="A84" s="17" t="s">
        <v>126</v>
      </c>
      <c r="B84" s="19">
        <v>167.35</v>
      </c>
      <c r="C84" s="19">
        <v>325.44</v>
      </c>
      <c r="D84" s="19">
        <v>290.62</v>
      </c>
      <c r="E84" s="19">
        <v>230.89</v>
      </c>
      <c r="F84" s="23">
        <v>95.21</v>
      </c>
      <c r="G84" s="25">
        <v>-22.52</v>
      </c>
      <c r="H84" s="19">
        <v>111.67</v>
      </c>
      <c r="I84" s="23">
        <v>90.84</v>
      </c>
      <c r="J84" s="19">
        <v>318.59</v>
      </c>
      <c r="K84" s="19">
        <v>255.31</v>
      </c>
      <c r="L84" s="19">
        <v>357.58</v>
      </c>
      <c r="M84" s="19">
        <v>200.07</v>
      </c>
      <c r="N84" s="19">
        <v>146.36</v>
      </c>
      <c r="O84" s="19">
        <v>139.07</v>
      </c>
      <c r="P84" s="19">
        <v>106.59</v>
      </c>
      <c r="Q84" s="23">
        <v>18.94</v>
      </c>
      <c r="R84" s="23">
        <v>60.81</v>
      </c>
      <c r="S84" s="23">
        <v>88.01</v>
      </c>
      <c r="T84" s="23">
        <v>82.06</v>
      </c>
      <c r="U84" s="23">
        <v>61.87</v>
      </c>
      <c r="V84" s="23">
        <v>39.74</v>
      </c>
      <c r="W84" s="23">
        <v>34.55</v>
      </c>
    </row>
    <row r="85" ht="15.0" customHeight="1">
      <c r="A85" s="17" t="s">
        <v>127</v>
      </c>
      <c r="B85" s="19">
        <v>167.35</v>
      </c>
      <c r="C85" s="19">
        <v>325.44</v>
      </c>
      <c r="D85" s="19">
        <v>290.62</v>
      </c>
      <c r="E85" s="19">
        <v>230.89</v>
      </c>
      <c r="F85" s="23">
        <v>95.21</v>
      </c>
      <c r="G85" s="25">
        <v>-22.52</v>
      </c>
      <c r="H85" s="19">
        <v>111.67</v>
      </c>
      <c r="I85" s="23">
        <v>90.84</v>
      </c>
      <c r="J85" s="19">
        <v>318.59</v>
      </c>
      <c r="K85" s="19">
        <v>255.31</v>
      </c>
      <c r="L85" s="19">
        <v>357.58</v>
      </c>
      <c r="M85" s="19">
        <v>200.07</v>
      </c>
      <c r="N85" s="19">
        <v>146.36</v>
      </c>
      <c r="O85" s="19">
        <v>139.07</v>
      </c>
      <c r="P85" s="19">
        <v>106.59</v>
      </c>
      <c r="Q85" s="23">
        <v>18.94</v>
      </c>
      <c r="R85" s="23">
        <v>60.81</v>
      </c>
      <c r="S85" s="23">
        <v>88.01</v>
      </c>
      <c r="T85" s="23">
        <v>82.06</v>
      </c>
      <c r="U85" s="23">
        <v>61.87</v>
      </c>
      <c r="V85" s="23">
        <v>39.74</v>
      </c>
      <c r="W85" s="23">
        <v>34.55</v>
      </c>
    </row>
    <row r="86" ht="15.0" customHeight="1">
      <c r="A86" s="14" t="s">
        <v>128</v>
      </c>
      <c r="B86" s="15">
        <v>0.0</v>
      </c>
      <c r="C86" s="20">
        <v>1.02</v>
      </c>
      <c r="D86" s="22">
        <v>-11.94</v>
      </c>
      <c r="E86" s="22">
        <v>-50.36</v>
      </c>
      <c r="F86" s="20">
        <v>8.02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129</v>
      </c>
      <c r="B87" s="15"/>
      <c r="C87" s="15"/>
      <c r="D87" s="22">
        <v>-14.93</v>
      </c>
      <c r="E87" s="22">
        <v>-51.31</v>
      </c>
      <c r="F87" s="20">
        <v>9.02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130</v>
      </c>
      <c r="B88" s="15"/>
      <c r="C88" s="15"/>
      <c r="D88" s="20">
        <v>2.99</v>
      </c>
      <c r="E88" s="20">
        <v>0.95</v>
      </c>
      <c r="F88" s="22">
        <v>-1.0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7" t="s">
        <v>131</v>
      </c>
      <c r="B89" s="18">
        <v>0.0</v>
      </c>
      <c r="C89" s="23">
        <v>1.02</v>
      </c>
      <c r="D89" s="25">
        <v>-11.94</v>
      </c>
      <c r="E89" s="25">
        <v>-50.36</v>
      </c>
      <c r="F89" s="23">
        <v>8.02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130</v>
      </c>
      <c r="B90" s="20">
        <v>28.6</v>
      </c>
      <c r="C90" s="20">
        <v>10.17</v>
      </c>
      <c r="D90" s="20">
        <v>9.95</v>
      </c>
      <c r="E90" s="20">
        <v>19.0</v>
      </c>
      <c r="F90" s="20">
        <v>8.02</v>
      </c>
      <c r="G90" s="22">
        <v>-1.02</v>
      </c>
      <c r="H90" s="15">
        <v>0.0</v>
      </c>
      <c r="I90" s="20">
        <v>6.56</v>
      </c>
      <c r="J90" s="20">
        <v>9.68</v>
      </c>
      <c r="K90" s="20">
        <v>18.66</v>
      </c>
      <c r="L90" s="20">
        <v>22.95</v>
      </c>
      <c r="M90" s="20">
        <v>12.4</v>
      </c>
      <c r="N90" s="20">
        <v>8.93</v>
      </c>
      <c r="O90" s="20">
        <v>7.75</v>
      </c>
      <c r="P90" s="20">
        <v>2.94</v>
      </c>
      <c r="Q90" s="20">
        <v>0.07</v>
      </c>
      <c r="R90" s="20">
        <v>0.1</v>
      </c>
      <c r="S90" s="15">
        <v>0.0</v>
      </c>
      <c r="T90" s="15">
        <v>0.0</v>
      </c>
      <c r="U90" s="15"/>
      <c r="V90" s="15"/>
      <c r="W90" s="15"/>
    </row>
    <row r="91" ht="15.0" customHeight="1">
      <c r="A91" s="17" t="s">
        <v>130</v>
      </c>
      <c r="B91" s="23">
        <v>28.6</v>
      </c>
      <c r="C91" s="23">
        <v>10.17</v>
      </c>
      <c r="D91" s="23">
        <v>9.95</v>
      </c>
      <c r="E91" s="23">
        <v>19.0</v>
      </c>
      <c r="F91" s="23">
        <v>8.02</v>
      </c>
      <c r="G91" s="25">
        <v>-1.02</v>
      </c>
      <c r="H91" s="18">
        <v>0.0</v>
      </c>
      <c r="I91" s="23">
        <v>6.56</v>
      </c>
      <c r="J91" s="23">
        <v>9.68</v>
      </c>
      <c r="K91" s="23">
        <v>18.66</v>
      </c>
      <c r="L91" s="23">
        <v>22.95</v>
      </c>
      <c r="M91" s="23">
        <v>12.4</v>
      </c>
      <c r="N91" s="23">
        <v>8.93</v>
      </c>
      <c r="O91" s="23">
        <v>7.75</v>
      </c>
      <c r="P91" s="23">
        <v>2.94</v>
      </c>
      <c r="Q91" s="23">
        <v>0.07</v>
      </c>
      <c r="R91" s="23">
        <v>0.1</v>
      </c>
      <c r="S91" s="18">
        <v>0.0</v>
      </c>
      <c r="T91" s="18">
        <v>0.0</v>
      </c>
      <c r="U91" s="18"/>
      <c r="V91" s="18"/>
      <c r="W91" s="18"/>
    </row>
    <row r="92" ht="15.0" customHeight="1">
      <c r="A92" s="17" t="s">
        <v>132</v>
      </c>
      <c r="B92" s="19">
        <v>138.75</v>
      </c>
      <c r="C92" s="19">
        <v>316.29</v>
      </c>
      <c r="D92" s="19">
        <v>268.72</v>
      </c>
      <c r="E92" s="19">
        <v>161.52</v>
      </c>
      <c r="F92" s="23">
        <v>95.21</v>
      </c>
      <c r="G92" s="25">
        <v>-21.49</v>
      </c>
      <c r="H92" s="19">
        <v>111.67</v>
      </c>
      <c r="I92" s="23">
        <v>84.28</v>
      </c>
      <c r="J92" s="19">
        <v>308.9</v>
      </c>
      <c r="K92" s="19">
        <v>236.65</v>
      </c>
      <c r="L92" s="19">
        <v>334.64</v>
      </c>
      <c r="M92" s="19">
        <v>187.67</v>
      </c>
      <c r="N92" s="19">
        <v>137.44</v>
      </c>
      <c r="O92" s="19">
        <v>131.32</v>
      </c>
      <c r="P92" s="19">
        <v>103.65</v>
      </c>
      <c r="Q92" s="23">
        <v>18.87</v>
      </c>
      <c r="R92" s="23">
        <v>60.72</v>
      </c>
      <c r="S92" s="23">
        <v>88.01</v>
      </c>
      <c r="T92" s="23">
        <v>82.06</v>
      </c>
      <c r="U92" s="23">
        <v>61.87</v>
      </c>
      <c r="V92" s="23">
        <v>39.74</v>
      </c>
      <c r="W92" s="23">
        <v>34.55</v>
      </c>
    </row>
    <row r="93" ht="15.0" customHeight="1">
      <c r="A93" s="17" t="s">
        <v>133</v>
      </c>
      <c r="B93" s="19">
        <v>138.75</v>
      </c>
      <c r="C93" s="19">
        <v>315.27</v>
      </c>
      <c r="D93" s="19">
        <v>280.67</v>
      </c>
      <c r="E93" s="19">
        <v>211.88</v>
      </c>
      <c r="F93" s="23">
        <v>87.19</v>
      </c>
      <c r="G93" s="25">
        <v>-21.49</v>
      </c>
      <c r="H93" s="19">
        <v>111.67</v>
      </c>
      <c r="I93" s="23">
        <v>84.28</v>
      </c>
      <c r="J93" s="19">
        <v>308.9</v>
      </c>
      <c r="K93" s="19">
        <v>236.65</v>
      </c>
      <c r="L93" s="19">
        <v>334.64</v>
      </c>
      <c r="M93" s="19">
        <v>187.67</v>
      </c>
      <c r="N93" s="19">
        <v>137.44</v>
      </c>
      <c r="O93" s="19">
        <v>131.32</v>
      </c>
      <c r="P93" s="19">
        <v>103.65</v>
      </c>
      <c r="Q93" s="23">
        <v>18.87</v>
      </c>
      <c r="R93" s="23">
        <v>60.72</v>
      </c>
      <c r="S93" s="23">
        <v>88.01</v>
      </c>
      <c r="T93" s="23">
        <v>82.06</v>
      </c>
      <c r="U93" s="23">
        <v>61.87</v>
      </c>
      <c r="V93" s="23">
        <v>39.74</v>
      </c>
      <c r="W93" s="23">
        <v>34.55</v>
      </c>
    </row>
    <row r="94" ht="15.0" customHeight="1">
      <c r="A94" s="17" t="s">
        <v>134</v>
      </c>
      <c r="B94" s="19">
        <v>138.75</v>
      </c>
      <c r="C94" s="19">
        <v>316.29</v>
      </c>
      <c r="D94" s="19">
        <v>268.72</v>
      </c>
      <c r="E94" s="19">
        <v>161.52</v>
      </c>
      <c r="F94" s="23">
        <v>95.21</v>
      </c>
      <c r="G94" s="25">
        <v>-21.49</v>
      </c>
      <c r="H94" s="19">
        <v>111.67</v>
      </c>
      <c r="I94" s="23">
        <v>84.28</v>
      </c>
      <c r="J94" s="19">
        <v>308.9</v>
      </c>
      <c r="K94" s="19">
        <v>236.65</v>
      </c>
      <c r="L94" s="19">
        <v>334.64</v>
      </c>
      <c r="M94" s="19">
        <v>187.67</v>
      </c>
      <c r="N94" s="19">
        <v>137.44</v>
      </c>
      <c r="O94" s="19">
        <v>131.32</v>
      </c>
      <c r="P94" s="19">
        <v>103.65</v>
      </c>
      <c r="Q94" s="23">
        <v>18.87</v>
      </c>
      <c r="R94" s="23">
        <v>60.72</v>
      </c>
      <c r="S94" s="23">
        <v>88.01</v>
      </c>
      <c r="T94" s="23">
        <v>82.06</v>
      </c>
      <c r="U94" s="23">
        <v>61.87</v>
      </c>
      <c r="V94" s="23">
        <v>39.74</v>
      </c>
      <c r="W94" s="23">
        <v>34.55</v>
      </c>
    </row>
    <row r="95" ht="15.0" customHeight="1">
      <c r="A95" s="14" t="s">
        <v>135</v>
      </c>
      <c r="B95" s="15"/>
      <c r="C95" s="15"/>
      <c r="D95" s="15"/>
      <c r="E95" s="15"/>
      <c r="F95" s="15"/>
      <c r="G95" s="15"/>
      <c r="H95" s="15"/>
      <c r="I95" s="15"/>
      <c r="J95" s="22">
        <v>-3.87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136</v>
      </c>
      <c r="B96" s="15"/>
      <c r="C96" s="16">
        <v>326.46</v>
      </c>
      <c r="D96" s="16">
        <v>278.68</v>
      </c>
      <c r="E96" s="16">
        <v>180.53</v>
      </c>
      <c r="F96" s="16">
        <v>103.23</v>
      </c>
      <c r="G96" s="22">
        <v>-22.52</v>
      </c>
      <c r="H96" s="16">
        <v>111.67</v>
      </c>
      <c r="I96" s="20">
        <v>90.84</v>
      </c>
      <c r="J96" s="16">
        <v>318.59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137</v>
      </c>
      <c r="B97" s="15"/>
      <c r="C97" s="22">
        <v>-1.02</v>
      </c>
      <c r="D97" s="15">
        <v>0.0</v>
      </c>
      <c r="E97" s="20">
        <v>4.75</v>
      </c>
      <c r="F97" s="22">
        <v>-2.0</v>
      </c>
      <c r="G97" s="20">
        <v>2.05</v>
      </c>
      <c r="H97" s="22">
        <v>-5.58</v>
      </c>
      <c r="I97" s="20">
        <v>0.94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138</v>
      </c>
      <c r="B98" s="15"/>
      <c r="C98" s="15">
        <v>0.0</v>
      </c>
      <c r="D98" s="15">
        <v>0.0</v>
      </c>
      <c r="E98" s="22">
        <v>-0.95</v>
      </c>
      <c r="F98" s="15">
        <v>0.0</v>
      </c>
      <c r="G98" s="15">
        <v>0.0</v>
      </c>
      <c r="H98" s="20">
        <v>0.93</v>
      </c>
      <c r="I98" s="15">
        <v>0.0</v>
      </c>
      <c r="J98" s="20">
        <v>0.97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139</v>
      </c>
      <c r="B99" s="15"/>
      <c r="C99" s="16">
        <v>101.7</v>
      </c>
      <c r="D99" s="21">
        <v>-143.32</v>
      </c>
      <c r="E99" s="16">
        <v>178.63</v>
      </c>
      <c r="F99" s="16">
        <v>118.26</v>
      </c>
      <c r="G99" s="21">
        <v>-134.08</v>
      </c>
      <c r="H99" s="20">
        <v>44.67</v>
      </c>
      <c r="I99" s="20">
        <v>12.17</v>
      </c>
      <c r="J99" s="20">
        <v>20.34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140</v>
      </c>
      <c r="B100" s="15"/>
      <c r="C100" s="20">
        <v>1.02</v>
      </c>
      <c r="D100" s="22">
        <v>-8.96</v>
      </c>
      <c r="E100" s="20">
        <v>37.06</v>
      </c>
      <c r="F100" s="20">
        <v>13.03</v>
      </c>
      <c r="G100" s="22">
        <v>-12.28</v>
      </c>
      <c r="H100" s="22">
        <v>-16.75</v>
      </c>
      <c r="I100" s="22">
        <v>-4.68</v>
      </c>
      <c r="J100" s="22">
        <v>-8.72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141</v>
      </c>
      <c r="B101" s="15"/>
      <c r="C101" s="22">
        <v>-8.14</v>
      </c>
      <c r="D101" s="20">
        <v>25.88</v>
      </c>
      <c r="E101" s="22">
        <v>-18.05</v>
      </c>
      <c r="F101" s="22">
        <v>-1.0</v>
      </c>
      <c r="G101" s="20">
        <v>5.12</v>
      </c>
      <c r="H101" s="22">
        <v>-1.86</v>
      </c>
      <c r="I101" s="20">
        <v>4.68</v>
      </c>
      <c r="J101" s="22">
        <v>-9.68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142</v>
      </c>
      <c r="B102" s="15"/>
      <c r="C102" s="20">
        <v>2.03</v>
      </c>
      <c r="D102" s="22">
        <v>-3.98</v>
      </c>
      <c r="E102" s="22">
        <v>-0.95</v>
      </c>
      <c r="F102" s="22">
        <v>-5.01</v>
      </c>
      <c r="G102" s="15">
        <v>0.0</v>
      </c>
      <c r="H102" s="20">
        <v>2.79</v>
      </c>
      <c r="I102" s="22">
        <v>-3.75</v>
      </c>
      <c r="J102" s="20">
        <v>0.97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143</v>
      </c>
      <c r="B103" s="15"/>
      <c r="C103" s="22">
        <v>-3.05</v>
      </c>
      <c r="D103" s="20">
        <v>1.99</v>
      </c>
      <c r="E103" s="22">
        <v>-15.2</v>
      </c>
      <c r="F103" s="20">
        <v>8.02</v>
      </c>
      <c r="G103" s="20">
        <v>7.16</v>
      </c>
      <c r="H103" s="20">
        <v>5.58</v>
      </c>
      <c r="I103" s="20">
        <v>15.92</v>
      </c>
      <c r="J103" s="20">
        <v>13.56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144</v>
      </c>
      <c r="B104" s="15"/>
      <c r="C104" s="20">
        <v>40.68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145</v>
      </c>
      <c r="B105" s="15"/>
      <c r="C105" s="20">
        <v>1.02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146</v>
      </c>
      <c r="B106" s="18"/>
      <c r="C106" s="19">
        <v>134.24</v>
      </c>
      <c r="D106" s="24">
        <v>-128.39</v>
      </c>
      <c r="E106" s="19">
        <v>185.28</v>
      </c>
      <c r="F106" s="19">
        <v>131.29</v>
      </c>
      <c r="G106" s="24">
        <v>-132.03</v>
      </c>
      <c r="H106" s="23">
        <v>29.78</v>
      </c>
      <c r="I106" s="23">
        <v>25.28</v>
      </c>
      <c r="J106" s="23">
        <v>13.56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132</v>
      </c>
      <c r="B107" s="15"/>
      <c r="C107" s="16">
        <v>440.36</v>
      </c>
      <c r="D107" s="16">
        <v>148.3</v>
      </c>
      <c r="E107" s="16">
        <v>338.25</v>
      </c>
      <c r="F107" s="16">
        <v>213.47</v>
      </c>
      <c r="G107" s="21">
        <v>-144.31</v>
      </c>
      <c r="H107" s="16">
        <v>139.59</v>
      </c>
      <c r="I107" s="16">
        <v>107.69</v>
      </c>
      <c r="J107" s="16">
        <v>325.36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130</v>
      </c>
      <c r="B108" s="15"/>
      <c r="C108" s="20">
        <v>19.32</v>
      </c>
      <c r="D108" s="20">
        <v>1.99</v>
      </c>
      <c r="E108" s="20">
        <v>27.55</v>
      </c>
      <c r="F108" s="20">
        <v>21.05</v>
      </c>
      <c r="G108" s="22">
        <v>-10.23</v>
      </c>
      <c r="H108" s="20">
        <v>1.86</v>
      </c>
      <c r="I108" s="20">
        <v>8.43</v>
      </c>
      <c r="J108" s="20">
        <v>6.78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7" t="s">
        <v>147</v>
      </c>
      <c r="B109" s="18"/>
      <c r="C109" s="19">
        <v>459.68</v>
      </c>
      <c r="D109" s="19">
        <v>150.29</v>
      </c>
      <c r="E109" s="19">
        <v>365.81</v>
      </c>
      <c r="F109" s="19">
        <v>234.52</v>
      </c>
      <c r="G109" s="24">
        <v>-154.55</v>
      </c>
      <c r="H109" s="19">
        <v>141.45</v>
      </c>
      <c r="I109" s="19">
        <v>116.12</v>
      </c>
      <c r="J109" s="19">
        <v>332.14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148</v>
      </c>
      <c r="B110" s="16">
        <v>254.49</v>
      </c>
      <c r="C110" s="16">
        <v>226.18</v>
      </c>
      <c r="D110" s="16">
        <v>218.02</v>
      </c>
      <c r="E110" s="16">
        <v>218.1</v>
      </c>
      <c r="F110" s="16">
        <v>191.4</v>
      </c>
      <c r="G110" s="16">
        <v>158.92</v>
      </c>
      <c r="H110" s="16">
        <v>158.92</v>
      </c>
      <c r="I110" s="16">
        <v>158.92</v>
      </c>
      <c r="J110" s="16">
        <v>158.92</v>
      </c>
      <c r="K110" s="16">
        <v>158.45</v>
      </c>
      <c r="L110" s="16">
        <v>157.89</v>
      </c>
      <c r="M110" s="16">
        <v>157.89</v>
      </c>
      <c r="N110" s="16">
        <v>157.89</v>
      </c>
      <c r="O110" s="16">
        <v>150.32</v>
      </c>
      <c r="P110" s="16">
        <v>133.05</v>
      </c>
      <c r="Q110" s="16">
        <v>133.05</v>
      </c>
      <c r="R110" s="16">
        <v>133.04</v>
      </c>
      <c r="S110" s="16">
        <v>131.67</v>
      </c>
      <c r="T110" s="16">
        <v>130.32</v>
      </c>
      <c r="U110" s="16">
        <v>128.45</v>
      </c>
      <c r="V110" s="16">
        <v>124.73</v>
      </c>
      <c r="W110" s="16">
        <v>124.73</v>
      </c>
    </row>
    <row r="111" ht="15.0" customHeight="1">
      <c r="A111" s="14" t="s">
        <v>149</v>
      </c>
      <c r="B111" s="16">
        <v>255.81</v>
      </c>
      <c r="C111" s="16">
        <v>227.41</v>
      </c>
      <c r="D111" s="16">
        <v>219.28</v>
      </c>
      <c r="E111" s="16">
        <v>218.1</v>
      </c>
      <c r="F111" s="16">
        <v>191.4</v>
      </c>
      <c r="G111" s="16">
        <v>158.92</v>
      </c>
      <c r="H111" s="16">
        <v>158.92</v>
      </c>
      <c r="I111" s="16">
        <v>158.92</v>
      </c>
      <c r="J111" s="16">
        <v>162.89</v>
      </c>
      <c r="K111" s="16">
        <v>162.89</v>
      </c>
      <c r="L111" s="16">
        <v>161.86</v>
      </c>
      <c r="M111" s="16">
        <v>161.86</v>
      </c>
      <c r="N111" s="16">
        <v>160.92</v>
      </c>
      <c r="O111" s="16">
        <v>160.92</v>
      </c>
      <c r="P111" s="16">
        <v>157.89</v>
      </c>
      <c r="Q111" s="16">
        <v>157.89</v>
      </c>
      <c r="R111" s="16">
        <v>158.16</v>
      </c>
      <c r="S111" s="16">
        <v>146.32</v>
      </c>
      <c r="T111" s="16">
        <v>133.02</v>
      </c>
      <c r="U111" s="16">
        <v>131.15</v>
      </c>
      <c r="V111" s="16">
        <v>126.08</v>
      </c>
      <c r="W111" s="16">
        <v>124.73</v>
      </c>
    </row>
    <row r="112" ht="15.0" customHeight="1">
      <c r="A112" s="14" t="s">
        <v>150</v>
      </c>
      <c r="B112" s="20">
        <v>0.54</v>
      </c>
      <c r="C112" s="20">
        <v>1.39</v>
      </c>
      <c r="D112" s="20">
        <v>1.28</v>
      </c>
      <c r="E112" s="20">
        <v>0.97</v>
      </c>
      <c r="F112" s="20">
        <v>0.46</v>
      </c>
      <c r="G112" s="22">
        <v>-0.14</v>
      </c>
      <c r="H112" s="20">
        <v>0.7</v>
      </c>
      <c r="I112" s="20">
        <v>0.53</v>
      </c>
      <c r="J112" s="20">
        <v>1.94</v>
      </c>
      <c r="K112" s="20">
        <v>1.49</v>
      </c>
      <c r="L112" s="20">
        <v>2.12</v>
      </c>
      <c r="M112" s="20">
        <v>1.19</v>
      </c>
      <c r="N112" s="20">
        <v>0.87</v>
      </c>
      <c r="O112" s="20">
        <v>0.87</v>
      </c>
      <c r="P112" s="20">
        <v>0.78</v>
      </c>
      <c r="Q112" s="20">
        <v>0.14</v>
      </c>
      <c r="R112" s="20">
        <v>0.46</v>
      </c>
      <c r="S112" s="20">
        <v>1.34</v>
      </c>
      <c r="T112" s="20">
        <v>0.63</v>
      </c>
      <c r="U112" s="20">
        <v>0.48</v>
      </c>
      <c r="V112" s="20">
        <v>0.32</v>
      </c>
      <c r="W112" s="20">
        <v>1.11</v>
      </c>
    </row>
    <row r="113" ht="15.0" customHeight="1">
      <c r="A113" s="14" t="s">
        <v>151</v>
      </c>
      <c r="B113" s="20">
        <v>0.54</v>
      </c>
      <c r="C113" s="20">
        <v>1.4</v>
      </c>
      <c r="D113" s="20">
        <v>1.23</v>
      </c>
      <c r="E113" s="20">
        <v>0.74</v>
      </c>
      <c r="F113" s="20">
        <v>0.5</v>
      </c>
      <c r="G113" s="22">
        <v>-0.14</v>
      </c>
      <c r="H113" s="20">
        <v>0.7</v>
      </c>
      <c r="I113" s="20">
        <v>0.53</v>
      </c>
      <c r="J113" s="20">
        <v>1.94</v>
      </c>
      <c r="K113" s="20">
        <v>1.49</v>
      </c>
      <c r="L113" s="20">
        <v>2.12</v>
      </c>
      <c r="M113" s="20">
        <v>1.19</v>
      </c>
      <c r="N113" s="20">
        <v>0.87</v>
      </c>
      <c r="O113" s="20">
        <v>0.87</v>
      </c>
      <c r="P113" s="20">
        <v>0.78</v>
      </c>
      <c r="Q113" s="20">
        <v>0.14</v>
      </c>
      <c r="R113" s="20">
        <v>0.46</v>
      </c>
      <c r="S113" s="20">
        <v>1.34</v>
      </c>
      <c r="T113" s="20">
        <v>0.63</v>
      </c>
      <c r="U113" s="20">
        <v>0.48</v>
      </c>
      <c r="V113" s="20">
        <v>0.32</v>
      </c>
      <c r="W113" s="20">
        <v>1.11</v>
      </c>
    </row>
    <row r="114" ht="15.0" customHeight="1">
      <c r="A114" s="14" t="s">
        <v>152</v>
      </c>
      <c r="B114" s="16">
        <v>138.75</v>
      </c>
      <c r="C114" s="16">
        <v>316.29</v>
      </c>
      <c r="D114" s="16">
        <v>268.72</v>
      </c>
      <c r="E114" s="16">
        <v>161.52</v>
      </c>
      <c r="F114" s="20">
        <v>95.21</v>
      </c>
      <c r="G114" s="22">
        <v>-21.49</v>
      </c>
      <c r="H114" s="16">
        <v>111.67</v>
      </c>
      <c r="I114" s="20">
        <v>84.28</v>
      </c>
      <c r="J114" s="16">
        <v>308.9</v>
      </c>
      <c r="K114" s="16">
        <v>236.65</v>
      </c>
      <c r="L114" s="16">
        <v>336.17</v>
      </c>
      <c r="M114" s="16">
        <v>188.95</v>
      </c>
      <c r="N114" s="16">
        <v>137.44</v>
      </c>
      <c r="O114" s="16">
        <v>131.9</v>
      </c>
      <c r="P114" s="16">
        <v>103.65</v>
      </c>
      <c r="Q114" s="20">
        <v>18.87</v>
      </c>
      <c r="R114" s="20">
        <v>66.27</v>
      </c>
      <c r="S114" s="20">
        <v>91.95</v>
      </c>
      <c r="T114" s="20">
        <v>83.03</v>
      </c>
      <c r="U114" s="20">
        <v>61.87</v>
      </c>
      <c r="V114" s="20">
        <v>39.74</v>
      </c>
      <c r="W114" s="20">
        <v>34.55</v>
      </c>
    </row>
    <row r="115" ht="15.0" customHeight="1">
      <c r="A115" s="14" t="s">
        <v>153</v>
      </c>
      <c r="B115" s="20">
        <v>0.54</v>
      </c>
      <c r="C115" s="20">
        <v>1.39</v>
      </c>
      <c r="D115" s="20">
        <v>1.28</v>
      </c>
      <c r="E115" s="20">
        <v>0.97</v>
      </c>
      <c r="F115" s="20">
        <v>0.46</v>
      </c>
      <c r="G115" s="22">
        <v>-0.14</v>
      </c>
      <c r="H115" s="20">
        <v>0.7</v>
      </c>
      <c r="I115" s="20">
        <v>0.53</v>
      </c>
      <c r="J115" s="20">
        <v>1.93</v>
      </c>
      <c r="K115" s="20">
        <v>1.47</v>
      </c>
      <c r="L115" s="20">
        <v>2.08</v>
      </c>
      <c r="M115" s="20">
        <v>1.17</v>
      </c>
      <c r="N115" s="20">
        <v>0.86</v>
      </c>
      <c r="O115" s="20">
        <v>0.82</v>
      </c>
      <c r="P115" s="20">
        <v>0.66</v>
      </c>
      <c r="Q115" s="20">
        <v>0.24</v>
      </c>
      <c r="R115" s="20">
        <v>0.42</v>
      </c>
      <c r="S115" s="20">
        <v>0.63</v>
      </c>
      <c r="T115" s="20">
        <v>0.62</v>
      </c>
      <c r="U115" s="20">
        <v>0.47</v>
      </c>
      <c r="V115" s="20">
        <v>0.32</v>
      </c>
      <c r="W115" s="20">
        <v>1.11</v>
      </c>
    </row>
    <row r="116" ht="15.0" customHeight="1">
      <c r="A116" s="14" t="s">
        <v>154</v>
      </c>
      <c r="B116" s="20">
        <v>0.54</v>
      </c>
      <c r="C116" s="20">
        <v>1.39</v>
      </c>
      <c r="D116" s="20">
        <v>1.22</v>
      </c>
      <c r="E116" s="20">
        <v>0.74</v>
      </c>
      <c r="F116" s="20">
        <v>0.5</v>
      </c>
      <c r="G116" s="22">
        <v>-0.14</v>
      </c>
      <c r="H116" s="20">
        <v>0.7</v>
      </c>
      <c r="I116" s="20">
        <v>0.53</v>
      </c>
      <c r="J116" s="20">
        <v>1.93</v>
      </c>
      <c r="K116" s="20">
        <v>1.47</v>
      </c>
      <c r="L116" s="20">
        <v>2.08</v>
      </c>
      <c r="M116" s="20">
        <v>1.17</v>
      </c>
      <c r="N116" s="20">
        <v>0.86</v>
      </c>
      <c r="O116" s="20">
        <v>0.82</v>
      </c>
      <c r="P116" s="20">
        <v>0.69</v>
      </c>
      <c r="Q116" s="20">
        <v>0.14</v>
      </c>
      <c r="R116" s="20">
        <v>0.42</v>
      </c>
      <c r="S116" s="20">
        <v>0.63</v>
      </c>
      <c r="T116" s="20">
        <v>0.62</v>
      </c>
      <c r="U116" s="20">
        <v>0.94</v>
      </c>
      <c r="V116" s="20">
        <v>0.32</v>
      </c>
      <c r="W116" s="20">
        <v>1.11</v>
      </c>
    </row>
    <row r="117" ht="15.0" customHeight="1">
      <c r="A117" s="14" t="s">
        <v>155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>
        <v>0.0</v>
      </c>
      <c r="L117" s="20">
        <v>1.53</v>
      </c>
      <c r="M117" s="20">
        <v>1.29</v>
      </c>
      <c r="N117" s="20">
        <v>1.04</v>
      </c>
      <c r="O117" s="20">
        <v>0.58</v>
      </c>
      <c r="P117" s="20">
        <v>5.58</v>
      </c>
      <c r="Q117" s="15"/>
      <c r="R117" s="20">
        <v>5.56</v>
      </c>
      <c r="S117" s="20">
        <v>3.93</v>
      </c>
      <c r="T117" s="20">
        <v>0.96</v>
      </c>
      <c r="U117" s="15"/>
      <c r="V117" s="15"/>
      <c r="W117" s="15"/>
    </row>
    <row r="118" ht="15.0" customHeight="1">
      <c r="A118" s="14" t="s">
        <v>156</v>
      </c>
      <c r="B118" s="16">
        <v>138.18</v>
      </c>
      <c r="C118" s="16">
        <v>316.85</v>
      </c>
      <c r="D118" s="16">
        <v>281.53</v>
      </c>
      <c r="E118" s="16">
        <v>211.88</v>
      </c>
      <c r="F118" s="20">
        <v>87.19</v>
      </c>
      <c r="G118" s="22">
        <v>-21.49</v>
      </c>
      <c r="H118" s="16">
        <v>111.67</v>
      </c>
      <c r="I118" s="20">
        <v>84.28</v>
      </c>
      <c r="J118" s="16">
        <v>308.9</v>
      </c>
      <c r="K118" s="16">
        <v>236.65</v>
      </c>
      <c r="L118" s="16">
        <v>336.17</v>
      </c>
      <c r="M118" s="16">
        <v>188.95</v>
      </c>
      <c r="N118" s="16">
        <v>138.48</v>
      </c>
      <c r="O118" s="16">
        <v>131.9</v>
      </c>
      <c r="P118" s="16">
        <v>109.24</v>
      </c>
      <c r="Q118" s="20">
        <v>37.73</v>
      </c>
      <c r="R118" s="20">
        <v>66.27</v>
      </c>
      <c r="S118" s="20">
        <v>91.95</v>
      </c>
      <c r="T118" s="20">
        <v>83.03</v>
      </c>
      <c r="U118" s="20">
        <v>61.87</v>
      </c>
      <c r="V118" s="20">
        <v>39.74</v>
      </c>
      <c r="W118" s="20">
        <v>34.55</v>
      </c>
    </row>
    <row r="119" ht="15.0" customHeight="1">
      <c r="A119" s="14" t="s">
        <v>112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0">
        <v>28.62</v>
      </c>
      <c r="R119" s="20">
        <v>32.75</v>
      </c>
      <c r="S119" s="15"/>
      <c r="T119" s="20">
        <v>30.58</v>
      </c>
      <c r="U119" s="15"/>
      <c r="V119" s="20">
        <v>12.61</v>
      </c>
      <c r="W119" s="20">
        <v>9.37</v>
      </c>
    </row>
    <row r="120" ht="15.0" customHeight="1">
      <c r="A120" s="14" t="s">
        <v>157</v>
      </c>
      <c r="B120" s="15"/>
      <c r="C120" s="20">
        <v>21.36</v>
      </c>
      <c r="D120" s="20">
        <v>21.9</v>
      </c>
      <c r="E120" s="20">
        <v>19.0</v>
      </c>
      <c r="F120" s="20">
        <v>19.04</v>
      </c>
      <c r="G120" s="20">
        <v>21.49</v>
      </c>
      <c r="H120" s="20">
        <v>17.68</v>
      </c>
      <c r="I120" s="20">
        <v>14.05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158</v>
      </c>
      <c r="B121" s="15"/>
      <c r="C121" s="20">
        <v>9.15</v>
      </c>
      <c r="D121" s="20">
        <v>8.96</v>
      </c>
      <c r="E121" s="20">
        <v>8.55</v>
      </c>
      <c r="F121" s="20">
        <v>9.02</v>
      </c>
      <c r="G121" s="20">
        <v>11.26</v>
      </c>
      <c r="H121" s="20">
        <v>9.31</v>
      </c>
      <c r="I121" s="20">
        <v>10.3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159</v>
      </c>
      <c r="B122" s="15"/>
      <c r="C122" s="15"/>
      <c r="D122" s="15"/>
      <c r="E122" s="15"/>
      <c r="F122" s="15"/>
      <c r="G122" s="15"/>
      <c r="H122" s="15"/>
      <c r="I122" s="15"/>
      <c r="J122" s="20">
        <v>21.3</v>
      </c>
      <c r="K122" s="20">
        <v>16.69</v>
      </c>
      <c r="L122" s="20">
        <v>6.69</v>
      </c>
      <c r="M122" s="20">
        <v>6.25</v>
      </c>
      <c r="N122" s="20">
        <v>5.01</v>
      </c>
      <c r="O122" s="20">
        <v>4.47</v>
      </c>
      <c r="P122" s="20">
        <v>4.2</v>
      </c>
      <c r="Q122" s="20">
        <v>0.87</v>
      </c>
      <c r="R122" s="15"/>
      <c r="S122" s="15"/>
      <c r="T122" s="15"/>
      <c r="U122" s="15"/>
      <c r="V122" s="15"/>
      <c r="W122" s="15"/>
    </row>
    <row r="123" ht="15.0" customHeight="1">
      <c r="A123" s="14" t="s">
        <v>160</v>
      </c>
      <c r="B123" s="15"/>
      <c r="C123" s="20">
        <v>92.55</v>
      </c>
      <c r="D123" s="20">
        <v>86.59</v>
      </c>
      <c r="E123" s="20">
        <v>84.56</v>
      </c>
      <c r="F123" s="20">
        <v>97.21</v>
      </c>
      <c r="G123" s="16">
        <v>106.44</v>
      </c>
      <c r="H123" s="16">
        <v>102.36</v>
      </c>
      <c r="I123" s="16">
        <v>108.63</v>
      </c>
      <c r="J123" s="16">
        <v>113.3</v>
      </c>
      <c r="K123" s="20">
        <v>92.3</v>
      </c>
      <c r="L123" s="20">
        <v>77.44</v>
      </c>
      <c r="M123" s="20">
        <v>70.18</v>
      </c>
      <c r="N123" s="20">
        <v>64.76</v>
      </c>
      <c r="O123" s="20">
        <v>66.7</v>
      </c>
      <c r="P123" s="20">
        <v>63.99</v>
      </c>
      <c r="Q123" s="20">
        <v>60.66</v>
      </c>
      <c r="R123" s="20">
        <v>59.96</v>
      </c>
      <c r="S123" s="15"/>
      <c r="T123" s="20">
        <v>32.57</v>
      </c>
      <c r="U123" s="20">
        <v>13.92</v>
      </c>
      <c r="V123" s="20">
        <v>24.58</v>
      </c>
      <c r="W123" s="20">
        <v>19.28</v>
      </c>
    </row>
    <row r="124" ht="15.0" customHeight="1">
      <c r="A124" s="14" t="s">
        <v>161</v>
      </c>
      <c r="B124" s="15"/>
      <c r="C124" s="16">
        <v>135.26</v>
      </c>
      <c r="D124" s="16">
        <v>135.36</v>
      </c>
      <c r="E124" s="16">
        <v>145.37</v>
      </c>
      <c r="F124" s="16">
        <v>147.32</v>
      </c>
      <c r="G124" s="16">
        <v>131.01</v>
      </c>
      <c r="H124" s="16">
        <v>125.63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162</v>
      </c>
      <c r="B125" s="16">
        <v>533.82</v>
      </c>
      <c r="C125" s="16">
        <v>258.32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163</v>
      </c>
      <c r="B126" s="15"/>
      <c r="C126" s="15"/>
      <c r="D126" s="15"/>
      <c r="E126" s="15"/>
      <c r="F126" s="15"/>
      <c r="G126" s="15"/>
      <c r="H126" s="15"/>
      <c r="I126" s="16">
        <v>149.83</v>
      </c>
      <c r="J126" s="16">
        <v>146.22</v>
      </c>
      <c r="K126" s="16">
        <v>125.69</v>
      </c>
      <c r="L126" s="16">
        <v>100.39</v>
      </c>
      <c r="M126" s="20">
        <v>82.03</v>
      </c>
      <c r="N126" s="20">
        <v>75.78</v>
      </c>
      <c r="O126" s="20">
        <v>72.1</v>
      </c>
      <c r="P126" s="20">
        <v>38.45</v>
      </c>
      <c r="Q126" s="20">
        <v>30.74</v>
      </c>
      <c r="R126" s="20">
        <v>67.2</v>
      </c>
      <c r="S126" s="15"/>
      <c r="T126" s="20">
        <v>30.49</v>
      </c>
      <c r="U126" s="15"/>
      <c r="V126" s="20">
        <v>21.42</v>
      </c>
      <c r="W126" s="15"/>
    </row>
    <row r="127" ht="15.0" customHeight="1">
      <c r="A127" s="14" t="s">
        <v>164</v>
      </c>
      <c r="B127" s="15"/>
      <c r="C127" s="20">
        <v>11.19</v>
      </c>
      <c r="D127" s="20">
        <v>10.95</v>
      </c>
      <c r="E127" s="20">
        <v>10.45</v>
      </c>
      <c r="F127" s="20">
        <v>8.02</v>
      </c>
      <c r="G127" s="20">
        <v>6.14</v>
      </c>
      <c r="H127" s="20">
        <v>6.51</v>
      </c>
      <c r="I127" s="20">
        <v>7.49</v>
      </c>
      <c r="J127" s="20">
        <v>7.75</v>
      </c>
      <c r="K127" s="20">
        <v>5.89</v>
      </c>
      <c r="L127" s="20">
        <v>4.78</v>
      </c>
      <c r="M127" s="20">
        <v>3.86</v>
      </c>
      <c r="N127" s="20">
        <v>3.12</v>
      </c>
      <c r="O127" s="20">
        <v>3.73</v>
      </c>
      <c r="P127" s="20">
        <v>3.31</v>
      </c>
      <c r="Q127" s="20">
        <v>3.03</v>
      </c>
      <c r="R127" s="20">
        <v>3.1</v>
      </c>
      <c r="S127" s="15"/>
      <c r="T127" s="20">
        <v>2.94</v>
      </c>
      <c r="U127" s="15"/>
      <c r="V127" s="15"/>
      <c r="W127" s="15"/>
    </row>
    <row r="128" ht="15.0" customHeight="1">
      <c r="A128" s="14" t="s">
        <v>165</v>
      </c>
      <c r="B128" s="15"/>
      <c r="C128" s="20">
        <v>1.02</v>
      </c>
      <c r="D128" s="15">
        <v>0.0</v>
      </c>
      <c r="E128" s="15">
        <v>0.0</v>
      </c>
      <c r="F128" s="20">
        <v>1.0</v>
      </c>
      <c r="G128" s="20">
        <v>2.05</v>
      </c>
      <c r="H128" s="20">
        <v>0.93</v>
      </c>
      <c r="I128" s="20">
        <v>0.94</v>
      </c>
      <c r="J128" s="15">
        <v>0.0</v>
      </c>
      <c r="K128" s="20">
        <v>0.98</v>
      </c>
      <c r="L128" s="15">
        <v>0.0</v>
      </c>
      <c r="M128" s="20">
        <v>0.18</v>
      </c>
      <c r="N128" s="20">
        <v>0.21</v>
      </c>
      <c r="O128" s="20">
        <v>0.25</v>
      </c>
      <c r="P128" s="20">
        <v>0.07</v>
      </c>
      <c r="Q128" s="20">
        <v>0.08</v>
      </c>
      <c r="R128" s="15"/>
      <c r="S128" s="15"/>
      <c r="T128" s="15"/>
      <c r="U128" s="15"/>
      <c r="V128" s="15"/>
      <c r="W128" s="15"/>
    </row>
    <row r="129" ht="15.0" customHeight="1">
      <c r="A129" s="14" t="s">
        <v>166</v>
      </c>
      <c r="B129" s="15"/>
      <c r="C129" s="20">
        <v>3.05</v>
      </c>
      <c r="D129" s="20">
        <v>2.99</v>
      </c>
      <c r="E129" s="20">
        <v>2.85</v>
      </c>
      <c r="F129" s="20">
        <v>3.01</v>
      </c>
      <c r="G129" s="20">
        <v>3.07</v>
      </c>
      <c r="H129" s="20">
        <v>2.79</v>
      </c>
      <c r="I129" s="20">
        <v>3.75</v>
      </c>
      <c r="J129" s="20">
        <v>2.91</v>
      </c>
      <c r="K129" s="20">
        <v>2.95</v>
      </c>
      <c r="L129" s="20">
        <v>1.91</v>
      </c>
      <c r="M129" s="20">
        <v>1.56</v>
      </c>
      <c r="N129" s="20">
        <v>1.0</v>
      </c>
      <c r="O129" s="20">
        <v>0.74</v>
      </c>
      <c r="P129" s="20">
        <v>0.09</v>
      </c>
      <c r="Q129" s="20">
        <v>0.1</v>
      </c>
      <c r="R129" s="15"/>
      <c r="S129" s="15"/>
      <c r="T129" s="15"/>
      <c r="U129" s="15"/>
      <c r="V129" s="15"/>
      <c r="W129" s="15"/>
    </row>
    <row r="130" ht="15.0" customHeight="1">
      <c r="A130" s="14" t="s">
        <v>167</v>
      </c>
      <c r="B130" s="15"/>
      <c r="C130" s="20">
        <v>2.03</v>
      </c>
      <c r="D130" s="20">
        <v>1.0</v>
      </c>
      <c r="E130" s="20">
        <v>0.95</v>
      </c>
      <c r="F130" s="20">
        <v>1.0</v>
      </c>
      <c r="G130" s="20">
        <v>1.02</v>
      </c>
      <c r="H130" s="20">
        <v>0.93</v>
      </c>
      <c r="I130" s="20">
        <v>0.94</v>
      </c>
      <c r="J130" s="20">
        <v>0.97</v>
      </c>
      <c r="K130" s="20">
        <v>0.98</v>
      </c>
      <c r="L130" s="20">
        <v>1.91</v>
      </c>
      <c r="M130" s="20">
        <v>0.28</v>
      </c>
      <c r="N130" s="20">
        <v>0.82</v>
      </c>
      <c r="O130" s="20">
        <v>0.2</v>
      </c>
      <c r="P130" s="20">
        <v>0.82</v>
      </c>
      <c r="Q130" s="20">
        <v>0.69</v>
      </c>
      <c r="R130" s="20">
        <v>0.7</v>
      </c>
      <c r="S130" s="15"/>
      <c r="T130" s="20">
        <v>0.42</v>
      </c>
      <c r="U130" s="15"/>
      <c r="V130" s="15"/>
      <c r="W130" s="15"/>
    </row>
    <row r="131" ht="15.0" customHeight="1">
      <c r="A131" s="14" t="s">
        <v>168</v>
      </c>
      <c r="B131" s="15"/>
      <c r="C131" s="20">
        <v>17.29</v>
      </c>
      <c r="D131" s="20">
        <v>14.93</v>
      </c>
      <c r="E131" s="20">
        <v>14.25</v>
      </c>
      <c r="F131" s="20">
        <v>13.03</v>
      </c>
      <c r="G131" s="20">
        <v>12.28</v>
      </c>
      <c r="H131" s="20">
        <v>11.17</v>
      </c>
      <c r="I131" s="20">
        <v>13.11</v>
      </c>
      <c r="J131" s="20">
        <v>11.62</v>
      </c>
      <c r="K131" s="20">
        <v>10.8</v>
      </c>
      <c r="L131" s="20">
        <v>8.6</v>
      </c>
      <c r="M131" s="20">
        <v>5.88</v>
      </c>
      <c r="N131" s="20">
        <v>5.15</v>
      </c>
      <c r="O131" s="20">
        <v>4.92</v>
      </c>
      <c r="P131" s="20">
        <v>4.29</v>
      </c>
      <c r="Q131" s="20">
        <v>3.9</v>
      </c>
      <c r="R131" s="20">
        <v>3.8</v>
      </c>
      <c r="S131" s="15"/>
      <c r="T131" s="20">
        <v>3.36</v>
      </c>
      <c r="U131" s="15"/>
      <c r="V131" s="15"/>
      <c r="W131" s="15"/>
    </row>
    <row r="132" ht="15.0" customHeight="1">
      <c r="A132" s="14" t="s">
        <v>169</v>
      </c>
      <c r="B132" s="15"/>
      <c r="C132" s="16">
        <v>227.81</v>
      </c>
      <c r="D132" s="16">
        <v>221.95</v>
      </c>
      <c r="E132" s="16">
        <v>229.94</v>
      </c>
      <c r="F132" s="16">
        <v>244.54</v>
      </c>
      <c r="G132" s="16">
        <v>237.45</v>
      </c>
      <c r="H132" s="16">
        <v>227.99</v>
      </c>
      <c r="I132" s="16">
        <v>108.63</v>
      </c>
      <c r="J132" s="16">
        <v>113.3</v>
      </c>
      <c r="K132" s="20">
        <v>92.3</v>
      </c>
      <c r="L132" s="20">
        <v>77.44</v>
      </c>
      <c r="M132" s="20">
        <v>70.18</v>
      </c>
      <c r="N132" s="20">
        <v>64.76</v>
      </c>
      <c r="O132" s="20">
        <v>66.7</v>
      </c>
      <c r="P132" s="20">
        <v>63.99</v>
      </c>
      <c r="Q132" s="20">
        <v>60.66</v>
      </c>
      <c r="R132" s="20">
        <v>59.96</v>
      </c>
      <c r="S132" s="15"/>
      <c r="T132" s="20">
        <v>32.57</v>
      </c>
      <c r="U132" s="20">
        <v>13.92</v>
      </c>
      <c r="V132" s="20">
        <v>24.58</v>
      </c>
      <c r="W132" s="20">
        <v>19.28</v>
      </c>
    </row>
    <row r="133" ht="15.0" customHeight="1">
      <c r="A133" s="14" t="s">
        <v>170</v>
      </c>
      <c r="B133" s="16">
        <v>533.82</v>
      </c>
      <c r="C133" s="16">
        <v>258.32</v>
      </c>
      <c r="D133" s="16">
        <v>252.8</v>
      </c>
      <c r="E133" s="16">
        <v>257.49</v>
      </c>
      <c r="F133" s="16">
        <v>272.6</v>
      </c>
      <c r="G133" s="16">
        <v>270.2</v>
      </c>
      <c r="H133" s="16">
        <v>255.91</v>
      </c>
      <c r="I133" s="16">
        <v>132.98</v>
      </c>
      <c r="J133" s="16">
        <v>134.6</v>
      </c>
      <c r="K133" s="16">
        <v>109.0</v>
      </c>
      <c r="L133" s="20">
        <v>84.14</v>
      </c>
      <c r="M133" s="20">
        <v>76.43</v>
      </c>
      <c r="N133" s="20">
        <v>69.77</v>
      </c>
      <c r="O133" s="20">
        <v>71.17</v>
      </c>
      <c r="P133" s="20">
        <v>67.8</v>
      </c>
      <c r="Q133" s="20">
        <v>61.53</v>
      </c>
      <c r="R133" s="20">
        <v>59.96</v>
      </c>
      <c r="S133" s="15"/>
      <c r="T133" s="20">
        <v>32.57</v>
      </c>
      <c r="U133" s="20">
        <v>29.88</v>
      </c>
      <c r="V133" s="20">
        <v>24.58</v>
      </c>
      <c r="W133" s="20">
        <v>19.28</v>
      </c>
    </row>
    <row r="134" ht="15.0" customHeight="1">
      <c r="A134" s="14" t="s">
        <v>171</v>
      </c>
      <c r="B134" s="15"/>
      <c r="C134" s="20">
        <v>30.51</v>
      </c>
      <c r="D134" s="20">
        <v>30.85</v>
      </c>
      <c r="E134" s="20">
        <v>27.55</v>
      </c>
      <c r="F134" s="20">
        <v>28.06</v>
      </c>
      <c r="G134" s="20">
        <v>32.75</v>
      </c>
      <c r="H134" s="20">
        <v>26.99</v>
      </c>
      <c r="I134" s="20">
        <v>24.35</v>
      </c>
      <c r="J134" s="20">
        <v>21.3</v>
      </c>
      <c r="K134" s="20">
        <v>16.69</v>
      </c>
      <c r="L134" s="20">
        <v>6.69</v>
      </c>
      <c r="M134" s="20">
        <v>6.25</v>
      </c>
      <c r="N134" s="20">
        <v>5.01</v>
      </c>
      <c r="O134" s="20">
        <v>4.47</v>
      </c>
      <c r="P134" s="20">
        <v>4.2</v>
      </c>
      <c r="Q134" s="20">
        <v>0.87</v>
      </c>
      <c r="R134" s="15"/>
      <c r="S134" s="15"/>
      <c r="T134" s="15"/>
      <c r="U134" s="15"/>
      <c r="V134" s="15"/>
      <c r="W134" s="15"/>
    </row>
    <row r="135" ht="15.0" customHeight="1">
      <c r="A135" s="14" t="s">
        <v>172</v>
      </c>
      <c r="B135" s="15"/>
      <c r="C135" s="20">
        <v>14.24</v>
      </c>
      <c r="D135" s="20">
        <v>13.93</v>
      </c>
      <c r="E135" s="20">
        <v>13.3</v>
      </c>
      <c r="F135" s="20">
        <v>13.03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173</v>
      </c>
      <c r="B136" s="21">
        <v>-193.83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174</v>
      </c>
      <c r="B137" s="15"/>
      <c r="C137" s="22">
        <v>-32.54</v>
      </c>
      <c r="D137" s="15">
        <v>0.0</v>
      </c>
      <c r="E137" s="22">
        <v>-38.01</v>
      </c>
      <c r="F137" s="21">
        <v>-166.37</v>
      </c>
      <c r="G137" s="21">
        <v>-159.66</v>
      </c>
      <c r="H137" s="22">
        <v>-65.14</v>
      </c>
      <c r="I137" s="22">
        <v>-59.0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175</v>
      </c>
      <c r="B138" s="15"/>
      <c r="C138" s="15"/>
      <c r="D138" s="15"/>
      <c r="E138" s="15">
        <v>0.0</v>
      </c>
      <c r="F138" s="15">
        <v>0.0</v>
      </c>
      <c r="G138" s="22">
        <v>-53.22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176</v>
      </c>
      <c r="B139" s="15"/>
      <c r="C139" s="15"/>
      <c r="D139" s="15"/>
      <c r="E139" s="15">
        <v>0.0</v>
      </c>
      <c r="F139" s="15">
        <v>0.0</v>
      </c>
      <c r="G139" s="15">
        <v>0.0</v>
      </c>
      <c r="H139" s="20">
        <v>39.08</v>
      </c>
      <c r="I139" s="20">
        <v>31.84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177</v>
      </c>
      <c r="B140" s="15"/>
      <c r="C140" s="15"/>
      <c r="D140" s="15"/>
      <c r="E140" s="15">
        <v>0.0</v>
      </c>
      <c r="F140" s="15">
        <v>0.0</v>
      </c>
      <c r="G140" s="15">
        <v>0.0</v>
      </c>
      <c r="H140" s="20">
        <v>40.95</v>
      </c>
      <c r="I140" s="20">
        <v>14.05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178</v>
      </c>
      <c r="B141" s="15"/>
      <c r="C141" s="15"/>
      <c r="D141" s="15"/>
      <c r="E141" s="15"/>
      <c r="F141" s="15"/>
      <c r="G141" s="22">
        <v>-3.07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179</v>
      </c>
      <c r="B142" s="15"/>
      <c r="C142" s="15"/>
      <c r="D142" s="15"/>
      <c r="E142" s="20">
        <v>1.9</v>
      </c>
      <c r="F142" s="15">
        <v>0.0</v>
      </c>
      <c r="G142" s="20">
        <v>64.48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180</v>
      </c>
      <c r="B143" s="20">
        <v>0.54</v>
      </c>
      <c r="C143" s="20">
        <v>1.4</v>
      </c>
      <c r="D143" s="20">
        <v>1.23</v>
      </c>
      <c r="E143" s="20">
        <v>0.74</v>
      </c>
      <c r="F143" s="20">
        <v>0.5</v>
      </c>
      <c r="G143" s="22">
        <v>-0.14</v>
      </c>
      <c r="H143" s="20">
        <v>0.7</v>
      </c>
      <c r="I143" s="20">
        <v>0.53</v>
      </c>
      <c r="J143" s="20">
        <v>1.94</v>
      </c>
      <c r="K143" s="20">
        <v>1.49</v>
      </c>
      <c r="L143" s="20">
        <v>2.12</v>
      </c>
      <c r="M143" s="20">
        <v>1.19</v>
      </c>
      <c r="N143" s="20">
        <v>0.87</v>
      </c>
      <c r="O143" s="20">
        <v>0.87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181</v>
      </c>
      <c r="B144" s="20">
        <v>0.54</v>
      </c>
      <c r="C144" s="20">
        <v>1.39</v>
      </c>
      <c r="D144" s="20">
        <v>1.22</v>
      </c>
      <c r="E144" s="20">
        <v>0.74</v>
      </c>
      <c r="F144" s="20">
        <v>0.5</v>
      </c>
      <c r="G144" s="22">
        <v>-0.14</v>
      </c>
      <c r="H144" s="20">
        <v>0.7</v>
      </c>
      <c r="I144" s="20">
        <v>0.53</v>
      </c>
      <c r="J144" s="20">
        <v>1.93</v>
      </c>
      <c r="K144" s="20">
        <v>1.47</v>
      </c>
      <c r="L144" s="20">
        <v>2.08</v>
      </c>
      <c r="M144" s="20">
        <v>1.17</v>
      </c>
      <c r="N144" s="20">
        <v>0.86</v>
      </c>
      <c r="O144" s="20">
        <v>0.82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182</v>
      </c>
      <c r="B145" s="20">
        <v>0.54</v>
      </c>
      <c r="C145" s="20">
        <v>1.39</v>
      </c>
      <c r="D145" s="20">
        <v>1.28</v>
      </c>
      <c r="E145" s="20">
        <v>0.97</v>
      </c>
      <c r="F145" s="20">
        <v>0.46</v>
      </c>
      <c r="G145" s="22">
        <v>-0.14</v>
      </c>
      <c r="H145" s="20">
        <v>0.7</v>
      </c>
      <c r="I145" s="20">
        <v>0.53</v>
      </c>
      <c r="J145" s="20">
        <v>1.94</v>
      </c>
      <c r="K145" s="20">
        <v>1.49</v>
      </c>
      <c r="L145" s="20">
        <v>2.12</v>
      </c>
      <c r="M145" s="20">
        <v>1.19</v>
      </c>
      <c r="N145" s="20">
        <v>0.87</v>
      </c>
      <c r="O145" s="20">
        <v>0.87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183</v>
      </c>
      <c r="B146" s="20">
        <v>0.54</v>
      </c>
      <c r="C146" s="20">
        <v>1.39</v>
      </c>
      <c r="D146" s="20">
        <v>1.28</v>
      </c>
      <c r="E146" s="20">
        <v>0.97</v>
      </c>
      <c r="F146" s="20">
        <v>0.46</v>
      </c>
      <c r="G146" s="22">
        <v>-0.14</v>
      </c>
      <c r="H146" s="20">
        <v>0.7</v>
      </c>
      <c r="I146" s="20">
        <v>0.53</v>
      </c>
      <c r="J146" s="20">
        <v>1.93</v>
      </c>
      <c r="K146" s="20">
        <v>1.47</v>
      </c>
      <c r="L146" s="20">
        <v>2.08</v>
      </c>
      <c r="M146" s="20">
        <v>1.17</v>
      </c>
      <c r="N146" s="20">
        <v>0.86</v>
      </c>
      <c r="O146" s="20">
        <v>0.82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184</v>
      </c>
      <c r="B147" s="16">
        <v>254.49</v>
      </c>
      <c r="C147" s="16">
        <v>226.18</v>
      </c>
      <c r="D147" s="16">
        <v>218.02</v>
      </c>
      <c r="E147" s="16">
        <v>218.1</v>
      </c>
      <c r="F147" s="16">
        <v>191.4</v>
      </c>
      <c r="G147" s="16">
        <v>158.92</v>
      </c>
      <c r="H147" s="16">
        <v>158.92</v>
      </c>
      <c r="I147" s="16">
        <v>158.92</v>
      </c>
      <c r="J147" s="16">
        <v>158.92</v>
      </c>
      <c r="K147" s="16">
        <v>158.45</v>
      </c>
      <c r="L147" s="16">
        <v>157.89</v>
      </c>
      <c r="M147" s="16">
        <v>157.89</v>
      </c>
      <c r="N147" s="16">
        <v>157.89</v>
      </c>
      <c r="O147" s="16">
        <v>150.32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185</v>
      </c>
      <c r="B148" s="16">
        <v>255.81</v>
      </c>
      <c r="C148" s="16">
        <v>227.41</v>
      </c>
      <c r="D148" s="16">
        <v>219.28</v>
      </c>
      <c r="E148" s="16">
        <v>218.1</v>
      </c>
      <c r="F148" s="16">
        <v>191.4</v>
      </c>
      <c r="G148" s="16">
        <v>158.92</v>
      </c>
      <c r="H148" s="16">
        <v>158.92</v>
      </c>
      <c r="I148" s="16">
        <v>158.92</v>
      </c>
      <c r="J148" s="16">
        <v>162.89</v>
      </c>
      <c r="K148" s="16">
        <v>162.89</v>
      </c>
      <c r="L148" s="16">
        <v>161.86</v>
      </c>
      <c r="M148" s="16">
        <v>161.86</v>
      </c>
      <c r="N148" s="16">
        <v>160.92</v>
      </c>
      <c r="O148" s="16">
        <v>160.92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186</v>
      </c>
      <c r="B149" s="16">
        <v>138.18</v>
      </c>
      <c r="C149" s="16">
        <v>316.85</v>
      </c>
      <c r="D149" s="16">
        <v>281.53</v>
      </c>
      <c r="E149" s="16">
        <v>211.88</v>
      </c>
      <c r="F149" s="20">
        <v>87.19</v>
      </c>
      <c r="G149" s="22">
        <v>-21.49</v>
      </c>
      <c r="H149" s="16">
        <v>111.67</v>
      </c>
      <c r="I149" s="20">
        <v>84.28</v>
      </c>
      <c r="J149" s="16">
        <v>308.9</v>
      </c>
      <c r="K149" s="16">
        <v>236.65</v>
      </c>
      <c r="L149" s="16">
        <v>336.17</v>
      </c>
      <c r="M149" s="16">
        <v>188.95</v>
      </c>
      <c r="N149" s="16">
        <v>138.48</v>
      </c>
      <c r="O149" s="16">
        <v>131.9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187</v>
      </c>
      <c r="B150" s="20">
        <v>1.0</v>
      </c>
      <c r="C150" s="20">
        <v>1.0</v>
      </c>
      <c r="D150" s="20">
        <v>1.0</v>
      </c>
      <c r="E150" s="20">
        <v>1.0</v>
      </c>
      <c r="F150" s="20">
        <v>1.0</v>
      </c>
      <c r="G150" s="20">
        <v>1.0</v>
      </c>
      <c r="H150" s="20">
        <v>1.0</v>
      </c>
      <c r="I150" s="20">
        <v>1.0</v>
      </c>
      <c r="J150" s="20">
        <v>1.0</v>
      </c>
      <c r="K150" s="20">
        <v>1.0</v>
      </c>
      <c r="L150" s="20">
        <v>1.0</v>
      </c>
      <c r="M150" s="20">
        <v>1.0</v>
      </c>
      <c r="N150" s="20">
        <v>1.0</v>
      </c>
      <c r="O150" s="20">
        <v>1.0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188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20">
        <v>1.53</v>
      </c>
      <c r="M151" s="20">
        <v>1.29</v>
      </c>
      <c r="N151" s="20">
        <v>1.04</v>
      </c>
      <c r="O151" s="20">
        <v>0.58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189</v>
      </c>
      <c r="B152" s="16">
        <v>138.75</v>
      </c>
      <c r="C152" s="16">
        <v>316.29</v>
      </c>
      <c r="D152" s="16">
        <v>268.72</v>
      </c>
      <c r="E152" s="16">
        <v>161.52</v>
      </c>
      <c r="F152" s="20">
        <v>95.21</v>
      </c>
      <c r="G152" s="22">
        <v>-21.49</v>
      </c>
      <c r="H152" s="16">
        <v>111.67</v>
      </c>
      <c r="I152" s="20">
        <v>84.28</v>
      </c>
      <c r="J152" s="16">
        <v>308.9</v>
      </c>
      <c r="K152" s="16">
        <v>236.65</v>
      </c>
      <c r="L152" s="16">
        <v>336.17</v>
      </c>
      <c r="M152" s="16">
        <v>188.95</v>
      </c>
      <c r="N152" s="16">
        <v>138.48</v>
      </c>
      <c r="O152" s="16">
        <v>131.9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190</v>
      </c>
      <c r="B153" s="16">
        <v>138.75</v>
      </c>
      <c r="C153" s="16">
        <v>316.29</v>
      </c>
      <c r="D153" s="16">
        <v>268.72</v>
      </c>
      <c r="E153" s="16">
        <v>161.52</v>
      </c>
      <c r="F153" s="20">
        <v>95.21</v>
      </c>
      <c r="G153" s="22">
        <v>-21.49</v>
      </c>
      <c r="H153" s="16">
        <v>111.67</v>
      </c>
      <c r="I153" s="20">
        <v>84.28</v>
      </c>
      <c r="J153" s="16">
        <v>308.9</v>
      </c>
      <c r="K153" s="16">
        <v>236.65</v>
      </c>
      <c r="L153" s="16">
        <v>334.64</v>
      </c>
      <c r="M153" s="16">
        <v>187.67</v>
      </c>
      <c r="N153" s="16">
        <v>137.44</v>
      </c>
      <c r="O153" s="16">
        <v>131.32</v>
      </c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191</v>
      </c>
      <c r="B154" s="16">
        <v>138.75</v>
      </c>
      <c r="C154" s="16">
        <v>315.27</v>
      </c>
      <c r="D154" s="16">
        <v>280.67</v>
      </c>
      <c r="E154" s="16">
        <v>211.88</v>
      </c>
      <c r="F154" s="20">
        <v>87.19</v>
      </c>
      <c r="G154" s="22">
        <v>-21.49</v>
      </c>
      <c r="H154" s="16">
        <v>111.67</v>
      </c>
      <c r="I154" s="20">
        <v>84.28</v>
      </c>
      <c r="J154" s="16">
        <v>308.9</v>
      </c>
      <c r="K154" s="16">
        <v>236.65</v>
      </c>
      <c r="L154" s="16">
        <v>334.64</v>
      </c>
      <c r="M154" s="16">
        <v>187.67</v>
      </c>
      <c r="N154" s="16">
        <v>137.44</v>
      </c>
      <c r="O154" s="16">
        <v>131.32</v>
      </c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192</v>
      </c>
      <c r="B155" s="20">
        <v>1.0</v>
      </c>
      <c r="C155" s="20">
        <v>1.0</v>
      </c>
      <c r="D155" s="20">
        <v>1.0</v>
      </c>
      <c r="E155" s="20">
        <v>1.0</v>
      </c>
      <c r="F155" s="20">
        <v>1.0</v>
      </c>
      <c r="G155" s="20">
        <v>1.0</v>
      </c>
      <c r="H155" s="20">
        <v>1.0</v>
      </c>
      <c r="I155" s="20">
        <v>1.0</v>
      </c>
      <c r="J155" s="20">
        <v>1.0</v>
      </c>
      <c r="K155" s="20">
        <v>1.0</v>
      </c>
      <c r="L155" s="20">
        <v>1.0</v>
      </c>
      <c r="M155" s="20">
        <v>1.0</v>
      </c>
      <c r="N155" s="20">
        <v>1.0</v>
      </c>
      <c r="O155" s="20">
        <v>1.0</v>
      </c>
      <c r="P155" s="15"/>
      <c r="Q155" s="15"/>
      <c r="R155" s="15"/>
      <c r="S155" s="15"/>
      <c r="T155" s="15"/>
      <c r="U155" s="15"/>
      <c r="V155" s="15"/>
      <c r="W155" s="15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46094.4074066782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  <c r="W15" s="10" t="s">
        <v>194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196</v>
      </c>
      <c r="B20" s="16">
        <v>1443.38</v>
      </c>
      <c r="C20" s="16">
        <v>821.45</v>
      </c>
      <c r="D20" s="16">
        <v>798.36</v>
      </c>
      <c r="E20" s="16">
        <v>969.5</v>
      </c>
      <c r="F20" s="16">
        <v>1145.75</v>
      </c>
      <c r="G20" s="16">
        <v>728.85</v>
      </c>
      <c r="H20" s="16">
        <v>868.28</v>
      </c>
      <c r="I20" s="16">
        <v>994.4</v>
      </c>
      <c r="J20" s="16">
        <v>1174.76</v>
      </c>
      <c r="K20" s="16">
        <v>982.46</v>
      </c>
      <c r="L20" s="16">
        <v>899.0</v>
      </c>
      <c r="M20" s="16">
        <v>786.93</v>
      </c>
      <c r="N20" s="16">
        <v>669.24</v>
      </c>
      <c r="O20" s="16">
        <v>583.72</v>
      </c>
      <c r="P20" s="16">
        <v>591.97</v>
      </c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197</v>
      </c>
      <c r="B21" s="15"/>
      <c r="C21" s="16">
        <v>275.53</v>
      </c>
      <c r="D21" s="16">
        <v>294.98</v>
      </c>
      <c r="E21" s="16">
        <v>392.51</v>
      </c>
      <c r="F21" s="16">
        <v>479.35</v>
      </c>
      <c r="G21" s="16">
        <v>220.33</v>
      </c>
      <c r="H21" s="16">
        <v>352.56</v>
      </c>
      <c r="I21" s="16">
        <v>413.76</v>
      </c>
      <c r="J21" s="16">
        <v>528.34</v>
      </c>
      <c r="K21" s="16">
        <v>436.23</v>
      </c>
      <c r="L21" s="16">
        <v>375.72</v>
      </c>
      <c r="M21" s="16">
        <v>365.19</v>
      </c>
      <c r="N21" s="16">
        <v>338.2</v>
      </c>
      <c r="O21" s="16">
        <v>292.71</v>
      </c>
      <c r="P21" s="16">
        <v>285.07</v>
      </c>
      <c r="Q21" s="16">
        <v>170.61</v>
      </c>
      <c r="R21" s="15"/>
      <c r="S21" s="16">
        <v>155.56</v>
      </c>
      <c r="T21" s="16">
        <v>122.14</v>
      </c>
      <c r="U21" s="16">
        <v>108.16</v>
      </c>
      <c r="V21" s="20">
        <v>78.18</v>
      </c>
      <c r="W21" s="20">
        <v>73.17</v>
      </c>
    </row>
    <row r="22" ht="15.0" customHeight="1">
      <c r="A22" s="14" t="s">
        <v>198</v>
      </c>
      <c r="B22" s="15"/>
      <c r="C22" s="20">
        <v>90.47</v>
      </c>
      <c r="D22" s="20">
        <v>81.55</v>
      </c>
      <c r="E22" s="20">
        <v>90.36</v>
      </c>
      <c r="F22" s="16">
        <v>120.81</v>
      </c>
      <c r="G22" s="20">
        <v>82.49</v>
      </c>
      <c r="H22" s="20">
        <v>86.26</v>
      </c>
      <c r="I22" s="16">
        <v>108.32</v>
      </c>
      <c r="J22" s="16">
        <v>128.08</v>
      </c>
      <c r="K22" s="16">
        <v>108.11</v>
      </c>
      <c r="L22" s="20">
        <v>70.12</v>
      </c>
      <c r="M22" s="20">
        <v>59.62</v>
      </c>
      <c r="N22" s="20">
        <v>47.97</v>
      </c>
      <c r="O22" s="20">
        <v>54.98</v>
      </c>
      <c r="P22" s="20">
        <v>61.07</v>
      </c>
      <c r="Q22" s="20">
        <v>45.23</v>
      </c>
      <c r="R22" s="15"/>
      <c r="S22" s="20">
        <v>55.57</v>
      </c>
      <c r="T22" s="20">
        <v>52.62</v>
      </c>
      <c r="U22" s="20">
        <v>43.43</v>
      </c>
      <c r="V22" s="20">
        <v>37.81</v>
      </c>
      <c r="W22" s="20">
        <v>30.22</v>
      </c>
    </row>
    <row r="23" ht="15.0" customHeight="1">
      <c r="A23" s="14" t="s">
        <v>199</v>
      </c>
      <c r="B23" s="15"/>
      <c r="C23" s="16">
        <v>447.22</v>
      </c>
      <c r="D23" s="16">
        <v>415.79</v>
      </c>
      <c r="E23" s="16">
        <v>481.93</v>
      </c>
      <c r="F23" s="16">
        <v>538.78</v>
      </c>
      <c r="G23" s="16">
        <v>422.9</v>
      </c>
      <c r="H23" s="16">
        <v>424.76</v>
      </c>
      <c r="I23" s="16">
        <v>469.39</v>
      </c>
      <c r="J23" s="16">
        <v>506.33</v>
      </c>
      <c r="K23" s="16">
        <v>432.43</v>
      </c>
      <c r="L23" s="16">
        <v>415.49</v>
      </c>
      <c r="M23" s="16">
        <v>338.45</v>
      </c>
      <c r="N23" s="16">
        <v>252.74</v>
      </c>
      <c r="O23" s="16">
        <v>215.82</v>
      </c>
      <c r="P23" s="16">
        <v>220.02</v>
      </c>
      <c r="Q23" s="16">
        <v>198.44</v>
      </c>
      <c r="R23" s="15"/>
      <c r="S23" s="16">
        <v>183.64</v>
      </c>
      <c r="T23" s="16">
        <v>114.52</v>
      </c>
      <c r="U23" s="16">
        <v>112.5</v>
      </c>
      <c r="V23" s="20">
        <v>55.18</v>
      </c>
      <c r="W23" s="20">
        <v>55.27</v>
      </c>
    </row>
    <row r="24" ht="15.0" customHeight="1">
      <c r="A24" s="14" t="s">
        <v>200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20">
        <v>36.63</v>
      </c>
      <c r="M24" s="20">
        <v>23.39</v>
      </c>
      <c r="N24" s="20">
        <v>28.97</v>
      </c>
      <c r="O24" s="20">
        <v>19.72</v>
      </c>
      <c r="P24" s="20">
        <v>24.72</v>
      </c>
      <c r="Q24" s="20">
        <v>11.13</v>
      </c>
      <c r="R24" s="15"/>
      <c r="S24" s="20">
        <v>2.27</v>
      </c>
      <c r="T24" s="20">
        <v>1.07</v>
      </c>
      <c r="U24" s="20">
        <v>0.59</v>
      </c>
      <c r="V24" s="20">
        <v>1.68</v>
      </c>
      <c r="W24" s="20">
        <v>0.76</v>
      </c>
    </row>
    <row r="25" ht="15.0" customHeight="1">
      <c r="A25" s="14" t="s">
        <v>201</v>
      </c>
      <c r="B25" s="15"/>
      <c r="C25" s="20">
        <v>8.22</v>
      </c>
      <c r="D25" s="20">
        <v>6.04</v>
      </c>
      <c r="E25" s="20">
        <v>4.71</v>
      </c>
      <c r="F25" s="20">
        <v>6.82</v>
      </c>
      <c r="G25" s="20">
        <v>3.13</v>
      </c>
      <c r="H25" s="20">
        <v>4.69</v>
      </c>
      <c r="I25" s="20">
        <v>2.93</v>
      </c>
      <c r="J25" s="20">
        <v>12.01</v>
      </c>
      <c r="K25" s="20">
        <v>5.69</v>
      </c>
      <c r="L25" s="20">
        <v>1.05</v>
      </c>
      <c r="M25" s="20">
        <v>0.29</v>
      </c>
      <c r="N25" s="20">
        <v>1.36</v>
      </c>
      <c r="O25" s="20">
        <v>0.49</v>
      </c>
      <c r="P25" s="20">
        <v>1.09</v>
      </c>
      <c r="Q25" s="20">
        <v>0.4</v>
      </c>
      <c r="R25" s="15"/>
      <c r="S25" s="20">
        <v>0.32</v>
      </c>
      <c r="T25" s="20">
        <v>0.26</v>
      </c>
      <c r="U25" s="20">
        <v>0.24</v>
      </c>
      <c r="V25" s="20">
        <v>0.37</v>
      </c>
      <c r="W25" s="20">
        <v>0.09</v>
      </c>
    </row>
    <row r="26" ht="15.0" customHeight="1">
      <c r="A26" s="14" t="s">
        <v>202</v>
      </c>
      <c r="B26" s="16">
        <v>3132.78</v>
      </c>
      <c r="C26" s="16">
        <v>1036.32</v>
      </c>
      <c r="D26" s="16">
        <v>866.82</v>
      </c>
      <c r="E26" s="16">
        <v>999.62</v>
      </c>
      <c r="F26" s="16">
        <v>1089.24</v>
      </c>
      <c r="G26" s="16">
        <v>788.37</v>
      </c>
      <c r="H26" s="16">
        <v>821.39</v>
      </c>
      <c r="I26" s="16">
        <v>922.19</v>
      </c>
      <c r="J26" s="16">
        <v>1154.75</v>
      </c>
      <c r="K26" s="16">
        <v>1043.15</v>
      </c>
      <c r="L26" s="16">
        <v>759.81</v>
      </c>
      <c r="M26" s="16">
        <v>650.82</v>
      </c>
      <c r="N26" s="16">
        <v>532.1</v>
      </c>
      <c r="O26" s="16">
        <v>411.36</v>
      </c>
      <c r="P26" s="16">
        <v>452.96</v>
      </c>
      <c r="Q26" s="15"/>
      <c r="R26" s="15"/>
      <c r="S26" s="15"/>
      <c r="T26" s="15"/>
      <c r="U26" s="15"/>
      <c r="V26" s="16">
        <v>162.69</v>
      </c>
      <c r="W26" s="16">
        <v>149.01</v>
      </c>
    </row>
    <row r="27" ht="15.0" customHeight="1">
      <c r="A27" s="14" t="s">
        <v>203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>
        <v>458.28</v>
      </c>
      <c r="Q27" s="16">
        <v>402.39</v>
      </c>
      <c r="R27" s="15"/>
      <c r="S27" s="16">
        <v>473.0</v>
      </c>
      <c r="T27" s="16">
        <v>355.73</v>
      </c>
      <c r="U27" s="16">
        <v>336.66</v>
      </c>
      <c r="V27" s="15"/>
      <c r="W27" s="15"/>
    </row>
    <row r="28" ht="15.0" customHeight="1">
      <c r="A28" s="14" t="s">
        <v>204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>
        <v>-5.31</v>
      </c>
      <c r="Q28" s="22">
        <v>-8.97</v>
      </c>
      <c r="R28" s="15"/>
      <c r="S28" s="22">
        <v>-12.98</v>
      </c>
      <c r="T28" s="22">
        <v>-12.5</v>
      </c>
      <c r="U28" s="22">
        <v>-11.85</v>
      </c>
      <c r="V28" s="15"/>
      <c r="W28" s="15"/>
    </row>
    <row r="29" ht="15.0" customHeight="1">
      <c r="A29" s="14" t="s">
        <v>205</v>
      </c>
      <c r="B29" s="15"/>
      <c r="C29" s="20">
        <v>3.08</v>
      </c>
      <c r="D29" s="20">
        <v>6.04</v>
      </c>
      <c r="E29" s="20">
        <v>3.77</v>
      </c>
      <c r="F29" s="20">
        <v>3.9</v>
      </c>
      <c r="G29" s="20">
        <v>1.04</v>
      </c>
      <c r="H29" s="15">
        <v>0.0</v>
      </c>
      <c r="I29" s="20">
        <v>2.93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206</v>
      </c>
      <c r="B30" s="15"/>
      <c r="C30" s="20">
        <v>37.01</v>
      </c>
      <c r="D30" s="20">
        <v>35.24</v>
      </c>
      <c r="E30" s="20">
        <v>19.77</v>
      </c>
      <c r="F30" s="20">
        <v>36.05</v>
      </c>
      <c r="G30" s="20">
        <v>21.93</v>
      </c>
      <c r="H30" s="20">
        <v>52.51</v>
      </c>
      <c r="I30" s="20">
        <v>52.7</v>
      </c>
      <c r="J30" s="20">
        <v>54.03</v>
      </c>
      <c r="K30" s="20">
        <v>35.09</v>
      </c>
      <c r="L30" s="20">
        <v>18.84</v>
      </c>
      <c r="M30" s="20">
        <v>19.17</v>
      </c>
      <c r="N30" s="15">
        <v>0.0</v>
      </c>
      <c r="O30" s="20">
        <v>7.34</v>
      </c>
      <c r="P30" s="20">
        <v>22.31</v>
      </c>
      <c r="Q30" s="20">
        <v>11.6</v>
      </c>
      <c r="R30" s="15"/>
      <c r="S30" s="15"/>
      <c r="T30" s="15"/>
      <c r="U30" s="15"/>
      <c r="V30" s="15"/>
      <c r="W30" s="15"/>
    </row>
    <row r="31" ht="15.0" customHeight="1">
      <c r="A31" s="14" t="s">
        <v>207</v>
      </c>
      <c r="B31" s="15"/>
      <c r="C31" s="15"/>
      <c r="D31" s="15"/>
      <c r="E31" s="15"/>
      <c r="F31" s="15"/>
      <c r="G31" s="15"/>
      <c r="H31" s="15"/>
      <c r="I31" s="15"/>
      <c r="J31" s="15">
        <v>0.0</v>
      </c>
      <c r="K31" s="20">
        <v>10.43</v>
      </c>
      <c r="L31" s="20">
        <v>4.19</v>
      </c>
      <c r="M31" s="20">
        <v>6.23</v>
      </c>
      <c r="N31" s="15">
        <v>0.0</v>
      </c>
      <c r="O31" s="20">
        <v>6.07</v>
      </c>
      <c r="P31" s="20">
        <v>3.23</v>
      </c>
      <c r="Q31" s="15"/>
      <c r="R31" s="15"/>
      <c r="S31" s="20">
        <v>0.3</v>
      </c>
      <c r="T31" s="15"/>
      <c r="U31" s="15"/>
      <c r="V31" s="15"/>
      <c r="W31" s="15"/>
    </row>
    <row r="32" ht="15.0" customHeight="1">
      <c r="A32" s="14" t="s">
        <v>208</v>
      </c>
      <c r="B32" s="15"/>
      <c r="C32" s="20">
        <v>78.14</v>
      </c>
      <c r="D32" s="20">
        <v>63.43</v>
      </c>
      <c r="E32" s="20">
        <v>58.36</v>
      </c>
      <c r="F32" s="16">
        <v>118.86</v>
      </c>
      <c r="G32" s="20">
        <v>50.12</v>
      </c>
      <c r="H32" s="20">
        <v>63.76</v>
      </c>
      <c r="I32" s="20">
        <v>93.68</v>
      </c>
      <c r="J32" s="20">
        <v>82.05</v>
      </c>
      <c r="K32" s="20">
        <v>86.3</v>
      </c>
      <c r="L32" s="20">
        <v>48.14</v>
      </c>
      <c r="M32" s="20">
        <v>58.66</v>
      </c>
      <c r="N32" s="20">
        <v>45.14</v>
      </c>
      <c r="O32" s="20">
        <v>25.81</v>
      </c>
      <c r="P32" s="20">
        <v>34.44</v>
      </c>
      <c r="Q32" s="20">
        <v>23.98</v>
      </c>
      <c r="R32" s="15"/>
      <c r="S32" s="20">
        <v>24.83</v>
      </c>
      <c r="T32" s="20">
        <v>23.17</v>
      </c>
      <c r="U32" s="20">
        <v>34.33</v>
      </c>
      <c r="V32" s="20">
        <v>15.16</v>
      </c>
      <c r="W32" s="20">
        <v>10.45</v>
      </c>
    </row>
    <row r="33" ht="15.0" customHeight="1">
      <c r="A33" s="14" t="s">
        <v>209</v>
      </c>
      <c r="B33" s="15"/>
      <c r="C33" s="16">
        <v>101.78</v>
      </c>
      <c r="D33" s="20">
        <v>68.46</v>
      </c>
      <c r="E33" s="20">
        <v>89.42</v>
      </c>
      <c r="F33" s="20">
        <v>88.66</v>
      </c>
      <c r="G33" s="20">
        <v>78.32</v>
      </c>
      <c r="H33" s="20">
        <v>89.08</v>
      </c>
      <c r="I33" s="16">
        <v>118.08</v>
      </c>
      <c r="J33" s="20">
        <v>98.06</v>
      </c>
      <c r="K33" s="20">
        <v>63.54</v>
      </c>
      <c r="L33" s="20">
        <v>52.33</v>
      </c>
      <c r="M33" s="20">
        <v>57.22</v>
      </c>
      <c r="N33" s="20">
        <v>48.02</v>
      </c>
      <c r="O33" s="20">
        <v>40.22</v>
      </c>
      <c r="P33" s="20">
        <v>45.66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210</v>
      </c>
      <c r="B34" s="15"/>
      <c r="C34" s="15"/>
      <c r="D34" s="15"/>
      <c r="E34" s="15"/>
      <c r="F34" s="15"/>
      <c r="G34" s="15"/>
      <c r="H34" s="15"/>
      <c r="I34" s="15"/>
      <c r="J34" s="15"/>
      <c r="K34" s="20">
        <v>60.69</v>
      </c>
      <c r="L34" s="20">
        <v>49.19</v>
      </c>
      <c r="M34" s="20">
        <v>48.4</v>
      </c>
      <c r="N34" s="20">
        <v>42.05</v>
      </c>
      <c r="O34" s="20">
        <v>29.73</v>
      </c>
      <c r="P34" s="20">
        <v>36.62</v>
      </c>
      <c r="Q34" s="20">
        <v>29.65</v>
      </c>
      <c r="R34" s="15"/>
      <c r="S34" s="20">
        <v>30.87</v>
      </c>
      <c r="T34" s="20">
        <v>24.75</v>
      </c>
      <c r="U34" s="20">
        <v>39.98</v>
      </c>
      <c r="V34" s="20">
        <v>16.12</v>
      </c>
      <c r="W34" s="20">
        <v>8.02</v>
      </c>
    </row>
    <row r="35" ht="15.0" customHeight="1">
      <c r="A35" s="14" t="s">
        <v>211</v>
      </c>
      <c r="B35" s="15"/>
      <c r="C35" s="15"/>
      <c r="D35" s="15"/>
      <c r="E35" s="15"/>
      <c r="F35" s="20">
        <v>15.59</v>
      </c>
      <c r="G35" s="20">
        <v>18.8</v>
      </c>
      <c r="H35" s="20">
        <v>30.01</v>
      </c>
      <c r="I35" s="20">
        <v>60.5</v>
      </c>
      <c r="J35" s="20">
        <v>29.02</v>
      </c>
      <c r="K35" s="20">
        <v>2.84</v>
      </c>
      <c r="L35" s="20">
        <v>3.14</v>
      </c>
      <c r="M35" s="20">
        <v>8.82</v>
      </c>
      <c r="N35" s="20">
        <v>5.97</v>
      </c>
      <c r="O35" s="20">
        <v>10.49</v>
      </c>
      <c r="P35" s="20">
        <v>9.04</v>
      </c>
      <c r="Q35" s="20">
        <v>14.18</v>
      </c>
      <c r="R35" s="15"/>
      <c r="S35" s="20">
        <v>16.96</v>
      </c>
      <c r="T35" s="15"/>
      <c r="U35" s="15"/>
      <c r="V35" s="15"/>
      <c r="W35" s="15"/>
    </row>
    <row r="36" ht="15.0" customHeight="1">
      <c r="A36" s="14" t="s">
        <v>209</v>
      </c>
      <c r="B36" s="15"/>
      <c r="C36" s="15"/>
      <c r="D36" s="15"/>
      <c r="E36" s="15"/>
      <c r="F36" s="20">
        <v>73.07</v>
      </c>
      <c r="G36" s="20">
        <v>59.52</v>
      </c>
      <c r="H36" s="20">
        <v>59.07</v>
      </c>
      <c r="I36" s="20">
        <v>57.58</v>
      </c>
      <c r="J36" s="20">
        <v>69.04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212</v>
      </c>
      <c r="B37" s="16">
        <v>1061.76</v>
      </c>
      <c r="C37" s="16">
        <v>1555.51</v>
      </c>
      <c r="D37" s="16">
        <v>581.91</v>
      </c>
      <c r="E37" s="16">
        <v>711.6</v>
      </c>
      <c r="F37" s="16">
        <v>202.65</v>
      </c>
      <c r="G37" s="16">
        <v>722.59</v>
      </c>
      <c r="H37" s="16">
        <v>283.17</v>
      </c>
      <c r="I37" s="16">
        <v>264.46</v>
      </c>
      <c r="J37" s="16">
        <v>285.18</v>
      </c>
      <c r="K37" s="16">
        <v>383.12</v>
      </c>
      <c r="L37" s="16">
        <v>270.01</v>
      </c>
      <c r="M37" s="16">
        <v>118.47</v>
      </c>
      <c r="N37" s="16">
        <v>134.19</v>
      </c>
      <c r="O37" s="16">
        <v>114.42</v>
      </c>
      <c r="P37" s="20">
        <v>1.2</v>
      </c>
      <c r="Q37" s="20">
        <v>0.26</v>
      </c>
      <c r="R37" s="20">
        <v>0.24</v>
      </c>
      <c r="S37" s="20">
        <v>13.33</v>
      </c>
      <c r="T37" s="20">
        <v>6.63</v>
      </c>
      <c r="U37" s="20">
        <v>14.36</v>
      </c>
      <c r="V37" s="20">
        <v>6.7</v>
      </c>
      <c r="W37" s="20">
        <v>4.51</v>
      </c>
    </row>
    <row r="38" ht="15.0" customHeight="1">
      <c r="A38" s="14" t="s">
        <v>213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6">
        <v>0.0</v>
      </c>
      <c r="R38" s="16">
        <v>680.38</v>
      </c>
      <c r="S38" s="15"/>
      <c r="T38" s="15"/>
      <c r="U38" s="15"/>
      <c r="V38" s="15"/>
      <c r="W38" s="15"/>
    </row>
    <row r="39" ht="15.0" customHeight="1">
      <c r="A39" s="17" t="s">
        <v>214</v>
      </c>
      <c r="B39" s="19">
        <v>5637.91</v>
      </c>
      <c r="C39" s="19">
        <v>3633.29</v>
      </c>
      <c r="D39" s="19">
        <v>2420.26</v>
      </c>
      <c r="E39" s="19">
        <v>2852.03</v>
      </c>
      <c r="F39" s="19">
        <v>2685.11</v>
      </c>
      <c r="G39" s="19">
        <v>2391.22</v>
      </c>
      <c r="H39" s="19">
        <v>2178.19</v>
      </c>
      <c r="I39" s="19">
        <v>2448.43</v>
      </c>
      <c r="J39" s="19">
        <v>2848.84</v>
      </c>
      <c r="K39" s="19">
        <v>2604.08</v>
      </c>
      <c r="L39" s="19">
        <v>2052.31</v>
      </c>
      <c r="M39" s="19">
        <v>1697.51</v>
      </c>
      <c r="N39" s="19">
        <v>1428.7</v>
      </c>
      <c r="O39" s="19">
        <v>1188.94</v>
      </c>
      <c r="P39" s="19">
        <v>1151.78</v>
      </c>
      <c r="Q39" s="19">
        <v>898.92</v>
      </c>
      <c r="R39" s="19">
        <v>680.62</v>
      </c>
      <c r="S39" s="19">
        <v>943.67</v>
      </c>
      <c r="T39" s="19">
        <v>688.4</v>
      </c>
      <c r="U39" s="19">
        <v>678.4</v>
      </c>
      <c r="V39" s="19">
        <v>373.89</v>
      </c>
      <c r="W39" s="19">
        <v>331.51</v>
      </c>
    </row>
    <row r="40" ht="15.0" customHeight="1">
      <c r="A40" s="14" t="s">
        <v>215</v>
      </c>
      <c r="B40" s="16">
        <v>4261.24</v>
      </c>
      <c r="C40" s="16">
        <v>1895.81</v>
      </c>
      <c r="D40" s="16">
        <v>1798.08</v>
      </c>
      <c r="E40" s="16">
        <v>1684.86</v>
      </c>
      <c r="F40" s="16">
        <v>1601.71</v>
      </c>
      <c r="G40" s="16">
        <v>1669.68</v>
      </c>
      <c r="H40" s="16">
        <v>1564.96</v>
      </c>
      <c r="I40" s="16">
        <v>1594.55</v>
      </c>
      <c r="J40" s="16">
        <v>1577.02</v>
      </c>
      <c r="K40" s="16">
        <v>1361.79</v>
      </c>
      <c r="L40" s="16">
        <v>652.01</v>
      </c>
      <c r="M40" s="16">
        <v>528.52</v>
      </c>
      <c r="N40" s="16">
        <v>473.72</v>
      </c>
      <c r="O40" s="16">
        <v>422.91</v>
      </c>
      <c r="P40" s="16">
        <v>433.15</v>
      </c>
      <c r="Q40" s="16">
        <v>362.96</v>
      </c>
      <c r="R40" s="16">
        <v>394.44</v>
      </c>
      <c r="S40" s="16">
        <v>420.65</v>
      </c>
      <c r="T40" s="16">
        <v>224.04</v>
      </c>
      <c r="U40" s="16">
        <v>223.74</v>
      </c>
      <c r="V40" s="20">
        <v>64.62</v>
      </c>
      <c r="W40" s="15"/>
    </row>
    <row r="41" ht="15.0" customHeight="1">
      <c r="A41" s="14" t="s">
        <v>216</v>
      </c>
      <c r="B41" s="15"/>
      <c r="C41" s="16">
        <v>1895.81</v>
      </c>
      <c r="D41" s="16">
        <v>1798.08</v>
      </c>
      <c r="E41" s="16">
        <v>1684.86</v>
      </c>
      <c r="F41" s="16">
        <v>1601.71</v>
      </c>
      <c r="G41" s="16">
        <v>1669.68</v>
      </c>
      <c r="H41" s="16">
        <v>1564.96</v>
      </c>
      <c r="I41" s="16">
        <v>1594.55</v>
      </c>
      <c r="J41" s="16">
        <v>1577.02</v>
      </c>
      <c r="K41" s="16">
        <v>1361.79</v>
      </c>
      <c r="L41" s="16">
        <v>652.01</v>
      </c>
      <c r="M41" s="16">
        <v>528.52</v>
      </c>
      <c r="N41" s="15"/>
      <c r="O41" s="15"/>
      <c r="P41" s="15"/>
      <c r="Q41" s="15"/>
      <c r="R41" s="15"/>
      <c r="S41" s="15"/>
      <c r="T41" s="15"/>
      <c r="U41" s="15"/>
      <c r="V41" s="15"/>
      <c r="W41" s="20">
        <v>75.08</v>
      </c>
    </row>
    <row r="42" ht="15.0" customHeight="1">
      <c r="A42" s="14" t="s">
        <v>217</v>
      </c>
      <c r="B42" s="15"/>
      <c r="C42" s="15">
        <v>0.0</v>
      </c>
      <c r="D42" s="15">
        <v>0.0</v>
      </c>
      <c r="E42" s="15">
        <v>0.0</v>
      </c>
      <c r="F42" s="15">
        <v>0.0</v>
      </c>
      <c r="G42" s="15">
        <v>0.0</v>
      </c>
      <c r="H42" s="15">
        <v>0.0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/>
      <c r="O42" s="15"/>
      <c r="P42" s="15"/>
      <c r="Q42" s="15"/>
      <c r="R42" s="15"/>
      <c r="S42" s="15"/>
      <c r="T42" s="15"/>
      <c r="U42" s="15"/>
      <c r="V42" s="15"/>
      <c r="W42" s="22">
        <v>-14.15</v>
      </c>
    </row>
    <row r="43" ht="15.0" customHeight="1">
      <c r="A43" s="14" t="s">
        <v>218</v>
      </c>
      <c r="B43" s="16">
        <v>1354.81</v>
      </c>
      <c r="C43" s="16">
        <v>226.18</v>
      </c>
      <c r="D43" s="16">
        <v>133.9</v>
      </c>
      <c r="E43" s="16">
        <v>100.72</v>
      </c>
      <c r="F43" s="16">
        <v>109.12</v>
      </c>
      <c r="G43" s="16">
        <v>150.36</v>
      </c>
      <c r="H43" s="16">
        <v>157.53</v>
      </c>
      <c r="I43" s="16">
        <v>168.82</v>
      </c>
      <c r="J43" s="16">
        <v>176.11</v>
      </c>
      <c r="K43" s="16">
        <v>152.68</v>
      </c>
      <c r="L43" s="16">
        <v>125.59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219</v>
      </c>
      <c r="B44" s="15"/>
      <c r="C44" s="16">
        <v>367.03</v>
      </c>
      <c r="D44" s="16">
        <v>258.74</v>
      </c>
      <c r="E44" s="16">
        <v>201.43</v>
      </c>
      <c r="F44" s="16">
        <v>192.91</v>
      </c>
      <c r="G44" s="16">
        <v>216.15</v>
      </c>
      <c r="H44" s="16">
        <v>193.16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220</v>
      </c>
      <c r="B45" s="15"/>
      <c r="C45" s="21">
        <v>-176.83</v>
      </c>
      <c r="D45" s="21">
        <v>-152.02</v>
      </c>
      <c r="E45" s="21">
        <v>-129.89</v>
      </c>
      <c r="F45" s="21">
        <v>-115.94</v>
      </c>
      <c r="G45" s="21">
        <v>-106.51</v>
      </c>
      <c r="H45" s="22">
        <v>-75.95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221</v>
      </c>
      <c r="B46" s="15"/>
      <c r="C46" s="16">
        <v>100.75</v>
      </c>
      <c r="D46" s="20">
        <v>78.53</v>
      </c>
      <c r="E46" s="20">
        <v>80.01</v>
      </c>
      <c r="F46" s="20">
        <v>92.56</v>
      </c>
      <c r="G46" s="20">
        <v>96.07</v>
      </c>
      <c r="H46" s="20">
        <v>82.51</v>
      </c>
      <c r="I46" s="20">
        <v>82.95</v>
      </c>
      <c r="J46" s="20">
        <v>80.05</v>
      </c>
      <c r="K46" s="20">
        <v>56.9</v>
      </c>
      <c r="L46" s="20">
        <v>24.07</v>
      </c>
      <c r="M46" s="16">
        <v>143.3</v>
      </c>
      <c r="N46" s="16">
        <v>119.81</v>
      </c>
      <c r="O46" s="20">
        <v>86.18</v>
      </c>
      <c r="P46" s="20">
        <v>71.83</v>
      </c>
      <c r="Q46" s="20">
        <v>56.87</v>
      </c>
      <c r="R46" s="15"/>
      <c r="S46" s="15">
        <v>0.0</v>
      </c>
      <c r="T46" s="15"/>
      <c r="U46" s="15"/>
      <c r="V46" s="15"/>
      <c r="W46" s="15"/>
    </row>
    <row r="47" ht="15.0" customHeight="1">
      <c r="A47" s="14" t="s">
        <v>222</v>
      </c>
      <c r="B47" s="15"/>
      <c r="C47" s="22">
        <v>-64.77</v>
      </c>
      <c r="D47" s="22">
        <v>-51.34</v>
      </c>
      <c r="E47" s="22">
        <v>-50.83</v>
      </c>
      <c r="F47" s="22">
        <v>-60.41</v>
      </c>
      <c r="G47" s="22">
        <v>-55.34</v>
      </c>
      <c r="H47" s="22">
        <v>-42.19</v>
      </c>
      <c r="I47" s="22">
        <v>-33.18</v>
      </c>
      <c r="J47" s="22">
        <v>-23.01</v>
      </c>
      <c r="K47" s="22">
        <v>-14.22</v>
      </c>
      <c r="L47" s="22">
        <v>-11.51</v>
      </c>
      <c r="M47" s="22">
        <v>-23.39</v>
      </c>
      <c r="N47" s="22">
        <v>-16.06</v>
      </c>
      <c r="O47" s="22">
        <v>-9.64</v>
      </c>
      <c r="P47" s="22">
        <v>-5.05</v>
      </c>
      <c r="Q47" s="22">
        <v>-0.85</v>
      </c>
      <c r="R47" s="15"/>
      <c r="S47" s="15">
        <v>0.0</v>
      </c>
      <c r="T47" s="15"/>
      <c r="U47" s="15"/>
      <c r="V47" s="15"/>
      <c r="W47" s="15"/>
    </row>
    <row r="48" ht="15.0" customHeight="1">
      <c r="A48" s="14" t="s">
        <v>223</v>
      </c>
      <c r="B48" s="15"/>
      <c r="C48" s="15"/>
      <c r="D48" s="15"/>
      <c r="E48" s="15"/>
      <c r="F48" s="15"/>
      <c r="G48" s="15"/>
      <c r="H48" s="15"/>
      <c r="I48" s="16">
        <v>119.05</v>
      </c>
      <c r="J48" s="16">
        <v>119.08</v>
      </c>
      <c r="K48" s="16">
        <v>110.0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224</v>
      </c>
      <c r="B49" s="15"/>
      <c r="C49" s="15"/>
      <c r="D49" s="15"/>
      <c r="E49" s="15"/>
      <c r="F49" s="16">
        <v>1710.83</v>
      </c>
      <c r="G49" s="16">
        <v>1820.04</v>
      </c>
      <c r="H49" s="16">
        <v>1722.49</v>
      </c>
      <c r="I49" s="16">
        <v>1763.38</v>
      </c>
      <c r="J49" s="16">
        <v>1753.13</v>
      </c>
      <c r="K49" s="16">
        <v>1514.46</v>
      </c>
      <c r="L49" s="16">
        <v>790.16</v>
      </c>
      <c r="M49" s="16">
        <v>648.43</v>
      </c>
      <c r="N49" s="16">
        <v>577.47</v>
      </c>
      <c r="O49" s="16">
        <v>499.44</v>
      </c>
      <c r="P49" s="16">
        <v>499.93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160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21">
        <v>-575.48</v>
      </c>
      <c r="R50" s="15"/>
      <c r="S50" s="21">
        <v>-566.15</v>
      </c>
      <c r="T50" s="21">
        <v>-206.08</v>
      </c>
      <c r="U50" s="21">
        <v>-205.31</v>
      </c>
      <c r="V50" s="21">
        <v>-155.18</v>
      </c>
      <c r="W50" s="21">
        <v>-159.75</v>
      </c>
    </row>
    <row r="51" ht="15.0" customHeight="1">
      <c r="A51" s="14" t="s">
        <v>225</v>
      </c>
      <c r="B51" s="16">
        <v>2115.86</v>
      </c>
      <c r="C51" s="16">
        <f>1285.12-C68</f>
        <v>703.22</v>
      </c>
      <c r="D51" s="16">
        <f>1230.27-D68</f>
        <v>696.68</v>
      </c>
      <c r="E51" s="16">
        <f>1325.3-E68</f>
        <v>700.3</v>
      </c>
      <c r="F51" s="16">
        <f>1330.86-F68</f>
        <v>738.5</v>
      </c>
      <c r="G51" s="16">
        <f>1427.42-G68</f>
        <v>749.73</v>
      </c>
      <c r="H51" s="16">
        <v>1505.89</v>
      </c>
      <c r="I51" s="20">
        <f>SUM(I54,I57:I58,I63:I64,I71)</f>
        <v>916.33</v>
      </c>
      <c r="J51" s="16">
        <v>945.61</v>
      </c>
      <c r="K51" s="16">
        <v>820.3</v>
      </c>
      <c r="L51" s="16">
        <v>574.56</v>
      </c>
      <c r="M51" s="16">
        <v>523.73</v>
      </c>
      <c r="N51" s="16">
        <v>471.85</v>
      </c>
      <c r="O51" s="16">
        <v>441.76</v>
      </c>
      <c r="P51" s="16">
        <v>470.53</v>
      </c>
      <c r="Q51" s="20">
        <f>SUM(Q50,Q52:Q63,Q71)</f>
        <v>474.64</v>
      </c>
      <c r="R51" s="16">
        <v>540.73</v>
      </c>
      <c r="S51" s="20">
        <f t="shared" ref="S51:W51" si="1">SUM(S50,S52:S63,S71)</f>
        <v>612.91</v>
      </c>
      <c r="T51" s="20">
        <f t="shared" si="1"/>
        <v>387.83</v>
      </c>
      <c r="U51" s="20">
        <f t="shared" si="1"/>
        <v>282.98</v>
      </c>
      <c r="V51" s="20">
        <f t="shared" si="1"/>
        <v>212.43</v>
      </c>
      <c r="W51" s="20">
        <f t="shared" si="1"/>
        <v>221.24</v>
      </c>
    </row>
    <row r="52" ht="15.0" customHeight="1">
      <c r="A52" s="14" t="s">
        <v>226</v>
      </c>
      <c r="B52" s="15"/>
      <c r="C52" s="16">
        <v>714.53</v>
      </c>
      <c r="D52" s="16">
        <v>672.52</v>
      </c>
      <c r="E52" s="16">
        <v>706.89</v>
      </c>
      <c r="F52" s="16">
        <v>545.6</v>
      </c>
      <c r="G52" s="16">
        <v>557.6</v>
      </c>
      <c r="H52" s="16">
        <v>642.3</v>
      </c>
      <c r="I52" s="16">
        <v>646.99</v>
      </c>
      <c r="J52" s="16">
        <v>705.46</v>
      </c>
      <c r="K52" s="16">
        <v>626.84</v>
      </c>
      <c r="L52" s="16">
        <v>510.72</v>
      </c>
      <c r="M52" s="16">
        <v>472.45</v>
      </c>
      <c r="N52" s="16">
        <v>436.56</v>
      </c>
      <c r="O52" s="16">
        <v>399.74</v>
      </c>
      <c r="P52" s="16">
        <v>401.05</v>
      </c>
      <c r="Q52" s="16">
        <v>398.91</v>
      </c>
      <c r="R52" s="15"/>
      <c r="S52" s="16">
        <v>465.42</v>
      </c>
      <c r="T52" s="16">
        <v>161.5</v>
      </c>
      <c r="U52" s="16">
        <v>157.81</v>
      </c>
      <c r="V52" s="16">
        <v>133.91</v>
      </c>
      <c r="W52" s="16">
        <v>127.64</v>
      </c>
    </row>
    <row r="53" ht="15.0" customHeight="1">
      <c r="A53" s="14" t="s">
        <v>227</v>
      </c>
      <c r="B53" s="15"/>
      <c r="C53" s="21">
        <v>-316.65</v>
      </c>
      <c r="D53" s="21">
        <v>-283.91</v>
      </c>
      <c r="E53" s="21">
        <v>-304.03</v>
      </c>
      <c r="F53" s="21">
        <v>-109.12</v>
      </c>
      <c r="G53" s="21">
        <v>-108.6</v>
      </c>
      <c r="H53" s="21">
        <v>-196.91</v>
      </c>
      <c r="I53" s="21">
        <v>-198.1</v>
      </c>
      <c r="J53" s="21">
        <v>-258.17</v>
      </c>
      <c r="K53" s="21">
        <v>-221.91</v>
      </c>
      <c r="L53" s="21">
        <v>-223.96</v>
      </c>
      <c r="M53" s="21">
        <v>-205.6</v>
      </c>
      <c r="N53" s="21">
        <v>-179.17</v>
      </c>
      <c r="O53" s="21">
        <v>-154.53</v>
      </c>
      <c r="P53" s="21">
        <v>-149.34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228</v>
      </c>
      <c r="B54" s="15"/>
      <c r="C54" s="15"/>
      <c r="D54" s="15"/>
      <c r="E54" s="15"/>
      <c r="F54" s="15"/>
      <c r="G54" s="15"/>
      <c r="H54" s="16">
        <v>1118.63</v>
      </c>
      <c r="I54" s="16">
        <v>448.9</v>
      </c>
      <c r="J54" s="16">
        <v>447.29</v>
      </c>
      <c r="K54" s="16">
        <v>404.93</v>
      </c>
      <c r="L54" s="16">
        <v>286.76</v>
      </c>
      <c r="M54" s="16">
        <v>266.85</v>
      </c>
      <c r="N54" s="16">
        <v>257.39</v>
      </c>
      <c r="O54" s="16">
        <v>245.21</v>
      </c>
      <c r="P54" s="16">
        <v>251.71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229</v>
      </c>
      <c r="B55" s="15"/>
      <c r="C55" s="15"/>
      <c r="D55" s="15"/>
      <c r="E55" s="15"/>
      <c r="F55" s="15"/>
      <c r="G55" s="15"/>
      <c r="H55" s="16">
        <v>778.26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230</v>
      </c>
      <c r="B56" s="15"/>
      <c r="C56" s="15"/>
      <c r="D56" s="15"/>
      <c r="E56" s="15"/>
      <c r="F56" s="15"/>
      <c r="G56" s="15"/>
      <c r="H56" s="21">
        <v>-105.02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231</v>
      </c>
      <c r="B57" s="15"/>
      <c r="C57" s="16">
        <v>745.37</v>
      </c>
      <c r="D57" s="16">
        <v>715.81</v>
      </c>
      <c r="E57" s="16">
        <v>682.42</v>
      </c>
      <c r="F57" s="16">
        <v>658.61</v>
      </c>
      <c r="G57" s="16">
        <v>736.16</v>
      </c>
      <c r="H57" s="16">
        <v>679.81</v>
      </c>
      <c r="I57" s="16">
        <v>802.16</v>
      </c>
      <c r="J57" s="16">
        <v>756.49</v>
      </c>
      <c r="K57" s="16">
        <v>814.61</v>
      </c>
      <c r="L57" s="16">
        <v>738.87</v>
      </c>
      <c r="M57" s="16">
        <v>684.66</v>
      </c>
      <c r="N57" s="16">
        <v>583.32</v>
      </c>
      <c r="O57" s="16">
        <v>517.95</v>
      </c>
      <c r="P57" s="16">
        <v>522.18</v>
      </c>
      <c r="Q57" s="16">
        <v>435.66</v>
      </c>
      <c r="R57" s="15"/>
      <c r="S57" s="16">
        <v>463.13</v>
      </c>
      <c r="T57" s="16">
        <v>201.65</v>
      </c>
      <c r="U57" s="16">
        <v>218.46</v>
      </c>
      <c r="V57" s="16">
        <v>179.57</v>
      </c>
      <c r="W57" s="16">
        <v>192.53</v>
      </c>
    </row>
    <row r="58" ht="15.0" customHeight="1">
      <c r="A58" s="14" t="s">
        <v>232</v>
      </c>
      <c r="B58" s="15"/>
      <c r="C58" s="21">
        <v>-521.24</v>
      </c>
      <c r="D58" s="21">
        <v>-488.28</v>
      </c>
      <c r="E58" s="21">
        <v>-457.45</v>
      </c>
      <c r="F58" s="21">
        <v>-454.01</v>
      </c>
      <c r="G58" s="21">
        <v>-518.97</v>
      </c>
      <c r="H58" s="21">
        <v>-453.83</v>
      </c>
      <c r="I58" s="21">
        <v>-552.34</v>
      </c>
      <c r="J58" s="21">
        <v>-504.33</v>
      </c>
      <c r="K58" s="21">
        <v>-550.97</v>
      </c>
      <c r="L58" s="21">
        <v>-548.4</v>
      </c>
      <c r="M58" s="21">
        <v>-495.74</v>
      </c>
      <c r="N58" s="21">
        <v>-426.92</v>
      </c>
      <c r="O58" s="21">
        <v>-375.49</v>
      </c>
      <c r="P58" s="21">
        <v>-364.29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233</v>
      </c>
      <c r="B59" s="15"/>
      <c r="C59" s="15"/>
      <c r="D59" s="15"/>
      <c r="E59" s="15"/>
      <c r="F59" s="20">
        <v>0.97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234</v>
      </c>
      <c r="B60" s="15"/>
      <c r="C60" s="15"/>
      <c r="D60" s="15"/>
      <c r="E60" s="15"/>
      <c r="F60" s="15"/>
      <c r="G60" s="15"/>
      <c r="H60" s="16">
        <v>234.42</v>
      </c>
      <c r="I60" s="16">
        <v>249.82</v>
      </c>
      <c r="J60" s="16">
        <v>252.16</v>
      </c>
      <c r="K60" s="16">
        <v>263.63</v>
      </c>
      <c r="L60" s="16">
        <v>190.47</v>
      </c>
      <c r="M60" s="16">
        <v>188.92</v>
      </c>
      <c r="N60" s="16">
        <v>156.4</v>
      </c>
      <c r="O60" s="16">
        <v>142.46</v>
      </c>
      <c r="P60" s="16">
        <v>157.89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235</v>
      </c>
      <c r="B61" s="15"/>
      <c r="C61" s="15"/>
      <c r="D61" s="15"/>
      <c r="E61" s="15"/>
      <c r="F61" s="15"/>
      <c r="G61" s="15"/>
      <c r="H61" s="20">
        <v>11.25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236</v>
      </c>
      <c r="B62" s="15"/>
      <c r="C62" s="15"/>
      <c r="D62" s="15"/>
      <c r="E62" s="15"/>
      <c r="F62" s="15"/>
      <c r="G62" s="15"/>
      <c r="H62" s="22">
        <v>-2.81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237</v>
      </c>
      <c r="B63" s="15"/>
      <c r="C63" s="16">
        <v>349.55</v>
      </c>
      <c r="D63" s="16">
        <v>316.12</v>
      </c>
      <c r="E63" s="16">
        <v>321.91</v>
      </c>
      <c r="F63" s="16">
        <v>303.0</v>
      </c>
      <c r="G63" s="16">
        <v>312.22</v>
      </c>
      <c r="H63" s="16">
        <v>361.94</v>
      </c>
      <c r="I63" s="16">
        <v>376.68</v>
      </c>
      <c r="J63" s="16">
        <v>361.23</v>
      </c>
      <c r="K63" s="16">
        <v>389.76</v>
      </c>
      <c r="L63" s="16">
        <v>379.9</v>
      </c>
      <c r="M63" s="16">
        <v>336.82</v>
      </c>
      <c r="N63" s="16">
        <v>288.43</v>
      </c>
      <c r="O63" s="16">
        <v>247.19</v>
      </c>
      <c r="P63" s="16">
        <v>242.12</v>
      </c>
      <c r="Q63" s="16">
        <v>208.48</v>
      </c>
      <c r="R63" s="15"/>
      <c r="S63" s="16">
        <v>222.57</v>
      </c>
      <c r="T63" s="20">
        <v>88.92</v>
      </c>
      <c r="U63" s="20">
        <v>83.95</v>
      </c>
      <c r="V63" s="20">
        <v>49.93</v>
      </c>
      <c r="W63" s="20">
        <v>55.77</v>
      </c>
    </row>
    <row r="64" ht="15.0" customHeight="1">
      <c r="A64" s="14" t="s">
        <v>238</v>
      </c>
      <c r="B64" s="15"/>
      <c r="C64" s="21">
        <v>-287.87</v>
      </c>
      <c r="D64" s="21">
        <v>-257.73</v>
      </c>
      <c r="E64" s="21">
        <v>-256.02</v>
      </c>
      <c r="F64" s="21">
        <v>-223.11</v>
      </c>
      <c r="G64" s="21">
        <v>-234.95</v>
      </c>
      <c r="H64" s="21">
        <v>-267.23</v>
      </c>
      <c r="I64" s="21">
        <v>-274.22</v>
      </c>
      <c r="J64" s="21">
        <v>-251.16</v>
      </c>
      <c r="K64" s="21">
        <v>-290.19</v>
      </c>
      <c r="L64" s="21">
        <v>-298.27</v>
      </c>
      <c r="M64" s="21">
        <v>-270.59</v>
      </c>
      <c r="N64" s="21">
        <v>-232.42</v>
      </c>
      <c r="O64" s="21">
        <v>-197.81</v>
      </c>
      <c r="P64" s="21">
        <v>-183.58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239</v>
      </c>
      <c r="B65" s="15"/>
      <c r="C65" s="15"/>
      <c r="D65" s="15"/>
      <c r="E65" s="15"/>
      <c r="F65" s="15"/>
      <c r="G65" s="15"/>
      <c r="H65" s="16">
        <v>122.83</v>
      </c>
      <c r="I65" s="16">
        <v>102.47</v>
      </c>
      <c r="J65" s="16">
        <v>110.07</v>
      </c>
      <c r="K65" s="20">
        <v>99.57</v>
      </c>
      <c r="L65" s="20">
        <v>81.63</v>
      </c>
      <c r="M65" s="20">
        <v>66.23</v>
      </c>
      <c r="N65" s="20">
        <v>56.01</v>
      </c>
      <c r="O65" s="20">
        <v>49.38</v>
      </c>
      <c r="P65" s="20">
        <v>58.54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240</v>
      </c>
      <c r="B66" s="15"/>
      <c r="C66" s="15"/>
      <c r="D66" s="15"/>
      <c r="E66" s="15"/>
      <c r="F66" s="15"/>
      <c r="G66" s="15"/>
      <c r="H66" s="20">
        <v>46.88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241</v>
      </c>
      <c r="B67" s="15"/>
      <c r="C67" s="15"/>
      <c r="D67" s="15"/>
      <c r="E67" s="15"/>
      <c r="F67" s="15"/>
      <c r="G67" s="15"/>
      <c r="H67" s="22">
        <v>-18.75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242</v>
      </c>
      <c r="B68" s="15"/>
      <c r="C68" s="16">
        <v>581.9</v>
      </c>
      <c r="D68" s="16">
        <v>533.59</v>
      </c>
      <c r="E68" s="16">
        <v>625.0</v>
      </c>
      <c r="F68" s="16">
        <v>592.36</v>
      </c>
      <c r="G68" s="16">
        <v>677.69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243</v>
      </c>
      <c r="B69" s="15"/>
      <c r="C69" s="15"/>
      <c r="D69" s="15"/>
      <c r="E69" s="15"/>
      <c r="F69" s="16">
        <v>735.58</v>
      </c>
      <c r="G69" s="16">
        <v>811.34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244</v>
      </c>
      <c r="B70" s="15"/>
      <c r="C70" s="15"/>
      <c r="D70" s="15"/>
      <c r="E70" s="15"/>
      <c r="F70" s="21">
        <v>-143.22</v>
      </c>
      <c r="G70" s="21">
        <v>-133.66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245</v>
      </c>
      <c r="B71" s="15"/>
      <c r="C71" s="20">
        <v>19.53</v>
      </c>
      <c r="D71" s="20">
        <v>22.15</v>
      </c>
      <c r="E71" s="20">
        <v>6.59</v>
      </c>
      <c r="F71" s="20">
        <v>16.56</v>
      </c>
      <c r="G71" s="20">
        <v>6.27</v>
      </c>
      <c r="H71" s="20">
        <v>30.01</v>
      </c>
      <c r="I71" s="16">
        <v>115.15</v>
      </c>
      <c r="J71" s="16">
        <v>136.09</v>
      </c>
      <c r="K71" s="20">
        <v>52.16</v>
      </c>
      <c r="L71" s="20">
        <v>15.7</v>
      </c>
      <c r="M71" s="20">
        <v>1.73</v>
      </c>
      <c r="N71" s="20">
        <v>2.05</v>
      </c>
      <c r="O71" s="20">
        <v>4.71</v>
      </c>
      <c r="P71" s="20">
        <v>2.39</v>
      </c>
      <c r="Q71" s="20">
        <v>7.07</v>
      </c>
      <c r="R71" s="15"/>
      <c r="S71" s="20">
        <v>27.94</v>
      </c>
      <c r="T71" s="16">
        <v>141.84</v>
      </c>
      <c r="U71" s="20">
        <v>28.07</v>
      </c>
      <c r="V71" s="20">
        <v>4.2</v>
      </c>
      <c r="W71" s="20">
        <v>5.05</v>
      </c>
    </row>
    <row r="72" ht="15.0" customHeight="1">
      <c r="A72" s="14" t="s">
        <v>246</v>
      </c>
      <c r="B72" s="15"/>
      <c r="C72" s="20">
        <v>19.53</v>
      </c>
      <c r="D72" s="20">
        <v>22.15</v>
      </c>
      <c r="E72" s="20">
        <v>7.53</v>
      </c>
      <c r="F72" s="20">
        <v>16.56</v>
      </c>
      <c r="G72" s="20">
        <v>6.27</v>
      </c>
      <c r="H72" s="20">
        <v>30.01</v>
      </c>
      <c r="I72" s="16">
        <v>115.15</v>
      </c>
      <c r="J72" s="16">
        <v>136.09</v>
      </c>
      <c r="K72" s="20">
        <v>52.16</v>
      </c>
      <c r="L72" s="20">
        <v>15.7</v>
      </c>
      <c r="M72" s="20">
        <v>1.73</v>
      </c>
      <c r="N72" s="15"/>
      <c r="O72" s="15"/>
      <c r="P72" s="20">
        <v>2.39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247</v>
      </c>
      <c r="B73" s="15"/>
      <c r="C73" s="15">
        <v>0.0</v>
      </c>
      <c r="D73" s="15">
        <v>0.0</v>
      </c>
      <c r="E73" s="22">
        <v>-0.94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  <c r="L73" s="15">
        <v>0.0</v>
      </c>
      <c r="M73" s="15">
        <v>0.0</v>
      </c>
      <c r="N73" s="15"/>
      <c r="O73" s="15"/>
      <c r="P73" s="15">
        <v>0.0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248</v>
      </c>
      <c r="B74" s="16">
        <v>176.05</v>
      </c>
      <c r="C74" s="20">
        <v>95.61</v>
      </c>
      <c r="D74" s="20">
        <v>78.53</v>
      </c>
      <c r="E74" s="20">
        <v>97.89</v>
      </c>
      <c r="F74" s="16">
        <v>113.99</v>
      </c>
      <c r="G74" s="16">
        <v>105.46</v>
      </c>
      <c r="H74" s="16">
        <v>100.33</v>
      </c>
      <c r="I74" s="20">
        <v>99.54</v>
      </c>
      <c r="J74" s="16">
        <v>105.07</v>
      </c>
      <c r="K74" s="20">
        <v>95.78</v>
      </c>
      <c r="L74" s="20">
        <v>49.19</v>
      </c>
      <c r="M74" s="20">
        <v>44.95</v>
      </c>
      <c r="N74" s="20">
        <v>23.6</v>
      </c>
      <c r="O74" s="20">
        <v>18.1</v>
      </c>
      <c r="P74" s="20">
        <v>21.05</v>
      </c>
      <c r="Q74" s="20">
        <v>17.27</v>
      </c>
      <c r="R74" s="15"/>
      <c r="S74" s="20">
        <v>15.06</v>
      </c>
      <c r="T74" s="20">
        <v>3.4</v>
      </c>
      <c r="U74" s="20">
        <v>5.51</v>
      </c>
      <c r="V74" s="20">
        <v>0.39</v>
      </c>
      <c r="W74" s="15">
        <v>0.0</v>
      </c>
    </row>
    <row r="75" ht="15.0" customHeight="1">
      <c r="A75" s="14" t="s">
        <v>249</v>
      </c>
      <c r="B75" s="20">
        <v>91.85</v>
      </c>
      <c r="C75" s="20">
        <v>16.45</v>
      </c>
      <c r="D75" s="20">
        <v>18.12</v>
      </c>
      <c r="E75" s="20">
        <v>17.88</v>
      </c>
      <c r="F75" s="20">
        <v>17.54</v>
      </c>
      <c r="G75" s="20">
        <v>6.27</v>
      </c>
      <c r="H75" s="20">
        <v>7.5</v>
      </c>
      <c r="I75" s="20">
        <v>6.83</v>
      </c>
      <c r="J75" s="20">
        <v>8.01</v>
      </c>
      <c r="K75" s="20">
        <v>5.69</v>
      </c>
      <c r="L75" s="20">
        <v>1.05</v>
      </c>
      <c r="M75" s="20">
        <v>1.92</v>
      </c>
      <c r="N75" s="20">
        <v>0.5</v>
      </c>
      <c r="O75" s="20">
        <v>0.75</v>
      </c>
      <c r="P75" s="20">
        <v>1.03</v>
      </c>
      <c r="Q75" s="20">
        <v>1.11</v>
      </c>
      <c r="R75" s="15"/>
      <c r="S75" s="20">
        <v>2.59</v>
      </c>
      <c r="T75" s="20">
        <v>1.12</v>
      </c>
      <c r="U75" s="20">
        <v>1.01</v>
      </c>
      <c r="V75" s="20">
        <v>0.97</v>
      </c>
      <c r="W75" s="20">
        <v>2.86</v>
      </c>
    </row>
    <row r="76" ht="15.0" customHeight="1">
      <c r="A76" s="14" t="s">
        <v>250</v>
      </c>
      <c r="B76" s="15"/>
      <c r="C76" s="20">
        <v>5.14</v>
      </c>
      <c r="D76" s="20">
        <v>12.08</v>
      </c>
      <c r="E76" s="20">
        <v>19.77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251</v>
      </c>
      <c r="B77" s="15"/>
      <c r="C77" s="20">
        <v>23.65</v>
      </c>
      <c r="D77" s="15">
        <v>0.0</v>
      </c>
      <c r="E77" s="20">
        <v>8.47</v>
      </c>
      <c r="F77" s="20">
        <v>10.72</v>
      </c>
      <c r="G77" s="20">
        <v>12.53</v>
      </c>
      <c r="H77" s="20">
        <v>14.06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>
        <v>0.0</v>
      </c>
      <c r="T77" s="15">
        <v>0.0</v>
      </c>
      <c r="U77" s="15">
        <v>0.0</v>
      </c>
      <c r="V77" s="20">
        <v>0.39</v>
      </c>
      <c r="W77" s="20">
        <v>1.38</v>
      </c>
    </row>
    <row r="78" ht="15.0" customHeight="1">
      <c r="A78" s="14" t="s">
        <v>252</v>
      </c>
      <c r="B78" s="15"/>
      <c r="C78" s="20">
        <v>98.7</v>
      </c>
      <c r="D78" s="20">
        <v>49.33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7" t="s">
        <v>253</v>
      </c>
      <c r="B79" s="19">
        <v>7999.8</v>
      </c>
      <c r="C79" s="19">
        <v>3646.66</v>
      </c>
      <c r="D79" s="19">
        <v>3320.31</v>
      </c>
      <c r="E79" s="19">
        <v>3254.9</v>
      </c>
      <c r="F79" s="19">
        <v>3183.94</v>
      </c>
      <c r="G79" s="19">
        <v>3371.72</v>
      </c>
      <c r="H79" s="19">
        <v>3350.27</v>
      </c>
      <c r="I79" s="19">
        <v>2786.08</v>
      </c>
      <c r="J79" s="19">
        <v>2811.82</v>
      </c>
      <c r="K79" s="19">
        <v>2436.23</v>
      </c>
      <c r="L79" s="19">
        <v>1414.95</v>
      </c>
      <c r="M79" s="19">
        <v>1219.02</v>
      </c>
      <c r="N79" s="19">
        <v>1073.42</v>
      </c>
      <c r="O79" s="19">
        <v>960.06</v>
      </c>
      <c r="P79" s="19">
        <v>992.54</v>
      </c>
      <c r="Q79" s="19">
        <v>912.0</v>
      </c>
      <c r="R79" s="19">
        <v>935.17</v>
      </c>
      <c r="S79" s="19">
        <v>1051.21</v>
      </c>
      <c r="T79" s="19">
        <v>616.4</v>
      </c>
      <c r="U79" s="19">
        <v>513.25</v>
      </c>
      <c r="V79" s="19">
        <v>278.79</v>
      </c>
      <c r="W79" s="19">
        <v>300.55</v>
      </c>
    </row>
    <row r="80" ht="15.0" customHeight="1">
      <c r="A80" s="14" t="s">
        <v>254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6">
        <v>540.73</v>
      </c>
      <c r="S80" s="15"/>
      <c r="T80" s="15"/>
      <c r="U80" s="15"/>
      <c r="V80" s="15"/>
      <c r="W80" s="15"/>
    </row>
    <row r="81" ht="15.0" customHeight="1">
      <c r="A81" s="14" t="s">
        <v>255</v>
      </c>
      <c r="B81" s="15"/>
      <c r="C81" s="15">
        <v>0.0</v>
      </c>
      <c r="D81" s="20">
        <v>66.45</v>
      </c>
      <c r="E81" s="20">
        <v>82.83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7" t="s">
        <v>256</v>
      </c>
      <c r="B82" s="18">
        <v>13637.72</v>
      </c>
      <c r="C82" s="19">
        <v>7279.95</v>
      </c>
      <c r="D82" s="19">
        <v>5807.02</v>
      </c>
      <c r="E82" s="19">
        <v>6189.76</v>
      </c>
      <c r="F82" s="19">
        <v>5869.05</v>
      </c>
      <c r="G82" s="19">
        <v>5762.94</v>
      </c>
      <c r="H82" s="19">
        <v>5528.46</v>
      </c>
      <c r="I82" s="19">
        <v>5234.51</v>
      </c>
      <c r="J82" s="19">
        <v>5660.66</v>
      </c>
      <c r="K82" s="19">
        <v>5040.31</v>
      </c>
      <c r="L82" s="19">
        <v>3467.27</v>
      </c>
      <c r="M82" s="19">
        <v>2916.53</v>
      </c>
      <c r="N82" s="19">
        <v>2502.11</v>
      </c>
      <c r="O82" s="19">
        <v>2149.0</v>
      </c>
      <c r="P82" s="19">
        <v>2144.33</v>
      </c>
      <c r="Q82" s="19">
        <v>1810.92</v>
      </c>
      <c r="R82" s="19">
        <v>1615.8</v>
      </c>
      <c r="S82" s="19">
        <v>1994.88</v>
      </c>
      <c r="T82" s="19">
        <v>1304.8</v>
      </c>
      <c r="U82" s="19">
        <v>1191.65</v>
      </c>
      <c r="V82" s="19">
        <v>652.69</v>
      </c>
      <c r="W82" s="19">
        <v>617.9</v>
      </c>
    </row>
    <row r="83" ht="15.0" customHeight="1">
      <c r="A83" s="14" t="s">
        <v>257</v>
      </c>
      <c r="B83" s="15"/>
      <c r="C83" s="15"/>
      <c r="D83" s="15"/>
      <c r="E83" s="15"/>
      <c r="F83" s="15"/>
      <c r="G83" s="15"/>
      <c r="H83" s="15"/>
      <c r="I83" s="16">
        <v>359.12</v>
      </c>
      <c r="J83" s="16">
        <v>365.24</v>
      </c>
      <c r="K83" s="16">
        <v>444.76</v>
      </c>
      <c r="L83" s="20">
        <v>15.7</v>
      </c>
      <c r="M83" s="20">
        <v>32.59</v>
      </c>
      <c r="N83" s="16">
        <v>152.56</v>
      </c>
      <c r="O83" s="16">
        <v>110.46</v>
      </c>
      <c r="P83" s="20">
        <v>49.34</v>
      </c>
      <c r="Q83" s="20">
        <v>8.67</v>
      </c>
      <c r="R83" s="15"/>
      <c r="S83" s="20">
        <v>18.08</v>
      </c>
      <c r="T83" s="20">
        <v>12.78</v>
      </c>
      <c r="U83" s="20">
        <v>5.01</v>
      </c>
      <c r="V83" s="20">
        <v>6.55</v>
      </c>
      <c r="W83" s="20">
        <v>6.76</v>
      </c>
    </row>
    <row r="84" ht="15.0" customHeight="1">
      <c r="A84" s="14" t="s">
        <v>258</v>
      </c>
      <c r="B84" s="15"/>
      <c r="C84" s="15"/>
      <c r="D84" s="15"/>
      <c r="E84" s="15"/>
      <c r="F84" s="15"/>
      <c r="G84" s="15"/>
      <c r="H84" s="15"/>
      <c r="I84" s="15">
        <v>0.0</v>
      </c>
      <c r="J84" s="20">
        <v>29.02</v>
      </c>
      <c r="K84" s="15">
        <v>0.0</v>
      </c>
      <c r="L84" s="20">
        <v>41.86</v>
      </c>
      <c r="M84" s="15"/>
      <c r="N84" s="15"/>
      <c r="O84" s="15">
        <v>0.0</v>
      </c>
      <c r="P84" s="16">
        <v>196.51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259</v>
      </c>
      <c r="B85" s="15"/>
      <c r="C85" s="20">
        <v>57.57</v>
      </c>
      <c r="D85" s="20">
        <v>75.51</v>
      </c>
      <c r="E85" s="20">
        <v>46.12</v>
      </c>
      <c r="F85" s="16">
        <v>177.32</v>
      </c>
      <c r="G85" s="16">
        <v>935.6</v>
      </c>
      <c r="H85" s="16">
        <v>244.73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260</v>
      </c>
      <c r="B86" s="15"/>
      <c r="C86" s="16">
        <v>156.27</v>
      </c>
      <c r="D86" s="16">
        <v>140.95</v>
      </c>
      <c r="E86" s="16">
        <v>153.43</v>
      </c>
      <c r="F86" s="16">
        <v>135.42</v>
      </c>
      <c r="G86" s="16">
        <v>119.04</v>
      </c>
      <c r="H86" s="16">
        <v>115.33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261</v>
      </c>
      <c r="B87" s="15"/>
      <c r="C87" s="15"/>
      <c r="D87" s="15"/>
      <c r="E87" s="15"/>
      <c r="F87" s="15">
        <v>0.0</v>
      </c>
      <c r="G87" s="16">
        <v>146.19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262</v>
      </c>
      <c r="B88" s="15"/>
      <c r="C88" s="15"/>
      <c r="D88" s="15"/>
      <c r="E88" s="15"/>
      <c r="F88" s="15">
        <v>0.0</v>
      </c>
      <c r="G88" s="15">
        <v>0.0</v>
      </c>
      <c r="H88" s="16">
        <v>154.71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263</v>
      </c>
      <c r="B89" s="15"/>
      <c r="C89" s="20">
        <v>27.76</v>
      </c>
      <c r="D89" s="20">
        <v>20.14</v>
      </c>
      <c r="E89" s="20">
        <v>53.65</v>
      </c>
      <c r="F89" s="20">
        <v>57.48</v>
      </c>
      <c r="G89" s="20">
        <v>54.3</v>
      </c>
      <c r="H89" s="16">
        <v>300.99</v>
      </c>
      <c r="I89" s="16">
        <v>349.36</v>
      </c>
      <c r="J89" s="16">
        <v>523.34</v>
      </c>
      <c r="K89" s="16">
        <v>616.41</v>
      </c>
      <c r="L89" s="16">
        <v>814.23</v>
      </c>
      <c r="M89" s="16">
        <v>737.85</v>
      </c>
      <c r="N89" s="16">
        <v>645.32</v>
      </c>
      <c r="O89" s="16">
        <v>555.72</v>
      </c>
      <c r="P89" s="16">
        <v>473.9</v>
      </c>
      <c r="Q89" s="16">
        <v>549.1</v>
      </c>
      <c r="R89" s="15"/>
      <c r="S89" s="16">
        <v>636.83</v>
      </c>
      <c r="T89" s="16">
        <v>397.99</v>
      </c>
      <c r="U89" s="16">
        <v>298.66</v>
      </c>
      <c r="V89" s="20">
        <v>70.51</v>
      </c>
      <c r="W89" s="20">
        <v>85.65</v>
      </c>
    </row>
    <row r="90" ht="15.0" customHeight="1">
      <c r="A90" s="14" t="s">
        <v>264</v>
      </c>
      <c r="B90" s="15"/>
      <c r="C90" s="15"/>
      <c r="D90" s="15">
        <v>0.0</v>
      </c>
      <c r="E90" s="20">
        <v>25.41</v>
      </c>
      <c r="F90" s="15"/>
      <c r="G90" s="15">
        <v>0.0</v>
      </c>
      <c r="H90" s="20">
        <v>3.75</v>
      </c>
      <c r="I90" s="20">
        <v>0.98</v>
      </c>
      <c r="J90" s="20">
        <v>11.01</v>
      </c>
      <c r="K90" s="15">
        <v>0.0</v>
      </c>
      <c r="L90" s="20">
        <v>1.05</v>
      </c>
      <c r="M90" s="20">
        <v>36.81</v>
      </c>
      <c r="N90" s="20">
        <v>30.69</v>
      </c>
      <c r="O90" s="20">
        <v>32.39</v>
      </c>
      <c r="P90" s="20">
        <v>29.01</v>
      </c>
      <c r="Q90" s="20">
        <v>15.29</v>
      </c>
      <c r="R90" s="15"/>
      <c r="S90" s="15"/>
      <c r="T90" s="15"/>
      <c r="U90" s="15"/>
      <c r="V90" s="15"/>
      <c r="W90" s="15"/>
    </row>
    <row r="91" ht="15.0" customHeight="1">
      <c r="A91" s="14" t="s">
        <v>265</v>
      </c>
      <c r="B91" s="15"/>
      <c r="C91" s="20">
        <v>74.02</v>
      </c>
      <c r="D91" s="20">
        <v>50.34</v>
      </c>
      <c r="E91" s="20">
        <v>61.18</v>
      </c>
      <c r="F91" s="20">
        <v>73.07</v>
      </c>
      <c r="G91" s="20">
        <v>51.17</v>
      </c>
      <c r="H91" s="20">
        <v>15.94</v>
      </c>
      <c r="I91" s="20">
        <v>23.42</v>
      </c>
      <c r="J91" s="20">
        <v>11.01</v>
      </c>
      <c r="K91" s="20">
        <v>20.86</v>
      </c>
      <c r="L91" s="20">
        <v>9.42</v>
      </c>
      <c r="M91" s="20">
        <v>8.34</v>
      </c>
      <c r="N91" s="20">
        <v>38.48</v>
      </c>
      <c r="O91" s="20">
        <v>0.5</v>
      </c>
      <c r="P91" s="20">
        <v>3.51</v>
      </c>
      <c r="Q91" s="20">
        <v>5.13</v>
      </c>
      <c r="R91" s="15"/>
      <c r="S91" s="20">
        <v>3.34</v>
      </c>
      <c r="T91" s="20">
        <v>5.7</v>
      </c>
      <c r="U91" s="20">
        <v>1.91</v>
      </c>
      <c r="V91" s="20">
        <v>4.63</v>
      </c>
      <c r="W91" s="20">
        <v>0.82</v>
      </c>
    </row>
    <row r="92" ht="15.0" customHeight="1">
      <c r="A92" s="14" t="s">
        <v>266</v>
      </c>
      <c r="B92" s="15"/>
      <c r="C92" s="16">
        <v>839.95</v>
      </c>
      <c r="D92" s="16">
        <v>696.68</v>
      </c>
      <c r="E92" s="16">
        <v>738.89</v>
      </c>
      <c r="F92" s="16">
        <v>946.02</v>
      </c>
      <c r="G92" s="16">
        <v>648.45</v>
      </c>
      <c r="H92" s="16">
        <v>587.91</v>
      </c>
      <c r="I92" s="16">
        <v>604.06</v>
      </c>
      <c r="J92" s="16">
        <v>676.44</v>
      </c>
      <c r="K92" s="16">
        <v>607.87</v>
      </c>
      <c r="L92" s="16">
        <v>391.41</v>
      </c>
      <c r="M92" s="16">
        <v>325.12</v>
      </c>
      <c r="N92" s="16">
        <v>256.58</v>
      </c>
      <c r="O92" s="16">
        <v>212.94</v>
      </c>
      <c r="P92" s="16">
        <v>246.84</v>
      </c>
      <c r="Q92" s="16">
        <v>283.2</v>
      </c>
      <c r="R92" s="15"/>
      <c r="S92" s="16">
        <v>220.16</v>
      </c>
      <c r="T92" s="16">
        <v>203.2</v>
      </c>
      <c r="U92" s="16">
        <v>210.15</v>
      </c>
      <c r="V92" s="20">
        <v>77.89</v>
      </c>
      <c r="W92" s="20">
        <v>91.63</v>
      </c>
    </row>
    <row r="93" ht="15.0" customHeight="1">
      <c r="A93" s="14" t="s">
        <v>267</v>
      </c>
      <c r="B93" s="15"/>
      <c r="C93" s="20">
        <v>66.83</v>
      </c>
      <c r="D93" s="20">
        <v>16.11</v>
      </c>
      <c r="E93" s="20">
        <v>71.54</v>
      </c>
      <c r="F93" s="20">
        <v>94.51</v>
      </c>
      <c r="G93" s="20">
        <v>44.9</v>
      </c>
      <c r="H93" s="20">
        <v>17.82</v>
      </c>
      <c r="I93" s="20">
        <v>39.03</v>
      </c>
      <c r="J93" s="20">
        <v>51.03</v>
      </c>
      <c r="K93" s="20">
        <v>64.49</v>
      </c>
      <c r="L93" s="20">
        <v>46.05</v>
      </c>
      <c r="M93" s="20">
        <v>40.64</v>
      </c>
      <c r="N93" s="20">
        <v>6.46</v>
      </c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268</v>
      </c>
      <c r="B94" s="16">
        <v>4516.02</v>
      </c>
      <c r="C94" s="16">
        <v>114.12</v>
      </c>
      <c r="D94" s="20">
        <v>90.61</v>
      </c>
      <c r="E94" s="16">
        <v>107.3</v>
      </c>
      <c r="F94" s="16">
        <v>117.89</v>
      </c>
      <c r="G94" s="16">
        <v>148.28</v>
      </c>
      <c r="H94" s="16">
        <v>101.27</v>
      </c>
      <c r="I94" s="16">
        <v>109.3</v>
      </c>
      <c r="J94" s="16">
        <v>274.18</v>
      </c>
      <c r="K94" s="16">
        <v>146.99</v>
      </c>
      <c r="L94" s="20">
        <v>63.84</v>
      </c>
      <c r="M94" s="20">
        <v>60.48</v>
      </c>
      <c r="N94" s="20">
        <v>55.06</v>
      </c>
      <c r="O94" s="20">
        <v>41.41</v>
      </c>
      <c r="P94" s="16">
        <v>115.12</v>
      </c>
      <c r="Q94" s="20">
        <v>38.62</v>
      </c>
      <c r="R94" s="16">
        <v>791.88</v>
      </c>
      <c r="S94" s="20">
        <v>27.72</v>
      </c>
      <c r="T94" s="20">
        <v>19.5</v>
      </c>
      <c r="U94" s="20">
        <v>24.2</v>
      </c>
      <c r="V94" s="20">
        <v>16.48</v>
      </c>
      <c r="W94" s="20">
        <v>24.62</v>
      </c>
    </row>
    <row r="95" ht="15.0" customHeight="1">
      <c r="A95" s="14" t="s">
        <v>269</v>
      </c>
      <c r="B95" s="15"/>
      <c r="C95" s="16">
        <v>424.6</v>
      </c>
      <c r="D95" s="16">
        <v>358.41</v>
      </c>
      <c r="E95" s="16">
        <v>348.27</v>
      </c>
      <c r="F95" s="16">
        <v>374.12</v>
      </c>
      <c r="G95" s="16">
        <v>397.84</v>
      </c>
      <c r="H95" s="16">
        <v>309.43</v>
      </c>
      <c r="I95" s="16">
        <v>334.72</v>
      </c>
      <c r="J95" s="16">
        <v>295.19</v>
      </c>
      <c r="K95" s="16">
        <v>269.32</v>
      </c>
      <c r="L95" s="16">
        <v>209.31</v>
      </c>
      <c r="M95" s="16">
        <v>204.35</v>
      </c>
      <c r="N95" s="16">
        <v>131.86</v>
      </c>
      <c r="O95" s="16">
        <v>151.12</v>
      </c>
      <c r="P95" s="16">
        <v>140.95</v>
      </c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270</v>
      </c>
      <c r="B96" s="15"/>
      <c r="C96" s="16">
        <v>203.56</v>
      </c>
      <c r="D96" s="16">
        <v>147.99</v>
      </c>
      <c r="E96" s="16">
        <v>150.6</v>
      </c>
      <c r="F96" s="16">
        <v>154.91</v>
      </c>
      <c r="G96" s="16">
        <v>174.38</v>
      </c>
      <c r="H96" s="16">
        <v>124.71</v>
      </c>
      <c r="I96" s="16">
        <v>124.91</v>
      </c>
      <c r="J96" s="16">
        <v>115.07</v>
      </c>
      <c r="K96" s="16">
        <v>110.95</v>
      </c>
      <c r="L96" s="20">
        <v>83.73</v>
      </c>
      <c r="M96" s="20">
        <v>72.94</v>
      </c>
      <c r="N96" s="20">
        <v>54.04</v>
      </c>
      <c r="O96" s="20">
        <v>50.76</v>
      </c>
      <c r="P96" s="20">
        <v>53.14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271</v>
      </c>
      <c r="B97" s="15"/>
      <c r="C97" s="20">
        <v>79.16</v>
      </c>
      <c r="D97" s="20">
        <v>75.51</v>
      </c>
      <c r="E97" s="20">
        <v>63.06</v>
      </c>
      <c r="F97" s="20">
        <v>53.59</v>
      </c>
      <c r="G97" s="20">
        <v>73.09</v>
      </c>
      <c r="H97" s="20">
        <v>60.95</v>
      </c>
      <c r="I97" s="20">
        <v>57.58</v>
      </c>
      <c r="J97" s="20">
        <v>47.03</v>
      </c>
      <c r="K97" s="20">
        <v>56.9</v>
      </c>
      <c r="L97" s="20">
        <v>34.54</v>
      </c>
      <c r="M97" s="20">
        <v>30.0</v>
      </c>
      <c r="N97" s="20">
        <v>22.26</v>
      </c>
      <c r="O97" s="20">
        <v>20.14</v>
      </c>
      <c r="P97" s="20">
        <v>16.46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272</v>
      </c>
      <c r="B98" s="15"/>
      <c r="C98" s="20">
        <v>3.08</v>
      </c>
      <c r="D98" s="20">
        <v>5.03</v>
      </c>
      <c r="E98" s="20">
        <v>1.88</v>
      </c>
      <c r="F98" s="20">
        <v>1.95</v>
      </c>
      <c r="G98" s="20">
        <v>1.04</v>
      </c>
      <c r="H98" s="20">
        <v>4.69</v>
      </c>
      <c r="I98" s="20">
        <v>0.98</v>
      </c>
      <c r="J98" s="20">
        <v>5.0</v>
      </c>
      <c r="K98" s="20">
        <v>15.17</v>
      </c>
      <c r="L98" s="20">
        <v>12.56</v>
      </c>
      <c r="M98" s="20">
        <v>6.42</v>
      </c>
      <c r="N98" s="20">
        <v>3.03</v>
      </c>
      <c r="O98" s="20">
        <v>17.44</v>
      </c>
      <c r="P98" s="20">
        <v>7.58</v>
      </c>
      <c r="Q98" s="20">
        <v>6.57</v>
      </c>
      <c r="R98" s="15"/>
      <c r="S98" s="20">
        <v>8.41</v>
      </c>
      <c r="T98" s="15"/>
      <c r="U98" s="15"/>
      <c r="V98" s="15"/>
      <c r="W98" s="15"/>
    </row>
    <row r="99" ht="15.0" customHeight="1">
      <c r="A99" s="14" t="s">
        <v>273</v>
      </c>
      <c r="B99" s="15"/>
      <c r="C99" s="16">
        <v>133.65</v>
      </c>
      <c r="D99" s="16">
        <v>123.83</v>
      </c>
      <c r="E99" s="16">
        <v>127.07</v>
      </c>
      <c r="F99" s="16">
        <v>161.73</v>
      </c>
      <c r="G99" s="16">
        <v>140.97</v>
      </c>
      <c r="H99" s="16">
        <v>113.46</v>
      </c>
      <c r="I99" s="16">
        <v>147.35</v>
      </c>
      <c r="J99" s="16">
        <v>123.08</v>
      </c>
      <c r="K99" s="20">
        <v>82.5</v>
      </c>
      <c r="L99" s="20">
        <v>76.4</v>
      </c>
      <c r="M99" s="20">
        <v>91.25</v>
      </c>
      <c r="N99" s="20">
        <v>48.68</v>
      </c>
      <c r="O99" s="20">
        <v>59.19</v>
      </c>
      <c r="P99" s="20">
        <v>53.61</v>
      </c>
      <c r="Q99" s="16">
        <v>118.7</v>
      </c>
      <c r="R99" s="15"/>
      <c r="S99" s="16">
        <v>144.22</v>
      </c>
      <c r="T99" s="16">
        <v>110.75</v>
      </c>
      <c r="U99" s="20">
        <v>80.65</v>
      </c>
      <c r="V99" s="20">
        <v>49.85</v>
      </c>
      <c r="W99" s="20">
        <v>47.2</v>
      </c>
    </row>
    <row r="100" ht="15.0" customHeight="1">
      <c r="A100" s="14" t="s">
        <v>274</v>
      </c>
      <c r="B100" s="15"/>
      <c r="C100" s="20">
        <v>5.14</v>
      </c>
      <c r="D100" s="20">
        <v>6.04</v>
      </c>
      <c r="E100" s="20">
        <v>5.65</v>
      </c>
      <c r="F100" s="20">
        <v>1.95</v>
      </c>
      <c r="G100" s="20">
        <v>8.35</v>
      </c>
      <c r="H100" s="20">
        <v>5.63</v>
      </c>
      <c r="I100" s="20">
        <v>3.9</v>
      </c>
      <c r="J100" s="20">
        <v>5.0</v>
      </c>
      <c r="K100" s="20">
        <v>3.79</v>
      </c>
      <c r="L100" s="20">
        <v>2.09</v>
      </c>
      <c r="M100" s="20">
        <v>3.74</v>
      </c>
      <c r="N100" s="20">
        <v>3.85</v>
      </c>
      <c r="O100" s="20">
        <v>3.6</v>
      </c>
      <c r="P100" s="20">
        <v>10.16</v>
      </c>
      <c r="Q100" s="15">
        <v>0.0</v>
      </c>
      <c r="R100" s="15"/>
      <c r="S100" s="20">
        <v>7.25</v>
      </c>
      <c r="T100" s="20">
        <v>17.39</v>
      </c>
      <c r="U100" s="20">
        <v>23.99</v>
      </c>
      <c r="V100" s="20">
        <v>14.11</v>
      </c>
      <c r="W100" s="20">
        <v>11.6</v>
      </c>
    </row>
    <row r="101" ht="15.0" customHeight="1">
      <c r="A101" s="14" t="s">
        <v>275</v>
      </c>
      <c r="B101" s="15"/>
      <c r="C101" s="20">
        <v>12.34</v>
      </c>
      <c r="D101" s="20">
        <v>8.05</v>
      </c>
      <c r="E101" s="20">
        <v>13.18</v>
      </c>
      <c r="F101" s="20">
        <v>25.33</v>
      </c>
      <c r="G101" s="20">
        <v>33.41</v>
      </c>
      <c r="H101" s="20">
        <v>7.5</v>
      </c>
      <c r="I101" s="20">
        <v>6.83</v>
      </c>
      <c r="J101" s="20">
        <v>8.01</v>
      </c>
      <c r="K101" s="20">
        <v>44.57</v>
      </c>
      <c r="L101" s="15">
        <v>0.0</v>
      </c>
      <c r="M101" s="20">
        <v>11.5</v>
      </c>
      <c r="N101" s="15"/>
      <c r="O101" s="15"/>
      <c r="P101" s="15"/>
      <c r="Q101" s="15"/>
      <c r="R101" s="15"/>
      <c r="S101" s="15">
        <v>0.0</v>
      </c>
      <c r="T101" s="20">
        <v>3.67</v>
      </c>
      <c r="U101" s="20">
        <v>25.38</v>
      </c>
      <c r="V101" s="15">
        <v>0.0</v>
      </c>
      <c r="W101" s="15"/>
    </row>
    <row r="102" ht="15.0" customHeight="1">
      <c r="A102" s="17" t="s">
        <v>268</v>
      </c>
      <c r="B102" s="19">
        <v>4516.02</v>
      </c>
      <c r="C102" s="19">
        <v>1773.46</v>
      </c>
      <c r="D102" s="19">
        <v>1456.79</v>
      </c>
      <c r="E102" s="19">
        <v>1618.98</v>
      </c>
      <c r="F102" s="19">
        <v>2001.17</v>
      </c>
      <c r="G102" s="19">
        <v>2579.18</v>
      </c>
      <c r="H102" s="19">
        <v>1859.39</v>
      </c>
      <c r="I102" s="19">
        <v>1826.81</v>
      </c>
      <c r="J102" s="19">
        <v>2244.45</v>
      </c>
      <c r="K102" s="19">
        <v>2215.27</v>
      </c>
      <c r="L102" s="19">
        <v>1592.87</v>
      </c>
      <c r="M102" s="19">
        <v>1457.69</v>
      </c>
      <c r="N102" s="19">
        <v>1317.02</v>
      </c>
      <c r="O102" s="19">
        <v>1104.53</v>
      </c>
      <c r="P102" s="19">
        <v>1255.17</v>
      </c>
      <c r="Q102" s="19">
        <v>1025.28</v>
      </c>
      <c r="R102" s="19">
        <v>791.88</v>
      </c>
      <c r="S102" s="19">
        <v>1066.01</v>
      </c>
      <c r="T102" s="19">
        <v>770.96</v>
      </c>
      <c r="U102" s="19">
        <v>669.95</v>
      </c>
      <c r="V102" s="19">
        <v>240.01</v>
      </c>
      <c r="W102" s="19">
        <v>268.28</v>
      </c>
    </row>
    <row r="103" ht="15.0" customHeight="1">
      <c r="A103" s="14" t="s">
        <v>276</v>
      </c>
      <c r="B103" s="15"/>
      <c r="C103" s="16">
        <v>580.87</v>
      </c>
      <c r="D103" s="16">
        <v>599.02</v>
      </c>
      <c r="E103" s="16">
        <v>985.5</v>
      </c>
      <c r="F103" s="16">
        <v>555.34</v>
      </c>
      <c r="G103" s="16">
        <v>699.61</v>
      </c>
      <c r="H103" s="16">
        <v>1194.58</v>
      </c>
      <c r="I103" s="16">
        <v>1439.39</v>
      </c>
      <c r="J103" s="16">
        <v>1311.85</v>
      </c>
      <c r="K103" s="16">
        <v>758.65</v>
      </c>
      <c r="L103" s="20">
        <v>94.19</v>
      </c>
      <c r="M103" s="20">
        <v>95.75</v>
      </c>
      <c r="N103" s="16">
        <v>106.84</v>
      </c>
      <c r="O103" s="16">
        <v>155.19</v>
      </c>
      <c r="P103" s="16">
        <v>282.32</v>
      </c>
      <c r="Q103" s="16">
        <v>129.51</v>
      </c>
      <c r="R103" s="15"/>
      <c r="S103" s="16">
        <v>188.33</v>
      </c>
      <c r="T103" s="16">
        <v>156.34</v>
      </c>
      <c r="U103" s="16">
        <v>196.62</v>
      </c>
      <c r="V103" s="16">
        <v>203.96</v>
      </c>
      <c r="W103" s="16">
        <v>184.54</v>
      </c>
    </row>
    <row r="104" ht="15.0" customHeight="1">
      <c r="A104" s="14" t="s">
        <v>277</v>
      </c>
      <c r="B104" s="15"/>
      <c r="C104" s="16">
        <v>445.17</v>
      </c>
      <c r="D104" s="16">
        <v>408.75</v>
      </c>
      <c r="E104" s="16">
        <v>487.58</v>
      </c>
      <c r="F104" s="16">
        <v>478.37</v>
      </c>
      <c r="G104" s="16">
        <v>565.96</v>
      </c>
      <c r="H104" s="16">
        <v>600.1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278</v>
      </c>
      <c r="B105" s="15"/>
      <c r="C105" s="15"/>
      <c r="D105" s="15"/>
      <c r="E105" s="15"/>
      <c r="F105" s="15"/>
      <c r="G105" s="15"/>
      <c r="H105" s="15">
        <v>0.0</v>
      </c>
      <c r="I105" s="16">
        <v>158.09</v>
      </c>
      <c r="J105" s="16">
        <v>159.1</v>
      </c>
      <c r="K105" s="16">
        <v>175.44</v>
      </c>
      <c r="L105" s="20">
        <v>30.35</v>
      </c>
      <c r="M105" s="20">
        <v>65.75</v>
      </c>
      <c r="N105" s="20">
        <v>37.52</v>
      </c>
      <c r="O105" s="20">
        <v>34.01</v>
      </c>
      <c r="P105" s="15">
        <v>0.0</v>
      </c>
      <c r="Q105" s="16">
        <v>196.18</v>
      </c>
      <c r="R105" s="15"/>
      <c r="S105" s="16">
        <v>215.9</v>
      </c>
      <c r="T105" s="20">
        <v>15.25</v>
      </c>
      <c r="U105" s="20">
        <v>15.99</v>
      </c>
      <c r="V105" s="20">
        <v>14.42</v>
      </c>
      <c r="W105" s="15">
        <v>0.0</v>
      </c>
    </row>
    <row r="106" ht="15.0" customHeight="1">
      <c r="A106" s="14" t="s">
        <v>279</v>
      </c>
      <c r="B106" s="15"/>
      <c r="C106" s="20">
        <v>32.9</v>
      </c>
      <c r="D106" s="20">
        <v>29.2</v>
      </c>
      <c r="E106" s="20">
        <v>32.0</v>
      </c>
      <c r="F106" s="20">
        <v>39.95</v>
      </c>
      <c r="G106" s="20">
        <v>30.28</v>
      </c>
      <c r="H106" s="20">
        <v>37.51</v>
      </c>
      <c r="I106" s="20">
        <v>37.08</v>
      </c>
      <c r="J106" s="20">
        <v>32.02</v>
      </c>
      <c r="K106" s="20">
        <v>30.35</v>
      </c>
      <c r="L106" s="20">
        <v>5.23</v>
      </c>
      <c r="M106" s="20">
        <v>7.96</v>
      </c>
      <c r="N106" s="20">
        <v>6.64</v>
      </c>
      <c r="O106" s="20">
        <v>6.31</v>
      </c>
      <c r="P106" s="20">
        <v>19.22</v>
      </c>
      <c r="Q106" s="20">
        <v>17.06</v>
      </c>
      <c r="R106" s="15"/>
      <c r="S106" s="20">
        <v>15.9</v>
      </c>
      <c r="T106" s="20">
        <v>8.86</v>
      </c>
      <c r="U106" s="20">
        <v>5.69</v>
      </c>
      <c r="V106" s="20">
        <v>5.47</v>
      </c>
      <c r="W106" s="20">
        <v>5.88</v>
      </c>
    </row>
    <row r="107" ht="15.0" customHeight="1">
      <c r="A107" s="14" t="s">
        <v>280</v>
      </c>
      <c r="B107" s="16">
        <v>305.08</v>
      </c>
      <c r="C107" s="20">
        <v>45.24</v>
      </c>
      <c r="D107" s="20">
        <v>39.26</v>
      </c>
      <c r="E107" s="20">
        <v>41.42</v>
      </c>
      <c r="F107" s="20">
        <v>43.84</v>
      </c>
      <c r="G107" s="20">
        <v>42.81</v>
      </c>
      <c r="H107" s="20">
        <v>45.01</v>
      </c>
      <c r="I107" s="20">
        <v>52.7</v>
      </c>
      <c r="J107" s="20">
        <v>72.05</v>
      </c>
      <c r="K107" s="20">
        <v>73.02</v>
      </c>
      <c r="L107" s="20">
        <v>54.42</v>
      </c>
      <c r="M107" s="20">
        <v>46.49</v>
      </c>
      <c r="N107" s="20">
        <v>46.46</v>
      </c>
      <c r="O107" s="20">
        <v>54.42</v>
      </c>
      <c r="P107" s="20">
        <v>54.13</v>
      </c>
      <c r="Q107" s="20">
        <v>38.37</v>
      </c>
      <c r="R107" s="15"/>
      <c r="S107" s="20">
        <v>41.03</v>
      </c>
      <c r="T107" s="20">
        <v>17.96</v>
      </c>
      <c r="U107" s="20">
        <v>19.24</v>
      </c>
      <c r="V107" s="20">
        <v>19.17</v>
      </c>
      <c r="W107" s="20">
        <v>20.32</v>
      </c>
    </row>
    <row r="108" ht="15.0" customHeight="1">
      <c r="A108" s="14" t="s">
        <v>281</v>
      </c>
      <c r="B108" s="15"/>
      <c r="C108" s="20">
        <v>15.42</v>
      </c>
      <c r="D108" s="20">
        <v>14.09</v>
      </c>
      <c r="E108" s="20">
        <v>12.24</v>
      </c>
      <c r="F108" s="20">
        <v>11.69</v>
      </c>
      <c r="G108" s="20">
        <v>9.4</v>
      </c>
      <c r="H108" s="20">
        <v>7.5</v>
      </c>
      <c r="I108" s="20">
        <v>18.54</v>
      </c>
      <c r="J108" s="20">
        <v>23.01</v>
      </c>
      <c r="K108" s="20">
        <v>22.76</v>
      </c>
      <c r="L108" s="20">
        <v>9.42</v>
      </c>
      <c r="M108" s="20">
        <v>8.53</v>
      </c>
      <c r="N108" s="20">
        <v>8.59</v>
      </c>
      <c r="O108" s="20">
        <v>10.49</v>
      </c>
      <c r="P108" s="20">
        <v>14.97</v>
      </c>
      <c r="Q108" s="20">
        <v>5.99</v>
      </c>
      <c r="R108" s="15"/>
      <c r="S108" s="20">
        <v>15.39</v>
      </c>
      <c r="T108" s="20">
        <v>6.76</v>
      </c>
      <c r="U108" s="20">
        <v>9.13</v>
      </c>
      <c r="V108" s="20">
        <v>0.69</v>
      </c>
      <c r="W108" s="20">
        <v>0.89</v>
      </c>
    </row>
    <row r="109" ht="15.0" customHeight="1">
      <c r="A109" s="14" t="s">
        <v>282</v>
      </c>
      <c r="B109" s="15"/>
      <c r="C109" s="15"/>
      <c r="D109" s="15"/>
      <c r="E109" s="15"/>
      <c r="F109" s="20">
        <v>5.85</v>
      </c>
      <c r="G109" s="20">
        <v>5.22</v>
      </c>
      <c r="H109" s="20">
        <v>3.75</v>
      </c>
      <c r="I109" s="20">
        <v>3.9</v>
      </c>
      <c r="J109" s="20">
        <v>3.0</v>
      </c>
      <c r="K109" s="20">
        <v>2.84</v>
      </c>
      <c r="L109" s="20">
        <v>3.14</v>
      </c>
      <c r="M109" s="20">
        <v>2.88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283</v>
      </c>
      <c r="B110" s="15"/>
      <c r="C110" s="15"/>
      <c r="D110" s="15"/>
      <c r="E110" s="15"/>
      <c r="F110" s="15"/>
      <c r="G110" s="15">
        <v>0.0</v>
      </c>
      <c r="H110" s="15">
        <v>0.0</v>
      </c>
      <c r="I110" s="20">
        <v>0.98</v>
      </c>
      <c r="J110" s="20">
        <v>1.0</v>
      </c>
      <c r="K110" s="20">
        <v>0.95</v>
      </c>
      <c r="L110" s="20">
        <v>1.05</v>
      </c>
      <c r="M110" s="20">
        <v>0.48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284</v>
      </c>
      <c r="B111" s="15"/>
      <c r="C111" s="15">
        <v>0.0</v>
      </c>
      <c r="D111" s="20">
        <v>1.01</v>
      </c>
      <c r="E111" s="20">
        <v>2.82</v>
      </c>
      <c r="F111" s="20">
        <v>20.46</v>
      </c>
      <c r="G111" s="15">
        <v>0.0</v>
      </c>
      <c r="H111" s="15">
        <v>0.0</v>
      </c>
      <c r="I111" s="15">
        <v>0.0</v>
      </c>
      <c r="J111" s="20">
        <v>7.0</v>
      </c>
      <c r="K111" s="20">
        <v>7.59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285</v>
      </c>
      <c r="B112" s="15"/>
      <c r="C112" s="20">
        <v>19.53</v>
      </c>
      <c r="D112" s="20">
        <v>13.09</v>
      </c>
      <c r="E112" s="20">
        <v>16.94</v>
      </c>
      <c r="F112" s="20">
        <v>10.72</v>
      </c>
      <c r="G112" s="20">
        <v>4.18</v>
      </c>
      <c r="H112" s="20">
        <v>3.75</v>
      </c>
      <c r="I112" s="20">
        <v>13.66</v>
      </c>
      <c r="J112" s="20">
        <v>12.01</v>
      </c>
      <c r="K112" s="20">
        <v>11.38</v>
      </c>
      <c r="L112" s="20">
        <v>5.23</v>
      </c>
      <c r="M112" s="20">
        <v>5.18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286</v>
      </c>
      <c r="B113" s="15"/>
      <c r="C113" s="22">
        <v>-4.11</v>
      </c>
      <c r="D113" s="15"/>
      <c r="E113" s="22">
        <v>-7.53</v>
      </c>
      <c r="F113" s="22">
        <v>-25.33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287</v>
      </c>
      <c r="B114" s="16">
        <v>4014.12</v>
      </c>
      <c r="C114" s="20">
        <v>5.14</v>
      </c>
      <c r="D114" s="20">
        <v>13.09</v>
      </c>
      <c r="E114" s="20">
        <v>11.3</v>
      </c>
      <c r="F114" s="20">
        <v>18.51</v>
      </c>
      <c r="G114" s="20">
        <v>6.27</v>
      </c>
      <c r="H114" s="20">
        <v>3.75</v>
      </c>
      <c r="I114" s="20">
        <v>3.9</v>
      </c>
      <c r="J114" s="20">
        <v>16.01</v>
      </c>
      <c r="K114" s="16">
        <v>183.03</v>
      </c>
      <c r="L114" s="20">
        <v>31.4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288</v>
      </c>
      <c r="B115" s="15"/>
      <c r="C115" s="15"/>
      <c r="D115" s="15"/>
      <c r="E115" s="15">
        <v>0.0</v>
      </c>
      <c r="F115" s="20">
        <v>9.74</v>
      </c>
      <c r="G115" s="20">
        <v>28.19</v>
      </c>
      <c r="H115" s="20">
        <v>21.57</v>
      </c>
      <c r="I115" s="20">
        <v>13.66</v>
      </c>
      <c r="J115" s="20">
        <v>17.01</v>
      </c>
      <c r="K115" s="20">
        <v>32.24</v>
      </c>
      <c r="L115" s="20">
        <v>31.4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22">
        <v>-0.1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7" t="s">
        <v>268</v>
      </c>
      <c r="B117" s="19">
        <v>4319.19</v>
      </c>
      <c r="C117" s="19">
        <v>1124.74</v>
      </c>
      <c r="D117" s="19">
        <v>1103.41</v>
      </c>
      <c r="E117" s="19">
        <v>1570.03</v>
      </c>
      <c r="F117" s="19">
        <v>1157.44</v>
      </c>
      <c r="G117" s="19">
        <v>1382.52</v>
      </c>
      <c r="H117" s="19">
        <v>1910.02</v>
      </c>
      <c r="I117" s="19">
        <v>1723.37</v>
      </c>
      <c r="J117" s="19">
        <v>1631.05</v>
      </c>
      <c r="K117" s="19">
        <v>1275.49</v>
      </c>
      <c r="L117" s="19">
        <v>256.41</v>
      </c>
      <c r="M117" s="19">
        <v>224.39</v>
      </c>
      <c r="N117" s="19">
        <v>206.05</v>
      </c>
      <c r="O117" s="19">
        <v>260.43</v>
      </c>
      <c r="P117" s="19">
        <v>370.64</v>
      </c>
      <c r="Q117" s="19">
        <v>387.1</v>
      </c>
      <c r="R117" s="19">
        <v>392.01</v>
      </c>
      <c r="S117" s="19">
        <v>476.55</v>
      </c>
      <c r="T117" s="19">
        <v>205.19</v>
      </c>
      <c r="U117" s="19">
        <v>246.66</v>
      </c>
      <c r="V117" s="19">
        <v>243.71</v>
      </c>
      <c r="W117" s="19">
        <v>211.63</v>
      </c>
    </row>
    <row r="118" ht="15.0" customHeight="1">
      <c r="A118" s="14" t="s">
        <v>290</v>
      </c>
      <c r="B118" s="15"/>
      <c r="C118" s="15">
        <v>0.0</v>
      </c>
      <c r="D118" s="20">
        <v>17.11</v>
      </c>
      <c r="E118" s="20">
        <v>17.88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7" t="s">
        <v>291</v>
      </c>
      <c r="B119" s="19">
        <v>8835.21</v>
      </c>
      <c r="C119" s="19">
        <v>2898.2</v>
      </c>
      <c r="D119" s="19">
        <v>2577.32</v>
      </c>
      <c r="E119" s="19">
        <v>3206.89</v>
      </c>
      <c r="F119" s="19">
        <v>3158.61</v>
      </c>
      <c r="G119" s="19">
        <v>3961.7</v>
      </c>
      <c r="H119" s="19">
        <v>3769.4</v>
      </c>
      <c r="I119" s="19">
        <v>3550.18</v>
      </c>
      <c r="J119" s="19">
        <v>3875.5</v>
      </c>
      <c r="K119" s="19">
        <v>3490.76</v>
      </c>
      <c r="L119" s="19">
        <v>1849.28</v>
      </c>
      <c r="M119" s="19">
        <v>1682.07</v>
      </c>
      <c r="N119" s="19">
        <v>1523.07</v>
      </c>
      <c r="O119" s="19">
        <v>1364.96</v>
      </c>
      <c r="P119" s="19">
        <v>1625.81</v>
      </c>
      <c r="Q119" s="19">
        <v>1412.38</v>
      </c>
      <c r="R119" s="19">
        <v>1183.89</v>
      </c>
      <c r="S119" s="19">
        <v>1542.57</v>
      </c>
      <c r="T119" s="19">
        <v>976.16</v>
      </c>
      <c r="U119" s="19">
        <v>916.61</v>
      </c>
      <c r="V119" s="19">
        <v>483.72</v>
      </c>
      <c r="W119" s="19">
        <v>479.91</v>
      </c>
    </row>
    <row r="120" ht="15.0" customHeight="1">
      <c r="A120" s="14" t="s">
        <v>292</v>
      </c>
      <c r="B120" s="16">
        <v>4564.13</v>
      </c>
      <c r="C120" s="16">
        <v>4243.98</v>
      </c>
      <c r="D120" s="16">
        <v>3069.63</v>
      </c>
      <c r="E120" s="16">
        <v>2835.09</v>
      </c>
      <c r="F120" s="16">
        <v>2585.74</v>
      </c>
      <c r="G120" s="16">
        <v>1678.03</v>
      </c>
      <c r="H120" s="16">
        <v>1639.03</v>
      </c>
      <c r="I120" s="16">
        <v>1559.42</v>
      </c>
      <c r="J120" s="16">
        <v>1665.08</v>
      </c>
      <c r="K120" s="16">
        <v>1433.86</v>
      </c>
      <c r="L120" s="16">
        <v>1531.12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293</v>
      </c>
      <c r="B121" s="16">
        <v>119.19</v>
      </c>
      <c r="C121" s="16">
        <v>112.06</v>
      </c>
      <c r="D121" s="20">
        <v>93.63</v>
      </c>
      <c r="E121" s="20">
        <v>87.54</v>
      </c>
      <c r="F121" s="20">
        <v>88.66</v>
      </c>
      <c r="G121" s="20">
        <v>44.9</v>
      </c>
      <c r="H121" s="20">
        <v>40.32</v>
      </c>
      <c r="I121" s="20">
        <v>41.96</v>
      </c>
      <c r="J121" s="20">
        <v>43.03</v>
      </c>
      <c r="K121" s="20">
        <v>40.78</v>
      </c>
      <c r="L121" s="20">
        <v>43.96</v>
      </c>
      <c r="M121" s="20">
        <v>40.64</v>
      </c>
      <c r="N121" s="20">
        <v>39.94</v>
      </c>
      <c r="O121" s="20">
        <v>36.28</v>
      </c>
      <c r="P121" s="20">
        <v>30.99</v>
      </c>
      <c r="Q121" s="20">
        <v>30.99</v>
      </c>
      <c r="R121" s="15"/>
      <c r="S121" s="20">
        <v>31.75</v>
      </c>
      <c r="T121" s="20">
        <v>29.42</v>
      </c>
      <c r="U121" s="20">
        <v>31.85</v>
      </c>
      <c r="V121" s="20">
        <v>28.43</v>
      </c>
      <c r="W121" s="20">
        <v>30.58</v>
      </c>
    </row>
    <row r="122" ht="15.0" customHeight="1">
      <c r="A122" s="14" t="s">
        <v>294</v>
      </c>
      <c r="B122" s="16">
        <v>2081.96</v>
      </c>
      <c r="C122" s="16">
        <v>1964.69</v>
      </c>
      <c r="D122" s="16">
        <v>1100.39</v>
      </c>
      <c r="E122" s="16">
        <v>1026.92</v>
      </c>
      <c r="F122" s="16">
        <v>1060.99</v>
      </c>
      <c r="G122" s="16">
        <v>317.44</v>
      </c>
      <c r="H122" s="16">
        <v>295.36</v>
      </c>
      <c r="I122" s="16">
        <v>307.4</v>
      </c>
      <c r="J122" s="16">
        <v>315.2</v>
      </c>
      <c r="K122" s="16">
        <v>298.72</v>
      </c>
      <c r="L122" s="16">
        <v>304.55</v>
      </c>
      <c r="M122" s="16">
        <v>278.83</v>
      </c>
      <c r="N122" s="16">
        <v>274.11</v>
      </c>
      <c r="O122" s="16">
        <v>248.98</v>
      </c>
      <c r="P122" s="20">
        <v>61.22</v>
      </c>
      <c r="Q122" s="20">
        <v>61.22</v>
      </c>
      <c r="R122" s="15"/>
      <c r="S122" s="20">
        <v>55.14</v>
      </c>
      <c r="T122" s="20">
        <v>44.21</v>
      </c>
      <c r="U122" s="20">
        <v>47.87</v>
      </c>
      <c r="V122" s="20">
        <v>4.65</v>
      </c>
      <c r="W122" s="20">
        <v>3.42</v>
      </c>
    </row>
    <row r="123" ht="15.0" customHeight="1">
      <c r="A123" s="14" t="s">
        <v>295</v>
      </c>
      <c r="B123" s="16">
        <v>148.71</v>
      </c>
      <c r="C123" s="16">
        <v>232.35</v>
      </c>
      <c r="D123" s="16">
        <v>103.7</v>
      </c>
      <c r="E123" s="16">
        <v>210.84</v>
      </c>
      <c r="F123" s="20">
        <v>40.92</v>
      </c>
      <c r="G123" s="22">
        <v>-81.45</v>
      </c>
      <c r="H123" s="20">
        <v>41.26</v>
      </c>
      <c r="I123" s="20">
        <v>8.78</v>
      </c>
      <c r="J123" s="22">
        <v>-15.01</v>
      </c>
      <c r="K123" s="22">
        <v>-33.19</v>
      </c>
      <c r="L123" s="22">
        <v>-53.37</v>
      </c>
      <c r="M123" s="22">
        <v>-21.66</v>
      </c>
      <c r="N123" s="22">
        <v>-94.57</v>
      </c>
      <c r="O123" s="22">
        <v>-89.2</v>
      </c>
      <c r="P123" s="22">
        <v>-70.58</v>
      </c>
      <c r="Q123" s="22">
        <v>-70.7</v>
      </c>
      <c r="R123" s="15"/>
      <c r="S123" s="20">
        <v>27.04</v>
      </c>
      <c r="T123" s="20">
        <v>10.77</v>
      </c>
      <c r="U123" s="20">
        <v>3.47</v>
      </c>
      <c r="V123" s="20">
        <v>8.86</v>
      </c>
      <c r="W123" s="20">
        <v>0.25</v>
      </c>
    </row>
    <row r="124" ht="15.0" customHeight="1">
      <c r="A124" s="14" t="s">
        <v>296</v>
      </c>
      <c r="B124" s="15"/>
      <c r="C124" s="16">
        <v>225.15</v>
      </c>
      <c r="D124" s="20">
        <v>94.64</v>
      </c>
      <c r="E124" s="16">
        <v>197.67</v>
      </c>
      <c r="F124" s="20">
        <v>45.79</v>
      </c>
      <c r="G124" s="22">
        <v>-59.52</v>
      </c>
      <c r="H124" s="20">
        <v>57.2</v>
      </c>
      <c r="I124" s="20">
        <v>16.59</v>
      </c>
      <c r="J124" s="20">
        <v>2.0</v>
      </c>
      <c r="K124" s="22">
        <v>-13.28</v>
      </c>
      <c r="L124" s="22">
        <v>-29.3</v>
      </c>
      <c r="M124" s="20">
        <v>0.38</v>
      </c>
      <c r="N124" s="22">
        <v>-67.45</v>
      </c>
      <c r="O124" s="22">
        <v>-63.94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297</v>
      </c>
      <c r="B125" s="15"/>
      <c r="C125" s="20">
        <v>7.2</v>
      </c>
      <c r="D125" s="20">
        <v>9.06</v>
      </c>
      <c r="E125" s="20">
        <v>13.18</v>
      </c>
      <c r="F125" s="22">
        <v>-4.87</v>
      </c>
      <c r="G125" s="22">
        <v>-21.93</v>
      </c>
      <c r="H125" s="22">
        <v>-15.94</v>
      </c>
      <c r="I125" s="22">
        <v>-7.81</v>
      </c>
      <c r="J125" s="22">
        <v>-17.01</v>
      </c>
      <c r="K125" s="22">
        <v>-19.91</v>
      </c>
      <c r="L125" s="22">
        <v>-24.07</v>
      </c>
      <c r="M125" s="22">
        <v>-22.05</v>
      </c>
      <c r="N125" s="22">
        <v>-27.12</v>
      </c>
      <c r="O125" s="22">
        <v>-25.26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298</v>
      </c>
      <c r="B126" s="15"/>
      <c r="C126" s="15"/>
      <c r="D126" s="22">
        <v>-7.05</v>
      </c>
      <c r="E126" s="22">
        <v>-1.88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299</v>
      </c>
      <c r="B127" s="16">
        <v>2214.27</v>
      </c>
      <c r="C127" s="16">
        <v>1934.88</v>
      </c>
      <c r="D127" s="16">
        <v>1778.95</v>
      </c>
      <c r="E127" s="16">
        <v>1511.67</v>
      </c>
      <c r="F127" s="16">
        <v>1395.17</v>
      </c>
      <c r="G127" s="16">
        <v>1397.14</v>
      </c>
      <c r="H127" s="16">
        <v>1262.09</v>
      </c>
      <c r="I127" s="16">
        <v>1201.28</v>
      </c>
      <c r="J127" s="16">
        <v>1321.85</v>
      </c>
      <c r="K127" s="16">
        <v>1127.55</v>
      </c>
      <c r="L127" s="16">
        <v>1235.99</v>
      </c>
      <c r="M127" s="16">
        <v>876.74</v>
      </c>
      <c r="N127" s="16">
        <v>719.73</v>
      </c>
      <c r="O127" s="16">
        <v>561.09</v>
      </c>
      <c r="P127" s="16">
        <v>463.33</v>
      </c>
      <c r="Q127" s="16">
        <v>376.41</v>
      </c>
      <c r="R127" s="15"/>
      <c r="S127" s="16">
        <v>335.99</v>
      </c>
      <c r="T127" s="16">
        <v>244.24</v>
      </c>
      <c r="U127" s="16">
        <v>191.85</v>
      </c>
      <c r="V127" s="16">
        <v>127.03</v>
      </c>
      <c r="W127" s="16">
        <v>103.74</v>
      </c>
    </row>
    <row r="128" ht="15.0" customHeight="1">
      <c r="A128" s="17" t="s">
        <v>292</v>
      </c>
      <c r="B128" s="19">
        <v>4564.13</v>
      </c>
      <c r="C128" s="19">
        <v>4243.98</v>
      </c>
      <c r="D128" s="19">
        <v>3069.63</v>
      </c>
      <c r="E128" s="19">
        <v>2835.09</v>
      </c>
      <c r="F128" s="19">
        <v>2585.74</v>
      </c>
      <c r="G128" s="19">
        <v>1678.03</v>
      </c>
      <c r="H128" s="19">
        <v>1639.03</v>
      </c>
      <c r="I128" s="19">
        <v>1559.42</v>
      </c>
      <c r="J128" s="19">
        <v>1665.08</v>
      </c>
      <c r="K128" s="19">
        <v>1433.86</v>
      </c>
      <c r="L128" s="19">
        <v>1531.12</v>
      </c>
      <c r="M128" s="19">
        <v>1174.55</v>
      </c>
      <c r="N128" s="19">
        <v>939.22</v>
      </c>
      <c r="O128" s="19">
        <v>757.15</v>
      </c>
      <c r="P128" s="19">
        <v>484.97</v>
      </c>
      <c r="Q128" s="19">
        <v>397.92</v>
      </c>
      <c r="R128" s="19">
        <v>431.34</v>
      </c>
      <c r="S128" s="19">
        <v>449.93</v>
      </c>
      <c r="T128" s="19">
        <v>328.64</v>
      </c>
      <c r="U128" s="19">
        <v>275.03</v>
      </c>
      <c r="V128" s="19">
        <v>168.96</v>
      </c>
      <c r="W128" s="19">
        <v>138.0</v>
      </c>
    </row>
    <row r="129" ht="15.0" customHeight="1">
      <c r="A129" s="14" t="s">
        <v>130</v>
      </c>
      <c r="B129" s="16">
        <v>238.38</v>
      </c>
      <c r="C129" s="16">
        <v>137.76</v>
      </c>
      <c r="D129" s="16">
        <v>160.08</v>
      </c>
      <c r="E129" s="16">
        <v>147.78</v>
      </c>
      <c r="F129" s="16">
        <v>124.71</v>
      </c>
      <c r="G129" s="16">
        <v>123.22</v>
      </c>
      <c r="H129" s="16">
        <v>120.02</v>
      </c>
      <c r="I129" s="16">
        <v>124.91</v>
      </c>
      <c r="J129" s="16">
        <v>120.08</v>
      </c>
      <c r="K129" s="16">
        <v>115.69</v>
      </c>
      <c r="L129" s="20">
        <v>86.86</v>
      </c>
      <c r="M129" s="20">
        <v>59.91</v>
      </c>
      <c r="N129" s="20">
        <v>39.82</v>
      </c>
      <c r="O129" s="20">
        <v>26.89</v>
      </c>
      <c r="P129" s="20">
        <v>33.55</v>
      </c>
      <c r="Q129" s="20">
        <v>0.61</v>
      </c>
      <c r="R129" s="20">
        <v>0.57</v>
      </c>
      <c r="S129" s="20">
        <v>2.38</v>
      </c>
      <c r="T129" s="15"/>
      <c r="U129" s="15"/>
      <c r="V129" s="15"/>
      <c r="W129" s="15"/>
    </row>
    <row r="130" ht="15.0" customHeight="1">
      <c r="A130" s="17" t="s">
        <v>130</v>
      </c>
      <c r="B130" s="19">
        <v>238.38</v>
      </c>
      <c r="C130" s="19">
        <v>137.76</v>
      </c>
      <c r="D130" s="19">
        <v>160.08</v>
      </c>
      <c r="E130" s="19">
        <v>147.78</v>
      </c>
      <c r="F130" s="19">
        <v>124.71</v>
      </c>
      <c r="G130" s="19">
        <v>123.22</v>
      </c>
      <c r="H130" s="19">
        <v>120.02</v>
      </c>
      <c r="I130" s="19">
        <v>124.91</v>
      </c>
      <c r="J130" s="19">
        <v>120.08</v>
      </c>
      <c r="K130" s="19">
        <v>115.69</v>
      </c>
      <c r="L130" s="23">
        <v>86.86</v>
      </c>
      <c r="M130" s="23">
        <v>59.91</v>
      </c>
      <c r="N130" s="23">
        <v>39.82</v>
      </c>
      <c r="O130" s="23">
        <v>26.89</v>
      </c>
      <c r="P130" s="23">
        <v>33.55</v>
      </c>
      <c r="Q130" s="23">
        <v>0.61</v>
      </c>
      <c r="R130" s="23">
        <v>0.57</v>
      </c>
      <c r="S130" s="23">
        <v>2.38</v>
      </c>
      <c r="T130" s="18"/>
      <c r="U130" s="18"/>
      <c r="V130" s="18"/>
      <c r="W130" s="18"/>
    </row>
    <row r="131" ht="15.0" customHeight="1">
      <c r="A131" s="17" t="s">
        <v>300</v>
      </c>
      <c r="B131" s="19">
        <v>4802.51</v>
      </c>
      <c r="C131" s="19">
        <v>4381.74</v>
      </c>
      <c r="D131" s="19">
        <v>3229.7</v>
      </c>
      <c r="E131" s="19">
        <v>2982.87</v>
      </c>
      <c r="F131" s="19">
        <v>2710.44</v>
      </c>
      <c r="G131" s="19">
        <v>1801.25</v>
      </c>
      <c r="H131" s="19">
        <v>1759.06</v>
      </c>
      <c r="I131" s="19">
        <v>1684.33</v>
      </c>
      <c r="J131" s="19">
        <v>1785.15</v>
      </c>
      <c r="K131" s="19">
        <v>1549.55</v>
      </c>
      <c r="L131" s="19">
        <v>1617.99</v>
      </c>
      <c r="M131" s="19">
        <v>1234.45</v>
      </c>
      <c r="N131" s="19">
        <v>979.05</v>
      </c>
      <c r="O131" s="19">
        <v>784.03</v>
      </c>
      <c r="P131" s="19">
        <v>518.51</v>
      </c>
      <c r="Q131" s="19">
        <v>398.53</v>
      </c>
      <c r="R131" s="19">
        <v>431.9</v>
      </c>
      <c r="S131" s="19">
        <v>452.31</v>
      </c>
      <c r="T131" s="19">
        <v>328.64</v>
      </c>
      <c r="U131" s="19">
        <v>275.03</v>
      </c>
      <c r="V131" s="19">
        <v>168.96</v>
      </c>
      <c r="W131" s="19">
        <v>138.0</v>
      </c>
    </row>
    <row r="132" ht="15.0" customHeight="1">
      <c r="A132" s="17" t="s">
        <v>301</v>
      </c>
      <c r="B132" s="18">
        <v>13637.72</v>
      </c>
      <c r="C132" s="19">
        <v>7279.95</v>
      </c>
      <c r="D132" s="19">
        <v>5807.02</v>
      </c>
      <c r="E132" s="19">
        <v>6189.76</v>
      </c>
      <c r="F132" s="19">
        <v>5869.05</v>
      </c>
      <c r="G132" s="19">
        <v>5762.94</v>
      </c>
      <c r="H132" s="19">
        <v>5528.46</v>
      </c>
      <c r="I132" s="19">
        <v>5234.51</v>
      </c>
      <c r="J132" s="19">
        <v>5660.66</v>
      </c>
      <c r="K132" s="19">
        <v>5040.31</v>
      </c>
      <c r="L132" s="19">
        <v>3467.27</v>
      </c>
      <c r="M132" s="19">
        <v>2916.53</v>
      </c>
      <c r="N132" s="19">
        <v>2502.11</v>
      </c>
      <c r="O132" s="19">
        <v>2149.0</v>
      </c>
      <c r="P132" s="19">
        <v>2144.33</v>
      </c>
      <c r="Q132" s="19">
        <v>1810.92</v>
      </c>
      <c r="R132" s="19">
        <v>1615.8</v>
      </c>
      <c r="S132" s="19">
        <v>1994.88</v>
      </c>
      <c r="T132" s="19">
        <v>1304.8</v>
      </c>
      <c r="U132" s="19">
        <v>1191.65</v>
      </c>
      <c r="V132" s="19">
        <v>652.69</v>
      </c>
      <c r="W132" s="19">
        <v>617.9</v>
      </c>
    </row>
    <row r="133" ht="15.0" customHeight="1">
      <c r="A133" s="14" t="s">
        <v>302</v>
      </c>
      <c r="B133" s="16">
        <v>258.23</v>
      </c>
      <c r="C133" s="16">
        <v>260.16</v>
      </c>
      <c r="D133" s="16">
        <v>222.5</v>
      </c>
      <c r="E133" s="16">
        <v>222.5</v>
      </c>
      <c r="F133" s="16">
        <v>218.1</v>
      </c>
      <c r="G133" s="16">
        <v>158.92</v>
      </c>
      <c r="H133" s="16">
        <v>158.92</v>
      </c>
      <c r="I133" s="16">
        <v>158.92</v>
      </c>
      <c r="J133" s="16">
        <v>158.92</v>
      </c>
      <c r="K133" s="16">
        <v>158.92</v>
      </c>
      <c r="L133" s="16">
        <v>157.89</v>
      </c>
      <c r="M133" s="16">
        <v>157.89</v>
      </c>
      <c r="N133" s="16">
        <v>157.89</v>
      </c>
      <c r="O133" s="16">
        <v>157.89</v>
      </c>
      <c r="P133" s="16">
        <v>133.05</v>
      </c>
      <c r="Q133" s="16">
        <v>133.05</v>
      </c>
      <c r="R133" s="16">
        <v>133.05</v>
      </c>
      <c r="S133" s="16">
        <v>133.02</v>
      </c>
      <c r="T133" s="16">
        <v>130.32</v>
      </c>
      <c r="U133" s="16">
        <v>148.48</v>
      </c>
      <c r="V133" s="16">
        <v>124.73</v>
      </c>
      <c r="W133" s="16">
        <v>124.73</v>
      </c>
    </row>
    <row r="134" ht="15.0" customHeight="1">
      <c r="A134" s="14" t="s">
        <v>303</v>
      </c>
      <c r="B134" s="16">
        <v>255.28</v>
      </c>
      <c r="C134" s="16">
        <v>253.22</v>
      </c>
      <c r="D134" s="16">
        <v>217.56</v>
      </c>
      <c r="E134" s="16">
        <v>218.1</v>
      </c>
      <c r="F134" s="16">
        <v>218.1</v>
      </c>
      <c r="G134" s="16">
        <v>158.92</v>
      </c>
      <c r="H134" s="16">
        <v>158.92</v>
      </c>
      <c r="I134" s="16">
        <v>158.92</v>
      </c>
      <c r="J134" s="16">
        <v>158.92</v>
      </c>
      <c r="K134" s="16">
        <v>158.92</v>
      </c>
      <c r="L134" s="16">
        <v>157.89</v>
      </c>
      <c r="M134" s="16">
        <v>157.89</v>
      </c>
      <c r="N134" s="16">
        <v>157.89</v>
      </c>
      <c r="O134" s="16">
        <v>157.89</v>
      </c>
      <c r="P134" s="16">
        <v>133.05</v>
      </c>
      <c r="Q134" s="16">
        <v>133.05</v>
      </c>
      <c r="R134" s="16">
        <v>133.05</v>
      </c>
      <c r="S134" s="16">
        <v>133.02</v>
      </c>
      <c r="T134" s="16">
        <v>130.32</v>
      </c>
      <c r="U134" s="16">
        <v>130.32</v>
      </c>
      <c r="V134" s="16">
        <v>124.73</v>
      </c>
      <c r="W134" s="16">
        <v>124.73</v>
      </c>
    </row>
    <row r="135" ht="15.0" customHeight="1">
      <c r="A135" s="14" t="s">
        <v>304</v>
      </c>
      <c r="B135" s="20">
        <v>2.96</v>
      </c>
      <c r="C135" s="20">
        <v>6.94</v>
      </c>
      <c r="D135" s="20">
        <v>4.94</v>
      </c>
      <c r="E135" s="20">
        <v>4.4</v>
      </c>
      <c r="F135" s="15">
        <v>0.0</v>
      </c>
      <c r="G135" s="15">
        <v>0.0</v>
      </c>
      <c r="H135" s="15">
        <v>0.0</v>
      </c>
      <c r="I135" s="15">
        <v>0.0</v>
      </c>
      <c r="J135" s="15">
        <v>0.0</v>
      </c>
      <c r="K135" s="15">
        <v>0.0</v>
      </c>
      <c r="L135" s="15">
        <v>0.0</v>
      </c>
      <c r="M135" s="15">
        <v>0.0</v>
      </c>
      <c r="N135" s="15">
        <v>0.0</v>
      </c>
      <c r="O135" s="15">
        <v>0.0</v>
      </c>
      <c r="P135" s="15">
        <v>0.0</v>
      </c>
      <c r="Q135" s="15">
        <v>0.0</v>
      </c>
      <c r="R135" s="15">
        <v>0.0</v>
      </c>
      <c r="S135" s="15">
        <v>0.0</v>
      </c>
      <c r="T135" s="15">
        <v>0.0</v>
      </c>
      <c r="U135" s="15">
        <v>0.0</v>
      </c>
      <c r="V135" s="15">
        <v>0.0</v>
      </c>
      <c r="W135" s="15">
        <v>0.0</v>
      </c>
    </row>
    <row r="136" ht="15.0" customHeight="1">
      <c r="A136" s="14" t="s">
        <v>305</v>
      </c>
      <c r="B136" s="15"/>
      <c r="C136" s="15"/>
      <c r="D136" s="15"/>
      <c r="E136" s="16">
        <v>643.83</v>
      </c>
      <c r="F136" s="16">
        <v>650.82</v>
      </c>
      <c r="G136" s="16">
        <v>723.63</v>
      </c>
      <c r="H136" s="16">
        <v>749.19</v>
      </c>
      <c r="I136" s="20">
        <v>9.76</v>
      </c>
      <c r="J136" s="20">
        <v>15.01</v>
      </c>
      <c r="K136" s="20">
        <v>19.91</v>
      </c>
      <c r="L136" s="20">
        <v>24.07</v>
      </c>
      <c r="M136" s="20">
        <v>24.15</v>
      </c>
      <c r="N136" s="20">
        <v>14.37</v>
      </c>
      <c r="O136" s="20">
        <v>10.75</v>
      </c>
      <c r="P136" s="20">
        <v>14.67</v>
      </c>
      <c r="Q136" s="20">
        <v>16.37</v>
      </c>
      <c r="R136" s="15"/>
      <c r="S136" s="20">
        <v>28.67</v>
      </c>
      <c r="T136" s="20">
        <v>16.91</v>
      </c>
      <c r="U136" s="20">
        <v>22.08</v>
      </c>
      <c r="V136" s="20">
        <v>24.66</v>
      </c>
      <c r="W136" s="20">
        <v>30.04</v>
      </c>
    </row>
    <row r="137" ht="15.0" customHeight="1">
      <c r="A137" s="14" t="s">
        <v>306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22">
        <v>-8.37</v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307</v>
      </c>
      <c r="B138" s="15"/>
      <c r="C138" s="16">
        <v>171.69</v>
      </c>
      <c r="D138" s="16">
        <v>153.03</v>
      </c>
      <c r="E138" s="16">
        <v>144.95</v>
      </c>
      <c r="F138" s="16">
        <v>136.4</v>
      </c>
      <c r="G138" s="16">
        <v>132.61</v>
      </c>
      <c r="H138" s="16">
        <v>118.15</v>
      </c>
      <c r="I138" s="20">
        <v>2.93</v>
      </c>
      <c r="J138" s="20">
        <v>4.0</v>
      </c>
      <c r="K138" s="20">
        <v>7.59</v>
      </c>
      <c r="L138" s="20">
        <v>5.23</v>
      </c>
      <c r="M138" s="20">
        <v>4.98</v>
      </c>
      <c r="N138" s="20">
        <v>3.01</v>
      </c>
      <c r="O138" s="20">
        <v>2.62</v>
      </c>
      <c r="P138" s="20">
        <v>4.51</v>
      </c>
      <c r="Q138" s="20">
        <v>5.32</v>
      </c>
      <c r="R138" s="15"/>
      <c r="S138" s="20">
        <v>10.4</v>
      </c>
      <c r="T138" s="20">
        <v>6.18</v>
      </c>
      <c r="U138" s="20">
        <v>5.0</v>
      </c>
      <c r="V138" s="20">
        <v>4.86</v>
      </c>
      <c r="W138" s="20">
        <v>5.12</v>
      </c>
    </row>
    <row r="139" ht="15.0" customHeight="1">
      <c r="A139" s="14" t="s">
        <v>308</v>
      </c>
      <c r="B139" s="15"/>
      <c r="C139" s="16">
        <v>230.29</v>
      </c>
      <c r="D139" s="16">
        <v>206.39</v>
      </c>
      <c r="E139" s="16">
        <v>242.85</v>
      </c>
      <c r="F139" s="16">
        <v>214.34</v>
      </c>
      <c r="G139" s="16">
        <v>225.55</v>
      </c>
      <c r="H139" s="16">
        <v>322.56</v>
      </c>
      <c r="I139" s="20">
        <v>6.83</v>
      </c>
      <c r="J139" s="20">
        <v>9.01</v>
      </c>
      <c r="K139" s="20">
        <v>5.69</v>
      </c>
      <c r="L139" s="20">
        <v>8.37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309</v>
      </c>
      <c r="B140" s="15"/>
      <c r="C140" s="16">
        <v>172.72</v>
      </c>
      <c r="D140" s="16">
        <v>143.97</v>
      </c>
      <c r="E140" s="16">
        <v>133.66</v>
      </c>
      <c r="F140" s="16">
        <v>148.09</v>
      </c>
      <c r="G140" s="16">
        <v>202.57</v>
      </c>
      <c r="H140" s="16">
        <v>197.85</v>
      </c>
      <c r="I140" s="15">
        <v>0.0</v>
      </c>
      <c r="J140" s="20">
        <v>2.0</v>
      </c>
      <c r="K140" s="20">
        <v>5.69</v>
      </c>
      <c r="L140" s="20">
        <v>16.75</v>
      </c>
      <c r="M140" s="20">
        <v>15.24</v>
      </c>
      <c r="N140" s="20">
        <v>8.47</v>
      </c>
      <c r="O140" s="20">
        <v>7.32</v>
      </c>
      <c r="P140" s="20">
        <v>8.96</v>
      </c>
      <c r="Q140" s="20">
        <v>9.46</v>
      </c>
      <c r="R140" s="15"/>
      <c r="S140" s="20">
        <v>12.44</v>
      </c>
      <c r="T140" s="20">
        <v>10.73</v>
      </c>
      <c r="U140" s="20">
        <v>17.08</v>
      </c>
      <c r="V140" s="20">
        <v>17.8</v>
      </c>
      <c r="W140" s="20">
        <v>18.63</v>
      </c>
    </row>
    <row r="141" ht="15.0" customHeight="1">
      <c r="A141" s="14" t="s">
        <v>310</v>
      </c>
      <c r="B141" s="15"/>
      <c r="C141" s="20">
        <v>81.22</v>
      </c>
      <c r="D141" s="20">
        <v>82.55</v>
      </c>
      <c r="E141" s="16">
        <v>122.36</v>
      </c>
      <c r="F141" s="16">
        <v>151.99</v>
      </c>
      <c r="G141" s="16">
        <v>162.9</v>
      </c>
      <c r="H141" s="16">
        <v>110.64</v>
      </c>
      <c r="I141" s="15">
        <v>0.0</v>
      </c>
      <c r="J141" s="15">
        <v>0.0</v>
      </c>
      <c r="K141" s="20">
        <v>0.95</v>
      </c>
      <c r="L141" s="20">
        <v>2.09</v>
      </c>
      <c r="M141" s="20">
        <v>3.93</v>
      </c>
      <c r="N141" s="20">
        <v>2.89</v>
      </c>
      <c r="O141" s="20">
        <v>0.81</v>
      </c>
      <c r="P141" s="20">
        <v>1.2</v>
      </c>
      <c r="Q141" s="20">
        <v>1.6</v>
      </c>
      <c r="R141" s="15"/>
      <c r="S141" s="20">
        <v>5.83</v>
      </c>
      <c r="T141" s="15">
        <v>0.0</v>
      </c>
      <c r="U141" s="15">
        <v>0.0</v>
      </c>
      <c r="V141" s="20">
        <v>2.0</v>
      </c>
      <c r="W141" s="20">
        <v>6.29</v>
      </c>
    </row>
    <row r="142" ht="15.0" customHeight="1">
      <c r="A142" s="14" t="s">
        <v>311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6">
        <v>129.51</v>
      </c>
      <c r="R142" s="15"/>
      <c r="S142" s="16">
        <v>188.33</v>
      </c>
      <c r="T142" s="16">
        <v>156.34</v>
      </c>
      <c r="U142" s="16">
        <v>196.62</v>
      </c>
      <c r="V142" s="16">
        <v>203.96</v>
      </c>
      <c r="W142" s="16">
        <v>184.54</v>
      </c>
    </row>
    <row r="143" ht="15.0" customHeight="1">
      <c r="A143" s="14" t="s">
        <v>312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20">
        <v>0.8</v>
      </c>
      <c r="R143" s="15"/>
      <c r="S143" s="15">
        <v>0.0</v>
      </c>
      <c r="T143" s="20">
        <v>94.79</v>
      </c>
      <c r="U143" s="16">
        <v>105.34</v>
      </c>
      <c r="V143" s="16">
        <v>102.85</v>
      </c>
      <c r="W143" s="20">
        <v>40.15</v>
      </c>
    </row>
    <row r="144" ht="15.0" customHeight="1">
      <c r="A144" s="14" t="s">
        <v>313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6">
        <v>128.71</v>
      </c>
      <c r="R144" s="15"/>
      <c r="S144" s="16">
        <v>188.33</v>
      </c>
      <c r="T144" s="20">
        <v>61.56</v>
      </c>
      <c r="U144" s="20">
        <v>91.27</v>
      </c>
      <c r="V144" s="16">
        <v>101.11</v>
      </c>
      <c r="W144" s="16">
        <v>144.39</v>
      </c>
    </row>
    <row r="145" ht="15.0" customHeight="1">
      <c r="A145" s="14" t="s">
        <v>314</v>
      </c>
      <c r="B145" s="20">
        <v>2.96</v>
      </c>
      <c r="C145" s="20">
        <v>4.4</v>
      </c>
      <c r="D145" s="20">
        <v>4.4</v>
      </c>
      <c r="E145" s="20">
        <v>4.4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315</v>
      </c>
      <c r="B146" s="20">
        <v>2.96</v>
      </c>
      <c r="C146" s="20">
        <v>4.4</v>
      </c>
      <c r="D146" s="20">
        <v>4.4</v>
      </c>
      <c r="E146" s="20">
        <v>4.4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316</v>
      </c>
      <c r="B147" s="20">
        <v>1.0</v>
      </c>
      <c r="C147" s="20">
        <v>1.0</v>
      </c>
      <c r="D147" s="20">
        <v>1.0</v>
      </c>
      <c r="E147" s="20">
        <v>1.0</v>
      </c>
      <c r="F147" s="20">
        <v>1.0</v>
      </c>
      <c r="G147" s="20">
        <v>0.78</v>
      </c>
      <c r="H147" s="20">
        <v>0.78</v>
      </c>
      <c r="I147" s="20">
        <v>0.78</v>
      </c>
      <c r="J147" s="20">
        <v>0.78</v>
      </c>
      <c r="K147" s="20">
        <v>0.78</v>
      </c>
      <c r="L147" s="20">
        <v>0.77</v>
      </c>
      <c r="M147" s="20">
        <v>0.77</v>
      </c>
      <c r="N147" s="20">
        <v>0.77</v>
      </c>
      <c r="O147" s="20">
        <v>0.77</v>
      </c>
      <c r="P147" s="20">
        <v>0.73</v>
      </c>
      <c r="Q147" s="20">
        <v>0.73</v>
      </c>
      <c r="R147" s="20">
        <v>0.73</v>
      </c>
      <c r="S147" s="20">
        <v>0.73</v>
      </c>
      <c r="T147" s="20">
        <v>0.72</v>
      </c>
      <c r="U147" s="20">
        <v>0.76</v>
      </c>
      <c r="V147" s="20">
        <v>1.0</v>
      </c>
      <c r="W147" s="20">
        <v>1.0</v>
      </c>
    </row>
    <row r="148" ht="15.0" customHeight="1">
      <c r="A148" s="14" t="s">
        <v>317</v>
      </c>
      <c r="B148" s="16">
        <v>255.28</v>
      </c>
      <c r="C148" s="16">
        <v>255.76</v>
      </c>
      <c r="D148" s="16">
        <v>218.1</v>
      </c>
      <c r="E148" s="16">
        <v>218.1</v>
      </c>
      <c r="F148" s="16">
        <v>218.1</v>
      </c>
      <c r="G148" s="16">
        <v>124.52</v>
      </c>
      <c r="H148" s="16">
        <v>124.52</v>
      </c>
      <c r="I148" s="16">
        <v>124.52</v>
      </c>
      <c r="J148" s="16">
        <v>124.52</v>
      </c>
      <c r="K148" s="16">
        <v>124.52</v>
      </c>
      <c r="L148" s="16">
        <v>121.57</v>
      </c>
      <c r="M148" s="16">
        <v>121.57</v>
      </c>
      <c r="N148" s="16">
        <v>121.57</v>
      </c>
      <c r="O148" s="16">
        <v>121.57</v>
      </c>
      <c r="P148" s="20">
        <v>96.73</v>
      </c>
      <c r="Q148" s="20">
        <v>96.73</v>
      </c>
      <c r="R148" s="20">
        <v>96.73</v>
      </c>
      <c r="S148" s="20">
        <v>96.7</v>
      </c>
      <c r="T148" s="20">
        <v>94.0</v>
      </c>
      <c r="U148" s="16">
        <v>112.16</v>
      </c>
      <c r="V148" s="16">
        <v>124.73</v>
      </c>
      <c r="W148" s="16">
        <v>124.73</v>
      </c>
    </row>
    <row r="149" ht="15.0" customHeight="1">
      <c r="A149" s="14" t="s">
        <v>318</v>
      </c>
      <c r="B149" s="15">
        <v>0.0</v>
      </c>
      <c r="C149" s="20">
        <v>2.54</v>
      </c>
      <c r="D149" s="20">
        <v>0.54</v>
      </c>
      <c r="E149" s="15">
        <v>0.0</v>
      </c>
      <c r="F149" s="15">
        <v>0.0</v>
      </c>
      <c r="G149" s="15">
        <v>0.0</v>
      </c>
      <c r="H149" s="15">
        <v>0.0</v>
      </c>
      <c r="I149" s="15">
        <v>0.0</v>
      </c>
      <c r="J149" s="15">
        <v>0.0</v>
      </c>
      <c r="K149" s="15">
        <v>0.0</v>
      </c>
      <c r="L149" s="15">
        <v>0.0</v>
      </c>
      <c r="M149" s="15">
        <v>0.0</v>
      </c>
      <c r="N149" s="15">
        <v>0.0</v>
      </c>
      <c r="O149" s="15">
        <v>0.0</v>
      </c>
      <c r="P149" s="15">
        <v>0.0</v>
      </c>
      <c r="Q149" s="15">
        <v>0.0</v>
      </c>
      <c r="R149" s="15">
        <v>0.0</v>
      </c>
      <c r="S149" s="15">
        <v>0.0</v>
      </c>
      <c r="T149" s="15">
        <v>0.0</v>
      </c>
      <c r="U149" s="15">
        <v>0.0</v>
      </c>
      <c r="V149" s="15">
        <v>0.0</v>
      </c>
      <c r="W149" s="15">
        <v>0.0</v>
      </c>
    </row>
    <row r="150" ht="15.0" customHeight="1">
      <c r="A150" s="14" t="s">
        <v>319</v>
      </c>
      <c r="B150" s="16">
        <v>255.28</v>
      </c>
      <c r="C150" s="16">
        <v>253.22</v>
      </c>
      <c r="D150" s="16">
        <v>217.56</v>
      </c>
      <c r="E150" s="16">
        <v>218.1</v>
      </c>
      <c r="F150" s="16">
        <v>218.1</v>
      </c>
      <c r="G150" s="16">
        <v>124.52</v>
      </c>
      <c r="H150" s="16">
        <v>124.52</v>
      </c>
      <c r="I150" s="16">
        <v>124.52</v>
      </c>
      <c r="J150" s="16">
        <v>124.52</v>
      </c>
      <c r="K150" s="16">
        <v>124.52</v>
      </c>
      <c r="L150" s="16">
        <v>121.57</v>
      </c>
      <c r="M150" s="16">
        <v>121.57</v>
      </c>
      <c r="N150" s="16">
        <v>121.57</v>
      </c>
      <c r="O150" s="16">
        <v>121.57</v>
      </c>
      <c r="P150" s="20">
        <v>96.73</v>
      </c>
      <c r="Q150" s="20">
        <v>96.73</v>
      </c>
      <c r="R150" s="20">
        <v>96.73</v>
      </c>
      <c r="S150" s="20">
        <v>96.7</v>
      </c>
      <c r="T150" s="20">
        <v>94.0</v>
      </c>
      <c r="U150" s="16">
        <v>112.16</v>
      </c>
      <c r="V150" s="16">
        <v>124.73</v>
      </c>
      <c r="W150" s="16">
        <v>124.73</v>
      </c>
    </row>
    <row r="151" ht="15.0" customHeight="1">
      <c r="A151" s="14" t="s">
        <v>320</v>
      </c>
      <c r="B151" s="15"/>
      <c r="C151" s="15"/>
      <c r="D151" s="15"/>
      <c r="E151" s="15"/>
      <c r="F151" s="15"/>
      <c r="G151" s="20">
        <v>22.17</v>
      </c>
      <c r="H151" s="20">
        <v>22.17</v>
      </c>
      <c r="I151" s="20">
        <v>22.17</v>
      </c>
      <c r="J151" s="20">
        <v>22.17</v>
      </c>
      <c r="K151" s="20">
        <v>22.17</v>
      </c>
      <c r="L151" s="20">
        <v>23.4</v>
      </c>
      <c r="M151" s="20">
        <v>23.4</v>
      </c>
      <c r="N151" s="20">
        <v>23.4</v>
      </c>
      <c r="O151" s="20">
        <v>23.4</v>
      </c>
      <c r="P151" s="20">
        <v>23.4</v>
      </c>
      <c r="Q151" s="20">
        <v>23.4</v>
      </c>
      <c r="R151" s="20">
        <v>23.4</v>
      </c>
      <c r="S151" s="20">
        <v>23.4</v>
      </c>
      <c r="T151" s="20">
        <v>23.4</v>
      </c>
      <c r="U151" s="20">
        <v>11.7</v>
      </c>
      <c r="V151" s="15"/>
      <c r="W151" s="15"/>
    </row>
    <row r="152" ht="15.0" customHeight="1">
      <c r="A152" s="14" t="s">
        <v>321</v>
      </c>
      <c r="B152" s="15"/>
      <c r="C152" s="15"/>
      <c r="D152" s="15"/>
      <c r="E152" s="15"/>
      <c r="F152" s="15"/>
      <c r="G152" s="20">
        <v>34.41</v>
      </c>
      <c r="H152" s="20">
        <v>22.17</v>
      </c>
      <c r="I152" s="20">
        <v>22.17</v>
      </c>
      <c r="J152" s="20">
        <v>22.17</v>
      </c>
      <c r="K152" s="20">
        <v>22.17</v>
      </c>
      <c r="L152" s="20">
        <v>23.4</v>
      </c>
      <c r="M152" s="20">
        <v>23.4</v>
      </c>
      <c r="N152" s="20">
        <v>23.4</v>
      </c>
      <c r="O152" s="20">
        <v>23.4</v>
      </c>
      <c r="P152" s="20">
        <v>23.4</v>
      </c>
      <c r="Q152" s="20">
        <v>23.4</v>
      </c>
      <c r="R152" s="20">
        <v>23.4</v>
      </c>
      <c r="S152" s="20">
        <v>23.4</v>
      </c>
      <c r="T152" s="20">
        <v>23.4</v>
      </c>
      <c r="U152" s="20">
        <v>11.7</v>
      </c>
      <c r="V152" s="15"/>
      <c r="W152" s="15"/>
    </row>
    <row r="153" ht="15.0" customHeight="1">
      <c r="A153" s="14" t="s">
        <v>316</v>
      </c>
      <c r="B153" s="15"/>
      <c r="C153" s="15"/>
      <c r="D153" s="15"/>
      <c r="E153" s="15"/>
      <c r="F153" s="15"/>
      <c r="G153" s="20">
        <v>0.22</v>
      </c>
      <c r="H153" s="20">
        <v>0.22</v>
      </c>
      <c r="I153" s="20">
        <v>0.22</v>
      </c>
      <c r="J153" s="20">
        <v>0.22</v>
      </c>
      <c r="K153" s="20">
        <v>0.22</v>
      </c>
      <c r="L153" s="20">
        <v>0.23</v>
      </c>
      <c r="M153" s="20">
        <v>0.23</v>
      </c>
      <c r="N153" s="20">
        <v>0.23</v>
      </c>
      <c r="O153" s="20">
        <v>0.23</v>
      </c>
      <c r="P153" s="20">
        <v>0.27</v>
      </c>
      <c r="Q153" s="20">
        <v>0.27</v>
      </c>
      <c r="R153" s="20">
        <v>0.27</v>
      </c>
      <c r="S153" s="20">
        <v>0.27</v>
      </c>
      <c r="T153" s="20">
        <v>0.28</v>
      </c>
      <c r="U153" s="20">
        <v>0.24</v>
      </c>
      <c r="V153" s="15"/>
      <c r="W153" s="1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46094.4074080324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42551.0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323</v>
      </c>
      <c r="C15" s="10" t="s">
        <v>323</v>
      </c>
      <c r="D15" s="10" t="s">
        <v>323</v>
      </c>
      <c r="E15" s="10" t="s">
        <v>323</v>
      </c>
      <c r="F15" s="10" t="s">
        <v>323</v>
      </c>
      <c r="G15" s="10" t="s">
        <v>323</v>
      </c>
      <c r="H15" s="10" t="s">
        <v>323</v>
      </c>
      <c r="I15" s="10" t="s">
        <v>323</v>
      </c>
      <c r="J15" s="10" t="s">
        <v>323</v>
      </c>
      <c r="K15" s="10" t="s">
        <v>323</v>
      </c>
      <c r="L15" s="10" t="s">
        <v>323</v>
      </c>
      <c r="M15" s="10" t="s">
        <v>323</v>
      </c>
      <c r="N15" s="10" t="s">
        <v>323</v>
      </c>
      <c r="O15" s="10" t="s">
        <v>323</v>
      </c>
      <c r="P15" s="10" t="s">
        <v>323</v>
      </c>
      <c r="Q15" s="10" t="s">
        <v>323</v>
      </c>
      <c r="R15" s="10" t="s">
        <v>323</v>
      </c>
      <c r="S15" s="10" t="s">
        <v>323</v>
      </c>
      <c r="T15" s="10" t="s">
        <v>323</v>
      </c>
      <c r="U15" s="10" t="s">
        <v>323</v>
      </c>
      <c r="V15" s="10" t="s">
        <v>323</v>
      </c>
      <c r="W15" s="10" t="s">
        <v>323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324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325</v>
      </c>
      <c r="B20" s="15"/>
      <c r="C20" s="15">
        <v>0.0</v>
      </c>
      <c r="D20" s="20">
        <v>8.96</v>
      </c>
      <c r="E20" s="20">
        <v>52.26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326</v>
      </c>
      <c r="B21" s="15"/>
      <c r="C21" s="15"/>
      <c r="D21" s="15"/>
      <c r="E21" s="22">
        <v>-50.36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327</v>
      </c>
      <c r="B22" s="15"/>
      <c r="C22" s="20">
        <v>42.71</v>
      </c>
      <c r="D22" s="20">
        <v>35.83</v>
      </c>
      <c r="E22" s="20">
        <v>23.75</v>
      </c>
      <c r="F22" s="20">
        <v>20.04</v>
      </c>
      <c r="G22" s="16">
        <v>100.3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328</v>
      </c>
      <c r="B23" s="15"/>
      <c r="C23" s="20">
        <v>16.27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329</v>
      </c>
      <c r="B24" s="15"/>
      <c r="C24" s="15">
        <v>0.0</v>
      </c>
      <c r="D24" s="20">
        <v>5.97</v>
      </c>
      <c r="E24" s="20">
        <v>1.9</v>
      </c>
      <c r="F24" s="20">
        <v>1.0</v>
      </c>
      <c r="G24" s="20">
        <v>3.07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330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22">
        <v>-20.79</v>
      </c>
      <c r="O25" s="22">
        <v>-7.0</v>
      </c>
      <c r="P25" s="20">
        <v>9.42</v>
      </c>
      <c r="Q25" s="20">
        <v>0.25</v>
      </c>
      <c r="R25" s="15"/>
      <c r="S25" s="15"/>
      <c r="T25" s="15"/>
      <c r="U25" s="15"/>
      <c r="V25" s="15"/>
      <c r="W25" s="15"/>
    </row>
    <row r="26" ht="15.0" customHeight="1">
      <c r="A26" s="14" t="s">
        <v>331</v>
      </c>
      <c r="B26" s="16">
        <v>282.8</v>
      </c>
      <c r="C26" s="15"/>
      <c r="D26" s="15"/>
      <c r="E26" s="15"/>
      <c r="F26" s="15"/>
      <c r="G26" s="15"/>
      <c r="H26" s="15"/>
      <c r="I26" s="15"/>
      <c r="J26" s="15"/>
      <c r="K26" s="15"/>
      <c r="L26" s="22">
        <v>-41.11</v>
      </c>
      <c r="M26" s="15"/>
      <c r="N26" s="15"/>
      <c r="O26" s="15"/>
      <c r="P26" s="15"/>
      <c r="Q26" s="15"/>
      <c r="R26" s="20">
        <v>4.47</v>
      </c>
      <c r="S26" s="22">
        <v>-12.57</v>
      </c>
      <c r="T26" s="22">
        <v>-0.14</v>
      </c>
      <c r="U26" s="20">
        <v>2.08</v>
      </c>
      <c r="V26" s="15">
        <v>0.0</v>
      </c>
      <c r="W26" s="15"/>
    </row>
    <row r="27" ht="15.0" customHeight="1">
      <c r="A27" s="14" t="s">
        <v>332</v>
      </c>
      <c r="B27" s="16">
        <v>897.11</v>
      </c>
      <c r="C27" s="16">
        <v>664.1</v>
      </c>
      <c r="D27" s="16">
        <v>520.53</v>
      </c>
      <c r="E27" s="16">
        <v>500.73</v>
      </c>
      <c r="F27" s="16">
        <v>424.94</v>
      </c>
      <c r="G27" s="16">
        <v>426.79</v>
      </c>
      <c r="H27" s="16">
        <v>265.22</v>
      </c>
      <c r="I27" s="16">
        <v>152.64</v>
      </c>
      <c r="J27" s="16">
        <v>332.14</v>
      </c>
      <c r="K27" s="16">
        <v>371.18</v>
      </c>
      <c r="L27" s="15"/>
      <c r="M27" s="15"/>
      <c r="N27" s="15"/>
      <c r="O27" s="16">
        <v>222.0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104</v>
      </c>
      <c r="B28" s="16">
        <v>614.31</v>
      </c>
      <c r="C28" s="16">
        <v>466.8</v>
      </c>
      <c r="D28" s="16">
        <v>429.96</v>
      </c>
      <c r="E28" s="16">
        <v>382.91</v>
      </c>
      <c r="F28" s="16">
        <v>224.49</v>
      </c>
      <c r="G28" s="16">
        <v>114.63</v>
      </c>
      <c r="H28" s="16">
        <v>239.16</v>
      </c>
      <c r="I28" s="16">
        <v>215.39</v>
      </c>
      <c r="J28" s="16">
        <v>484.17</v>
      </c>
      <c r="K28" s="16">
        <v>364.31</v>
      </c>
      <c r="L28" s="16">
        <v>485.7</v>
      </c>
      <c r="M28" s="16">
        <v>298.91</v>
      </c>
      <c r="N28" s="16">
        <v>221.83</v>
      </c>
      <c r="O28" s="16">
        <v>202.12</v>
      </c>
      <c r="P28" s="16">
        <v>164.59</v>
      </c>
      <c r="Q28" s="20">
        <v>51.81</v>
      </c>
      <c r="R28" s="20">
        <v>94.01</v>
      </c>
      <c r="S28" s="16">
        <v>166.62</v>
      </c>
      <c r="T28" s="16">
        <v>135.68</v>
      </c>
      <c r="U28" s="16">
        <v>100.78</v>
      </c>
      <c r="V28" s="20">
        <v>67.25</v>
      </c>
      <c r="W28" s="20">
        <v>58.09</v>
      </c>
    </row>
    <row r="29" ht="15.0" customHeight="1">
      <c r="A29" s="14" t="s">
        <v>333</v>
      </c>
      <c r="B29" s="15"/>
      <c r="C29" s="15"/>
      <c r="D29" s="15"/>
      <c r="E29" s="15"/>
      <c r="F29" s="15"/>
      <c r="G29" s="16">
        <v>131.01</v>
      </c>
      <c r="H29" s="16">
        <v>125.63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334</v>
      </c>
      <c r="B30" s="15"/>
      <c r="C30" s="16">
        <v>258.32</v>
      </c>
      <c r="D30" s="16">
        <v>252.8</v>
      </c>
      <c r="E30" s="16">
        <v>257.49</v>
      </c>
      <c r="F30" s="16">
        <v>275.61</v>
      </c>
      <c r="G30" s="16">
        <v>139.19</v>
      </c>
      <c r="H30" s="16">
        <v>130.28</v>
      </c>
      <c r="I30" s="16">
        <v>132.98</v>
      </c>
      <c r="J30" s="16">
        <v>134.6</v>
      </c>
      <c r="K30" s="16">
        <v>109.0</v>
      </c>
      <c r="L30" s="15"/>
      <c r="M30" s="20">
        <v>76.43</v>
      </c>
      <c r="N30" s="20">
        <v>69.77</v>
      </c>
      <c r="O30" s="20">
        <v>71.17</v>
      </c>
      <c r="P30" s="20">
        <v>67.8</v>
      </c>
      <c r="Q30" s="20">
        <v>61.53</v>
      </c>
      <c r="R30" s="20">
        <v>59.96</v>
      </c>
      <c r="S30" s="15"/>
      <c r="T30" s="20">
        <v>32.57</v>
      </c>
      <c r="U30" s="20">
        <v>29.88</v>
      </c>
      <c r="V30" s="20">
        <v>24.58</v>
      </c>
      <c r="W30" s="20">
        <v>19.28</v>
      </c>
    </row>
    <row r="31" ht="15.0" customHeight="1">
      <c r="A31" s="14" t="s">
        <v>335</v>
      </c>
      <c r="B31" s="15"/>
      <c r="C31" s="15"/>
      <c r="D31" s="15"/>
      <c r="E31" s="15"/>
      <c r="F31" s="15"/>
      <c r="G31" s="15"/>
      <c r="H31" s="15">
        <v>0.0</v>
      </c>
      <c r="I31" s="22">
        <v>-32.78</v>
      </c>
      <c r="J31" s="22">
        <v>-43.58</v>
      </c>
      <c r="K31" s="15"/>
      <c r="L31" s="15"/>
      <c r="M31" s="22">
        <v>-39.87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336</v>
      </c>
      <c r="B32" s="15"/>
      <c r="C32" s="20">
        <v>5.08</v>
      </c>
      <c r="D32" s="22">
        <v>-27.87</v>
      </c>
      <c r="E32" s="22">
        <v>-5.7</v>
      </c>
      <c r="F32" s="20">
        <v>19.04</v>
      </c>
      <c r="G32" s="20">
        <v>5.12</v>
      </c>
      <c r="H32" s="22">
        <v>-56.77</v>
      </c>
      <c r="I32" s="22">
        <v>-14.98</v>
      </c>
      <c r="J32" s="22">
        <v>-4.84</v>
      </c>
      <c r="K32" s="20">
        <v>6.87</v>
      </c>
      <c r="L32" s="15"/>
      <c r="M32" s="22">
        <v>-0.28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337</v>
      </c>
      <c r="B33" s="15"/>
      <c r="C33" s="20">
        <v>4.07</v>
      </c>
      <c r="D33" s="22">
        <v>-6.97</v>
      </c>
      <c r="E33" s="22">
        <v>-20.9</v>
      </c>
      <c r="F33" s="22">
        <v>-11.02</v>
      </c>
      <c r="G33" s="20">
        <v>22.52</v>
      </c>
      <c r="H33" s="22">
        <v>-12.1</v>
      </c>
      <c r="I33" s="15">
        <v>0.0</v>
      </c>
      <c r="J33" s="22">
        <v>-44.54</v>
      </c>
      <c r="K33" s="20">
        <v>48.12</v>
      </c>
      <c r="L33" s="15"/>
      <c r="M33" s="22">
        <v>-1.93</v>
      </c>
      <c r="N33" s="15"/>
      <c r="O33" s="15"/>
      <c r="P33" s="15"/>
      <c r="Q33" s="15"/>
      <c r="R33" s="15"/>
      <c r="S33" s="15"/>
      <c r="T33" s="15"/>
      <c r="U33" s="15"/>
      <c r="V33" s="22">
        <v>-9.22</v>
      </c>
      <c r="W33" s="22">
        <v>-8.52</v>
      </c>
    </row>
    <row r="34" ht="15.0" customHeight="1">
      <c r="A34" s="14" t="s">
        <v>338</v>
      </c>
      <c r="B34" s="15"/>
      <c r="C34" s="20">
        <v>28.48</v>
      </c>
      <c r="D34" s="20">
        <v>33.84</v>
      </c>
      <c r="E34" s="20">
        <v>14.25</v>
      </c>
      <c r="F34" s="20">
        <v>5.01</v>
      </c>
      <c r="G34" s="20">
        <v>5.12</v>
      </c>
      <c r="H34" s="20">
        <v>4.65</v>
      </c>
      <c r="I34" s="20">
        <v>2.81</v>
      </c>
      <c r="J34" s="20">
        <v>2.91</v>
      </c>
      <c r="K34" s="20">
        <v>2.95</v>
      </c>
      <c r="L34" s="15"/>
      <c r="M34" s="20">
        <v>1.29</v>
      </c>
      <c r="N34" s="20">
        <v>1.11</v>
      </c>
      <c r="O34" s="20">
        <v>1.15</v>
      </c>
      <c r="P34" s="20">
        <v>0.58</v>
      </c>
      <c r="Q34" s="20">
        <v>0.03</v>
      </c>
      <c r="R34" s="20">
        <v>9.69</v>
      </c>
      <c r="S34" s="15"/>
      <c r="T34" s="20">
        <v>2.72</v>
      </c>
      <c r="U34" s="20">
        <v>1.81</v>
      </c>
      <c r="V34" s="15"/>
      <c r="W34" s="15"/>
    </row>
    <row r="35" ht="15.0" customHeight="1">
      <c r="A35" s="14" t="s">
        <v>339</v>
      </c>
      <c r="B35" s="15"/>
      <c r="C35" s="22">
        <v>-76.27</v>
      </c>
      <c r="D35" s="22">
        <v>-75.64</v>
      </c>
      <c r="E35" s="22">
        <v>-59.86</v>
      </c>
      <c r="F35" s="22">
        <v>-78.17</v>
      </c>
      <c r="G35" s="21">
        <v>-133.05</v>
      </c>
      <c r="H35" s="22">
        <v>-82.82</v>
      </c>
      <c r="I35" s="22">
        <v>-71.17</v>
      </c>
      <c r="J35" s="22">
        <v>-54.23</v>
      </c>
      <c r="K35" s="22">
        <v>-34.37</v>
      </c>
      <c r="L35" s="15"/>
      <c r="M35" s="22">
        <v>-28.66</v>
      </c>
      <c r="N35" s="22">
        <v>-23.48</v>
      </c>
      <c r="O35" s="22">
        <v>-29.29</v>
      </c>
      <c r="P35" s="22">
        <v>-36.53</v>
      </c>
      <c r="Q35" s="22">
        <v>-28.62</v>
      </c>
      <c r="R35" s="22">
        <v>-32.75</v>
      </c>
      <c r="S35" s="15"/>
      <c r="T35" s="22">
        <v>-25.69</v>
      </c>
      <c r="U35" s="22">
        <v>-18.65</v>
      </c>
      <c r="V35" s="22">
        <v>-10.59</v>
      </c>
      <c r="W35" s="15"/>
    </row>
    <row r="36" ht="15.0" customHeight="1">
      <c r="A36" s="14" t="s">
        <v>340</v>
      </c>
      <c r="B36" s="15"/>
      <c r="C36" s="22">
        <v>-81.36</v>
      </c>
      <c r="D36" s="21">
        <v>-136.35</v>
      </c>
      <c r="E36" s="22">
        <v>-95.01</v>
      </c>
      <c r="F36" s="22">
        <v>-31.07</v>
      </c>
      <c r="G36" s="20">
        <v>38.89</v>
      </c>
      <c r="H36" s="22">
        <v>-82.82</v>
      </c>
      <c r="I36" s="22">
        <v>-79.6</v>
      </c>
      <c r="J36" s="21">
        <v>-142.35</v>
      </c>
      <c r="K36" s="21">
        <v>-125.69</v>
      </c>
      <c r="L36" s="15"/>
      <c r="M36" s="22">
        <v>-68.34</v>
      </c>
      <c r="N36" s="22">
        <v>-35.85</v>
      </c>
      <c r="O36" s="22">
        <v>-16.15</v>
      </c>
      <c r="P36" s="22">
        <v>-19.15</v>
      </c>
      <c r="Q36" s="22">
        <v>-19.23</v>
      </c>
      <c r="R36" s="22">
        <v>-23.86</v>
      </c>
      <c r="S36" s="15"/>
      <c r="T36" s="22">
        <v>-37.69</v>
      </c>
      <c r="U36" s="22">
        <v>-20.08</v>
      </c>
      <c r="V36" s="22">
        <v>-17.09</v>
      </c>
      <c r="W36" s="22">
        <v>-6.19</v>
      </c>
    </row>
    <row r="37" ht="15.0" customHeight="1">
      <c r="A37" s="14" t="s">
        <v>341</v>
      </c>
      <c r="B37" s="22">
        <v>-65.67</v>
      </c>
      <c r="C37" s="22">
        <v>-29.49</v>
      </c>
      <c r="D37" s="16">
        <v>285.64</v>
      </c>
      <c r="E37" s="20">
        <v>14.25</v>
      </c>
      <c r="F37" s="21">
        <v>-590.3</v>
      </c>
      <c r="G37" s="16">
        <v>403.25</v>
      </c>
      <c r="H37" s="16">
        <v>179.6</v>
      </c>
      <c r="I37" s="16">
        <v>315.59</v>
      </c>
      <c r="J37" s="21">
        <v>-148.16</v>
      </c>
      <c r="K37" s="20">
        <v>17.68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342</v>
      </c>
      <c r="B38" s="20">
        <v>23.3</v>
      </c>
      <c r="C38" s="22">
        <v>-29.49</v>
      </c>
      <c r="D38" s="16">
        <v>180.15</v>
      </c>
      <c r="E38" s="16">
        <v>174.83</v>
      </c>
      <c r="F38" s="21">
        <v>-422.93</v>
      </c>
      <c r="G38" s="20">
        <v>87.0</v>
      </c>
      <c r="H38" s="20">
        <v>83.75</v>
      </c>
      <c r="I38" s="16">
        <v>166.69</v>
      </c>
      <c r="J38" s="21">
        <v>-121.04</v>
      </c>
      <c r="K38" s="20">
        <v>3.93</v>
      </c>
      <c r="L38" s="22">
        <v>-29.64</v>
      </c>
      <c r="M38" s="22">
        <v>-0.28</v>
      </c>
      <c r="N38" s="22">
        <v>-23.13</v>
      </c>
      <c r="O38" s="22">
        <v>-10.28</v>
      </c>
      <c r="P38" s="20">
        <v>18.67</v>
      </c>
      <c r="Q38" s="21">
        <v>-137.02</v>
      </c>
      <c r="R38" s="20">
        <v>67.92</v>
      </c>
      <c r="S38" s="15"/>
      <c r="T38" s="22">
        <v>-35.73</v>
      </c>
      <c r="U38" s="22">
        <v>-37.71</v>
      </c>
      <c r="V38" s="22">
        <v>-20.51</v>
      </c>
      <c r="W38" s="22">
        <v>-35.64</v>
      </c>
    </row>
    <row r="39" ht="15.0" customHeight="1">
      <c r="A39" s="14" t="s">
        <v>343</v>
      </c>
      <c r="B39" s="22">
        <v>-37.07</v>
      </c>
      <c r="C39" s="21">
        <v>-174.92</v>
      </c>
      <c r="D39" s="16">
        <v>200.05</v>
      </c>
      <c r="E39" s="16">
        <v>201.43</v>
      </c>
      <c r="F39" s="21">
        <v>-394.87</v>
      </c>
      <c r="G39" s="20">
        <v>92.11</v>
      </c>
      <c r="H39" s="16">
        <v>151.69</v>
      </c>
      <c r="I39" s="16">
        <v>189.17</v>
      </c>
      <c r="J39" s="22">
        <v>-49.39</v>
      </c>
      <c r="K39" s="20">
        <v>45.17</v>
      </c>
      <c r="L39" s="22">
        <v>-12.43</v>
      </c>
      <c r="M39" s="20">
        <v>37.66</v>
      </c>
      <c r="N39" s="22">
        <v>-92.45</v>
      </c>
      <c r="O39" s="20">
        <v>53.47</v>
      </c>
      <c r="P39" s="20">
        <v>64.17</v>
      </c>
      <c r="Q39" s="22">
        <v>-90.76</v>
      </c>
      <c r="R39" s="20">
        <v>92.58</v>
      </c>
      <c r="S39" s="15"/>
      <c r="T39" s="22">
        <v>-8.62</v>
      </c>
      <c r="U39" s="22">
        <v>-78.05</v>
      </c>
      <c r="V39" s="22">
        <v>-32.11</v>
      </c>
      <c r="W39" s="22">
        <v>-3.1</v>
      </c>
    </row>
    <row r="40" ht="15.0" customHeight="1">
      <c r="A40" s="14" t="s">
        <v>344</v>
      </c>
      <c r="B40" s="22">
        <v>-51.9</v>
      </c>
      <c r="C40" s="16">
        <v>174.92</v>
      </c>
      <c r="D40" s="22">
        <v>-94.55</v>
      </c>
      <c r="E40" s="21">
        <v>-362.01</v>
      </c>
      <c r="F40" s="16">
        <v>227.5</v>
      </c>
      <c r="G40" s="16">
        <v>224.14</v>
      </c>
      <c r="H40" s="22">
        <v>-55.84</v>
      </c>
      <c r="I40" s="22">
        <v>-40.27</v>
      </c>
      <c r="J40" s="20">
        <v>22.27</v>
      </c>
      <c r="K40" s="22">
        <v>-31.42</v>
      </c>
      <c r="L40" s="22">
        <v>-9.56</v>
      </c>
      <c r="M40" s="22">
        <v>-20.21</v>
      </c>
      <c r="N40" s="20">
        <v>26.36</v>
      </c>
      <c r="O40" s="22">
        <v>-31.59</v>
      </c>
      <c r="P40" s="22">
        <v>-92.74</v>
      </c>
      <c r="Q40" s="16">
        <v>178.93</v>
      </c>
      <c r="R40" s="22">
        <v>-30.19</v>
      </c>
      <c r="S40" s="15"/>
      <c r="T40" s="20">
        <v>39.88</v>
      </c>
      <c r="U40" s="20">
        <v>34.48</v>
      </c>
      <c r="V40" s="22">
        <v>-6.0</v>
      </c>
      <c r="W40" s="20">
        <v>28.18</v>
      </c>
    </row>
    <row r="41" ht="15.0" customHeight="1">
      <c r="A41" s="14" t="s">
        <v>345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20">
        <v>15.65</v>
      </c>
      <c r="T41" s="15"/>
      <c r="U41" s="15"/>
      <c r="V41" s="20">
        <v>10.59</v>
      </c>
      <c r="W41" s="15"/>
    </row>
    <row r="42" ht="15.0" customHeight="1">
      <c r="A42" s="17" t="s">
        <v>346</v>
      </c>
      <c r="B42" s="19">
        <v>831.44</v>
      </c>
      <c r="C42" s="19">
        <v>634.61</v>
      </c>
      <c r="D42" s="19">
        <v>806.17</v>
      </c>
      <c r="E42" s="19">
        <v>514.98</v>
      </c>
      <c r="F42" s="24">
        <v>-165.36</v>
      </c>
      <c r="G42" s="19">
        <v>830.04</v>
      </c>
      <c r="H42" s="19">
        <v>444.82</v>
      </c>
      <c r="I42" s="19">
        <v>468.23</v>
      </c>
      <c r="J42" s="19">
        <v>183.99</v>
      </c>
      <c r="K42" s="19">
        <v>388.85</v>
      </c>
      <c r="L42" s="19">
        <v>392.96</v>
      </c>
      <c r="M42" s="19">
        <v>254.72</v>
      </c>
      <c r="N42" s="19">
        <v>123.37</v>
      </c>
      <c r="O42" s="19">
        <v>233.59</v>
      </c>
      <c r="P42" s="19">
        <v>176.8</v>
      </c>
      <c r="Q42" s="23">
        <v>16.92</v>
      </c>
      <c r="R42" s="19">
        <v>241.84</v>
      </c>
      <c r="S42" s="19">
        <v>169.69</v>
      </c>
      <c r="T42" s="19">
        <v>102.98</v>
      </c>
      <c r="U42" s="23">
        <v>14.52</v>
      </c>
      <c r="V42" s="23">
        <v>6.9</v>
      </c>
      <c r="W42" s="23">
        <v>52.1</v>
      </c>
    </row>
    <row r="43" ht="15.0" customHeight="1">
      <c r="A43" s="14" t="s">
        <v>326</v>
      </c>
      <c r="B43" s="21">
        <v>-1560.15</v>
      </c>
      <c r="C43" s="22">
        <v>-35.59</v>
      </c>
      <c r="D43" s="22">
        <v>-5.97</v>
      </c>
      <c r="E43" s="22">
        <v>-62.71</v>
      </c>
      <c r="F43" s="22">
        <v>-48.11</v>
      </c>
      <c r="G43" s="15">
        <v>0.0</v>
      </c>
      <c r="H43" s="22">
        <v>-1.86</v>
      </c>
      <c r="I43" s="22">
        <v>-1.87</v>
      </c>
      <c r="J43" s="22">
        <v>-58.1</v>
      </c>
      <c r="K43" s="21">
        <v>-705.04</v>
      </c>
      <c r="L43" s="22">
        <v>-53.54</v>
      </c>
      <c r="M43" s="22">
        <v>-81.29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347</v>
      </c>
      <c r="B44" s="21">
        <v>-310.33</v>
      </c>
      <c r="C44" s="15"/>
      <c r="D44" s="15"/>
      <c r="E44" s="15"/>
      <c r="F44" s="15"/>
      <c r="G44" s="15"/>
      <c r="H44" s="15"/>
      <c r="I44" s="15"/>
      <c r="J44" s="15"/>
      <c r="K44" s="15"/>
      <c r="L44" s="21">
        <v>-105.17</v>
      </c>
      <c r="M44" s="15"/>
      <c r="N44" s="15"/>
      <c r="O44" s="15"/>
      <c r="P44" s="15"/>
      <c r="Q44" s="15"/>
      <c r="R44" s="15"/>
      <c r="S44" s="15"/>
      <c r="T44" s="15"/>
      <c r="U44" s="15"/>
      <c r="V44" s="22">
        <v>-14.77</v>
      </c>
      <c r="W44" s="22">
        <v>-24.11</v>
      </c>
    </row>
    <row r="45" ht="15.0" customHeight="1">
      <c r="A45" s="14" t="s">
        <v>348</v>
      </c>
      <c r="B45" s="15"/>
      <c r="C45" s="20">
        <v>68.14</v>
      </c>
      <c r="D45" s="20">
        <v>14.93</v>
      </c>
      <c r="E45" s="15">
        <v>0.0</v>
      </c>
      <c r="F45" s="20">
        <v>8.02</v>
      </c>
      <c r="G45" s="15">
        <v>0.0</v>
      </c>
      <c r="H45" s="20">
        <v>38.15</v>
      </c>
      <c r="I45" s="21">
        <v>-131.11</v>
      </c>
      <c r="J45" s="22">
        <v>-39.7</v>
      </c>
      <c r="K45" s="22">
        <v>-18.66</v>
      </c>
      <c r="L45" s="15"/>
      <c r="M45" s="22">
        <v>-2.85</v>
      </c>
      <c r="N45" s="22">
        <v>-2.89</v>
      </c>
      <c r="O45" s="22">
        <v>-23.02</v>
      </c>
      <c r="P45" s="21">
        <v>-305.63</v>
      </c>
      <c r="Q45" s="15">
        <v>0.0</v>
      </c>
      <c r="R45" s="22">
        <v>-1.74</v>
      </c>
      <c r="S45" s="15"/>
      <c r="T45" s="22">
        <v>-45.17</v>
      </c>
      <c r="U45" s="21">
        <v>-127.96</v>
      </c>
      <c r="V45" s="15">
        <v>0.0</v>
      </c>
      <c r="W45" s="22">
        <v>-95.0</v>
      </c>
    </row>
    <row r="46" ht="15.0" customHeight="1">
      <c r="A46" s="14" t="s">
        <v>349</v>
      </c>
      <c r="B46" s="15"/>
      <c r="C46" s="15"/>
      <c r="D46" s="15"/>
      <c r="E46" s="15"/>
      <c r="F46" s="15"/>
      <c r="G46" s="15">
        <v>0.0</v>
      </c>
      <c r="H46" s="22">
        <v>-13.96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350</v>
      </c>
      <c r="B47" s="15"/>
      <c r="C47" s="15"/>
      <c r="D47" s="15"/>
      <c r="E47" s="15"/>
      <c r="F47" s="15"/>
      <c r="G47" s="15">
        <v>0.0</v>
      </c>
      <c r="H47" s="20">
        <v>2.79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351</v>
      </c>
      <c r="B48" s="15"/>
      <c r="C48" s="15"/>
      <c r="D48" s="15"/>
      <c r="E48" s="15">
        <v>0.0</v>
      </c>
      <c r="F48" s="20">
        <v>1.0</v>
      </c>
      <c r="G48" s="20">
        <v>1.02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352</v>
      </c>
      <c r="B49" s="15"/>
      <c r="C49" s="21">
        <v>-118.99</v>
      </c>
      <c r="D49" s="22">
        <v>-57.73</v>
      </c>
      <c r="E49" s="22">
        <v>-20.9</v>
      </c>
      <c r="F49" s="22">
        <v>-6.01</v>
      </c>
      <c r="G49" s="22">
        <v>-6.14</v>
      </c>
      <c r="H49" s="22">
        <v>-22.33</v>
      </c>
      <c r="I49" s="22">
        <v>-19.67</v>
      </c>
      <c r="J49" s="22">
        <v>-25.18</v>
      </c>
      <c r="K49" s="22">
        <v>-10.8</v>
      </c>
      <c r="L49" s="15"/>
      <c r="M49" s="22">
        <v>-19.47</v>
      </c>
      <c r="N49" s="22">
        <v>-23.43</v>
      </c>
      <c r="O49" s="22">
        <v>-15.53</v>
      </c>
      <c r="P49" s="22">
        <v>-14.97</v>
      </c>
      <c r="Q49" s="22">
        <v>-32.46</v>
      </c>
      <c r="R49" s="22">
        <v>-19.78</v>
      </c>
      <c r="S49" s="15"/>
      <c r="T49" s="15"/>
      <c r="U49" s="15"/>
      <c r="V49" s="15"/>
      <c r="W49" s="15"/>
    </row>
    <row r="50" ht="15.0" customHeight="1">
      <c r="A50" s="14" t="s">
        <v>353</v>
      </c>
      <c r="B50" s="15"/>
      <c r="C50" s="22">
        <v>-74.24</v>
      </c>
      <c r="D50" s="22">
        <v>-85.59</v>
      </c>
      <c r="E50" s="22">
        <v>-78.86</v>
      </c>
      <c r="F50" s="22">
        <v>-85.19</v>
      </c>
      <c r="G50" s="22">
        <v>-40.94</v>
      </c>
      <c r="H50" s="21">
        <v>-130.28</v>
      </c>
      <c r="I50" s="21">
        <v>-122.68</v>
      </c>
      <c r="J50" s="21">
        <v>-181.08</v>
      </c>
      <c r="K50" s="21">
        <v>-177.73</v>
      </c>
      <c r="L50" s="15"/>
      <c r="M50" s="22">
        <v>-56.03</v>
      </c>
      <c r="N50" s="22">
        <v>-1.2</v>
      </c>
      <c r="O50" s="22">
        <v>-2.07</v>
      </c>
      <c r="P50" s="22">
        <v>-1.65</v>
      </c>
      <c r="Q50" s="22">
        <v>-0.29</v>
      </c>
      <c r="R50" s="22">
        <v>-0.42</v>
      </c>
      <c r="S50" s="15"/>
      <c r="T50" s="21">
        <v>-144.29</v>
      </c>
      <c r="U50" s="22">
        <v>-56.23</v>
      </c>
      <c r="V50" s="15"/>
      <c r="W50" s="15"/>
    </row>
    <row r="51" ht="15.0" customHeight="1">
      <c r="A51" s="14" t="s">
        <v>354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2">
        <v>-35.3</v>
      </c>
      <c r="O51" s="22">
        <v>-25.72</v>
      </c>
      <c r="P51" s="22">
        <v>-8.99</v>
      </c>
      <c r="Q51" s="22">
        <v>-10.03</v>
      </c>
      <c r="R51" s="22">
        <v>-11.02</v>
      </c>
      <c r="S51" s="15"/>
      <c r="T51" s="15"/>
      <c r="U51" s="15"/>
      <c r="V51" s="15"/>
      <c r="W51" s="15"/>
    </row>
    <row r="52" ht="15.0" customHeight="1">
      <c r="A52" s="14" t="s">
        <v>355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2">
        <v>-21.63</v>
      </c>
      <c r="O52" s="22">
        <v>-12.13</v>
      </c>
      <c r="P52" s="22">
        <v>-8.31</v>
      </c>
      <c r="Q52" s="22">
        <v>-13.31</v>
      </c>
      <c r="R52" s="22">
        <v>-24.02</v>
      </c>
      <c r="S52" s="15"/>
      <c r="T52" s="15"/>
      <c r="U52" s="15"/>
      <c r="V52" s="15"/>
      <c r="W52" s="15"/>
    </row>
    <row r="53" ht="15.0" customHeight="1">
      <c r="A53" s="14" t="s">
        <v>356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22">
        <v>-2.45</v>
      </c>
      <c r="O53" s="22">
        <v>-3.55</v>
      </c>
      <c r="P53" s="22">
        <v>-9.36</v>
      </c>
      <c r="Q53" s="22">
        <v>-7.59</v>
      </c>
      <c r="R53" s="22">
        <v>-16.74</v>
      </c>
      <c r="S53" s="15"/>
      <c r="T53" s="15"/>
      <c r="U53" s="15"/>
      <c r="V53" s="15"/>
      <c r="W53" s="15"/>
    </row>
    <row r="54" ht="15.0" customHeight="1">
      <c r="A54" s="14" t="s">
        <v>357</v>
      </c>
      <c r="B54" s="15"/>
      <c r="C54" s="15"/>
      <c r="D54" s="15"/>
      <c r="E54" s="15"/>
      <c r="F54" s="15"/>
      <c r="G54" s="15">
        <v>0.0</v>
      </c>
      <c r="H54" s="16">
        <v>131.21</v>
      </c>
      <c r="I54" s="20">
        <v>48.7</v>
      </c>
      <c r="J54" s="20">
        <v>18.4</v>
      </c>
      <c r="K54" s="20">
        <v>9.82</v>
      </c>
      <c r="L54" s="15"/>
      <c r="M54" s="20">
        <v>2.2</v>
      </c>
      <c r="N54" s="20">
        <v>5.28</v>
      </c>
      <c r="O54" s="20">
        <v>2.99</v>
      </c>
      <c r="P54" s="20">
        <v>1.29</v>
      </c>
      <c r="Q54" s="20">
        <v>0.18</v>
      </c>
      <c r="R54" s="20">
        <v>14.61</v>
      </c>
      <c r="S54" s="15"/>
      <c r="T54" s="20">
        <v>9.34</v>
      </c>
      <c r="U54" s="20">
        <v>1.1</v>
      </c>
      <c r="V54" s="15"/>
      <c r="W54" s="15"/>
    </row>
    <row r="55" ht="15.0" customHeight="1">
      <c r="A55" s="14" t="s">
        <v>358</v>
      </c>
      <c r="B55" s="15"/>
      <c r="C55" s="20">
        <v>14.24</v>
      </c>
      <c r="D55" s="20">
        <v>27.87</v>
      </c>
      <c r="E55" s="20">
        <v>19.95</v>
      </c>
      <c r="F55" s="20">
        <v>27.06</v>
      </c>
      <c r="G55" s="15">
        <v>0.0</v>
      </c>
      <c r="H55" s="20">
        <v>27.92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359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>
        <v>0.0</v>
      </c>
      <c r="U56" s="20">
        <v>6.82</v>
      </c>
      <c r="V56" s="15">
        <v>0.0</v>
      </c>
      <c r="W56" s="20">
        <v>1.6</v>
      </c>
    </row>
    <row r="57" ht="15.0" customHeight="1">
      <c r="A57" s="14" t="s">
        <v>360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22">
        <v>-7.76</v>
      </c>
      <c r="W57" s="22">
        <v>-2.57</v>
      </c>
    </row>
    <row r="58" ht="15.0" customHeight="1">
      <c r="A58" s="17" t="s">
        <v>361</v>
      </c>
      <c r="B58" s="24">
        <v>-1870.48</v>
      </c>
      <c r="C58" s="24">
        <v>-146.45</v>
      </c>
      <c r="D58" s="24">
        <v>-106.49</v>
      </c>
      <c r="E58" s="24">
        <v>-142.52</v>
      </c>
      <c r="F58" s="24">
        <v>-103.23</v>
      </c>
      <c r="G58" s="25">
        <v>-46.06</v>
      </c>
      <c r="H58" s="23">
        <v>31.64</v>
      </c>
      <c r="I58" s="24">
        <v>-226.63</v>
      </c>
      <c r="J58" s="24">
        <v>-285.66</v>
      </c>
      <c r="K58" s="24">
        <v>-902.42</v>
      </c>
      <c r="L58" s="24">
        <v>-158.71</v>
      </c>
      <c r="M58" s="24">
        <v>-157.44</v>
      </c>
      <c r="N58" s="25">
        <v>-81.62</v>
      </c>
      <c r="O58" s="25">
        <v>-79.03</v>
      </c>
      <c r="P58" s="24">
        <v>-347.62</v>
      </c>
      <c r="Q58" s="25">
        <v>-63.51</v>
      </c>
      <c r="R58" s="25">
        <v>-59.09</v>
      </c>
      <c r="S58" s="24">
        <v>-357.18</v>
      </c>
      <c r="T58" s="24">
        <v>-180.12</v>
      </c>
      <c r="U58" s="24">
        <v>-176.28</v>
      </c>
      <c r="V58" s="25">
        <v>-22.52</v>
      </c>
      <c r="W58" s="24">
        <v>-120.09</v>
      </c>
    </row>
    <row r="59" ht="15.0" customHeight="1">
      <c r="A59" s="14" t="s">
        <v>362</v>
      </c>
      <c r="B59" s="15"/>
      <c r="C59" s="15"/>
      <c r="D59" s="15"/>
      <c r="E59" s="15"/>
      <c r="F59" s="15"/>
      <c r="G59" s="21">
        <v>-124.86</v>
      </c>
      <c r="H59" s="21">
        <v>-116.32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363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20">
        <v>0.31</v>
      </c>
      <c r="O60" s="20">
        <v>0.27</v>
      </c>
      <c r="P60" s="15">
        <v>0.0</v>
      </c>
      <c r="Q60" s="20">
        <v>1.08</v>
      </c>
      <c r="R60" s="15">
        <v>0.0</v>
      </c>
      <c r="S60" s="15"/>
      <c r="T60" s="15"/>
      <c r="U60" s="15"/>
      <c r="V60" s="15"/>
      <c r="W60" s="15"/>
    </row>
    <row r="61" ht="15.0" customHeight="1">
      <c r="A61" s="14" t="s">
        <v>364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22">
        <v>-6.74</v>
      </c>
      <c r="Q61" s="15"/>
      <c r="R61" s="22">
        <v>-2.28</v>
      </c>
      <c r="S61" s="15"/>
      <c r="T61" s="15"/>
      <c r="U61" s="15"/>
      <c r="V61" s="15"/>
      <c r="W61" s="15"/>
    </row>
    <row r="62" ht="15.0" customHeight="1">
      <c r="A62" s="14" t="s">
        <v>365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>
        <v>0.0</v>
      </c>
      <c r="O62" s="15"/>
      <c r="P62" s="15">
        <v>0.0</v>
      </c>
      <c r="Q62" s="20">
        <v>1.52</v>
      </c>
      <c r="R62" s="15"/>
      <c r="S62" s="15"/>
      <c r="T62" s="15"/>
      <c r="U62" s="15"/>
      <c r="V62" s="15"/>
      <c r="W62" s="15"/>
    </row>
    <row r="63" ht="15.0" customHeight="1">
      <c r="A63" s="14" t="s">
        <v>366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20">
        <v>27.56</v>
      </c>
      <c r="N63" s="15">
        <v>0.0</v>
      </c>
      <c r="O63" s="20">
        <v>34.38</v>
      </c>
      <c r="P63" s="15"/>
      <c r="Q63" s="15"/>
      <c r="R63" s="21">
        <v>-147.32</v>
      </c>
      <c r="S63" s="15"/>
      <c r="T63" s="15"/>
      <c r="U63" s="15"/>
      <c r="V63" s="15"/>
      <c r="W63" s="15"/>
    </row>
    <row r="64" ht="15.0" customHeight="1">
      <c r="A64" s="14" t="s">
        <v>367</v>
      </c>
      <c r="B64" s="15"/>
      <c r="C64" s="22">
        <v>-68.14</v>
      </c>
      <c r="D64" s="21">
        <v>-652.9</v>
      </c>
      <c r="E64" s="21">
        <v>-416.16</v>
      </c>
      <c r="F64" s="21">
        <v>-1158.55</v>
      </c>
      <c r="G64" s="21">
        <v>-301.93</v>
      </c>
      <c r="H64" s="21">
        <v>-493.21</v>
      </c>
      <c r="I64" s="21">
        <v>-155.45</v>
      </c>
      <c r="J64" s="21">
        <v>-474.49</v>
      </c>
      <c r="K64" s="22">
        <v>-6.87</v>
      </c>
      <c r="L64" s="15"/>
      <c r="M64" s="21">
        <v>-147.89</v>
      </c>
      <c r="N64" s="22">
        <v>-95.73</v>
      </c>
      <c r="O64" s="22">
        <v>-53.95</v>
      </c>
      <c r="P64" s="22">
        <v>-22.8</v>
      </c>
      <c r="Q64" s="22">
        <v>-11.0</v>
      </c>
      <c r="R64" s="22">
        <v>-29.29</v>
      </c>
      <c r="S64" s="15"/>
      <c r="T64" s="15"/>
      <c r="U64" s="15"/>
      <c r="V64" s="15"/>
      <c r="W64" s="15"/>
    </row>
    <row r="65" ht="15.0" customHeight="1">
      <c r="A65" s="14" t="s">
        <v>368</v>
      </c>
      <c r="B65" s="15"/>
      <c r="C65" s="20">
        <v>20.34</v>
      </c>
      <c r="D65" s="16">
        <v>139.34</v>
      </c>
      <c r="E65" s="16">
        <v>694.56</v>
      </c>
      <c r="F65" s="16">
        <v>304.67</v>
      </c>
      <c r="G65" s="16">
        <v>247.68</v>
      </c>
      <c r="H65" s="16">
        <v>154.48</v>
      </c>
      <c r="I65" s="20">
        <v>88.96</v>
      </c>
      <c r="J65" s="16">
        <v>650.73</v>
      </c>
      <c r="K65" s="16">
        <v>701.12</v>
      </c>
      <c r="L65" s="15"/>
      <c r="M65" s="20">
        <v>36.56</v>
      </c>
      <c r="N65" s="20">
        <v>98.25</v>
      </c>
      <c r="O65" s="20">
        <v>9.61</v>
      </c>
      <c r="P65" s="16">
        <v>216.73</v>
      </c>
      <c r="Q65" s="20">
        <v>70.02</v>
      </c>
      <c r="R65" s="15"/>
      <c r="S65" s="15"/>
      <c r="T65" s="15"/>
      <c r="U65" s="15"/>
      <c r="V65" s="15"/>
      <c r="W65" s="15"/>
    </row>
    <row r="66" ht="15.0" customHeight="1">
      <c r="A66" s="14" t="s">
        <v>369</v>
      </c>
      <c r="B66" s="15">
        <v>0.0</v>
      </c>
      <c r="C66" s="16">
        <v>845.12</v>
      </c>
      <c r="D66" s="15"/>
      <c r="E66" s="15">
        <v>0.0</v>
      </c>
      <c r="F66" s="16">
        <v>734.62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>
        <v>0.0</v>
      </c>
      <c r="U66" s="20">
        <v>42.29</v>
      </c>
      <c r="V66" s="15">
        <v>0.0</v>
      </c>
      <c r="W66" s="20">
        <v>18.38</v>
      </c>
    </row>
    <row r="67" ht="15.0" customHeight="1">
      <c r="A67" s="14" t="s">
        <v>370</v>
      </c>
      <c r="B67" s="15">
        <v>0.0</v>
      </c>
      <c r="C67" s="21">
        <v>-163.74</v>
      </c>
      <c r="D67" s="21">
        <v>-108.49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371</v>
      </c>
      <c r="B68" s="22">
        <v>-32.83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372</v>
      </c>
      <c r="B69" s="15">
        <v>0.0</v>
      </c>
      <c r="C69" s="22">
        <v>-45.76</v>
      </c>
      <c r="D69" s="22">
        <v>-4.98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373</v>
      </c>
      <c r="B70" s="21">
        <v>-181.12</v>
      </c>
      <c r="C70" s="21">
        <v>-130.18</v>
      </c>
      <c r="D70" s="21">
        <v>-130.38</v>
      </c>
      <c r="E70" s="21">
        <v>-133.02</v>
      </c>
      <c r="F70" s="21">
        <v>-134.3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374</v>
      </c>
      <c r="B71" s="16">
        <v>778.48</v>
      </c>
      <c r="C71" s="15"/>
      <c r="D71" s="15"/>
      <c r="E71" s="15"/>
      <c r="F71" s="15"/>
      <c r="G71" s="15"/>
      <c r="H71" s="15"/>
      <c r="I71" s="15"/>
      <c r="J71" s="15"/>
      <c r="K71" s="15"/>
      <c r="L71" s="22">
        <v>-19.12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371</v>
      </c>
      <c r="B72" s="15"/>
      <c r="C72" s="22">
        <v>-15.25</v>
      </c>
      <c r="D72" s="15"/>
      <c r="E72" s="15"/>
      <c r="F72" s="15"/>
      <c r="G72" s="15"/>
      <c r="H72" s="15"/>
      <c r="I72" s="15"/>
      <c r="J72" s="15">
        <v>0.0</v>
      </c>
      <c r="K72" s="22">
        <v>-4.91</v>
      </c>
      <c r="L72" s="22">
        <v>-3.82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375</v>
      </c>
      <c r="B73" s="15"/>
      <c r="C73" s="15"/>
      <c r="D73" s="15"/>
      <c r="E73" s="15"/>
      <c r="F73" s="15"/>
      <c r="G73" s="15"/>
      <c r="H73" s="15">
        <v>0.0</v>
      </c>
      <c r="I73" s="21">
        <v>-167.63</v>
      </c>
      <c r="J73" s="21">
        <v>-173.33</v>
      </c>
      <c r="K73" s="21">
        <v>-166.93</v>
      </c>
      <c r="L73" s="22">
        <v>-81.27</v>
      </c>
      <c r="M73" s="22">
        <v>-46.76</v>
      </c>
      <c r="N73" s="22">
        <v>-38.25</v>
      </c>
      <c r="O73" s="22">
        <v>-21.48</v>
      </c>
      <c r="P73" s="22">
        <v>-15.42</v>
      </c>
      <c r="Q73" s="22">
        <v>-15.0</v>
      </c>
      <c r="R73" s="22">
        <v>-14.69</v>
      </c>
      <c r="S73" s="15"/>
      <c r="T73" s="22">
        <v>-12.13</v>
      </c>
      <c r="U73" s="22">
        <v>-8.74</v>
      </c>
      <c r="V73" s="22">
        <v>-7.23</v>
      </c>
      <c r="W73" s="15">
        <v>0.0</v>
      </c>
    </row>
    <row r="74" ht="15.0" customHeight="1">
      <c r="A74" s="14" t="s">
        <v>376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22">
        <v>-0.55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377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22">
        <v>-5.24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378</v>
      </c>
      <c r="B76" s="15"/>
      <c r="C76" s="15"/>
      <c r="D76" s="15"/>
      <c r="E76" s="15"/>
      <c r="F76" s="15"/>
      <c r="G76" s="15"/>
      <c r="H76" s="15"/>
      <c r="I76" s="15"/>
      <c r="J76" s="15">
        <v>0.0</v>
      </c>
      <c r="K76" s="16">
        <v>164.97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379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20">
        <v>1.71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380</v>
      </c>
      <c r="B78" s="15"/>
      <c r="C78" s="15"/>
      <c r="D78" s="15"/>
      <c r="E78" s="15"/>
      <c r="F78" s="15"/>
      <c r="G78" s="15"/>
      <c r="H78" s="15"/>
      <c r="I78" s="15"/>
      <c r="J78" s="15">
        <v>0.0</v>
      </c>
      <c r="K78" s="22">
        <v>-46.15</v>
      </c>
      <c r="L78" s="15"/>
      <c r="M78" s="15"/>
      <c r="N78" s="15">
        <v>0.0</v>
      </c>
      <c r="O78" s="22">
        <v>-5.96</v>
      </c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381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22">
        <v>-33.91</v>
      </c>
      <c r="U79" s="22">
        <v>-85.36</v>
      </c>
      <c r="V79" s="20">
        <v>39.01</v>
      </c>
      <c r="W79" s="22">
        <v>-22.33</v>
      </c>
    </row>
    <row r="80" ht="15.0" customHeight="1">
      <c r="A80" s="14" t="s">
        <v>382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6">
        <v>116.49</v>
      </c>
      <c r="U80" s="16">
        <v>220.92</v>
      </c>
      <c r="V80" s="22">
        <v>-13.89</v>
      </c>
      <c r="W80" s="20">
        <v>62.7</v>
      </c>
    </row>
    <row r="81" ht="15.0" customHeight="1">
      <c r="A81" s="14" t="s">
        <v>383</v>
      </c>
      <c r="B81" s="15"/>
      <c r="C81" s="15"/>
      <c r="D81" s="15"/>
      <c r="E81" s="15"/>
      <c r="F81" s="15"/>
      <c r="G81" s="15"/>
      <c r="H81" s="15"/>
      <c r="I81" s="15"/>
      <c r="J81" s="20">
        <v>0.97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384</v>
      </c>
      <c r="B82" s="15"/>
      <c r="C82" s="15"/>
      <c r="D82" s="15"/>
      <c r="E82" s="15"/>
      <c r="F82" s="15">
        <v>0.0</v>
      </c>
      <c r="G82" s="21">
        <v>-171.94</v>
      </c>
      <c r="H82" s="15">
        <v>0.0</v>
      </c>
      <c r="I82" s="22">
        <v>-28.09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385</v>
      </c>
      <c r="B83" s="15"/>
      <c r="C83" s="22">
        <v>-3.05</v>
      </c>
      <c r="D83" s="22">
        <v>-48.77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386</v>
      </c>
      <c r="B84" s="19">
        <v>564.53</v>
      </c>
      <c r="C84" s="19">
        <v>439.34</v>
      </c>
      <c r="D84" s="24">
        <v>-806.17</v>
      </c>
      <c r="E84" s="19">
        <v>145.37</v>
      </c>
      <c r="F84" s="24">
        <v>-253.56</v>
      </c>
      <c r="G84" s="24">
        <v>-351.05</v>
      </c>
      <c r="H84" s="24">
        <v>-455.06</v>
      </c>
      <c r="I84" s="24">
        <v>-262.21</v>
      </c>
      <c r="J84" s="23">
        <v>3.87</v>
      </c>
      <c r="K84" s="19">
        <v>641.22</v>
      </c>
      <c r="L84" s="24">
        <v>-104.22</v>
      </c>
      <c r="M84" s="24">
        <v>-136.32</v>
      </c>
      <c r="N84" s="25">
        <v>-35.41</v>
      </c>
      <c r="O84" s="25">
        <v>-35.42</v>
      </c>
      <c r="P84" s="19">
        <v>171.77</v>
      </c>
      <c r="Q84" s="23">
        <v>46.62</v>
      </c>
      <c r="R84" s="24">
        <v>-193.58</v>
      </c>
      <c r="S84" s="19">
        <v>193.81</v>
      </c>
      <c r="T84" s="23">
        <v>70.45</v>
      </c>
      <c r="U84" s="19">
        <v>169.12</v>
      </c>
      <c r="V84" s="23">
        <v>17.89</v>
      </c>
      <c r="W84" s="23">
        <v>58.75</v>
      </c>
    </row>
    <row r="85" ht="15.0" customHeight="1">
      <c r="A85" s="14" t="s">
        <v>387</v>
      </c>
      <c r="B85" s="15"/>
      <c r="C85" s="15"/>
      <c r="D85" s="15">
        <v>0.0</v>
      </c>
      <c r="E85" s="22">
        <v>-6.65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7" t="s">
        <v>388</v>
      </c>
      <c r="B86" s="18"/>
      <c r="C86" s="18"/>
      <c r="D86" s="18">
        <v>0.0</v>
      </c>
      <c r="E86" s="25">
        <v>-6.65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389</v>
      </c>
      <c r="B87" s="22">
        <v>-99.56</v>
      </c>
      <c r="C87" s="20">
        <v>23.39</v>
      </c>
      <c r="D87" s="22">
        <v>-70.66</v>
      </c>
      <c r="E87" s="20">
        <v>9.5</v>
      </c>
      <c r="F87" s="20">
        <v>37.08</v>
      </c>
      <c r="G87" s="22">
        <v>-33.77</v>
      </c>
      <c r="H87" s="20">
        <v>7.44</v>
      </c>
      <c r="I87" s="20">
        <v>7.49</v>
      </c>
      <c r="J87" s="22">
        <v>-16.46</v>
      </c>
      <c r="K87" s="20">
        <v>15.71</v>
      </c>
      <c r="L87" s="22">
        <v>-1.91</v>
      </c>
      <c r="M87" s="20">
        <v>21.77</v>
      </c>
      <c r="N87" s="20">
        <v>1.54</v>
      </c>
      <c r="O87" s="22">
        <v>-5.46</v>
      </c>
      <c r="P87" s="22">
        <v>-0.02</v>
      </c>
      <c r="Q87" s="15">
        <v>0.0</v>
      </c>
      <c r="R87" s="22">
        <v>-1.28</v>
      </c>
      <c r="S87" s="15"/>
      <c r="T87" s="22">
        <v>-0.15</v>
      </c>
      <c r="U87" s="22">
        <v>-0.5</v>
      </c>
      <c r="V87" s="20">
        <v>0.28</v>
      </c>
      <c r="W87" s="20">
        <v>0.21</v>
      </c>
    </row>
    <row r="88" ht="15.0" customHeight="1">
      <c r="A88" s="14" t="s">
        <v>390</v>
      </c>
      <c r="B88" s="16">
        <v>1654.42</v>
      </c>
      <c r="C88" s="16">
        <v>594.24</v>
      </c>
      <c r="D88" s="16">
        <v>761.11</v>
      </c>
      <c r="E88" s="16">
        <v>195.78</v>
      </c>
      <c r="F88" s="16">
        <v>674.2</v>
      </c>
      <c r="G88" s="16">
        <v>315.35</v>
      </c>
      <c r="H88" s="16">
        <v>254.11</v>
      </c>
      <c r="I88" s="16">
        <v>278.12</v>
      </c>
      <c r="J88" s="16">
        <v>404.26</v>
      </c>
      <c r="K88" s="16">
        <v>244.67</v>
      </c>
      <c r="L88" s="16">
        <v>129.77</v>
      </c>
      <c r="M88" s="16">
        <v>136.49</v>
      </c>
      <c r="N88" s="16">
        <v>125.97</v>
      </c>
      <c r="O88" s="20">
        <v>1.18</v>
      </c>
      <c r="P88" s="20">
        <v>0.26</v>
      </c>
      <c r="Q88" s="20">
        <v>0.23</v>
      </c>
      <c r="R88" s="20">
        <v>12.13</v>
      </c>
      <c r="S88" s="15"/>
      <c r="T88" s="20">
        <v>13.26</v>
      </c>
      <c r="U88" s="20">
        <v>7.18</v>
      </c>
      <c r="V88" s="20">
        <v>4.2</v>
      </c>
      <c r="W88" s="20">
        <v>13.51</v>
      </c>
    </row>
    <row r="89" ht="15.0" customHeight="1">
      <c r="A89" s="14" t="s">
        <v>391</v>
      </c>
      <c r="B89" s="16">
        <v>1061.76</v>
      </c>
      <c r="C89" s="16">
        <v>1555.51</v>
      </c>
      <c r="D89" s="16">
        <v>581.91</v>
      </c>
      <c r="E89" s="16">
        <v>711.6</v>
      </c>
      <c r="F89" s="16">
        <v>202.65</v>
      </c>
      <c r="G89" s="16">
        <v>722.59</v>
      </c>
      <c r="H89" s="16">
        <v>283.17</v>
      </c>
      <c r="I89" s="16">
        <v>264.46</v>
      </c>
      <c r="J89" s="16">
        <v>285.18</v>
      </c>
      <c r="K89" s="16">
        <v>383.12</v>
      </c>
      <c r="L89" s="16">
        <v>270.01</v>
      </c>
      <c r="M89" s="16">
        <v>118.47</v>
      </c>
      <c r="N89" s="16">
        <v>134.19</v>
      </c>
      <c r="O89" s="16">
        <v>114.42</v>
      </c>
      <c r="P89" s="20">
        <v>1.2</v>
      </c>
      <c r="Q89" s="20">
        <v>0.26</v>
      </c>
      <c r="R89" s="20">
        <v>0.21</v>
      </c>
      <c r="S89" s="15"/>
      <c r="T89" s="20">
        <v>6.63</v>
      </c>
      <c r="U89" s="20">
        <v>14.36</v>
      </c>
      <c r="V89" s="20">
        <v>6.7</v>
      </c>
      <c r="W89" s="20">
        <v>4.51</v>
      </c>
    </row>
    <row r="90" ht="15.0" customHeight="1">
      <c r="A90" s="14" t="s">
        <v>392</v>
      </c>
      <c r="B90" s="21">
        <v>-474.5</v>
      </c>
      <c r="C90" s="16">
        <v>927.5</v>
      </c>
      <c r="D90" s="21">
        <v>-106.49</v>
      </c>
      <c r="E90" s="16">
        <v>517.83</v>
      </c>
      <c r="F90" s="21">
        <v>-522.15</v>
      </c>
      <c r="G90" s="16">
        <v>432.93</v>
      </c>
      <c r="H90" s="20">
        <v>21.4</v>
      </c>
      <c r="I90" s="22">
        <v>-20.6</v>
      </c>
      <c r="J90" s="22">
        <v>-98.77</v>
      </c>
      <c r="K90" s="16">
        <v>127.65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393</v>
      </c>
      <c r="B91" s="24">
        <v>-574.07</v>
      </c>
      <c r="C91" s="19">
        <v>950.89</v>
      </c>
      <c r="D91" s="24">
        <v>-177.16</v>
      </c>
      <c r="E91" s="19">
        <v>520.68</v>
      </c>
      <c r="F91" s="24">
        <v>-485.07</v>
      </c>
      <c r="G91" s="19">
        <v>399.16</v>
      </c>
      <c r="H91" s="23">
        <v>28.85</v>
      </c>
      <c r="I91" s="25">
        <v>-13.11</v>
      </c>
      <c r="J91" s="24">
        <v>-114.26</v>
      </c>
      <c r="K91" s="19">
        <v>143.37</v>
      </c>
      <c r="L91" s="19">
        <v>128.12</v>
      </c>
      <c r="M91" s="25">
        <v>-17.27</v>
      </c>
      <c r="N91" s="23">
        <v>7.87</v>
      </c>
      <c r="O91" s="19">
        <v>113.68</v>
      </c>
      <c r="P91" s="23">
        <v>0.93</v>
      </c>
      <c r="Q91" s="23">
        <v>0.04</v>
      </c>
      <c r="R91" s="25">
        <v>-12.12</v>
      </c>
      <c r="S91" s="23">
        <v>6.33</v>
      </c>
      <c r="T91" s="25">
        <v>-6.83</v>
      </c>
      <c r="U91" s="23">
        <v>6.86</v>
      </c>
      <c r="V91" s="23">
        <v>2.54</v>
      </c>
      <c r="W91" s="25">
        <v>-9.04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46094.4074083333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39538.0</v>
      </c>
      <c r="U13" s="9">
        <v>38717.0</v>
      </c>
      <c r="V13" s="9">
        <v>38717.0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</row>
    <row r="18">
      <c r="A18" s="12" t="s">
        <v>396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397</v>
      </c>
    </row>
    <row r="20" ht="15.0" customHeight="1">
      <c r="A20" s="27" t="s">
        <v>398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ht="15.0" customHeight="1">
      <c r="A21" s="29" t="s">
        <v>398</v>
      </c>
      <c r="B21" s="30">
        <v>5290.9</v>
      </c>
      <c r="C21" s="30">
        <v>3479.39</v>
      </c>
      <c r="D21" s="30">
        <v>3420.65</v>
      </c>
      <c r="E21" s="30">
        <v>4177.61</v>
      </c>
      <c r="F21" s="30">
        <v>3721.15</v>
      </c>
      <c r="G21" s="30">
        <v>3937.66</v>
      </c>
      <c r="H21" s="30">
        <v>3556.48</v>
      </c>
      <c r="I21" s="30">
        <v>7127.84</v>
      </c>
      <c r="J21" s="30">
        <v>9021.27</v>
      </c>
      <c r="K21" s="30">
        <v>9091.64</v>
      </c>
      <c r="L21" s="30">
        <v>4170.57</v>
      </c>
      <c r="M21" s="30">
        <v>2975.19</v>
      </c>
      <c r="N21" s="30">
        <v>1910.14</v>
      </c>
      <c r="O21" s="30">
        <v>1702.46</v>
      </c>
      <c r="P21" s="30">
        <v>1453.58</v>
      </c>
      <c r="Q21" s="30">
        <v>712.51</v>
      </c>
      <c r="R21" s="30">
        <v>1574.25</v>
      </c>
      <c r="S21" s="30">
        <v>1672.88</v>
      </c>
      <c r="T21" s="30">
        <v>1414.96</v>
      </c>
      <c r="U21" s="30">
        <v>826.44</v>
      </c>
      <c r="V21" s="30">
        <v>743.84</v>
      </c>
      <c r="W21" s="31"/>
    </row>
    <row r="22" ht="15.0" customHeight="1">
      <c r="A22" s="29" t="s">
        <v>399</v>
      </c>
      <c r="B22" s="30">
        <v>4130.47</v>
      </c>
      <c r="C22" s="30">
        <v>3854.12</v>
      </c>
      <c r="D22" s="30">
        <v>3638.85</v>
      </c>
      <c r="E22" s="30">
        <v>4446.35</v>
      </c>
      <c r="F22" s="30">
        <v>5856.65</v>
      </c>
      <c r="G22" s="30">
        <v>6219.93</v>
      </c>
      <c r="H22" s="30">
        <v>6502.91</v>
      </c>
      <c r="I22" s="30">
        <v>6570.5</v>
      </c>
      <c r="J22" s="30">
        <v>5299.09</v>
      </c>
      <c r="K22" s="30">
        <v>4267.58</v>
      </c>
      <c r="L22" s="30">
        <v>2564.32</v>
      </c>
      <c r="M22" s="30">
        <v>1867.22</v>
      </c>
      <c r="N22" s="30">
        <v>1458.62</v>
      </c>
      <c r="O22" s="30">
        <v>1436.48</v>
      </c>
      <c r="P22" s="30">
        <v>1365.59</v>
      </c>
      <c r="Q22" s="30">
        <v>1159.84</v>
      </c>
      <c r="R22" s="30">
        <v>1262.91</v>
      </c>
      <c r="S22" s="31"/>
      <c r="T22" s="31"/>
      <c r="U22" s="31"/>
      <c r="V22" s="31"/>
      <c r="W22" s="31"/>
    </row>
    <row r="23" ht="15.0" customHeight="1">
      <c r="A23" s="27" t="s">
        <v>400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ht="15.0" customHeight="1">
      <c r="A24" s="29" t="s">
        <v>400</v>
      </c>
      <c r="B24" s="30">
        <v>5441.0</v>
      </c>
      <c r="C24" s="30">
        <v>2656.86</v>
      </c>
      <c r="D24" s="30">
        <v>2258.19</v>
      </c>
      <c r="E24" s="30">
        <v>2851.62</v>
      </c>
      <c r="F24" s="30">
        <v>1799.82</v>
      </c>
      <c r="G24" s="30">
        <v>1490.36</v>
      </c>
      <c r="H24" s="30">
        <v>1383.24</v>
      </c>
      <c r="I24" s="30">
        <v>4893.4</v>
      </c>
      <c r="J24" s="30">
        <v>7281.1</v>
      </c>
      <c r="K24" s="30">
        <v>8251.24</v>
      </c>
      <c r="L24" s="30">
        <v>3278.02</v>
      </c>
      <c r="M24" s="30">
        <v>2115.95</v>
      </c>
      <c r="N24" s="30">
        <v>1134.15</v>
      </c>
      <c r="O24" s="30">
        <v>657.89</v>
      </c>
      <c r="P24" s="30">
        <v>558.72</v>
      </c>
      <c r="Q24" s="30">
        <v>712.19</v>
      </c>
      <c r="R24" s="30">
        <v>507.78</v>
      </c>
      <c r="S24" s="30">
        <v>1086.42</v>
      </c>
      <c r="T24" s="30">
        <v>895.96</v>
      </c>
      <c r="U24" s="30">
        <v>517.89</v>
      </c>
      <c r="V24" s="30">
        <v>446.49</v>
      </c>
      <c r="W24" s="31"/>
    </row>
    <row r="25" ht="15.0" customHeight="1">
      <c r="A25" s="29" t="s">
        <v>401</v>
      </c>
      <c r="B25" s="30">
        <v>3080.37</v>
      </c>
      <c r="C25" s="30">
        <v>2270.88</v>
      </c>
      <c r="D25" s="30">
        <v>1893.17</v>
      </c>
      <c r="E25" s="30">
        <v>2444.99</v>
      </c>
      <c r="F25" s="30">
        <v>3612.66</v>
      </c>
      <c r="G25" s="30">
        <v>4399.36</v>
      </c>
      <c r="H25" s="30">
        <v>4935.83</v>
      </c>
      <c r="I25" s="30">
        <v>5226.85</v>
      </c>
      <c r="J25" s="30">
        <v>4277.3</v>
      </c>
      <c r="K25" s="30">
        <v>3272.04</v>
      </c>
      <c r="L25" s="30">
        <v>1608.77</v>
      </c>
      <c r="M25" s="30">
        <v>1103.12</v>
      </c>
      <c r="N25" s="30">
        <v>715.35</v>
      </c>
      <c r="O25" s="30">
        <v>719.37</v>
      </c>
      <c r="P25" s="30">
        <v>758.51</v>
      </c>
      <c r="Q25" s="30">
        <v>701.82</v>
      </c>
      <c r="R25" s="30">
        <v>701.7</v>
      </c>
      <c r="S25" s="31"/>
      <c r="T25" s="31"/>
      <c r="U25" s="31"/>
      <c r="V25" s="31"/>
      <c r="W25" s="31"/>
    </row>
    <row r="26" ht="15.0" customHeight="1">
      <c r="A26" s="27" t="s">
        <v>402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15.0" customHeight="1">
      <c r="A27" s="29" t="s">
        <v>403</v>
      </c>
      <c r="B27" s="32">
        <v>21.49</v>
      </c>
      <c r="C27" s="32">
        <v>12.18</v>
      </c>
      <c r="D27" s="32">
        <v>10.35</v>
      </c>
      <c r="E27" s="32">
        <v>13.07</v>
      </c>
      <c r="F27" s="32">
        <v>12.27</v>
      </c>
      <c r="G27" s="32">
        <v>10.16</v>
      </c>
      <c r="H27" s="32">
        <v>9.43</v>
      </c>
      <c r="I27" s="32">
        <v>33.36</v>
      </c>
      <c r="J27" s="32">
        <v>49.64</v>
      </c>
      <c r="K27" s="32">
        <v>67.87</v>
      </c>
      <c r="L27" s="32">
        <v>26.96</v>
      </c>
      <c r="M27" s="32">
        <v>17.41</v>
      </c>
      <c r="N27" s="32">
        <v>9.33</v>
      </c>
      <c r="O27" s="32">
        <v>6.8</v>
      </c>
      <c r="P27" s="32">
        <v>5.78</v>
      </c>
      <c r="Q27" s="32">
        <v>7.36</v>
      </c>
      <c r="R27" s="32">
        <v>5.25</v>
      </c>
      <c r="S27" s="32">
        <v>11.56</v>
      </c>
      <c r="T27" s="32">
        <v>9.53</v>
      </c>
      <c r="U27" s="32">
        <v>5.86</v>
      </c>
      <c r="V27" s="32">
        <v>3.58</v>
      </c>
      <c r="W27" s="31"/>
    </row>
    <row r="28" ht="15.0" customHeight="1">
      <c r="A28" s="29" t="s">
        <v>404</v>
      </c>
      <c r="B28" s="32">
        <v>14.22</v>
      </c>
      <c r="C28" s="32">
        <v>11.9</v>
      </c>
      <c r="D28" s="32">
        <v>10.67</v>
      </c>
      <c r="E28" s="32">
        <v>15.4</v>
      </c>
      <c r="F28" s="32">
        <v>24.63</v>
      </c>
      <c r="G28" s="32">
        <v>32.07</v>
      </c>
      <c r="H28" s="32">
        <v>36.76</v>
      </c>
      <c r="I28" s="32">
        <v>39.45</v>
      </c>
      <c r="J28" s="32">
        <v>33.13</v>
      </c>
      <c r="K28" s="32">
        <v>27.25</v>
      </c>
      <c r="L28" s="32">
        <v>13.8</v>
      </c>
      <c r="M28" s="32">
        <v>9.98</v>
      </c>
      <c r="N28" s="32">
        <v>6.92</v>
      </c>
      <c r="O28" s="32">
        <v>7.5</v>
      </c>
      <c r="P28" s="32">
        <v>7.96</v>
      </c>
      <c r="Q28" s="32">
        <v>7.46</v>
      </c>
      <c r="R28" s="32">
        <v>7.28</v>
      </c>
      <c r="S28" s="31"/>
      <c r="T28" s="31"/>
      <c r="U28" s="31"/>
      <c r="V28" s="31"/>
      <c r="W28" s="31"/>
    </row>
    <row r="29" ht="15.0" customHeight="1">
      <c r="A29" s="27" t="s">
        <v>405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ht="15.0" customHeight="1">
      <c r="A30" s="29" t="s">
        <v>406</v>
      </c>
      <c r="B30" s="33">
        <v>9.13</v>
      </c>
      <c r="C30" s="33">
        <v>25.1</v>
      </c>
      <c r="D30" s="33">
        <v>20.42</v>
      </c>
      <c r="E30" s="34">
        <v>-9.97</v>
      </c>
      <c r="F30" s="33">
        <v>40.96</v>
      </c>
      <c r="G30" s="33">
        <v>18.23</v>
      </c>
      <c r="H30" s="33">
        <v>22.66</v>
      </c>
      <c r="I30" s="34">
        <v>-0.42</v>
      </c>
      <c r="J30" s="33">
        <v>2.39</v>
      </c>
      <c r="K30" s="33">
        <v>3.92</v>
      </c>
      <c r="L30" s="33">
        <v>4.28</v>
      </c>
      <c r="M30" s="33">
        <v>1.47</v>
      </c>
      <c r="N30" s="33">
        <v>11.58</v>
      </c>
      <c r="O30" s="33">
        <v>12.49</v>
      </c>
      <c r="P30" s="34">
        <v>-5.3</v>
      </c>
      <c r="Q30" s="33">
        <v>14.34</v>
      </c>
      <c r="R30" s="33"/>
      <c r="S30" s="34">
        <v>-2.61</v>
      </c>
      <c r="T30" s="34">
        <v>-3.49</v>
      </c>
      <c r="U30" s="33">
        <v>0.92</v>
      </c>
      <c r="V30" s="33">
        <v>11.61</v>
      </c>
      <c r="W30" s="33"/>
    </row>
    <row r="31" ht="15.0" customHeight="1">
      <c r="A31" s="29" t="s">
        <v>407</v>
      </c>
      <c r="B31" s="33">
        <v>15.42</v>
      </c>
      <c r="C31" s="33">
        <v>18.16</v>
      </c>
      <c r="D31" s="33">
        <v>17.45</v>
      </c>
      <c r="E31" s="33">
        <v>9.49</v>
      </c>
      <c r="F31" s="33">
        <v>8.56</v>
      </c>
      <c r="G31" s="33">
        <v>4.57</v>
      </c>
      <c r="H31" s="33">
        <v>3.74</v>
      </c>
      <c r="I31" s="33">
        <v>2.6</v>
      </c>
      <c r="J31" s="33">
        <v>3.74</v>
      </c>
      <c r="K31" s="33">
        <v>4.81</v>
      </c>
      <c r="L31" s="33">
        <v>4.67</v>
      </c>
      <c r="M31" s="33">
        <v>6.54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ht="15.0" customHeight="1">
      <c r="A32" s="27" t="s">
        <v>408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ht="15.0" customHeight="1">
      <c r="A33" s="29" t="s">
        <v>409</v>
      </c>
      <c r="B33" s="33">
        <v>2.51</v>
      </c>
      <c r="C33" s="33">
        <v>2.89</v>
      </c>
      <c r="D33" s="33">
        <v>0.0</v>
      </c>
      <c r="E33" s="33">
        <v>0.0</v>
      </c>
      <c r="F33" s="33">
        <v>0.0</v>
      </c>
      <c r="G33" s="33">
        <v>0.0</v>
      </c>
      <c r="H33" s="33">
        <v>8.17</v>
      </c>
      <c r="I33" s="33">
        <v>2.37</v>
      </c>
      <c r="J33" s="33">
        <v>1.44</v>
      </c>
      <c r="K33" s="33">
        <v>0.58</v>
      </c>
      <c r="L33" s="33">
        <v>0.8</v>
      </c>
      <c r="M33" s="33">
        <v>1.02</v>
      </c>
      <c r="N33" s="33">
        <v>1.03</v>
      </c>
      <c r="O33" s="33">
        <v>1.2</v>
      </c>
      <c r="P33" s="33">
        <v>1.41</v>
      </c>
      <c r="Q33" s="33">
        <v>1.03</v>
      </c>
      <c r="R33" s="33">
        <v>1.27</v>
      </c>
      <c r="S33" s="33">
        <v>0.55</v>
      </c>
      <c r="T33" s="33">
        <v>0.54</v>
      </c>
      <c r="U33" s="33">
        <v>0.0</v>
      </c>
      <c r="V33" s="33">
        <v>0.86</v>
      </c>
      <c r="W33" s="33"/>
    </row>
    <row r="34" ht="15.0" customHeight="1">
      <c r="A34" s="29" t="s">
        <v>410</v>
      </c>
      <c r="B34" s="33">
        <v>1.26</v>
      </c>
      <c r="C34" s="33">
        <v>0.59</v>
      </c>
      <c r="D34" s="33">
        <v>1.39</v>
      </c>
      <c r="E34" s="33">
        <v>2.0</v>
      </c>
      <c r="F34" s="33">
        <v>1.98</v>
      </c>
      <c r="G34" s="33">
        <v>1.58</v>
      </c>
      <c r="H34" s="33">
        <v>1.56</v>
      </c>
      <c r="I34" s="33">
        <v>1.18</v>
      </c>
      <c r="J34" s="33">
        <v>0.95</v>
      </c>
      <c r="K34" s="33">
        <v>0.76</v>
      </c>
      <c r="L34" s="33">
        <v>0.99</v>
      </c>
      <c r="M34" s="33">
        <v>1.1</v>
      </c>
      <c r="N34" s="33">
        <v>1.16</v>
      </c>
      <c r="O34" s="33">
        <v>1.0</v>
      </c>
      <c r="P34" s="33">
        <v>0.86</v>
      </c>
      <c r="Q34" s="33">
        <v>0.65</v>
      </c>
      <c r="R34" s="33">
        <v>0.59</v>
      </c>
      <c r="S34" s="33"/>
      <c r="T34" s="33"/>
      <c r="U34" s="33"/>
      <c r="V34" s="33"/>
      <c r="W34" s="33"/>
    </row>
    <row r="35" ht="15.0" customHeight="1">
      <c r="A35" s="29" t="s">
        <v>411</v>
      </c>
      <c r="B35" s="33">
        <v>3.59</v>
      </c>
      <c r="C35" s="33">
        <v>4.13</v>
      </c>
      <c r="D35" s="33">
        <v>0.0</v>
      </c>
      <c r="E35" s="33">
        <v>0.0</v>
      </c>
      <c r="F35" s="33">
        <v>0.0</v>
      </c>
      <c r="G35" s="33">
        <v>0.0</v>
      </c>
      <c r="H35" s="33">
        <v>11.67</v>
      </c>
      <c r="I35" s="33">
        <v>3.38</v>
      </c>
      <c r="J35" s="33">
        <v>2.05</v>
      </c>
      <c r="K35" s="33">
        <v>0.83</v>
      </c>
      <c r="L35" s="33">
        <v>1.15</v>
      </c>
      <c r="M35" s="33">
        <v>1.45</v>
      </c>
      <c r="N35" s="33">
        <v>1.48</v>
      </c>
      <c r="O35" s="33">
        <v>1.71</v>
      </c>
      <c r="P35" s="33">
        <v>2.02</v>
      </c>
      <c r="Q35" s="33">
        <v>1.47</v>
      </c>
      <c r="R35" s="33">
        <v>1.82</v>
      </c>
      <c r="S35" s="33">
        <v>0.78</v>
      </c>
      <c r="T35" s="33">
        <v>0.77</v>
      </c>
      <c r="U35" s="33">
        <v>0.0</v>
      </c>
      <c r="V35" s="33">
        <v>0.0</v>
      </c>
      <c r="W35" s="33"/>
    </row>
    <row r="36" ht="15.0" customHeight="1">
      <c r="A36" s="29" t="s">
        <v>412</v>
      </c>
      <c r="B36" s="33">
        <v>1.81</v>
      </c>
      <c r="C36" s="33">
        <v>0.85</v>
      </c>
      <c r="D36" s="33">
        <v>1.99</v>
      </c>
      <c r="E36" s="33">
        <v>2.85</v>
      </c>
      <c r="F36" s="33">
        <v>2.82</v>
      </c>
      <c r="G36" s="33">
        <v>2.26</v>
      </c>
      <c r="H36" s="33">
        <v>2.22</v>
      </c>
      <c r="I36" s="33">
        <v>1.69</v>
      </c>
      <c r="J36" s="33">
        <v>1.35</v>
      </c>
      <c r="K36" s="33">
        <v>1.09</v>
      </c>
      <c r="L36" s="33">
        <v>1.42</v>
      </c>
      <c r="M36" s="33">
        <v>1.57</v>
      </c>
      <c r="N36" s="33">
        <v>1.66</v>
      </c>
      <c r="O36" s="33">
        <v>1.43</v>
      </c>
      <c r="P36" s="33">
        <v>1.23</v>
      </c>
      <c r="Q36" s="33">
        <v>0.93</v>
      </c>
      <c r="R36" s="33">
        <v>0.72</v>
      </c>
      <c r="S36" s="33"/>
      <c r="T36" s="33"/>
      <c r="U36" s="33"/>
      <c r="V36" s="33"/>
      <c r="W36" s="33"/>
    </row>
    <row r="37" ht="15.0" customHeight="1">
      <c r="A37" s="27" t="s">
        <v>413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 ht="15.0" customHeight="1">
      <c r="A38" s="29" t="s">
        <v>414</v>
      </c>
      <c r="B38" s="32">
        <v>1.28</v>
      </c>
      <c r="C38" s="32">
        <v>0.86</v>
      </c>
      <c r="D38" s="32">
        <v>0.8</v>
      </c>
      <c r="E38" s="32">
        <v>1.1</v>
      </c>
      <c r="F38" s="32">
        <v>1.16</v>
      </c>
      <c r="G38" s="32">
        <v>0.99</v>
      </c>
      <c r="H38" s="32">
        <v>0.96</v>
      </c>
      <c r="I38" s="32">
        <v>3.18</v>
      </c>
      <c r="J38" s="32">
        <v>5.5</v>
      </c>
      <c r="K38" s="32">
        <v>7.0</v>
      </c>
      <c r="L38" s="32">
        <v>3.62</v>
      </c>
      <c r="M38" s="32">
        <v>2.93</v>
      </c>
      <c r="N38" s="32">
        <v>1.95</v>
      </c>
      <c r="O38" s="32">
        <v>1.36</v>
      </c>
      <c r="P38" s="32">
        <v>1.4</v>
      </c>
      <c r="Q38" s="32">
        <v>1.65</v>
      </c>
      <c r="R38" s="32">
        <v>1.13</v>
      </c>
      <c r="S38" s="32">
        <v>3.31</v>
      </c>
      <c r="T38" s="32">
        <v>3.89</v>
      </c>
      <c r="U38" s="32">
        <v>4.32</v>
      </c>
      <c r="V38" s="32">
        <v>3.24</v>
      </c>
      <c r="W38" s="31"/>
    </row>
    <row r="39" ht="15.0" customHeight="1">
      <c r="A39" s="29" t="s">
        <v>415</v>
      </c>
      <c r="B39" s="31"/>
      <c r="C39" s="31"/>
      <c r="D39" s="31"/>
      <c r="E39" s="32">
        <v>1.47</v>
      </c>
      <c r="F39" s="32">
        <v>2.31</v>
      </c>
      <c r="G39" s="32">
        <v>3.4</v>
      </c>
      <c r="H39" s="32">
        <v>4.0</v>
      </c>
      <c r="I39" s="32">
        <v>4.55</v>
      </c>
      <c r="J39" s="32">
        <v>4.54</v>
      </c>
      <c r="K39" s="32">
        <v>3.75</v>
      </c>
      <c r="L39" s="32">
        <v>2.38</v>
      </c>
      <c r="M39" s="32">
        <v>1.9</v>
      </c>
      <c r="N39" s="32">
        <v>1.5</v>
      </c>
      <c r="O39" s="32">
        <v>1.7</v>
      </c>
      <c r="P39" s="32">
        <v>2.05</v>
      </c>
      <c r="Q39" s="32">
        <v>2.4</v>
      </c>
      <c r="R39" s="32">
        <v>2.75</v>
      </c>
      <c r="S39" s="31"/>
      <c r="T39" s="31"/>
      <c r="U39" s="31"/>
      <c r="V39" s="31"/>
      <c r="W39" s="31"/>
    </row>
    <row r="40" ht="15.0" customHeight="1">
      <c r="A40" s="27" t="s">
        <v>416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ht="15.0" customHeight="1">
      <c r="A41" s="29" t="s">
        <v>417</v>
      </c>
      <c r="B41" s="32">
        <v>2.56</v>
      </c>
      <c r="C41" s="32">
        <v>2.33</v>
      </c>
      <c r="D41" s="32">
        <v>2.15</v>
      </c>
      <c r="E41" s="32">
        <v>3.26</v>
      </c>
      <c r="F41" s="31"/>
      <c r="G41" s="31"/>
      <c r="H41" s="31"/>
      <c r="I41" s="31"/>
      <c r="J41" s="31"/>
      <c r="K41" s="32">
        <v>14.46</v>
      </c>
      <c r="L41" s="32">
        <v>8.09</v>
      </c>
      <c r="M41" s="32">
        <v>7.6</v>
      </c>
      <c r="N41" s="32">
        <v>5.72</v>
      </c>
      <c r="O41" s="31"/>
      <c r="P41" s="31"/>
      <c r="Q41" s="32">
        <v>26.55</v>
      </c>
      <c r="R41" s="32">
        <v>23.86</v>
      </c>
      <c r="S41" s="32">
        <v>14.4</v>
      </c>
      <c r="T41" s="32">
        <v>24.22</v>
      </c>
      <c r="U41" s="32">
        <v>7.0</v>
      </c>
      <c r="V41" s="32">
        <v>5.79</v>
      </c>
      <c r="W41" s="31"/>
    </row>
    <row r="42" ht="15.0" customHeight="1">
      <c r="A42" s="29" t="s">
        <v>418</v>
      </c>
      <c r="B42" s="32">
        <v>3.18</v>
      </c>
      <c r="C42" s="32">
        <v>4.54</v>
      </c>
      <c r="D42" s="32">
        <v>8.72</v>
      </c>
      <c r="E42" s="32">
        <v>94.87</v>
      </c>
      <c r="F42" s="31"/>
      <c r="G42" s="30">
        <v>112.5</v>
      </c>
      <c r="H42" s="32">
        <v>33.89</v>
      </c>
      <c r="I42" s="32">
        <v>21.19</v>
      </c>
      <c r="J42" s="32">
        <v>14.85</v>
      </c>
      <c r="K42" s="32">
        <v>10.7</v>
      </c>
      <c r="L42" s="32">
        <v>9.6</v>
      </c>
      <c r="M42" s="32">
        <v>12.12</v>
      </c>
      <c r="N42" s="32">
        <v>18.49</v>
      </c>
      <c r="O42" s="32">
        <v>35.08</v>
      </c>
      <c r="P42" s="32">
        <v>25.56</v>
      </c>
      <c r="Q42" s="32">
        <v>15.57</v>
      </c>
      <c r="R42" s="32">
        <v>12.42</v>
      </c>
      <c r="S42" s="31"/>
      <c r="T42" s="31"/>
      <c r="U42" s="31"/>
      <c r="V42" s="31"/>
      <c r="W42" s="31"/>
    </row>
    <row r="43" ht="15.0" customHeight="1">
      <c r="A43" s="27" t="s">
        <v>419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ht="15.0" customHeight="1">
      <c r="A44" s="29" t="s">
        <v>420</v>
      </c>
      <c r="B44" s="32">
        <v>0.72</v>
      </c>
      <c r="C44" s="32">
        <v>0.43</v>
      </c>
      <c r="D44" s="32">
        <v>0.35</v>
      </c>
      <c r="E44" s="32">
        <v>0.42</v>
      </c>
      <c r="F44" s="32">
        <v>0.35</v>
      </c>
      <c r="G44" s="32">
        <v>0.28</v>
      </c>
      <c r="H44" s="32">
        <v>0.25</v>
      </c>
      <c r="I44" s="32">
        <v>0.85</v>
      </c>
      <c r="J44" s="32">
        <v>1.57</v>
      </c>
      <c r="K44" s="32">
        <v>2.02</v>
      </c>
      <c r="L44" s="32">
        <v>1.16</v>
      </c>
      <c r="M44" s="32">
        <v>0.83</v>
      </c>
      <c r="N44" s="32">
        <v>0.5</v>
      </c>
      <c r="O44" s="32">
        <v>0.37</v>
      </c>
      <c r="P44" s="32">
        <v>0.38</v>
      </c>
      <c r="Q44" s="32">
        <v>0.52</v>
      </c>
      <c r="R44" s="32">
        <v>0.25</v>
      </c>
      <c r="S44" s="32">
        <v>0.75</v>
      </c>
      <c r="T44" s="32">
        <v>0.76</v>
      </c>
      <c r="U44" s="32">
        <v>0.69</v>
      </c>
      <c r="V44" s="32">
        <v>0.51</v>
      </c>
      <c r="W44" s="31"/>
    </row>
    <row r="45" ht="15.0" customHeight="1">
      <c r="A45" s="29" t="s">
        <v>421</v>
      </c>
      <c r="B45" s="32">
        <v>0.45</v>
      </c>
      <c r="C45" s="32">
        <v>0.36</v>
      </c>
      <c r="D45" s="32">
        <v>0.33</v>
      </c>
      <c r="E45" s="32">
        <v>0.44</v>
      </c>
      <c r="F45" s="32">
        <v>0.65</v>
      </c>
      <c r="G45" s="32">
        <v>0.95</v>
      </c>
      <c r="H45" s="32">
        <v>1.13</v>
      </c>
      <c r="I45" s="32">
        <v>1.31</v>
      </c>
      <c r="J45" s="32">
        <v>1.31</v>
      </c>
      <c r="K45" s="32">
        <v>1.07</v>
      </c>
      <c r="L45" s="32">
        <v>0.67</v>
      </c>
      <c r="M45" s="32">
        <v>0.53</v>
      </c>
      <c r="N45" s="32">
        <v>0.4</v>
      </c>
      <c r="O45" s="32">
        <v>0.44</v>
      </c>
      <c r="P45" s="32">
        <v>0.51</v>
      </c>
      <c r="Q45" s="32">
        <v>0.56</v>
      </c>
      <c r="R45" s="32">
        <v>0.56</v>
      </c>
      <c r="S45" s="31"/>
      <c r="T45" s="31"/>
      <c r="U45" s="31"/>
      <c r="V45" s="31"/>
      <c r="W45" s="31"/>
    </row>
    <row r="46" ht="15.0" customHeight="1">
      <c r="A46" s="27" t="s">
        <v>422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 ht="15.0" customHeight="1">
      <c r="A47" s="29" t="s">
        <v>423</v>
      </c>
      <c r="B47" s="32">
        <v>10.95</v>
      </c>
      <c r="C47" s="32">
        <v>3.98</v>
      </c>
      <c r="D47" s="32">
        <v>4.9</v>
      </c>
      <c r="E47" s="31"/>
      <c r="F47" s="32">
        <v>2.44</v>
      </c>
      <c r="G47" s="32">
        <v>5.48</v>
      </c>
      <c r="H47" s="32">
        <v>4.41</v>
      </c>
      <c r="I47" s="31"/>
      <c r="J47" s="32">
        <v>41.79</v>
      </c>
      <c r="K47" s="32">
        <v>25.54</v>
      </c>
      <c r="L47" s="32">
        <v>23.34</v>
      </c>
      <c r="M47" s="32">
        <v>68.14</v>
      </c>
      <c r="N47" s="32">
        <v>8.63</v>
      </c>
      <c r="O47" s="32">
        <v>8.01</v>
      </c>
      <c r="P47" s="31"/>
      <c r="Q47" s="32">
        <v>6.97</v>
      </c>
      <c r="R47" s="31"/>
      <c r="S47" s="31"/>
      <c r="T47" s="31"/>
      <c r="U47" s="30">
        <v>108.86</v>
      </c>
      <c r="V47" s="32">
        <v>8.61</v>
      </c>
      <c r="W47" s="31"/>
    </row>
    <row r="48" ht="15.0" customHeight="1">
      <c r="A48" s="29" t="s">
        <v>424</v>
      </c>
      <c r="B48" s="32">
        <v>6.48</v>
      </c>
      <c r="C48" s="32">
        <v>5.51</v>
      </c>
      <c r="D48" s="32">
        <v>5.73</v>
      </c>
      <c r="E48" s="32">
        <v>10.53</v>
      </c>
      <c r="F48" s="32">
        <v>11.69</v>
      </c>
      <c r="G48" s="32">
        <v>21.88</v>
      </c>
      <c r="H48" s="32">
        <v>26.73</v>
      </c>
      <c r="I48" s="32">
        <v>38.45</v>
      </c>
      <c r="J48" s="32">
        <v>26.75</v>
      </c>
      <c r="K48" s="32">
        <v>20.81</v>
      </c>
      <c r="L48" s="32">
        <v>21.39</v>
      </c>
      <c r="M48" s="32">
        <v>15.28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ht="15.0" customHeight="1">
      <c r="A49" s="27" t="s">
        <v>425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 ht="15.0" customHeight="1">
      <c r="A50" s="29" t="s">
        <v>426</v>
      </c>
      <c r="B50" s="32">
        <v>8.28</v>
      </c>
      <c r="C50" s="32">
        <v>4.86</v>
      </c>
      <c r="D50" s="32">
        <v>4.67</v>
      </c>
      <c r="E50" s="32">
        <v>7.0</v>
      </c>
      <c r="F50" s="32">
        <v>7.72</v>
      </c>
      <c r="G50" s="32">
        <v>4.36</v>
      </c>
      <c r="H50" s="32">
        <v>6.43</v>
      </c>
      <c r="I50" s="32">
        <v>11.6</v>
      </c>
      <c r="J50" s="32">
        <v>22.98</v>
      </c>
      <c r="K50" s="32">
        <v>22.72</v>
      </c>
      <c r="L50" s="32">
        <v>15.13</v>
      </c>
      <c r="M50" s="32">
        <v>12.41</v>
      </c>
      <c r="N50" s="32">
        <v>7.17</v>
      </c>
      <c r="O50" s="32">
        <v>6.12</v>
      </c>
      <c r="P50" s="32">
        <v>10.97</v>
      </c>
      <c r="Q50" s="32">
        <v>9.81</v>
      </c>
      <c r="R50" s="31"/>
      <c r="S50" s="32">
        <v>13.82</v>
      </c>
      <c r="T50" s="32">
        <v>13.02</v>
      </c>
      <c r="U50" s="32">
        <v>11.68</v>
      </c>
      <c r="V50" s="32">
        <v>8.33</v>
      </c>
      <c r="W50" s="31"/>
    </row>
    <row r="51" ht="15.0" customHeight="1">
      <c r="A51" s="29" t="s">
        <v>427</v>
      </c>
      <c r="B51" s="32">
        <v>6.4</v>
      </c>
      <c r="C51" s="32">
        <v>5.49</v>
      </c>
      <c r="D51" s="32">
        <v>5.79</v>
      </c>
      <c r="E51" s="32">
        <v>7.67</v>
      </c>
      <c r="F51" s="32">
        <v>11.06</v>
      </c>
      <c r="G51" s="32">
        <v>14.26</v>
      </c>
      <c r="H51" s="32">
        <v>16.57</v>
      </c>
      <c r="I51" s="32">
        <v>17.36</v>
      </c>
      <c r="J51" s="32">
        <v>17.47</v>
      </c>
      <c r="K51" s="32">
        <v>14.46</v>
      </c>
      <c r="L51" s="32">
        <v>10.66</v>
      </c>
      <c r="M51" s="32">
        <v>9.09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ht="15.0" customHeight="1">
      <c r="A52" s="27" t="s">
        <v>428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 ht="15.0" customHeight="1">
      <c r="A53" s="29" t="s">
        <v>429</v>
      </c>
      <c r="B53" s="32">
        <v>15.26</v>
      </c>
      <c r="C53" s="32">
        <v>9.38</v>
      </c>
      <c r="D53" s="32">
        <v>10.76</v>
      </c>
      <c r="E53" s="32">
        <v>29.52</v>
      </c>
      <c r="F53" s="31"/>
      <c r="G53" s="32">
        <v>14.35</v>
      </c>
      <c r="H53" s="32">
        <v>17.06</v>
      </c>
      <c r="I53" s="32">
        <v>17.02</v>
      </c>
      <c r="J53" s="32">
        <v>35.38</v>
      </c>
      <c r="K53" s="32">
        <v>29.85</v>
      </c>
      <c r="L53" s="32">
        <v>22.14</v>
      </c>
      <c r="M53" s="32">
        <v>19.52</v>
      </c>
      <c r="N53" s="32">
        <v>11.43</v>
      </c>
      <c r="O53" s="32">
        <v>9.79</v>
      </c>
      <c r="P53" s="32">
        <v>23.39</v>
      </c>
      <c r="Q53" s="32">
        <v>17.87</v>
      </c>
      <c r="R53" s="32">
        <v>8.04</v>
      </c>
      <c r="S53" s="32">
        <v>19.09</v>
      </c>
      <c r="T53" s="32">
        <v>19.31</v>
      </c>
      <c r="U53" s="32">
        <v>18.91</v>
      </c>
      <c r="V53" s="32">
        <v>12.98</v>
      </c>
      <c r="W53" s="31"/>
    </row>
    <row r="54" ht="15.0" customHeight="1">
      <c r="A54" s="29" t="s">
        <v>430</v>
      </c>
      <c r="B54" s="32">
        <v>17.27</v>
      </c>
      <c r="C54" s="32">
        <v>17.44</v>
      </c>
      <c r="D54" s="32">
        <v>21.25</v>
      </c>
      <c r="E54" s="32">
        <v>21.93</v>
      </c>
      <c r="F54" s="32">
        <v>25.49</v>
      </c>
      <c r="G54" s="32">
        <v>24.67</v>
      </c>
      <c r="H54" s="32">
        <v>25.29</v>
      </c>
      <c r="I54" s="32">
        <v>25.19</v>
      </c>
      <c r="J54" s="32">
        <v>25.6</v>
      </c>
      <c r="K54" s="32">
        <v>21.19</v>
      </c>
      <c r="L54" s="32">
        <v>16.91</v>
      </c>
      <c r="M54" s="32">
        <v>15.15</v>
      </c>
      <c r="N54" s="32">
        <v>12.31</v>
      </c>
      <c r="O54" s="32">
        <v>14.18</v>
      </c>
      <c r="P54" s="32">
        <v>16.44</v>
      </c>
      <c r="Q54" s="32">
        <v>16.06</v>
      </c>
      <c r="R54" s="32">
        <v>15.37</v>
      </c>
      <c r="S54" s="31"/>
      <c r="T54" s="31"/>
      <c r="U54" s="31"/>
      <c r="V54" s="31"/>
      <c r="W54" s="31"/>
    </row>
    <row r="55" ht="15.0" customHeight="1">
      <c r="A55" s="27" t="s">
        <v>431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ht="15.0" customHeight="1">
      <c r="A56" s="29" t="s">
        <v>432</v>
      </c>
      <c r="B56" s="32">
        <v>14.27</v>
      </c>
      <c r="C56" s="32">
        <v>9.24</v>
      </c>
      <c r="D56" s="32">
        <v>9.12</v>
      </c>
      <c r="E56" s="32">
        <v>9.66</v>
      </c>
      <c r="F56" s="32">
        <v>13.83</v>
      </c>
      <c r="G56" s="32">
        <v>11.04</v>
      </c>
      <c r="H56" s="32">
        <v>11.91</v>
      </c>
      <c r="I56" s="32">
        <v>17.02</v>
      </c>
      <c r="J56" s="32">
        <v>35.38</v>
      </c>
      <c r="K56" s="32">
        <v>29.99</v>
      </c>
      <c r="L56" s="32">
        <v>27.5</v>
      </c>
      <c r="M56" s="32">
        <v>19.52</v>
      </c>
      <c r="N56" s="32">
        <v>11.86</v>
      </c>
      <c r="O56" s="32">
        <v>10.31</v>
      </c>
      <c r="P56" s="32">
        <v>46.79</v>
      </c>
      <c r="Q56" s="32">
        <v>19.51</v>
      </c>
      <c r="R56" s="32">
        <v>8.4</v>
      </c>
      <c r="S56" s="32">
        <v>19.31</v>
      </c>
      <c r="T56" s="32">
        <v>19.31</v>
      </c>
      <c r="U56" s="32">
        <v>18.91</v>
      </c>
      <c r="V56" s="32">
        <v>12.98</v>
      </c>
      <c r="W56" s="31"/>
    </row>
    <row r="57" ht="15.0" customHeight="1">
      <c r="A57" s="29" t="s">
        <v>433</v>
      </c>
      <c r="B57" s="32">
        <v>1.04</v>
      </c>
      <c r="C57" s="32">
        <v>0.97</v>
      </c>
      <c r="D57" s="32">
        <v>0.99</v>
      </c>
      <c r="E57" s="32">
        <v>1.47</v>
      </c>
      <c r="F57" s="32">
        <v>2.31</v>
      </c>
      <c r="G57" s="32">
        <v>3.4</v>
      </c>
      <c r="H57" s="32">
        <v>4.0</v>
      </c>
      <c r="I57" s="32">
        <v>4.55</v>
      </c>
      <c r="J57" s="32">
        <v>4.54</v>
      </c>
      <c r="K57" s="32">
        <v>3.93</v>
      </c>
      <c r="L57" s="32">
        <v>2.63</v>
      </c>
      <c r="M57" s="32">
        <v>2.25</v>
      </c>
      <c r="N57" s="32">
        <v>1.92</v>
      </c>
      <c r="O57" s="32">
        <v>2.34</v>
      </c>
      <c r="P57" s="32">
        <v>2.77</v>
      </c>
      <c r="Q57" s="32">
        <v>3.13</v>
      </c>
      <c r="R57" s="32">
        <v>3.43</v>
      </c>
      <c r="S57" s="31"/>
      <c r="T57" s="31"/>
      <c r="U57" s="31"/>
      <c r="V57" s="31"/>
      <c r="W57" s="31"/>
    </row>
    <row r="58" ht="15.0" customHeight="1">
      <c r="A58" s="27" t="s">
        <v>434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 ht="15.0" customHeight="1">
      <c r="A59" s="29" t="s">
        <v>435</v>
      </c>
      <c r="B59" s="32">
        <v>2.46</v>
      </c>
      <c r="C59" s="32">
        <v>0.36</v>
      </c>
      <c r="D59" s="32">
        <v>0.09</v>
      </c>
      <c r="E59" s="32">
        <v>0.07</v>
      </c>
      <c r="F59" s="31"/>
      <c r="G59" s="32">
        <v>0.43</v>
      </c>
      <c r="H59" s="35">
        <v>-0.24</v>
      </c>
      <c r="I59" s="32">
        <v>0.53</v>
      </c>
      <c r="J59" s="35">
        <v>-1.11</v>
      </c>
      <c r="K59" s="32">
        <v>0.42</v>
      </c>
      <c r="L59" s="32">
        <v>0.65</v>
      </c>
      <c r="M59" s="35">
        <v>-25.15</v>
      </c>
      <c r="N59" s="32">
        <v>0.6</v>
      </c>
      <c r="O59" s="32">
        <v>0.05</v>
      </c>
      <c r="P59" s="35">
        <v>-0.53</v>
      </c>
      <c r="Q59" s="35">
        <v>-0.58</v>
      </c>
      <c r="R59" s="32">
        <v>3.98</v>
      </c>
      <c r="S59" s="32">
        <v>0.58</v>
      </c>
      <c r="T59" s="32">
        <v>0.4</v>
      </c>
      <c r="U59" s="32">
        <v>0.91</v>
      </c>
      <c r="V59" s="32">
        <v>0.21</v>
      </c>
      <c r="W59" s="31"/>
    </row>
    <row r="60" ht="15.0" customHeight="1">
      <c r="A60" s="29" t="s">
        <v>436</v>
      </c>
      <c r="B60" s="32">
        <v>1.36</v>
      </c>
      <c r="C60" s="32">
        <v>0.97</v>
      </c>
      <c r="D60" s="35">
        <v>-1.74</v>
      </c>
      <c r="E60" s="35">
        <v>-1.04</v>
      </c>
      <c r="F60" s="31"/>
      <c r="G60" s="35">
        <v>-2.5</v>
      </c>
      <c r="H60" s="35">
        <v>-2.59</v>
      </c>
      <c r="I60" s="32">
        <v>1.63</v>
      </c>
      <c r="J60" s="32">
        <v>1.96</v>
      </c>
      <c r="K60" s="32">
        <v>0.42</v>
      </c>
      <c r="L60" s="32">
        <v>0.84</v>
      </c>
      <c r="M60" s="32">
        <v>2.92</v>
      </c>
      <c r="N60" s="32">
        <v>2.13</v>
      </c>
      <c r="O60" s="32">
        <v>1.75</v>
      </c>
      <c r="P60" s="35">
        <v>-3.39</v>
      </c>
      <c r="Q60" s="32">
        <v>1.46</v>
      </c>
      <c r="R60" s="32">
        <v>0.49</v>
      </c>
      <c r="S60" s="31"/>
      <c r="T60" s="31"/>
      <c r="U60" s="31"/>
      <c r="V60" s="31"/>
      <c r="W60" s="31"/>
    </row>
    <row r="61" ht="15.0" customHeight="1">
      <c r="A61" s="27" t="s">
        <v>437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 ht="15.0" customHeight="1">
      <c r="A62" s="29" t="s">
        <v>438</v>
      </c>
      <c r="B62" s="32">
        <v>0.78</v>
      </c>
      <c r="C62" s="32">
        <v>0.56</v>
      </c>
      <c r="D62" s="32">
        <v>0.53</v>
      </c>
      <c r="E62" s="32">
        <v>0.7</v>
      </c>
      <c r="F62" s="32">
        <v>0.67</v>
      </c>
      <c r="G62" s="32">
        <v>0.69</v>
      </c>
      <c r="H62" s="32">
        <v>0.6</v>
      </c>
      <c r="I62" s="32">
        <v>1.12</v>
      </c>
      <c r="J62" s="32">
        <v>1.76</v>
      </c>
      <c r="K62" s="32">
        <v>1.67</v>
      </c>
      <c r="L62" s="32">
        <v>1.11</v>
      </c>
      <c r="M62" s="32">
        <v>0.88</v>
      </c>
      <c r="N62" s="32">
        <v>0.64</v>
      </c>
      <c r="O62" s="32">
        <v>0.59</v>
      </c>
      <c r="P62" s="32">
        <v>0.61</v>
      </c>
      <c r="Q62" s="32">
        <v>0.32</v>
      </c>
      <c r="R62" s="32">
        <v>0.52</v>
      </c>
      <c r="S62" s="32">
        <v>0.82</v>
      </c>
      <c r="T62" s="32">
        <v>0.85</v>
      </c>
      <c r="U62" s="32">
        <v>0.77</v>
      </c>
      <c r="V62" s="32">
        <v>0.85</v>
      </c>
      <c r="W62" s="31"/>
    </row>
    <row r="63" ht="15.0" customHeight="1">
      <c r="A63" s="29" t="s">
        <v>439</v>
      </c>
      <c r="B63" s="32">
        <v>0.65</v>
      </c>
      <c r="C63" s="32">
        <v>0.63</v>
      </c>
      <c r="D63" s="32">
        <v>0.64</v>
      </c>
      <c r="E63" s="32">
        <v>0.76</v>
      </c>
      <c r="F63" s="32">
        <v>0.96</v>
      </c>
      <c r="G63" s="32">
        <v>1.14</v>
      </c>
      <c r="H63" s="32">
        <v>1.24</v>
      </c>
      <c r="I63" s="32">
        <v>1.34</v>
      </c>
      <c r="J63" s="32">
        <v>1.29</v>
      </c>
      <c r="K63" s="32">
        <v>1.04</v>
      </c>
      <c r="L63" s="32">
        <v>0.78</v>
      </c>
      <c r="M63" s="32">
        <v>0.62</v>
      </c>
      <c r="N63" s="32">
        <v>0.54</v>
      </c>
      <c r="O63" s="32">
        <v>0.56</v>
      </c>
      <c r="P63" s="32">
        <v>0.6</v>
      </c>
      <c r="Q63" s="32">
        <v>0.61</v>
      </c>
      <c r="R63" s="32">
        <v>0.72</v>
      </c>
      <c r="S63" s="31"/>
      <c r="T63" s="31"/>
      <c r="U63" s="31"/>
      <c r="V63" s="31"/>
      <c r="W63" s="31"/>
    </row>
    <row r="64" ht="15.0" customHeight="1">
      <c r="A64" s="27" t="s">
        <v>440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 ht="15.0" customHeight="1">
      <c r="A65" s="29" t="s">
        <v>441</v>
      </c>
      <c r="B65" s="32">
        <v>6.71</v>
      </c>
      <c r="C65" s="32">
        <v>4.85</v>
      </c>
      <c r="D65" s="32">
        <v>5.34</v>
      </c>
      <c r="E65" s="32">
        <v>6.35</v>
      </c>
      <c r="F65" s="32">
        <v>6.64</v>
      </c>
      <c r="G65" s="32">
        <v>8.12</v>
      </c>
      <c r="H65" s="32">
        <v>9.57</v>
      </c>
      <c r="I65" s="32">
        <v>11.08</v>
      </c>
      <c r="J65" s="32">
        <v>19.34</v>
      </c>
      <c r="K65" s="32">
        <v>15.11</v>
      </c>
      <c r="L65" s="32">
        <v>11.22</v>
      </c>
      <c r="M65" s="32">
        <v>9.46</v>
      </c>
      <c r="N65" s="32">
        <v>7.27</v>
      </c>
      <c r="O65" s="32">
        <v>7.28</v>
      </c>
      <c r="P65" s="32">
        <v>3.72</v>
      </c>
      <c r="Q65" s="32">
        <v>4.71</v>
      </c>
      <c r="R65" s="32">
        <v>9.09</v>
      </c>
      <c r="S65" s="32">
        <v>10.25</v>
      </c>
      <c r="T65" s="32">
        <v>10.35</v>
      </c>
      <c r="U65" s="32">
        <v>9.15</v>
      </c>
      <c r="V65" s="32">
        <v>9.66</v>
      </c>
      <c r="W65" s="31"/>
    </row>
    <row r="66" ht="15.0" customHeight="1">
      <c r="A66" s="29" t="s">
        <v>442</v>
      </c>
      <c r="B66" s="32">
        <v>5.96</v>
      </c>
      <c r="C66" s="32">
        <v>6.13</v>
      </c>
      <c r="D66" s="32">
        <v>6.93</v>
      </c>
      <c r="E66" s="32">
        <v>8.29</v>
      </c>
      <c r="F66" s="32">
        <v>10.91</v>
      </c>
      <c r="G66" s="32">
        <v>12.72</v>
      </c>
      <c r="H66" s="32">
        <v>13.44</v>
      </c>
      <c r="I66" s="32">
        <v>13.5</v>
      </c>
      <c r="J66" s="32">
        <v>13.33</v>
      </c>
      <c r="K66" s="32">
        <v>10.89</v>
      </c>
      <c r="L66" s="32">
        <v>7.65</v>
      </c>
      <c r="M66" s="32">
        <v>6.4</v>
      </c>
      <c r="N66" s="32">
        <v>6.05</v>
      </c>
      <c r="O66" s="32">
        <v>6.39</v>
      </c>
      <c r="P66" s="32">
        <v>6.69</v>
      </c>
      <c r="Q66" s="32">
        <v>8.61</v>
      </c>
      <c r="R66" s="32">
        <v>9.73</v>
      </c>
      <c r="S66" s="31"/>
      <c r="T66" s="31"/>
      <c r="U66" s="31"/>
      <c r="V66" s="31"/>
      <c r="W66" s="31"/>
    </row>
    <row r="67" ht="15.0" customHeight="1">
      <c r="A67" s="27" t="s">
        <v>443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ht="15.0" customHeight="1">
      <c r="A68" s="29" t="s">
        <v>444</v>
      </c>
      <c r="B68" s="32">
        <v>8.25</v>
      </c>
      <c r="C68" s="32">
        <v>4.27</v>
      </c>
      <c r="D68" s="32">
        <v>6.11</v>
      </c>
      <c r="E68" s="31"/>
      <c r="F68" s="32">
        <v>4.39</v>
      </c>
      <c r="G68" s="32">
        <v>8.79</v>
      </c>
      <c r="H68" s="32">
        <v>7.29</v>
      </c>
      <c r="I68" s="32">
        <v>37.49</v>
      </c>
      <c r="J68" s="32">
        <v>24.02</v>
      </c>
      <c r="K68" s="32">
        <v>21.14</v>
      </c>
      <c r="L68" s="32">
        <v>15.69</v>
      </c>
      <c r="M68" s="32">
        <v>23.09</v>
      </c>
      <c r="N68" s="32">
        <v>8.21</v>
      </c>
      <c r="O68" s="32">
        <v>9.58</v>
      </c>
      <c r="P68" s="32">
        <v>83.15</v>
      </c>
      <c r="Q68" s="32">
        <v>3.0</v>
      </c>
      <c r="R68" s="32">
        <v>8.92</v>
      </c>
      <c r="S68" s="32">
        <v>16.74</v>
      </c>
      <c r="T68" s="32">
        <v>93.11</v>
      </c>
      <c r="U68" s="30">
        <v>121.81</v>
      </c>
      <c r="V68" s="32">
        <v>14.34</v>
      </c>
      <c r="W68" s="31"/>
    </row>
    <row r="69" ht="15.0" customHeight="1">
      <c r="A69" s="29" t="s">
        <v>445</v>
      </c>
      <c r="B69" s="32">
        <v>7.51</v>
      </c>
      <c r="C69" s="32">
        <v>7.57</v>
      </c>
      <c r="D69" s="32">
        <v>8.71</v>
      </c>
      <c r="E69" s="32">
        <v>12.58</v>
      </c>
      <c r="F69" s="32">
        <v>11.81</v>
      </c>
      <c r="G69" s="32">
        <v>16.79</v>
      </c>
      <c r="H69" s="32">
        <v>18.78</v>
      </c>
      <c r="I69" s="32">
        <v>23.27</v>
      </c>
      <c r="J69" s="32">
        <v>18.72</v>
      </c>
      <c r="K69" s="32">
        <v>15.67</v>
      </c>
      <c r="L69" s="32">
        <v>14.69</v>
      </c>
      <c r="M69" s="32">
        <v>10.68</v>
      </c>
      <c r="N69" s="32">
        <v>8.62</v>
      </c>
      <c r="O69" s="32">
        <v>9.9</v>
      </c>
      <c r="P69" s="32">
        <v>12.15</v>
      </c>
      <c r="Q69" s="32">
        <v>11.27</v>
      </c>
      <c r="R69" s="32">
        <v>17.81</v>
      </c>
      <c r="S69" s="31"/>
      <c r="T69" s="31"/>
      <c r="U69" s="31"/>
      <c r="V69" s="31"/>
      <c r="W69" s="31"/>
    </row>
    <row r="70" ht="15.0" customHeight="1">
      <c r="A70" s="27" t="s">
        <v>446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 ht="15.0" customHeight="1">
      <c r="A71" s="29" t="s">
        <v>447</v>
      </c>
      <c r="B71" s="32">
        <v>11.86</v>
      </c>
      <c r="C71" s="32">
        <v>5.19</v>
      </c>
      <c r="D71" s="32">
        <v>7.42</v>
      </c>
      <c r="E71" s="31"/>
      <c r="F71" s="32">
        <v>4.66</v>
      </c>
      <c r="G71" s="32">
        <v>13.37</v>
      </c>
      <c r="H71" s="32">
        <v>10.47</v>
      </c>
      <c r="I71" s="31"/>
      <c r="J71" s="32">
        <v>46.63</v>
      </c>
      <c r="K71" s="32">
        <v>21.14</v>
      </c>
      <c r="L71" s="32">
        <v>22.3</v>
      </c>
      <c r="M71" s="32">
        <v>72.38</v>
      </c>
      <c r="N71" s="32">
        <v>10.98</v>
      </c>
      <c r="O71" s="32">
        <v>12.69</v>
      </c>
      <c r="P71" s="31"/>
      <c r="Q71" s="32">
        <v>4.27</v>
      </c>
      <c r="R71" s="31"/>
      <c r="S71" s="31"/>
      <c r="T71" s="31"/>
      <c r="U71" s="30">
        <v>121.81</v>
      </c>
      <c r="V71" s="32">
        <v>14.34</v>
      </c>
      <c r="W71" s="31"/>
    </row>
    <row r="72" ht="15.0" customHeight="1">
      <c r="A72" s="29" t="s">
        <v>448</v>
      </c>
      <c r="B72" s="32">
        <v>9.57</v>
      </c>
      <c r="C72" s="32">
        <v>9.67</v>
      </c>
      <c r="D72" s="32">
        <v>11.64</v>
      </c>
      <c r="E72" s="32">
        <v>19.88</v>
      </c>
      <c r="F72" s="32">
        <v>17.44</v>
      </c>
      <c r="G72" s="32">
        <v>26.45</v>
      </c>
      <c r="H72" s="32">
        <v>29.35</v>
      </c>
      <c r="I72" s="32">
        <v>39.52</v>
      </c>
      <c r="J72" s="32">
        <v>26.44</v>
      </c>
      <c r="K72" s="32">
        <v>20.24</v>
      </c>
      <c r="L72" s="32">
        <v>24.74</v>
      </c>
      <c r="M72" s="32">
        <v>17.94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2026-03-13T09:46:42Z</dcterms:created>
</cp:coreProperties>
</file>